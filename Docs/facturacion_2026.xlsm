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cargas\"/>
    </mc:Choice>
  </mc:AlternateContent>
  <xr:revisionPtr revIDLastSave="0" documentId="13_ncr:1_{A4B8C888-5268-43BF-8001-5B1BBA7C44F6}" xr6:coauthVersionLast="47" xr6:coauthVersionMax="47" xr10:uidLastSave="{00000000-0000-0000-0000-000000000000}"/>
  <bookViews>
    <workbookView xWindow="-21564" yWindow="756" windowWidth="21600" windowHeight="11232" tabRatio="643" xr2:uid="{87CCBFC2-E23B-4121-842B-5330D618BBBF}"/>
  </bookViews>
  <sheets>
    <sheet name="Tablero control" sheetId="8" r:id="rId1"/>
    <sheet name="guardar" sheetId="12" r:id="rId2"/>
    <sheet name="proforma" sheetId="5" r:id="rId3"/>
    <sheet name="Pagos" sheetId="2" r:id="rId4"/>
    <sheet name="Articulos" sheetId="6" r:id="rId5"/>
    <sheet name="Facturas" sheetId="1" r:id="rId6"/>
    <sheet name="Clientes" sheetId="4" r:id="rId7"/>
    <sheet name="estadoCuenta" sheetId="15" state="hidden" r:id="rId8"/>
    <sheet name="Parametros" sheetId="3" state="hidden" r:id="rId9"/>
  </sheets>
  <externalReferences>
    <externalReference r:id="rId10"/>
  </externalReferences>
  <definedNames>
    <definedName name="_xlnm._FilterDatabase" localSheetId="6" hidden="1">Clientes!$L$1:$N$1</definedName>
    <definedName name="_xlnm._FilterDatabase" localSheetId="5" hidden="1">Facturas!$S$653:$S$653</definedName>
    <definedName name="_xlnm.Print_Area" localSheetId="7">estadoCuenta!$A$1:$H$38</definedName>
    <definedName name="_xlnm.Print_Area" localSheetId="1">guardar!$A$1:$J$50</definedName>
    <definedName name="_xlnm.Print_Area" localSheetId="2">proforma!$A$1:$H$35</definedName>
    <definedName name="CodProd" localSheetId="7">OFFSET([1]Parametros!$A$1,1,0,COUNTA([1]Parametros!$A$2:$A$100))</definedName>
    <definedName name="CodProd">OFFSET(Parametros!$A$1,1,0,COUNTA(Parametros!$A$2:$A$100))</definedName>
    <definedName name="NIT">Tabla3[NIT]</definedName>
    <definedName name="productos" localSheetId="7">[1]Parametros!$B$2:$B$14</definedName>
    <definedName name="productos">OFFSET(Parametros!$B$1,1,0,COUNTA(Parametros!$B$2:$B$100))</definedName>
    <definedName name="proforma" localSheetId="1">Tabla2[Proforma]</definedName>
    <definedName name="proforma">Tabla2[Proforma]</definedName>
    <definedName name="tipoId">Parametros!$F$2:$F$6</definedName>
  </definedNames>
  <calcPr calcId="191029"/>
  <pivotCaches>
    <pivotCache cacheId="0" r:id="rId11"/>
    <pivotCache cacheId="1" r:id="rId12"/>
    <pivotCache cacheId="6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34" i="2" l="1"/>
  <c r="H521" i="2"/>
  <c r="T666" i="1"/>
  <c r="C448" i="2"/>
  <c r="H633" i="2"/>
  <c r="H665" i="1"/>
  <c r="I665" i="1"/>
  <c r="S665" i="1"/>
  <c r="W665" i="1"/>
  <c r="X665" i="1"/>
  <c r="H664" i="1"/>
  <c r="I664" i="1"/>
  <c r="S664" i="1"/>
  <c r="W664" i="1"/>
  <c r="X664" i="1"/>
  <c r="H663" i="1"/>
  <c r="I663" i="1"/>
  <c r="S663" i="1"/>
  <c r="W663" i="1"/>
  <c r="X663" i="1"/>
  <c r="H662" i="1"/>
  <c r="I662" i="1"/>
  <c r="S662" i="1"/>
  <c r="W662" i="1"/>
  <c r="X662" i="1"/>
  <c r="H661" i="1"/>
  <c r="I661" i="1"/>
  <c r="S661" i="1"/>
  <c r="W661" i="1"/>
  <c r="X661" i="1"/>
  <c r="H660" i="1"/>
  <c r="I660" i="1"/>
  <c r="S660" i="1"/>
  <c r="W660" i="1"/>
  <c r="X660" i="1"/>
  <c r="H659" i="1"/>
  <c r="I659" i="1"/>
  <c r="S659" i="1"/>
  <c r="W659" i="1"/>
  <c r="X659" i="1"/>
  <c r="I658" i="1"/>
  <c r="S658" i="1"/>
  <c r="W658" i="1"/>
  <c r="X658" i="1"/>
  <c r="H657" i="1"/>
  <c r="I657" i="1"/>
  <c r="S657" i="1"/>
  <c r="W657" i="1"/>
  <c r="X657" i="1"/>
  <c r="H641" i="2"/>
  <c r="H717" i="2"/>
  <c r="H714" i="2"/>
  <c r="H715" i="2"/>
  <c r="H716" i="2"/>
  <c r="H711" i="2"/>
  <c r="H712" i="2"/>
  <c r="H713" i="2"/>
  <c r="H710" i="2"/>
  <c r="H718" i="2"/>
  <c r="H656" i="1"/>
  <c r="I656" i="1"/>
  <c r="S656" i="1"/>
  <c r="W656" i="1"/>
  <c r="X656" i="1"/>
  <c r="H655" i="1"/>
  <c r="I655" i="1"/>
  <c r="S655" i="1"/>
  <c r="W655" i="1"/>
  <c r="X655" i="1"/>
  <c r="H654" i="1"/>
  <c r="I654" i="1"/>
  <c r="S654" i="1"/>
  <c r="W654" i="1"/>
  <c r="X654" i="1"/>
  <c r="H653" i="1"/>
  <c r="I653" i="1"/>
  <c r="O653" i="1"/>
  <c r="S653" i="1"/>
  <c r="W653" i="1"/>
  <c r="X653" i="1"/>
  <c r="H652" i="1"/>
  <c r="I652" i="1"/>
  <c r="S652" i="1"/>
  <c r="W652" i="1"/>
  <c r="X652" i="1"/>
  <c r="H651" i="1"/>
  <c r="I651" i="1"/>
  <c r="S651" i="1"/>
  <c r="W651" i="1"/>
  <c r="X651" i="1"/>
  <c r="C702" i="2"/>
  <c r="H702" i="2"/>
  <c r="H701" i="2"/>
  <c r="H650" i="1"/>
  <c r="I650" i="1"/>
  <c r="S650" i="1"/>
  <c r="W650" i="1"/>
  <c r="X650" i="1"/>
  <c r="H649" i="1"/>
  <c r="I649" i="1"/>
  <c r="S649" i="1"/>
  <c r="W649" i="1"/>
  <c r="X649" i="1"/>
  <c r="H648" i="1"/>
  <c r="I648" i="1"/>
  <c r="S648" i="1"/>
  <c r="W648" i="1"/>
  <c r="X648" i="1"/>
  <c r="H647" i="1"/>
  <c r="I647" i="1"/>
  <c r="S647" i="1"/>
  <c r="W647" i="1"/>
  <c r="X647" i="1"/>
  <c r="H646" i="1"/>
  <c r="I646" i="1"/>
  <c r="S646" i="1"/>
  <c r="W646" i="1"/>
  <c r="X646" i="1"/>
  <c r="H645" i="1"/>
  <c r="I645" i="1"/>
  <c r="S645" i="1"/>
  <c r="W645" i="1"/>
  <c r="X645" i="1"/>
  <c r="H644" i="1"/>
  <c r="I644" i="1"/>
  <c r="S644" i="1"/>
  <c r="W644" i="1"/>
  <c r="X644" i="1"/>
  <c r="H643" i="1"/>
  <c r="I643" i="1"/>
  <c r="S643" i="1"/>
  <c r="W643" i="1"/>
  <c r="X643" i="1"/>
  <c r="H642" i="1"/>
  <c r="I642" i="1"/>
  <c r="S642" i="1"/>
  <c r="W642" i="1"/>
  <c r="X642" i="1"/>
  <c r="H641" i="1"/>
  <c r="I641" i="1"/>
  <c r="S641" i="1"/>
  <c r="W641" i="1"/>
  <c r="X641" i="1"/>
  <c r="H640" i="1"/>
  <c r="I640" i="1"/>
  <c r="S640" i="1"/>
  <c r="W640" i="1"/>
  <c r="X640" i="1"/>
  <c r="H709" i="2"/>
  <c r="H708" i="2"/>
  <c r="H707" i="2"/>
  <c r="H706" i="2"/>
  <c r="H705" i="2"/>
  <c r="H704" i="2"/>
  <c r="H703" i="2"/>
  <c r="H700" i="2"/>
  <c r="H699" i="2"/>
  <c r="H639" i="1"/>
  <c r="I639" i="1"/>
  <c r="S639" i="1"/>
  <c r="W639" i="1"/>
  <c r="X639" i="1"/>
  <c r="H638" i="1"/>
  <c r="I638" i="1"/>
  <c r="S638" i="1"/>
  <c r="W638" i="1"/>
  <c r="X638" i="1"/>
  <c r="H637" i="1"/>
  <c r="I637" i="1"/>
  <c r="S637" i="1"/>
  <c r="W637" i="1"/>
  <c r="X637" i="1"/>
  <c r="H636" i="1"/>
  <c r="I636" i="1"/>
  <c r="S636" i="1"/>
  <c r="W636" i="1"/>
  <c r="X636" i="1"/>
  <c r="H635" i="1"/>
  <c r="I635" i="1"/>
  <c r="S635" i="1"/>
  <c r="W635" i="1"/>
  <c r="X635" i="1"/>
  <c r="A634" i="1"/>
  <c r="H634" i="1"/>
  <c r="I634" i="1"/>
  <c r="S634" i="1"/>
  <c r="W634" i="1"/>
  <c r="X634" i="1"/>
  <c r="H457" i="2"/>
  <c r="C435" i="2"/>
  <c r="H447" i="2"/>
  <c r="H698" i="2"/>
  <c r="H697" i="2"/>
  <c r="H696" i="2"/>
  <c r="H695" i="2"/>
  <c r="H694" i="2"/>
  <c r="H693" i="2"/>
  <c r="H633" i="1"/>
  <c r="I633" i="1"/>
  <c r="O633" i="1"/>
  <c r="S633" i="1"/>
  <c r="W633" i="1"/>
  <c r="X633" i="1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32" i="1"/>
  <c r="I632" i="1"/>
  <c r="S632" i="1"/>
  <c r="W632" i="1"/>
  <c r="X632" i="1"/>
  <c r="H631" i="1"/>
  <c r="I631" i="1"/>
  <c r="S631" i="1"/>
  <c r="W631" i="1"/>
  <c r="X631" i="1"/>
  <c r="H630" i="1"/>
  <c r="I630" i="1"/>
  <c r="S630" i="1"/>
  <c r="W630" i="1"/>
  <c r="X630" i="1"/>
  <c r="H629" i="1"/>
  <c r="I629" i="1"/>
  <c r="S629" i="1"/>
  <c r="W629" i="1"/>
  <c r="X629" i="1"/>
  <c r="H628" i="1"/>
  <c r="I628" i="1"/>
  <c r="S628" i="1"/>
  <c r="W628" i="1"/>
  <c r="X628" i="1"/>
  <c r="E6" i="8"/>
  <c r="C403" i="1"/>
  <c r="C444" i="1"/>
  <c r="C457" i="1"/>
  <c r="C458" i="1"/>
  <c r="C395" i="1"/>
  <c r="C396" i="1"/>
  <c r="C424" i="1"/>
  <c r="C468" i="1"/>
  <c r="C377" i="1"/>
  <c r="C416" i="1"/>
  <c r="C446" i="1"/>
  <c r="C477" i="1"/>
  <c r="C478" i="1"/>
  <c r="C481" i="1"/>
  <c r="C482" i="1"/>
  <c r="C450" i="1"/>
  <c r="C365" i="1"/>
  <c r="C379" i="1"/>
  <c r="C389" i="1"/>
  <c r="C399" i="1"/>
  <c r="C408" i="1"/>
  <c r="C419" i="1"/>
  <c r="C429" i="1"/>
  <c r="C439" i="1"/>
  <c r="C462" i="1"/>
  <c r="C471" i="1"/>
  <c r="C417" i="1"/>
  <c r="C427" i="1"/>
  <c r="C415" i="1"/>
  <c r="C469" i="1"/>
  <c r="C470" i="1"/>
  <c r="C479" i="1"/>
  <c r="C480" i="1"/>
  <c r="X627" i="1"/>
  <c r="W627" i="1"/>
  <c r="S627" i="1"/>
  <c r="I627" i="1"/>
  <c r="H627" i="1"/>
  <c r="X626" i="1"/>
  <c r="W626" i="1"/>
  <c r="S626" i="1"/>
  <c r="I626" i="1"/>
  <c r="H626" i="1"/>
  <c r="X625" i="1"/>
  <c r="W625" i="1"/>
  <c r="S625" i="1"/>
  <c r="I625" i="1"/>
  <c r="H625" i="1"/>
  <c r="H624" i="1"/>
  <c r="I624" i="1"/>
  <c r="S624" i="1"/>
  <c r="W624" i="1"/>
  <c r="X624" i="1"/>
  <c r="H677" i="2"/>
  <c r="H669" i="2"/>
  <c r="H623" i="1"/>
  <c r="I623" i="1"/>
  <c r="S623" i="1"/>
  <c r="W623" i="1"/>
  <c r="X623" i="1"/>
  <c r="X622" i="1"/>
  <c r="W622" i="1"/>
  <c r="S622" i="1"/>
  <c r="I622" i="1"/>
  <c r="H622" i="1"/>
  <c r="H676" i="2"/>
  <c r="H675" i="2"/>
  <c r="H674" i="2"/>
  <c r="H673" i="2"/>
  <c r="H672" i="2"/>
  <c r="H671" i="2"/>
  <c r="H670" i="2"/>
  <c r="H668" i="2"/>
  <c r="H667" i="2"/>
  <c r="H666" i="2"/>
  <c r="H665" i="2"/>
  <c r="H621" i="1"/>
  <c r="I621" i="1"/>
  <c r="S621" i="1"/>
  <c r="W621" i="1"/>
  <c r="X621" i="1"/>
  <c r="H620" i="1"/>
  <c r="I620" i="1"/>
  <c r="S620" i="1"/>
  <c r="W620" i="1"/>
  <c r="X620" i="1"/>
  <c r="H619" i="1"/>
  <c r="I619" i="1"/>
  <c r="S619" i="1"/>
  <c r="W619" i="1"/>
  <c r="X619" i="1"/>
  <c r="H618" i="1"/>
  <c r="I618" i="1"/>
  <c r="S618" i="1"/>
  <c r="W618" i="1"/>
  <c r="X618" i="1"/>
  <c r="H617" i="1"/>
  <c r="I617" i="1"/>
  <c r="S617" i="1"/>
  <c r="W617" i="1"/>
  <c r="X617" i="1"/>
  <c r="H616" i="1"/>
  <c r="I616" i="1"/>
  <c r="S616" i="1"/>
  <c r="W616" i="1"/>
  <c r="X616" i="1"/>
  <c r="H615" i="1"/>
  <c r="I615" i="1"/>
  <c r="S615" i="1"/>
  <c r="W615" i="1"/>
  <c r="X615" i="1"/>
  <c r="H614" i="1"/>
  <c r="I614" i="1"/>
  <c r="S614" i="1"/>
  <c r="W614" i="1"/>
  <c r="X614" i="1"/>
  <c r="H613" i="1"/>
  <c r="I613" i="1"/>
  <c r="S613" i="1"/>
  <c r="W613" i="1"/>
  <c r="X613" i="1"/>
  <c r="H612" i="1"/>
  <c r="I612" i="1"/>
  <c r="S612" i="1"/>
  <c r="W612" i="1"/>
  <c r="X612" i="1"/>
  <c r="H611" i="1"/>
  <c r="I611" i="1"/>
  <c r="S611" i="1"/>
  <c r="W611" i="1"/>
  <c r="X611" i="1"/>
  <c r="H610" i="1"/>
  <c r="I610" i="1"/>
  <c r="S610" i="1"/>
  <c r="W610" i="1"/>
  <c r="X610" i="1"/>
  <c r="H609" i="1"/>
  <c r="I609" i="1"/>
  <c r="S609" i="1"/>
  <c r="W609" i="1"/>
  <c r="X609" i="1"/>
  <c r="H608" i="1"/>
  <c r="I608" i="1"/>
  <c r="S608" i="1"/>
  <c r="W608" i="1"/>
  <c r="X608" i="1"/>
  <c r="H607" i="1"/>
  <c r="I607" i="1"/>
  <c r="S607" i="1"/>
  <c r="W607" i="1"/>
  <c r="X607" i="1"/>
  <c r="H606" i="1"/>
  <c r="I606" i="1"/>
  <c r="S606" i="1"/>
  <c r="W606" i="1"/>
  <c r="X606" i="1"/>
  <c r="H664" i="2"/>
  <c r="H663" i="2"/>
  <c r="H662" i="2"/>
  <c r="H661" i="2"/>
  <c r="H660" i="2"/>
  <c r="H659" i="2"/>
  <c r="H658" i="2"/>
  <c r="H657" i="2"/>
  <c r="H605" i="1"/>
  <c r="I605" i="1"/>
  <c r="S605" i="1"/>
  <c r="W605" i="1"/>
  <c r="X605" i="1"/>
  <c r="H604" i="1"/>
  <c r="I604" i="1"/>
  <c r="S604" i="1"/>
  <c r="W604" i="1"/>
  <c r="X604" i="1"/>
  <c r="H603" i="1"/>
  <c r="I603" i="1"/>
  <c r="S603" i="1"/>
  <c r="W603" i="1"/>
  <c r="X603" i="1"/>
  <c r="H602" i="1"/>
  <c r="I602" i="1"/>
  <c r="S602" i="1"/>
  <c r="W602" i="1"/>
  <c r="X602" i="1"/>
  <c r="H601" i="1"/>
  <c r="I601" i="1"/>
  <c r="S601" i="1"/>
  <c r="W601" i="1"/>
  <c r="X601" i="1"/>
  <c r="H600" i="1"/>
  <c r="I600" i="1"/>
  <c r="S600" i="1"/>
  <c r="W600" i="1"/>
  <c r="X600" i="1"/>
  <c r="H599" i="1"/>
  <c r="I599" i="1"/>
  <c r="S599" i="1"/>
  <c r="W599" i="1"/>
  <c r="X599" i="1"/>
  <c r="H598" i="1"/>
  <c r="I598" i="1"/>
  <c r="S598" i="1"/>
  <c r="W598" i="1"/>
  <c r="X598" i="1"/>
  <c r="H597" i="1"/>
  <c r="I597" i="1"/>
  <c r="S597" i="1"/>
  <c r="W597" i="1"/>
  <c r="X597" i="1"/>
  <c r="H596" i="1"/>
  <c r="S596" i="1"/>
  <c r="W596" i="1"/>
  <c r="X596" i="1"/>
  <c r="H595" i="1"/>
  <c r="I595" i="1"/>
  <c r="S595" i="1"/>
  <c r="W595" i="1"/>
  <c r="X595" i="1"/>
  <c r="H656" i="2"/>
  <c r="H594" i="1"/>
  <c r="I594" i="1"/>
  <c r="S594" i="1"/>
  <c r="W594" i="1"/>
  <c r="X594" i="1"/>
  <c r="H655" i="2"/>
  <c r="H654" i="2"/>
  <c r="H653" i="2"/>
  <c r="H652" i="2"/>
  <c r="H651" i="2"/>
  <c r="H650" i="2"/>
  <c r="H649" i="2"/>
  <c r="H593" i="1"/>
  <c r="I593" i="1"/>
  <c r="S593" i="1"/>
  <c r="W593" i="1"/>
  <c r="X593" i="1"/>
  <c r="C546" i="2"/>
  <c r="C549" i="2"/>
  <c r="C547" i="2"/>
  <c r="H549" i="2"/>
  <c r="H592" i="1"/>
  <c r="I592" i="1"/>
  <c r="S592" i="1"/>
  <c r="W592" i="1"/>
  <c r="X592" i="1"/>
  <c r="H648" i="2"/>
  <c r="H647" i="2"/>
  <c r="H646" i="2"/>
  <c r="H645" i="2"/>
  <c r="H644" i="2"/>
  <c r="H643" i="2"/>
  <c r="H591" i="1"/>
  <c r="I591" i="1"/>
  <c r="S591" i="1"/>
  <c r="W591" i="1"/>
  <c r="X591" i="1"/>
  <c r="H590" i="1"/>
  <c r="I590" i="1"/>
  <c r="S590" i="1"/>
  <c r="W590" i="1"/>
  <c r="X590" i="1"/>
  <c r="H589" i="1"/>
  <c r="I589" i="1"/>
  <c r="S589" i="1"/>
  <c r="W589" i="1"/>
  <c r="X589" i="1"/>
  <c r="H588" i="1"/>
  <c r="I588" i="1"/>
  <c r="S588" i="1"/>
  <c r="W588" i="1"/>
  <c r="X588" i="1"/>
  <c r="H587" i="1"/>
  <c r="I587" i="1"/>
  <c r="S587" i="1"/>
  <c r="W587" i="1"/>
  <c r="X587" i="1"/>
  <c r="H586" i="1"/>
  <c r="I586" i="1"/>
  <c r="S586" i="1"/>
  <c r="W586" i="1"/>
  <c r="X586" i="1"/>
  <c r="H585" i="1"/>
  <c r="I585" i="1"/>
  <c r="S585" i="1"/>
  <c r="W585" i="1"/>
  <c r="X585" i="1"/>
  <c r="H584" i="1"/>
  <c r="I584" i="1"/>
  <c r="S584" i="1"/>
  <c r="W584" i="1"/>
  <c r="X584" i="1"/>
  <c r="H642" i="2"/>
  <c r="H583" i="1"/>
  <c r="I583" i="1"/>
  <c r="O583" i="1"/>
  <c r="S583" i="1"/>
  <c r="W583" i="1"/>
  <c r="X583" i="1"/>
  <c r="C637" i="2"/>
  <c r="H640" i="2"/>
  <c r="H639" i="2"/>
  <c r="H638" i="2"/>
  <c r="H637" i="2"/>
  <c r="H284" i="2"/>
  <c r="H492" i="2"/>
  <c r="H491" i="2"/>
  <c r="H582" i="1"/>
  <c r="I582" i="1"/>
  <c r="S582" i="1"/>
  <c r="W582" i="1"/>
  <c r="X582" i="1"/>
  <c r="C636" i="2"/>
  <c r="H636" i="2"/>
  <c r="H635" i="2"/>
  <c r="H634" i="2"/>
  <c r="C609" i="2"/>
  <c r="H553" i="2"/>
  <c r="H509" i="2"/>
  <c r="C471" i="2"/>
  <c r="H632" i="2"/>
  <c r="H581" i="1"/>
  <c r="I581" i="1"/>
  <c r="S581" i="1"/>
  <c r="W581" i="1"/>
  <c r="X581" i="1"/>
  <c r="H631" i="2"/>
  <c r="H630" i="2"/>
  <c r="H629" i="2"/>
  <c r="H628" i="2"/>
  <c r="H580" i="1"/>
  <c r="I580" i="1"/>
  <c r="S580" i="1"/>
  <c r="W580" i="1"/>
  <c r="X580" i="1"/>
  <c r="H579" i="1"/>
  <c r="I579" i="1"/>
  <c r="S579" i="1"/>
  <c r="W579" i="1"/>
  <c r="X579" i="1"/>
  <c r="H627" i="2"/>
  <c r="H626" i="2"/>
  <c r="H625" i="2"/>
  <c r="H624" i="2"/>
  <c r="H623" i="2"/>
  <c r="H622" i="2"/>
  <c r="H621" i="2"/>
  <c r="H620" i="2"/>
  <c r="H619" i="2"/>
  <c r="H618" i="2"/>
  <c r="H578" i="1"/>
  <c r="I578" i="1"/>
  <c r="S578" i="1"/>
  <c r="W578" i="1"/>
  <c r="X578" i="1"/>
  <c r="H577" i="1"/>
  <c r="I577" i="1"/>
  <c r="S577" i="1"/>
  <c r="W577" i="1"/>
  <c r="X577" i="1"/>
  <c r="H576" i="1"/>
  <c r="I576" i="1"/>
  <c r="S576" i="1"/>
  <c r="W576" i="1"/>
  <c r="X576" i="1"/>
  <c r="H575" i="1"/>
  <c r="I575" i="1"/>
  <c r="O575" i="1"/>
  <c r="S575" i="1"/>
  <c r="U575" i="1"/>
  <c r="W575" i="1"/>
  <c r="X575" i="1"/>
  <c r="H574" i="1"/>
  <c r="I574" i="1"/>
  <c r="S574" i="1"/>
  <c r="W574" i="1"/>
  <c r="X574" i="1"/>
  <c r="H573" i="1"/>
  <c r="I573" i="1"/>
  <c r="S573" i="1"/>
  <c r="W573" i="1"/>
  <c r="X573" i="1"/>
  <c r="H572" i="1"/>
  <c r="I572" i="1"/>
  <c r="S572" i="1"/>
  <c r="W572" i="1"/>
  <c r="X572" i="1"/>
  <c r="H571" i="1"/>
  <c r="I571" i="1"/>
  <c r="O571" i="1"/>
  <c r="S571" i="1"/>
  <c r="W571" i="1"/>
  <c r="X571" i="1"/>
  <c r="H570" i="1"/>
  <c r="I570" i="1"/>
  <c r="O570" i="1"/>
  <c r="S570" i="1"/>
  <c r="U570" i="1"/>
  <c r="W570" i="1"/>
  <c r="X570" i="1"/>
  <c r="H569" i="1"/>
  <c r="I569" i="1"/>
  <c r="S569" i="1"/>
  <c r="W569" i="1"/>
  <c r="X569" i="1"/>
  <c r="H568" i="1"/>
  <c r="I568" i="1"/>
  <c r="O568" i="1"/>
  <c r="S568" i="1"/>
  <c r="W568" i="1"/>
  <c r="X568" i="1"/>
  <c r="H567" i="1"/>
  <c r="I567" i="1"/>
  <c r="S567" i="1"/>
  <c r="W567" i="1"/>
  <c r="X567" i="1"/>
  <c r="H566" i="1"/>
  <c r="I566" i="1"/>
  <c r="S566" i="1"/>
  <c r="W566" i="1"/>
  <c r="X566" i="1"/>
  <c r="H565" i="1"/>
  <c r="I565" i="1"/>
  <c r="S565" i="1"/>
  <c r="W565" i="1"/>
  <c r="X565" i="1"/>
  <c r="H297" i="1"/>
  <c r="I4" i="8"/>
  <c r="H564" i="1" l="1"/>
  <c r="I564" i="1"/>
  <c r="S564" i="1"/>
  <c r="W564" i="1"/>
  <c r="X564" i="1"/>
  <c r="H563" i="1"/>
  <c r="I563" i="1"/>
  <c r="S563" i="1"/>
  <c r="W563" i="1"/>
  <c r="X563" i="1"/>
  <c r="H562" i="1"/>
  <c r="I562" i="1"/>
  <c r="S562" i="1"/>
  <c r="W562" i="1"/>
  <c r="X562" i="1"/>
  <c r="H561" i="1"/>
  <c r="I561" i="1"/>
  <c r="S561" i="1"/>
  <c r="W561" i="1"/>
  <c r="X561" i="1"/>
  <c r="H560" i="1"/>
  <c r="I560" i="1"/>
  <c r="S560" i="1"/>
  <c r="W560" i="1"/>
  <c r="X560" i="1"/>
  <c r="H559" i="1"/>
  <c r="I559" i="1"/>
  <c r="S559" i="1"/>
  <c r="W559" i="1"/>
  <c r="X559" i="1"/>
  <c r="H558" i="1"/>
  <c r="I558" i="1"/>
  <c r="S558" i="1"/>
  <c r="W558" i="1"/>
  <c r="X558" i="1"/>
  <c r="H617" i="2"/>
  <c r="H616" i="2"/>
  <c r="H615" i="2"/>
  <c r="H614" i="2"/>
  <c r="H613" i="2"/>
  <c r="H612" i="2"/>
  <c r="H611" i="2"/>
  <c r="H610" i="2"/>
  <c r="H557" i="1"/>
  <c r="I557" i="1"/>
  <c r="S557" i="1"/>
  <c r="W557" i="1"/>
  <c r="X557" i="1"/>
  <c r="H519" i="2"/>
  <c r="H586" i="2"/>
  <c r="H552" i="2"/>
  <c r="H518" i="2"/>
  <c r="H517" i="2"/>
  <c r="H505" i="2"/>
  <c r="H423" i="2"/>
  <c r="H403" i="2"/>
  <c r="H465" i="2"/>
  <c r="H556" i="1"/>
  <c r="I556" i="1"/>
  <c r="S556" i="1"/>
  <c r="W556" i="1"/>
  <c r="X556" i="1"/>
  <c r="H555" i="1"/>
  <c r="I555" i="1"/>
  <c r="S555" i="1"/>
  <c r="W555" i="1"/>
  <c r="X555" i="1"/>
  <c r="H30" i="12"/>
  <c r="H609" i="2"/>
  <c r="H554" i="1"/>
  <c r="I554" i="1"/>
  <c r="S554" i="1"/>
  <c r="W554" i="1"/>
  <c r="X554" i="1"/>
  <c r="H29" i="12"/>
  <c r="I29" i="12" s="1"/>
  <c r="H553" i="1"/>
  <c r="I553" i="1"/>
  <c r="S553" i="1"/>
  <c r="W553" i="1"/>
  <c r="X553" i="1"/>
  <c r="H608" i="2"/>
  <c r="H607" i="2"/>
  <c r="H606" i="2"/>
  <c r="H605" i="2"/>
  <c r="H604" i="2"/>
  <c r="H603" i="2"/>
  <c r="H602" i="2"/>
  <c r="H601" i="2"/>
  <c r="H600" i="2"/>
  <c r="H599" i="2"/>
  <c r="H552" i="1"/>
  <c r="I552" i="1"/>
  <c r="S552" i="1"/>
  <c r="W552" i="1"/>
  <c r="X552" i="1"/>
  <c r="H551" i="1"/>
  <c r="I551" i="1"/>
  <c r="S551" i="1"/>
  <c r="W551" i="1"/>
  <c r="X551" i="1"/>
  <c r="H550" i="1"/>
  <c r="I550" i="1"/>
  <c r="S550" i="1"/>
  <c r="W550" i="1"/>
  <c r="X550" i="1"/>
  <c r="H549" i="1"/>
  <c r="I549" i="1"/>
  <c r="S549" i="1"/>
  <c r="W549" i="1"/>
  <c r="X549" i="1"/>
  <c r="H548" i="1"/>
  <c r="I548" i="1"/>
  <c r="S548" i="1"/>
  <c r="W548" i="1"/>
  <c r="X548" i="1"/>
  <c r="H547" i="1"/>
  <c r="I547" i="1"/>
  <c r="S547" i="1"/>
  <c r="W547" i="1"/>
  <c r="X547" i="1"/>
  <c r="H546" i="1"/>
  <c r="I546" i="1"/>
  <c r="S546" i="1"/>
  <c r="W546" i="1"/>
  <c r="X546" i="1"/>
  <c r="H545" i="1"/>
  <c r="I545" i="1"/>
  <c r="S545" i="1"/>
  <c r="W545" i="1"/>
  <c r="X545" i="1"/>
  <c r="H544" i="1"/>
  <c r="I544" i="1"/>
  <c r="S544" i="1"/>
  <c r="W544" i="1"/>
  <c r="X544" i="1"/>
  <c r="H543" i="1"/>
  <c r="I543" i="1"/>
  <c r="S543" i="1"/>
  <c r="W543" i="1"/>
  <c r="X543" i="1"/>
  <c r="H542" i="1"/>
  <c r="I542" i="1"/>
  <c r="S542" i="1"/>
  <c r="W542" i="1"/>
  <c r="X542" i="1"/>
  <c r="H541" i="1"/>
  <c r="I541" i="1"/>
  <c r="S541" i="1"/>
  <c r="W541" i="1"/>
  <c r="X541" i="1"/>
  <c r="H540" i="1"/>
  <c r="I540" i="1"/>
  <c r="S540" i="1"/>
  <c r="W540" i="1"/>
  <c r="X540" i="1"/>
  <c r="H539" i="1"/>
  <c r="I539" i="1"/>
  <c r="S539" i="1"/>
  <c r="W539" i="1"/>
  <c r="X539" i="1"/>
  <c r="H538" i="1"/>
  <c r="I538" i="1"/>
  <c r="S538" i="1"/>
  <c r="W538" i="1"/>
  <c r="X538" i="1"/>
  <c r="H598" i="2"/>
  <c r="H597" i="2"/>
  <c r="H596" i="2"/>
  <c r="H595" i="2"/>
  <c r="H594" i="2"/>
  <c r="H593" i="2"/>
  <c r="H592" i="2"/>
  <c r="H591" i="2"/>
  <c r="H590" i="2"/>
  <c r="H589" i="2"/>
  <c r="H588" i="2"/>
  <c r="H587" i="2"/>
  <c r="H585" i="2"/>
  <c r="H584" i="2"/>
  <c r="H583" i="2"/>
  <c r="H582" i="2"/>
  <c r="H581" i="2"/>
  <c r="H580" i="2"/>
  <c r="H579" i="2"/>
  <c r="H537" i="1"/>
  <c r="I537" i="1"/>
  <c r="O537" i="1"/>
  <c r="S537" i="1"/>
  <c r="W537" i="1"/>
  <c r="X537" i="1"/>
  <c r="H536" i="1"/>
  <c r="I536" i="1"/>
  <c r="S536" i="1"/>
  <c r="W536" i="1"/>
  <c r="X536" i="1"/>
  <c r="H535" i="1"/>
  <c r="I535" i="1"/>
  <c r="S535" i="1"/>
  <c r="W535" i="1"/>
  <c r="X535" i="1"/>
  <c r="H534" i="1"/>
  <c r="I534" i="1"/>
  <c r="S534" i="1"/>
  <c r="W534" i="1"/>
  <c r="X534" i="1"/>
  <c r="H533" i="1"/>
  <c r="I533" i="1"/>
  <c r="S533" i="1"/>
  <c r="W533" i="1"/>
  <c r="X533" i="1"/>
  <c r="H532" i="1"/>
  <c r="I532" i="1"/>
  <c r="S532" i="1"/>
  <c r="W532" i="1"/>
  <c r="X532" i="1"/>
  <c r="H531" i="1"/>
  <c r="I531" i="1"/>
  <c r="S531" i="1"/>
  <c r="W531" i="1"/>
  <c r="X531" i="1"/>
  <c r="H530" i="1"/>
  <c r="I530" i="1"/>
  <c r="S530" i="1"/>
  <c r="W530" i="1"/>
  <c r="X530" i="1"/>
  <c r="H529" i="1"/>
  <c r="I529" i="1"/>
  <c r="S529" i="1"/>
  <c r="W529" i="1"/>
  <c r="X529" i="1"/>
  <c r="H528" i="1"/>
  <c r="I528" i="1"/>
  <c r="S528" i="1"/>
  <c r="W528" i="1"/>
  <c r="X528" i="1"/>
  <c r="H527" i="1"/>
  <c r="I527" i="1"/>
  <c r="S527" i="1"/>
  <c r="W527" i="1"/>
  <c r="X527" i="1"/>
  <c r="H526" i="1"/>
  <c r="I526" i="1"/>
  <c r="S526" i="1"/>
  <c r="W526" i="1"/>
  <c r="X526" i="1"/>
  <c r="H525" i="1"/>
  <c r="I525" i="1"/>
  <c r="S525" i="1"/>
  <c r="W525" i="1"/>
  <c r="X525" i="1"/>
  <c r="H578" i="2"/>
  <c r="H577" i="2"/>
  <c r="H576" i="2"/>
  <c r="H575" i="2"/>
  <c r="H524" i="1"/>
  <c r="I524" i="1"/>
  <c r="S524" i="1"/>
  <c r="W524" i="1"/>
  <c r="X524" i="1"/>
  <c r="H523" i="1"/>
  <c r="I523" i="1"/>
  <c r="S523" i="1"/>
  <c r="W523" i="1"/>
  <c r="X523" i="1"/>
  <c r="H522" i="1"/>
  <c r="I522" i="1"/>
  <c r="S522" i="1"/>
  <c r="W522" i="1"/>
  <c r="X522" i="1"/>
  <c r="H521" i="1"/>
  <c r="I521" i="1"/>
  <c r="S521" i="1"/>
  <c r="W521" i="1"/>
  <c r="X521" i="1"/>
  <c r="H520" i="1"/>
  <c r="I520" i="1"/>
  <c r="S520" i="1"/>
  <c r="W520" i="1"/>
  <c r="X520" i="1"/>
  <c r="H519" i="1"/>
  <c r="I519" i="1"/>
  <c r="S519" i="1"/>
  <c r="W519" i="1"/>
  <c r="X519" i="1"/>
  <c r="H518" i="1"/>
  <c r="I518" i="1"/>
  <c r="S518" i="1"/>
  <c r="W518" i="1"/>
  <c r="X518" i="1"/>
  <c r="H517" i="1"/>
  <c r="I517" i="1"/>
  <c r="S517" i="1"/>
  <c r="W517" i="1"/>
  <c r="X517" i="1"/>
  <c r="H516" i="1"/>
  <c r="I516" i="1"/>
  <c r="S516" i="1"/>
  <c r="W516" i="1"/>
  <c r="X516" i="1"/>
  <c r="H515" i="1"/>
  <c r="I515" i="1"/>
  <c r="S515" i="1"/>
  <c r="W515" i="1"/>
  <c r="X515" i="1"/>
  <c r="H574" i="2"/>
  <c r="H573" i="2"/>
  <c r="H572" i="2"/>
  <c r="H571" i="2"/>
  <c r="H570" i="2"/>
  <c r="H569" i="2"/>
  <c r="H568" i="2"/>
  <c r="H567" i="2"/>
  <c r="H564" i="2"/>
  <c r="H566" i="2"/>
  <c r="H565" i="2"/>
  <c r="H563" i="2"/>
  <c r="H562" i="2"/>
  <c r="H561" i="2"/>
  <c r="H560" i="2"/>
  <c r="H559" i="2"/>
  <c r="H484" i="2"/>
  <c r="H485" i="2"/>
  <c r="H483" i="2"/>
  <c r="H482" i="2"/>
  <c r="H481" i="2"/>
  <c r="H480" i="2"/>
  <c r="H479" i="2"/>
  <c r="H478" i="2"/>
  <c r="H477" i="2"/>
  <c r="H476" i="2"/>
  <c r="H475" i="2"/>
  <c r="H514" i="1"/>
  <c r="I514" i="1"/>
  <c r="S514" i="1"/>
  <c r="W514" i="1"/>
  <c r="X514" i="1"/>
  <c r="H474" i="2"/>
  <c r="H473" i="2"/>
  <c r="H513" i="2"/>
  <c r="H512" i="2"/>
  <c r="H511" i="2"/>
  <c r="H510" i="2"/>
  <c r="H508" i="2"/>
  <c r="H507" i="2"/>
  <c r="H506" i="2"/>
  <c r="H504" i="2"/>
  <c r="H448" i="2"/>
  <c r="H446" i="2"/>
  <c r="H445" i="2"/>
  <c r="H444" i="2"/>
  <c r="H443" i="2"/>
  <c r="H442" i="2"/>
  <c r="H440" i="2"/>
  <c r="H441" i="2"/>
  <c r="H438" i="2"/>
  <c r="H439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2" i="2"/>
  <c r="H421" i="2"/>
  <c r="H420" i="2"/>
  <c r="H419" i="2"/>
  <c r="H417" i="2"/>
  <c r="H418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0" i="2"/>
  <c r="H402" i="2"/>
  <c r="H401" i="2"/>
  <c r="H558" i="2"/>
  <c r="H557" i="2"/>
  <c r="H556" i="2"/>
  <c r="H555" i="2"/>
  <c r="H554" i="2"/>
  <c r="H551" i="2"/>
  <c r="H550" i="2"/>
  <c r="H548" i="2"/>
  <c r="H547" i="2"/>
  <c r="H546" i="2"/>
  <c r="H545" i="2"/>
  <c r="H544" i="2"/>
  <c r="H543" i="2"/>
  <c r="H542" i="2"/>
  <c r="H541" i="2"/>
  <c r="H540" i="2"/>
  <c r="H539" i="2"/>
  <c r="H496" i="2"/>
  <c r="H500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0" i="2"/>
  <c r="H516" i="2"/>
  <c r="H515" i="2"/>
  <c r="H514" i="2"/>
  <c r="H503" i="2"/>
  <c r="H502" i="2"/>
  <c r="H501" i="2"/>
  <c r="H499" i="2"/>
  <c r="H498" i="2"/>
  <c r="H497" i="2"/>
  <c r="H495" i="2"/>
  <c r="H494" i="2"/>
  <c r="H466" i="2"/>
  <c r="H490" i="2"/>
  <c r="H489" i="2"/>
  <c r="H488" i="2"/>
  <c r="H487" i="2"/>
  <c r="H486" i="2"/>
  <c r="H472" i="2"/>
  <c r="H471" i="2"/>
  <c r="H470" i="2"/>
  <c r="H469" i="2"/>
  <c r="H468" i="2"/>
  <c r="H467" i="2"/>
  <c r="H461" i="2"/>
  <c r="H464" i="2"/>
  <c r="H463" i="2"/>
  <c r="H462" i="2"/>
  <c r="H452" i="2"/>
  <c r="H513" i="1"/>
  <c r="I513" i="1"/>
  <c r="O513" i="1"/>
  <c r="S513" i="1"/>
  <c r="W513" i="1"/>
  <c r="X513" i="1"/>
  <c r="H512" i="1"/>
  <c r="I512" i="1"/>
  <c r="S512" i="1"/>
  <c r="W512" i="1"/>
  <c r="X512" i="1"/>
  <c r="H511" i="1"/>
  <c r="I511" i="1"/>
  <c r="S511" i="1"/>
  <c r="W511" i="1"/>
  <c r="X511" i="1"/>
  <c r="H510" i="1"/>
  <c r="I510" i="1"/>
  <c r="S510" i="1"/>
  <c r="W510" i="1"/>
  <c r="X510" i="1"/>
  <c r="H509" i="1"/>
  <c r="I509" i="1"/>
  <c r="S509" i="1"/>
  <c r="W509" i="1"/>
  <c r="X509" i="1"/>
  <c r="H508" i="1"/>
  <c r="I508" i="1"/>
  <c r="S508" i="1"/>
  <c r="W508" i="1"/>
  <c r="X508" i="1"/>
  <c r="H507" i="1"/>
  <c r="I507" i="1"/>
  <c r="S507" i="1"/>
  <c r="W507" i="1"/>
  <c r="X507" i="1"/>
  <c r="H506" i="1"/>
  <c r="I506" i="1"/>
  <c r="S506" i="1"/>
  <c r="W506" i="1"/>
  <c r="X506" i="1"/>
  <c r="H505" i="1"/>
  <c r="I505" i="1"/>
  <c r="S505" i="1"/>
  <c r="W505" i="1"/>
  <c r="X505" i="1"/>
  <c r="H504" i="1"/>
  <c r="I504" i="1"/>
  <c r="S504" i="1"/>
  <c r="W504" i="1"/>
  <c r="X504" i="1"/>
  <c r="H503" i="1"/>
  <c r="I503" i="1"/>
  <c r="S503" i="1"/>
  <c r="W503" i="1"/>
  <c r="X503" i="1"/>
  <c r="H502" i="1"/>
  <c r="I502" i="1"/>
  <c r="S502" i="1"/>
  <c r="W502" i="1"/>
  <c r="X502" i="1"/>
  <c r="H501" i="1"/>
  <c r="I501" i="1"/>
  <c r="S501" i="1"/>
  <c r="W501" i="1"/>
  <c r="X501" i="1"/>
  <c r="H500" i="1"/>
  <c r="I500" i="1"/>
  <c r="S500" i="1"/>
  <c r="W500" i="1"/>
  <c r="X500" i="1"/>
  <c r="H499" i="1"/>
  <c r="I499" i="1"/>
  <c r="S499" i="1"/>
  <c r="W499" i="1"/>
  <c r="X499" i="1"/>
  <c r="H498" i="1"/>
  <c r="I498" i="1"/>
  <c r="S498" i="1"/>
  <c r="W498" i="1"/>
  <c r="X498" i="1"/>
  <c r="H497" i="1"/>
  <c r="I497" i="1"/>
  <c r="S497" i="1"/>
  <c r="W497" i="1"/>
  <c r="X497" i="1"/>
  <c r="H496" i="1"/>
  <c r="I496" i="1"/>
  <c r="S496" i="1"/>
  <c r="W496" i="1"/>
  <c r="X496" i="1"/>
  <c r="H495" i="1"/>
  <c r="I495" i="1"/>
  <c r="S495" i="1"/>
  <c r="W495" i="1"/>
  <c r="X495" i="1"/>
  <c r="H494" i="1"/>
  <c r="I494" i="1"/>
  <c r="S494" i="1"/>
  <c r="W494" i="1"/>
  <c r="X494" i="1"/>
  <c r="H493" i="1"/>
  <c r="I493" i="1"/>
  <c r="S493" i="1"/>
  <c r="W493" i="1"/>
  <c r="X493" i="1"/>
  <c r="H492" i="1"/>
  <c r="I492" i="1"/>
  <c r="S492" i="1"/>
  <c r="W492" i="1"/>
  <c r="X492" i="1"/>
  <c r="H491" i="1"/>
  <c r="I491" i="1"/>
  <c r="S491" i="1"/>
  <c r="W491" i="1"/>
  <c r="X491" i="1"/>
  <c r="H490" i="1"/>
  <c r="I490" i="1"/>
  <c r="S490" i="1"/>
  <c r="W490" i="1"/>
  <c r="X490" i="1"/>
  <c r="H489" i="1"/>
  <c r="I489" i="1"/>
  <c r="S489" i="1"/>
  <c r="W489" i="1"/>
  <c r="X489" i="1"/>
  <c r="H488" i="1"/>
  <c r="I488" i="1"/>
  <c r="S488" i="1"/>
  <c r="W488" i="1"/>
  <c r="X488" i="1"/>
  <c r="H487" i="1"/>
  <c r="I487" i="1"/>
  <c r="S487" i="1"/>
  <c r="W487" i="1"/>
  <c r="X487" i="1"/>
  <c r="H486" i="1"/>
  <c r="I486" i="1"/>
  <c r="S486" i="1"/>
  <c r="W486" i="1"/>
  <c r="X486" i="1"/>
  <c r="H485" i="1"/>
  <c r="I485" i="1"/>
  <c r="O485" i="1"/>
  <c r="S485" i="1"/>
  <c r="W485" i="1"/>
  <c r="X485" i="1"/>
  <c r="H484" i="1"/>
  <c r="I484" i="1"/>
  <c r="O484" i="1"/>
  <c r="S484" i="1"/>
  <c r="W484" i="1"/>
  <c r="X484" i="1"/>
  <c r="H483" i="1"/>
  <c r="I483" i="1"/>
  <c r="O483" i="1"/>
  <c r="S483" i="1"/>
  <c r="W483" i="1"/>
  <c r="X483" i="1"/>
  <c r="H482" i="1"/>
  <c r="I482" i="1"/>
  <c r="O482" i="1"/>
  <c r="S482" i="1"/>
  <c r="W482" i="1"/>
  <c r="X482" i="1"/>
  <c r="H481" i="1"/>
  <c r="I481" i="1"/>
  <c r="O481" i="1"/>
  <c r="S481" i="1"/>
  <c r="W481" i="1"/>
  <c r="X481" i="1"/>
  <c r="H480" i="1"/>
  <c r="I480" i="1"/>
  <c r="S480" i="1"/>
  <c r="W480" i="1"/>
  <c r="X480" i="1"/>
  <c r="H479" i="1"/>
  <c r="I479" i="1"/>
  <c r="S479" i="1"/>
  <c r="W479" i="1"/>
  <c r="X479" i="1"/>
  <c r="H478" i="1"/>
  <c r="I478" i="1"/>
  <c r="S478" i="1"/>
  <c r="W478" i="1"/>
  <c r="X478" i="1"/>
  <c r="H477" i="1"/>
  <c r="I477" i="1"/>
  <c r="O477" i="1"/>
  <c r="S477" i="1"/>
  <c r="W477" i="1"/>
  <c r="X477" i="1"/>
  <c r="H476" i="1"/>
  <c r="I476" i="1"/>
  <c r="S476" i="1"/>
  <c r="W476" i="1"/>
  <c r="X476" i="1"/>
  <c r="H475" i="1"/>
  <c r="I475" i="1"/>
  <c r="S475" i="1"/>
  <c r="W475" i="1"/>
  <c r="X475" i="1"/>
  <c r="H474" i="1"/>
  <c r="I474" i="1"/>
  <c r="S474" i="1"/>
  <c r="W474" i="1"/>
  <c r="X474" i="1"/>
  <c r="H473" i="1"/>
  <c r="I473" i="1"/>
  <c r="S473" i="1"/>
  <c r="W473" i="1"/>
  <c r="X473" i="1"/>
  <c r="H472" i="1"/>
  <c r="I472" i="1"/>
  <c r="S472" i="1"/>
  <c r="W472" i="1"/>
  <c r="X472" i="1"/>
  <c r="H471" i="1"/>
  <c r="I471" i="1"/>
  <c r="S471" i="1"/>
  <c r="W471" i="1"/>
  <c r="X471" i="1"/>
  <c r="H470" i="1"/>
  <c r="I470" i="1"/>
  <c r="S470" i="1"/>
  <c r="W470" i="1"/>
  <c r="X470" i="1"/>
  <c r="H469" i="1"/>
  <c r="I469" i="1"/>
  <c r="S469" i="1"/>
  <c r="W469" i="1"/>
  <c r="X469" i="1"/>
  <c r="H468" i="1"/>
  <c r="I468" i="1"/>
  <c r="S468" i="1"/>
  <c r="W468" i="1"/>
  <c r="X468" i="1"/>
  <c r="H467" i="1"/>
  <c r="I467" i="1"/>
  <c r="S467" i="1"/>
  <c r="W467" i="1"/>
  <c r="X467" i="1"/>
  <c r="H466" i="1"/>
  <c r="I466" i="1"/>
  <c r="S466" i="1"/>
  <c r="W466" i="1"/>
  <c r="X466" i="1"/>
  <c r="H465" i="1"/>
  <c r="I465" i="1"/>
  <c r="S465" i="1"/>
  <c r="W465" i="1"/>
  <c r="X465" i="1"/>
  <c r="H464" i="1"/>
  <c r="I464" i="1"/>
  <c r="S464" i="1"/>
  <c r="W464" i="1"/>
  <c r="X464" i="1"/>
  <c r="H463" i="1"/>
  <c r="I463" i="1"/>
  <c r="S463" i="1"/>
  <c r="W463" i="1"/>
  <c r="X463" i="1"/>
  <c r="H460" i="2"/>
  <c r="H459" i="2"/>
  <c r="H458" i="2"/>
  <c r="H456" i="2"/>
  <c r="H455" i="2"/>
  <c r="H454" i="2"/>
  <c r="H453" i="2"/>
  <c r="H493" i="2"/>
  <c r="H451" i="2"/>
  <c r="H450" i="2"/>
  <c r="H449" i="2"/>
  <c r="H462" i="1"/>
  <c r="I462" i="1"/>
  <c r="S462" i="1"/>
  <c r="W462" i="1"/>
  <c r="X462" i="1"/>
  <c r="H461" i="1"/>
  <c r="I461" i="1"/>
  <c r="S461" i="1"/>
  <c r="W461" i="1"/>
  <c r="X461" i="1"/>
  <c r="H460" i="1"/>
  <c r="I460" i="1"/>
  <c r="S460" i="1"/>
  <c r="W460" i="1"/>
  <c r="X460" i="1"/>
  <c r="H459" i="1"/>
  <c r="I459" i="1"/>
  <c r="S459" i="1"/>
  <c r="W459" i="1"/>
  <c r="X459" i="1"/>
  <c r="H458" i="1"/>
  <c r="I458" i="1"/>
  <c r="S458" i="1"/>
  <c r="W458" i="1"/>
  <c r="X458" i="1"/>
  <c r="H457" i="1"/>
  <c r="I457" i="1"/>
  <c r="S457" i="1"/>
  <c r="W457" i="1"/>
  <c r="X457" i="1"/>
  <c r="H456" i="1"/>
  <c r="I456" i="1"/>
  <c r="S456" i="1"/>
  <c r="W456" i="1"/>
  <c r="X456" i="1"/>
  <c r="H455" i="1"/>
  <c r="I455" i="1"/>
  <c r="S455" i="1"/>
  <c r="W455" i="1"/>
  <c r="X455" i="1"/>
  <c r="H454" i="1"/>
  <c r="I454" i="1"/>
  <c r="S454" i="1"/>
  <c r="W454" i="1"/>
  <c r="X454" i="1"/>
  <c r="H453" i="1"/>
  <c r="I453" i="1"/>
  <c r="S453" i="1"/>
  <c r="W453" i="1"/>
  <c r="X453" i="1"/>
  <c r="H452" i="1"/>
  <c r="I452" i="1"/>
  <c r="S452" i="1"/>
  <c r="W452" i="1"/>
  <c r="X452" i="1"/>
  <c r="H451" i="1"/>
  <c r="I451" i="1"/>
  <c r="S451" i="1"/>
  <c r="W451" i="1"/>
  <c r="X451" i="1"/>
  <c r="H450" i="1"/>
  <c r="I450" i="1"/>
  <c r="S450" i="1"/>
  <c r="W450" i="1"/>
  <c r="X450" i="1"/>
  <c r="H449" i="1"/>
  <c r="I449" i="1"/>
  <c r="S449" i="1"/>
  <c r="W449" i="1"/>
  <c r="X449" i="1"/>
  <c r="H448" i="1"/>
  <c r="I448" i="1"/>
  <c r="S448" i="1"/>
  <c r="W448" i="1"/>
  <c r="X448" i="1"/>
  <c r="H447" i="1"/>
  <c r="I447" i="1"/>
  <c r="S447" i="1"/>
  <c r="W447" i="1"/>
  <c r="X447" i="1"/>
  <c r="H446" i="1"/>
  <c r="I446" i="1"/>
  <c r="S446" i="1"/>
  <c r="W446" i="1"/>
  <c r="X446" i="1"/>
  <c r="H445" i="1"/>
  <c r="I445" i="1"/>
  <c r="S445" i="1"/>
  <c r="W445" i="1"/>
  <c r="X445" i="1"/>
  <c r="H444" i="1"/>
  <c r="I444" i="1"/>
  <c r="S444" i="1"/>
  <c r="W444" i="1"/>
  <c r="X444" i="1"/>
  <c r="H443" i="1"/>
  <c r="I443" i="1"/>
  <c r="S443" i="1"/>
  <c r="W443" i="1"/>
  <c r="X443" i="1"/>
  <c r="H442" i="1"/>
  <c r="I442" i="1"/>
  <c r="S442" i="1"/>
  <c r="W442" i="1"/>
  <c r="X442" i="1"/>
  <c r="H441" i="1"/>
  <c r="I441" i="1"/>
  <c r="S441" i="1"/>
  <c r="W441" i="1"/>
  <c r="X441" i="1"/>
  <c r="H440" i="1"/>
  <c r="I440" i="1"/>
  <c r="S440" i="1"/>
  <c r="W440" i="1"/>
  <c r="X440" i="1"/>
  <c r="H439" i="1"/>
  <c r="I439" i="1"/>
  <c r="S439" i="1"/>
  <c r="W439" i="1"/>
  <c r="X439" i="1"/>
  <c r="H438" i="1"/>
  <c r="I438" i="1"/>
  <c r="S438" i="1"/>
  <c r="W438" i="1"/>
  <c r="X438" i="1"/>
  <c r="H437" i="1"/>
  <c r="I437" i="1"/>
  <c r="S437" i="1"/>
  <c r="W437" i="1"/>
  <c r="X437" i="1"/>
  <c r="H436" i="1"/>
  <c r="H2" i="1"/>
  <c r="H3" i="1"/>
  <c r="H4" i="1"/>
  <c r="H5" i="1"/>
  <c r="F6" i="2" s="1"/>
  <c r="H6" i="1"/>
  <c r="H7" i="1"/>
  <c r="F9" i="2" s="1"/>
  <c r="H8" i="1"/>
  <c r="H9" i="1"/>
  <c r="H10" i="1"/>
  <c r="H11" i="1"/>
  <c r="H12" i="1"/>
  <c r="H13" i="1"/>
  <c r="F16" i="2" s="1"/>
  <c r="H14" i="1"/>
  <c r="F18" i="2" s="1"/>
  <c r="H15" i="1"/>
  <c r="H16" i="1"/>
  <c r="H17" i="1"/>
  <c r="H18" i="1"/>
  <c r="F31" i="2" s="1"/>
  <c r="H19" i="1"/>
  <c r="F22" i="2" s="1"/>
  <c r="H20" i="1"/>
  <c r="H21" i="1"/>
  <c r="F25" i="2" s="1"/>
  <c r="H22" i="1"/>
  <c r="H23" i="1"/>
  <c r="F32" i="2" s="1"/>
  <c r="H24" i="1"/>
  <c r="F39" i="2" s="1"/>
  <c r="H25" i="1"/>
  <c r="H26" i="1"/>
  <c r="F57" i="2" s="1"/>
  <c r="H27" i="1"/>
  <c r="F5" i="2" s="1"/>
  <c r="H28" i="1"/>
  <c r="F34" i="2" s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I436" i="1"/>
  <c r="S436" i="1"/>
  <c r="W436" i="1"/>
  <c r="X436" i="1"/>
  <c r="I435" i="1"/>
  <c r="S435" i="1"/>
  <c r="W435" i="1"/>
  <c r="X435" i="1"/>
  <c r="I434" i="1"/>
  <c r="S434" i="1"/>
  <c r="W434" i="1"/>
  <c r="X434" i="1"/>
  <c r="I433" i="1"/>
  <c r="S433" i="1"/>
  <c r="W433" i="1"/>
  <c r="X433" i="1"/>
  <c r="I432" i="1"/>
  <c r="S432" i="1"/>
  <c r="W432" i="1"/>
  <c r="X432" i="1"/>
  <c r="I431" i="1"/>
  <c r="S431" i="1"/>
  <c r="W431" i="1"/>
  <c r="X431" i="1"/>
  <c r="I430" i="1"/>
  <c r="S430" i="1"/>
  <c r="W430" i="1"/>
  <c r="X430" i="1"/>
  <c r="I429" i="1"/>
  <c r="S429" i="1"/>
  <c r="W429" i="1"/>
  <c r="X429" i="1"/>
  <c r="I428" i="1"/>
  <c r="S428" i="1"/>
  <c r="W428" i="1"/>
  <c r="X428" i="1"/>
  <c r="I427" i="1"/>
  <c r="S427" i="1"/>
  <c r="W427" i="1"/>
  <c r="X427" i="1"/>
  <c r="I426" i="1"/>
  <c r="S426" i="1"/>
  <c r="W426" i="1"/>
  <c r="X426" i="1"/>
  <c r="I425" i="1"/>
  <c r="S425" i="1"/>
  <c r="W425" i="1"/>
  <c r="X425" i="1"/>
  <c r="I424" i="1"/>
  <c r="S424" i="1"/>
  <c r="W424" i="1"/>
  <c r="X424" i="1"/>
  <c r="I423" i="1"/>
  <c r="S423" i="1"/>
  <c r="W423" i="1"/>
  <c r="X423" i="1"/>
  <c r="I422" i="1"/>
  <c r="S422" i="1"/>
  <c r="W422" i="1"/>
  <c r="X422" i="1"/>
  <c r="I421" i="1"/>
  <c r="S421" i="1"/>
  <c r="W421" i="1"/>
  <c r="X421" i="1"/>
  <c r="I420" i="1"/>
  <c r="S420" i="1"/>
  <c r="W420" i="1"/>
  <c r="X420" i="1"/>
  <c r="I419" i="1"/>
  <c r="S419" i="1"/>
  <c r="W419" i="1"/>
  <c r="X419" i="1"/>
  <c r="I418" i="1"/>
  <c r="S418" i="1"/>
  <c r="W418" i="1"/>
  <c r="X418" i="1"/>
  <c r="I417" i="1"/>
  <c r="S417" i="1"/>
  <c r="W417" i="1"/>
  <c r="X417" i="1"/>
  <c r="I416" i="1"/>
  <c r="S416" i="1"/>
  <c r="W416" i="1"/>
  <c r="X416" i="1"/>
  <c r="I415" i="1"/>
  <c r="S415" i="1"/>
  <c r="W415" i="1"/>
  <c r="X415" i="1"/>
  <c r="I414" i="1"/>
  <c r="S414" i="1"/>
  <c r="W414" i="1"/>
  <c r="X414" i="1"/>
  <c r="I413" i="1"/>
  <c r="S413" i="1"/>
  <c r="W413" i="1"/>
  <c r="X413" i="1"/>
  <c r="I412" i="1"/>
  <c r="S412" i="1"/>
  <c r="W412" i="1"/>
  <c r="X412" i="1"/>
  <c r="I411" i="1"/>
  <c r="S411" i="1"/>
  <c r="W411" i="1"/>
  <c r="X411" i="1"/>
  <c r="I410" i="1"/>
  <c r="S410" i="1"/>
  <c r="W410" i="1"/>
  <c r="X410" i="1"/>
  <c r="I409" i="1"/>
  <c r="S409" i="1"/>
  <c r="W409" i="1"/>
  <c r="X409" i="1"/>
  <c r="I408" i="1"/>
  <c r="S408" i="1"/>
  <c r="W408" i="1"/>
  <c r="X408" i="1"/>
  <c r="I407" i="1"/>
  <c r="S407" i="1"/>
  <c r="W407" i="1"/>
  <c r="X407" i="1"/>
  <c r="I406" i="1"/>
  <c r="S406" i="1"/>
  <c r="W406" i="1"/>
  <c r="X406" i="1"/>
  <c r="I405" i="1"/>
  <c r="S405" i="1"/>
  <c r="W405" i="1"/>
  <c r="X405" i="1"/>
  <c r="I404" i="1"/>
  <c r="S404" i="1"/>
  <c r="W404" i="1"/>
  <c r="X404" i="1"/>
  <c r="I403" i="1"/>
  <c r="S403" i="1"/>
  <c r="W403" i="1"/>
  <c r="X403" i="1"/>
  <c r="I402" i="1"/>
  <c r="S402" i="1"/>
  <c r="W402" i="1"/>
  <c r="X402" i="1"/>
  <c r="I401" i="1"/>
  <c r="S401" i="1"/>
  <c r="W401" i="1"/>
  <c r="X401" i="1"/>
  <c r="I400" i="1"/>
  <c r="S400" i="1"/>
  <c r="W400" i="1"/>
  <c r="X400" i="1"/>
  <c r="I399" i="1"/>
  <c r="S399" i="1"/>
  <c r="W399" i="1"/>
  <c r="X399" i="1"/>
  <c r="I398" i="1"/>
  <c r="S398" i="1"/>
  <c r="W398" i="1"/>
  <c r="X398" i="1"/>
  <c r="I397" i="1"/>
  <c r="S397" i="1"/>
  <c r="W397" i="1"/>
  <c r="X397" i="1"/>
  <c r="I396" i="1"/>
  <c r="S396" i="1"/>
  <c r="W396" i="1"/>
  <c r="X396" i="1"/>
  <c r="I395" i="1"/>
  <c r="S395" i="1"/>
  <c r="W395" i="1"/>
  <c r="X395" i="1"/>
  <c r="I394" i="1"/>
  <c r="S394" i="1"/>
  <c r="W394" i="1"/>
  <c r="X394" i="1"/>
  <c r="I393" i="1"/>
  <c r="S393" i="1"/>
  <c r="W393" i="1"/>
  <c r="X393" i="1"/>
  <c r="I392" i="1"/>
  <c r="S392" i="1"/>
  <c r="W392" i="1"/>
  <c r="X392" i="1"/>
  <c r="I391" i="1"/>
  <c r="S391" i="1"/>
  <c r="W391" i="1"/>
  <c r="X391" i="1"/>
  <c r="I390" i="1"/>
  <c r="S390" i="1"/>
  <c r="W390" i="1"/>
  <c r="X390" i="1"/>
  <c r="I389" i="1"/>
  <c r="S389" i="1"/>
  <c r="W389" i="1"/>
  <c r="X389" i="1"/>
  <c r="I388" i="1"/>
  <c r="S388" i="1"/>
  <c r="W388" i="1"/>
  <c r="X388" i="1"/>
  <c r="I387" i="1"/>
  <c r="S387" i="1"/>
  <c r="W387" i="1"/>
  <c r="X387" i="1"/>
  <c r="I386" i="1"/>
  <c r="S386" i="1"/>
  <c r="W386" i="1"/>
  <c r="X386" i="1"/>
  <c r="I385" i="1"/>
  <c r="S385" i="1"/>
  <c r="W385" i="1"/>
  <c r="X385" i="1"/>
  <c r="I384" i="1"/>
  <c r="S384" i="1"/>
  <c r="W384" i="1"/>
  <c r="X384" i="1"/>
  <c r="I383" i="1"/>
  <c r="S383" i="1"/>
  <c r="W383" i="1"/>
  <c r="X383" i="1"/>
  <c r="I382" i="1"/>
  <c r="S382" i="1"/>
  <c r="W382" i="1"/>
  <c r="X382" i="1"/>
  <c r="I381" i="1"/>
  <c r="S381" i="1"/>
  <c r="W381" i="1"/>
  <c r="X381" i="1"/>
  <c r="I380" i="1"/>
  <c r="S380" i="1"/>
  <c r="W380" i="1"/>
  <c r="X380" i="1"/>
  <c r="I379" i="1"/>
  <c r="S379" i="1"/>
  <c r="W379" i="1"/>
  <c r="X379" i="1"/>
  <c r="I378" i="1"/>
  <c r="S378" i="1"/>
  <c r="W378" i="1"/>
  <c r="X378" i="1"/>
  <c r="I377" i="1"/>
  <c r="S377" i="1"/>
  <c r="W377" i="1"/>
  <c r="X377" i="1"/>
  <c r="I376" i="1"/>
  <c r="S376" i="1"/>
  <c r="W376" i="1"/>
  <c r="X376" i="1"/>
  <c r="I375" i="1"/>
  <c r="S375" i="1"/>
  <c r="W375" i="1"/>
  <c r="X375" i="1"/>
  <c r="I374" i="1"/>
  <c r="S374" i="1"/>
  <c r="W374" i="1"/>
  <c r="X374" i="1"/>
  <c r="I373" i="1"/>
  <c r="S373" i="1"/>
  <c r="W373" i="1"/>
  <c r="X373" i="1"/>
  <c r="I372" i="1"/>
  <c r="S372" i="1"/>
  <c r="W372" i="1"/>
  <c r="X372" i="1"/>
  <c r="I371" i="1"/>
  <c r="S371" i="1"/>
  <c r="W371" i="1"/>
  <c r="X371" i="1"/>
  <c r="I370" i="1"/>
  <c r="S370" i="1"/>
  <c r="W370" i="1"/>
  <c r="X370" i="1"/>
  <c r="I369" i="1"/>
  <c r="S369" i="1"/>
  <c r="W369" i="1"/>
  <c r="X369" i="1"/>
  <c r="I368" i="1"/>
  <c r="S368" i="1"/>
  <c r="W368" i="1"/>
  <c r="X368" i="1"/>
  <c r="I367" i="1"/>
  <c r="S367" i="1"/>
  <c r="W367" i="1"/>
  <c r="X367" i="1"/>
  <c r="I366" i="1"/>
  <c r="S366" i="1"/>
  <c r="W366" i="1"/>
  <c r="X366" i="1"/>
  <c r="I365" i="1"/>
  <c r="S365" i="1"/>
  <c r="W365" i="1"/>
  <c r="X365" i="1"/>
  <c r="I364" i="1"/>
  <c r="S364" i="1"/>
  <c r="W364" i="1"/>
  <c r="X364" i="1"/>
  <c r="I363" i="1"/>
  <c r="O363" i="1"/>
  <c r="S363" i="1"/>
  <c r="W363" i="1"/>
  <c r="X363" i="1"/>
  <c r="I362" i="1"/>
  <c r="O362" i="1"/>
  <c r="S362" i="1"/>
  <c r="W362" i="1"/>
  <c r="X362" i="1"/>
  <c r="C389" i="2"/>
  <c r="H355" i="2"/>
  <c r="I361" i="1"/>
  <c r="S361" i="1"/>
  <c r="W361" i="1"/>
  <c r="X361" i="1"/>
  <c r="I360" i="1"/>
  <c r="S360" i="1"/>
  <c r="W360" i="1"/>
  <c r="X360" i="1"/>
  <c r="I359" i="1"/>
  <c r="S359" i="1"/>
  <c r="W359" i="1"/>
  <c r="X359" i="1"/>
  <c r="I358" i="1"/>
  <c r="S358" i="1"/>
  <c r="W358" i="1"/>
  <c r="X358" i="1"/>
  <c r="I357" i="1"/>
  <c r="S357" i="1"/>
  <c r="W357" i="1"/>
  <c r="X357" i="1"/>
  <c r="I356" i="1"/>
  <c r="S356" i="1"/>
  <c r="W356" i="1"/>
  <c r="X356" i="1"/>
  <c r="I355" i="1"/>
  <c r="S355" i="1"/>
  <c r="W355" i="1"/>
  <c r="X355" i="1"/>
  <c r="I354" i="1"/>
  <c r="S354" i="1"/>
  <c r="W354" i="1"/>
  <c r="X354" i="1"/>
  <c r="H145" i="2"/>
  <c r="C312" i="2"/>
  <c r="C311" i="2"/>
  <c r="H311" i="2"/>
  <c r="H312" i="2"/>
  <c r="H316" i="2"/>
  <c r="U3" i="1"/>
  <c r="U4" i="1"/>
  <c r="U13" i="1"/>
  <c r="U19" i="1"/>
  <c r="U29" i="1"/>
  <c r="U63" i="1"/>
  <c r="U69" i="1"/>
  <c r="U86" i="1"/>
  <c r="U103" i="1"/>
  <c r="U106" i="1"/>
  <c r="U107" i="1"/>
  <c r="U108" i="1"/>
  <c r="U115" i="1"/>
  <c r="U116" i="1"/>
  <c r="U163" i="1"/>
  <c r="U170" i="1"/>
  <c r="U187" i="1"/>
  <c r="U188" i="1"/>
  <c r="U189" i="1"/>
  <c r="U190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6" i="1"/>
  <c r="U211" i="1"/>
  <c r="U212" i="1"/>
  <c r="U214" i="1"/>
  <c r="U215" i="1"/>
  <c r="U225" i="1"/>
  <c r="U226" i="1"/>
  <c r="U253" i="1"/>
  <c r="U268" i="1"/>
  <c r="U269" i="1"/>
  <c r="U270" i="1"/>
  <c r="U271" i="1"/>
  <c r="U272" i="1"/>
  <c r="U274" i="1"/>
  <c r="U288" i="1"/>
  <c r="U289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5" i="1"/>
  <c r="S136" i="1"/>
  <c r="S137" i="1"/>
  <c r="S138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8" i="1"/>
  <c r="S229" i="1"/>
  <c r="S230" i="1"/>
  <c r="S231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7" i="1"/>
  <c r="S269" i="1"/>
  <c r="S270" i="1"/>
  <c r="S271" i="1"/>
  <c r="S272" i="1"/>
  <c r="S273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H349" i="2"/>
  <c r="H389" i="2"/>
  <c r="H390" i="2"/>
  <c r="H391" i="2"/>
  <c r="H392" i="2"/>
  <c r="H393" i="2"/>
  <c r="C359" i="2"/>
  <c r="C358" i="2"/>
  <c r="H359" i="2"/>
  <c r="H309" i="2"/>
  <c r="F20" i="2" l="1"/>
  <c r="F82" i="2"/>
  <c r="F28" i="2"/>
  <c r="F36" i="2"/>
  <c r="F4" i="2"/>
  <c r="F26" i="2"/>
  <c r="F23" i="2"/>
  <c r="F24" i="2"/>
  <c r="F21" i="2"/>
  <c r="F38" i="2"/>
  <c r="F15" i="2"/>
  <c r="F19" i="2"/>
  <c r="F17" i="2"/>
  <c r="F29" i="2"/>
  <c r="F13" i="2"/>
  <c r="F14" i="2"/>
  <c r="F12" i="2"/>
  <c r="F27" i="2"/>
  <c r="F11" i="2"/>
  <c r="F33" i="2"/>
  <c r="F117" i="2"/>
  <c r="F8" i="2"/>
  <c r="F35" i="2"/>
  <c r="F7" i="2"/>
  <c r="F10" i="2"/>
  <c r="H388" i="2"/>
  <c r="H380" i="2"/>
  <c r="H381" i="2"/>
  <c r="H382" i="2"/>
  <c r="H383" i="2"/>
  <c r="H384" i="2"/>
  <c r="H385" i="2"/>
  <c r="H386" i="2"/>
  <c r="H387" i="2"/>
  <c r="O3" i="1"/>
  <c r="O4" i="1"/>
  <c r="O13" i="1"/>
  <c r="O16" i="1"/>
  <c r="O19" i="1"/>
  <c r="O22" i="1"/>
  <c r="O29" i="1"/>
  <c r="O63" i="1"/>
  <c r="O69" i="1"/>
  <c r="O70" i="1"/>
  <c r="O75" i="1"/>
  <c r="O86" i="1"/>
  <c r="O103" i="1"/>
  <c r="O106" i="1"/>
  <c r="O107" i="1"/>
  <c r="O108" i="1"/>
  <c r="O115" i="1"/>
  <c r="O116" i="1"/>
  <c r="O148" i="1"/>
  <c r="O161" i="1"/>
  <c r="O163" i="1"/>
  <c r="O170" i="1"/>
  <c r="O187" i="1"/>
  <c r="O188" i="1"/>
  <c r="O189" i="1"/>
  <c r="O190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6" i="1"/>
  <c r="O211" i="1"/>
  <c r="O212" i="1"/>
  <c r="O214" i="1"/>
  <c r="O215" i="1"/>
  <c r="O225" i="1"/>
  <c r="O226" i="1"/>
  <c r="O253" i="1"/>
  <c r="O268" i="1"/>
  <c r="O269" i="1"/>
  <c r="O270" i="1"/>
  <c r="O271" i="1"/>
  <c r="O272" i="1"/>
  <c r="O273" i="1"/>
  <c r="O274" i="1"/>
  <c r="O288" i="1"/>
  <c r="O289" i="1"/>
  <c r="O301" i="1"/>
  <c r="C346" i="2"/>
  <c r="C347" i="2"/>
  <c r="H347" i="2"/>
  <c r="C366" i="2"/>
  <c r="C367" i="2"/>
  <c r="H367" i="2"/>
  <c r="H399" i="2"/>
  <c r="H397" i="2"/>
  <c r="H398" i="2"/>
  <c r="H396" i="2"/>
  <c r="H395" i="2"/>
  <c r="H394" i="2"/>
  <c r="H379" i="2"/>
  <c r="H378" i="2"/>
  <c r="H377" i="2"/>
  <c r="H376" i="2"/>
  <c r="H375" i="2"/>
  <c r="H374" i="2"/>
  <c r="H372" i="2"/>
  <c r="H373" i="2"/>
  <c r="H371" i="2"/>
  <c r="H369" i="2"/>
  <c r="H370" i="2"/>
  <c r="H368" i="2"/>
  <c r="H366" i="2"/>
  <c r="H364" i="2"/>
  <c r="H365" i="2"/>
  <c r="H363" i="2"/>
  <c r="H362" i="2"/>
  <c r="H361" i="2"/>
  <c r="H360" i="2"/>
  <c r="H358" i="2"/>
  <c r="H356" i="2"/>
  <c r="H357" i="2"/>
  <c r="H354" i="2"/>
  <c r="H353" i="2"/>
  <c r="H352" i="2"/>
  <c r="H351" i="2"/>
  <c r="H350" i="2"/>
  <c r="H348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I353" i="1"/>
  <c r="W353" i="1"/>
  <c r="X353" i="1"/>
  <c r="I352" i="1"/>
  <c r="W352" i="1"/>
  <c r="X352" i="1"/>
  <c r="I351" i="1"/>
  <c r="W351" i="1"/>
  <c r="X351" i="1"/>
  <c r="I350" i="1"/>
  <c r="W350" i="1"/>
  <c r="X350" i="1"/>
  <c r="I349" i="1"/>
  <c r="W349" i="1"/>
  <c r="X349" i="1"/>
  <c r="I348" i="1"/>
  <c r="W348" i="1"/>
  <c r="X348" i="1"/>
  <c r="I347" i="1"/>
  <c r="W347" i="1"/>
  <c r="X347" i="1"/>
  <c r="I346" i="1"/>
  <c r="W346" i="1"/>
  <c r="X346" i="1"/>
  <c r="I345" i="1"/>
  <c r="W345" i="1"/>
  <c r="X345" i="1"/>
  <c r="I344" i="1"/>
  <c r="W344" i="1"/>
  <c r="X344" i="1"/>
  <c r="I343" i="1"/>
  <c r="W343" i="1"/>
  <c r="X343" i="1"/>
  <c r="I342" i="1"/>
  <c r="W342" i="1"/>
  <c r="X342" i="1"/>
  <c r="I341" i="1"/>
  <c r="W341" i="1"/>
  <c r="X341" i="1"/>
  <c r="I340" i="1"/>
  <c r="W340" i="1"/>
  <c r="X340" i="1"/>
  <c r="I339" i="1"/>
  <c r="W339" i="1"/>
  <c r="X339" i="1"/>
  <c r="I338" i="1"/>
  <c r="W338" i="1"/>
  <c r="X338" i="1"/>
  <c r="I337" i="1"/>
  <c r="W337" i="1"/>
  <c r="X337" i="1"/>
  <c r="I336" i="1"/>
  <c r="W336" i="1"/>
  <c r="X336" i="1"/>
  <c r="I335" i="1"/>
  <c r="W335" i="1"/>
  <c r="X335" i="1"/>
  <c r="I334" i="1"/>
  <c r="W334" i="1"/>
  <c r="X334" i="1"/>
  <c r="I333" i="1"/>
  <c r="W333" i="1"/>
  <c r="X333" i="1"/>
  <c r="I332" i="1"/>
  <c r="W332" i="1"/>
  <c r="X332" i="1"/>
  <c r="I331" i="1"/>
  <c r="W331" i="1"/>
  <c r="X331" i="1"/>
  <c r="I330" i="1"/>
  <c r="W330" i="1"/>
  <c r="X330" i="1"/>
  <c r="I329" i="1"/>
  <c r="W329" i="1"/>
  <c r="X329" i="1"/>
  <c r="I328" i="1"/>
  <c r="W328" i="1"/>
  <c r="X328" i="1"/>
  <c r="I327" i="1"/>
  <c r="W327" i="1"/>
  <c r="X327" i="1"/>
  <c r="I326" i="1"/>
  <c r="W326" i="1"/>
  <c r="X326" i="1"/>
  <c r="I325" i="1"/>
  <c r="W325" i="1"/>
  <c r="X325" i="1"/>
  <c r="I324" i="1"/>
  <c r="W324" i="1"/>
  <c r="X324" i="1"/>
  <c r="I323" i="1"/>
  <c r="W323" i="1"/>
  <c r="X323" i="1"/>
  <c r="I322" i="1"/>
  <c r="W322" i="1"/>
  <c r="X322" i="1"/>
  <c r="I321" i="1"/>
  <c r="W321" i="1"/>
  <c r="X321" i="1"/>
  <c r="I320" i="1"/>
  <c r="W320" i="1"/>
  <c r="X320" i="1"/>
  <c r="I319" i="1"/>
  <c r="W319" i="1"/>
  <c r="X319" i="1"/>
  <c r="I318" i="1"/>
  <c r="W318" i="1"/>
  <c r="X318" i="1"/>
  <c r="I317" i="1"/>
  <c r="W317" i="1"/>
  <c r="X317" i="1"/>
  <c r="I316" i="1"/>
  <c r="W316" i="1"/>
  <c r="X316" i="1"/>
  <c r="I315" i="1"/>
  <c r="W315" i="1"/>
  <c r="X315" i="1"/>
  <c r="I314" i="1"/>
  <c r="W314" i="1"/>
  <c r="X314" i="1"/>
  <c r="I313" i="1"/>
  <c r="W313" i="1"/>
  <c r="X313" i="1"/>
  <c r="I312" i="1"/>
  <c r="W312" i="1"/>
  <c r="X312" i="1"/>
  <c r="I311" i="1"/>
  <c r="W311" i="1"/>
  <c r="X311" i="1"/>
  <c r="I310" i="1"/>
  <c r="W310" i="1"/>
  <c r="X310" i="1"/>
  <c r="I309" i="1"/>
  <c r="W309" i="1"/>
  <c r="X309" i="1"/>
  <c r="I308" i="1"/>
  <c r="W308" i="1"/>
  <c r="X308" i="1"/>
  <c r="I307" i="1"/>
  <c r="W307" i="1"/>
  <c r="X307" i="1"/>
  <c r="I306" i="1"/>
  <c r="W306" i="1"/>
  <c r="X306" i="1"/>
  <c r="I305" i="1"/>
  <c r="W305" i="1"/>
  <c r="X305" i="1"/>
  <c r="I304" i="1"/>
  <c r="W304" i="1"/>
  <c r="X304" i="1"/>
  <c r="I303" i="1"/>
  <c r="W303" i="1"/>
  <c r="X303" i="1"/>
  <c r="I302" i="1"/>
  <c r="W302" i="1"/>
  <c r="X302" i="1"/>
  <c r="C326" i="2"/>
  <c r="C309" i="2" s="1"/>
  <c r="H325" i="2"/>
  <c r="X301" i="1"/>
  <c r="W301" i="1"/>
  <c r="I301" i="1"/>
  <c r="H332" i="2"/>
  <c r="H331" i="2"/>
  <c r="H330" i="2"/>
  <c r="H329" i="2"/>
  <c r="H328" i="2"/>
  <c r="H327" i="2"/>
  <c r="H326" i="2"/>
  <c r="H324" i="2"/>
  <c r="H323" i="2"/>
  <c r="I300" i="1"/>
  <c r="W300" i="1"/>
  <c r="X300" i="1"/>
  <c r="I299" i="1"/>
  <c r="W299" i="1"/>
  <c r="X299" i="1"/>
  <c r="I298" i="1"/>
  <c r="W298" i="1"/>
  <c r="X298" i="1"/>
  <c r="I297" i="1"/>
  <c r="W297" i="1"/>
  <c r="X297" i="1"/>
  <c r="I296" i="1"/>
  <c r="W296" i="1"/>
  <c r="X296" i="1"/>
  <c r="I295" i="1"/>
  <c r="W295" i="1"/>
  <c r="X295" i="1"/>
  <c r="H31" i="12"/>
  <c r="H32" i="12"/>
  <c r="H33" i="12"/>
  <c r="H34" i="12"/>
  <c r="I294" i="1"/>
  <c r="W294" i="1"/>
  <c r="X294" i="1"/>
  <c r="I293" i="1"/>
  <c r="W293" i="1"/>
  <c r="X293" i="1"/>
  <c r="I292" i="1"/>
  <c r="W292" i="1"/>
  <c r="X292" i="1"/>
  <c r="I291" i="1"/>
  <c r="W291" i="1"/>
  <c r="X291" i="1"/>
  <c r="I290" i="1"/>
  <c r="W290" i="1"/>
  <c r="X290" i="1"/>
  <c r="X289" i="1"/>
  <c r="W289" i="1"/>
  <c r="I289" i="1"/>
  <c r="H322" i="2"/>
  <c r="H321" i="2"/>
  <c r="H319" i="2"/>
  <c r="H320" i="2"/>
  <c r="H318" i="2"/>
  <c r="H317" i="2"/>
  <c r="H314" i="2"/>
  <c r="H315" i="2"/>
  <c r="H313" i="2"/>
  <c r="I288" i="1"/>
  <c r="W288" i="1"/>
  <c r="X288" i="1"/>
  <c r="I287" i="1"/>
  <c r="W287" i="1"/>
  <c r="X287" i="1"/>
  <c r="I286" i="1"/>
  <c r="W286" i="1"/>
  <c r="X286" i="1"/>
  <c r="I285" i="1"/>
  <c r="W285" i="1"/>
  <c r="X285" i="1"/>
  <c r="I284" i="1"/>
  <c r="W284" i="1"/>
  <c r="X284" i="1"/>
  <c r="I283" i="1"/>
  <c r="W283" i="1"/>
  <c r="X283" i="1"/>
  <c r="I282" i="1"/>
  <c r="W282" i="1"/>
  <c r="X282" i="1"/>
  <c r="I281" i="1"/>
  <c r="W281" i="1"/>
  <c r="X281" i="1"/>
  <c r="I280" i="1"/>
  <c r="W280" i="1"/>
  <c r="X280" i="1"/>
  <c r="I279" i="1"/>
  <c r="W279" i="1"/>
  <c r="X279" i="1"/>
  <c r="I278" i="1"/>
  <c r="W278" i="1"/>
  <c r="X278" i="1"/>
  <c r="I277" i="1"/>
  <c r="W277" i="1"/>
  <c r="X277" i="1"/>
  <c r="I276" i="1"/>
  <c r="W276" i="1"/>
  <c r="X276" i="1"/>
  <c r="I275" i="1"/>
  <c r="W275" i="1"/>
  <c r="X275" i="1"/>
  <c r="C290" i="2"/>
  <c r="C289" i="2" s="1"/>
  <c r="H290" i="2"/>
  <c r="O13" i="15"/>
  <c r="K13" i="15"/>
  <c r="P6" i="15"/>
  <c r="H310" i="2"/>
  <c r="H308" i="2"/>
  <c r="I274" i="1"/>
  <c r="W274" i="1"/>
  <c r="X274" i="1"/>
  <c r="I273" i="1"/>
  <c r="W273" i="1"/>
  <c r="X273" i="1"/>
  <c r="I272" i="1"/>
  <c r="W272" i="1"/>
  <c r="X272" i="1"/>
  <c r="I271" i="1"/>
  <c r="W271" i="1"/>
  <c r="X271" i="1"/>
  <c r="C305" i="2"/>
  <c r="H307" i="2"/>
  <c r="H306" i="2"/>
  <c r="H305" i="2"/>
  <c r="H304" i="2"/>
  <c r="H303" i="2"/>
  <c r="H302" i="2"/>
  <c r="H269" i="2"/>
  <c r="O15" i="15" l="1"/>
  <c r="I270" i="1"/>
  <c r="W270" i="1"/>
  <c r="X270" i="1"/>
  <c r="I269" i="1"/>
  <c r="W269" i="1"/>
  <c r="X269" i="1"/>
  <c r="I268" i="1"/>
  <c r="W268" i="1"/>
  <c r="X268" i="1"/>
  <c r="I267" i="1"/>
  <c r="W267" i="1"/>
  <c r="X267" i="1"/>
  <c r="C286" i="2"/>
  <c r="C285" i="2" s="1"/>
  <c r="H286" i="2"/>
  <c r="I266" i="1"/>
  <c r="W266" i="1"/>
  <c r="X266" i="1"/>
  <c r="I265" i="1"/>
  <c r="W265" i="1"/>
  <c r="X265" i="1"/>
  <c r="I264" i="1"/>
  <c r="W264" i="1"/>
  <c r="X264" i="1"/>
  <c r="I263" i="1"/>
  <c r="W263" i="1"/>
  <c r="X263" i="1"/>
  <c r="I262" i="1"/>
  <c r="W262" i="1"/>
  <c r="X262" i="1"/>
  <c r="I261" i="1"/>
  <c r="W261" i="1"/>
  <c r="X261" i="1"/>
  <c r="I260" i="1"/>
  <c r="W260" i="1"/>
  <c r="X260" i="1"/>
  <c r="I259" i="1"/>
  <c r="W259" i="1"/>
  <c r="X259" i="1"/>
  <c r="I258" i="1"/>
  <c r="W258" i="1"/>
  <c r="X258" i="1"/>
  <c r="I257" i="1"/>
  <c r="W257" i="1"/>
  <c r="X257" i="1"/>
  <c r="I256" i="1"/>
  <c r="W256" i="1"/>
  <c r="X256" i="1"/>
  <c r="I255" i="1"/>
  <c r="W255" i="1"/>
  <c r="X255" i="1"/>
  <c r="I254" i="1"/>
  <c r="W254" i="1"/>
  <c r="X254" i="1"/>
  <c r="I253" i="1"/>
  <c r="W253" i="1"/>
  <c r="X253" i="1"/>
  <c r="I252" i="1"/>
  <c r="W252" i="1"/>
  <c r="X252" i="1"/>
  <c r="I251" i="1"/>
  <c r="W251" i="1"/>
  <c r="X251" i="1"/>
  <c r="I250" i="1"/>
  <c r="W250" i="1"/>
  <c r="X250" i="1"/>
  <c r="I249" i="1"/>
  <c r="W249" i="1"/>
  <c r="X249" i="1"/>
  <c r="I248" i="1"/>
  <c r="W248" i="1"/>
  <c r="X248" i="1"/>
  <c r="I247" i="1"/>
  <c r="W247" i="1"/>
  <c r="X247" i="1"/>
  <c r="I246" i="1"/>
  <c r="W246" i="1"/>
  <c r="X246" i="1"/>
  <c r="I245" i="1"/>
  <c r="W245" i="1"/>
  <c r="X245" i="1"/>
  <c r="I244" i="1"/>
  <c r="W244" i="1"/>
  <c r="X244" i="1"/>
  <c r="I243" i="1"/>
  <c r="W243" i="1"/>
  <c r="X243" i="1"/>
  <c r="I242" i="1"/>
  <c r="W242" i="1"/>
  <c r="X242" i="1"/>
  <c r="I241" i="1"/>
  <c r="W241" i="1"/>
  <c r="X241" i="1"/>
  <c r="I240" i="1"/>
  <c r="W240" i="1"/>
  <c r="X240" i="1"/>
  <c r="I239" i="1"/>
  <c r="W239" i="1"/>
  <c r="X239" i="1"/>
  <c r="I238" i="1"/>
  <c r="W238" i="1"/>
  <c r="X238" i="1"/>
  <c r="I237" i="1"/>
  <c r="W237" i="1"/>
  <c r="X237" i="1"/>
  <c r="I236" i="1"/>
  <c r="W236" i="1"/>
  <c r="X236" i="1"/>
  <c r="I235" i="1"/>
  <c r="W235" i="1"/>
  <c r="X235" i="1"/>
  <c r="I234" i="1"/>
  <c r="W234" i="1"/>
  <c r="X234" i="1"/>
  <c r="I233" i="1"/>
  <c r="W233" i="1"/>
  <c r="X233" i="1"/>
  <c r="H301" i="2"/>
  <c r="H300" i="2"/>
  <c r="H299" i="2"/>
  <c r="H298" i="2"/>
  <c r="H295" i="2"/>
  <c r="H297" i="2"/>
  <c r="H296" i="2"/>
  <c r="H293" i="2"/>
  <c r="H294" i="2"/>
  <c r="H292" i="2"/>
  <c r="H291" i="2"/>
  <c r="H289" i="2"/>
  <c r="H285" i="2"/>
  <c r="H288" i="2"/>
  <c r="H287" i="2"/>
  <c r="H283" i="2"/>
  <c r="H282" i="2"/>
  <c r="H281" i="2"/>
  <c r="H280" i="2"/>
  <c r="H279" i="2"/>
  <c r="H277" i="2"/>
  <c r="H278" i="2"/>
  <c r="H276" i="2"/>
  <c r="H274" i="2"/>
  <c r="H273" i="2"/>
  <c r="H275" i="2"/>
  <c r="I232" i="1"/>
  <c r="W232" i="1"/>
  <c r="X232" i="1"/>
  <c r="H250" i="2"/>
  <c r="H229" i="2"/>
  <c r="I231" i="1"/>
  <c r="W231" i="1"/>
  <c r="X231" i="1"/>
  <c r="A190" i="1"/>
  <c r="I190" i="1"/>
  <c r="W190" i="1"/>
  <c r="X190" i="1"/>
  <c r="E4" i="8"/>
  <c r="H271" i="2" l="1"/>
  <c r="H272" i="2"/>
  <c r="H270" i="2"/>
  <c r="H268" i="2"/>
  <c r="H267" i="2"/>
  <c r="H265" i="2"/>
  <c r="H266" i="2"/>
  <c r="I230" i="1"/>
  <c r="W230" i="1"/>
  <c r="X230" i="1"/>
  <c r="I229" i="1"/>
  <c r="W229" i="1"/>
  <c r="X229" i="1"/>
  <c r="I228" i="1"/>
  <c r="W228" i="1"/>
  <c r="X228" i="1"/>
  <c r="I227" i="1"/>
  <c r="W227" i="1"/>
  <c r="X227" i="1"/>
  <c r="I226" i="1"/>
  <c r="W226" i="1"/>
  <c r="X226" i="1"/>
  <c r="I225" i="1"/>
  <c r="W225" i="1"/>
  <c r="X225" i="1"/>
  <c r="H262" i="2"/>
  <c r="I224" i="1"/>
  <c r="W224" i="1"/>
  <c r="X224" i="1"/>
  <c r="I223" i="1"/>
  <c r="W223" i="1"/>
  <c r="X223" i="1"/>
  <c r="I222" i="1"/>
  <c r="W222" i="1"/>
  <c r="X222" i="1"/>
  <c r="I221" i="1"/>
  <c r="W221" i="1"/>
  <c r="X221" i="1"/>
  <c r="I220" i="1"/>
  <c r="W220" i="1"/>
  <c r="X220" i="1"/>
  <c r="I219" i="1"/>
  <c r="W219" i="1"/>
  <c r="X219" i="1"/>
  <c r="I218" i="1"/>
  <c r="W218" i="1"/>
  <c r="X218" i="1"/>
  <c r="I217" i="1"/>
  <c r="W217" i="1"/>
  <c r="X217" i="1"/>
  <c r="H264" i="2"/>
  <c r="H263" i="2"/>
  <c r="H261" i="2"/>
  <c r="H259" i="2"/>
  <c r="H260" i="2"/>
  <c r="H258" i="2"/>
  <c r="H197" i="2"/>
  <c r="G13" i="15"/>
  <c r="C13" i="15"/>
  <c r="H257" i="2"/>
  <c r="H256" i="2"/>
  <c r="H255" i="2"/>
  <c r="H254" i="2"/>
  <c r="H253" i="2"/>
  <c r="H252" i="2"/>
  <c r="H251" i="2"/>
  <c r="H249" i="2"/>
  <c r="H247" i="2"/>
  <c r="H248" i="2"/>
  <c r="H246" i="2"/>
  <c r="H271" i="6"/>
  <c r="I216" i="1"/>
  <c r="W216" i="1"/>
  <c r="X216" i="1"/>
  <c r="H270" i="6"/>
  <c r="I215" i="1"/>
  <c r="W215" i="1"/>
  <c r="X215" i="1"/>
  <c r="H269" i="6"/>
  <c r="I214" i="1"/>
  <c r="W214" i="1"/>
  <c r="X214" i="1"/>
  <c r="I213" i="1"/>
  <c r="W213" i="1"/>
  <c r="X213" i="1"/>
  <c r="I212" i="1"/>
  <c r="W212" i="1"/>
  <c r="X212" i="1"/>
  <c r="I211" i="1"/>
  <c r="W211" i="1"/>
  <c r="X211" i="1"/>
  <c r="I210" i="1"/>
  <c r="W210" i="1"/>
  <c r="X210" i="1"/>
  <c r="I209" i="1"/>
  <c r="W209" i="1"/>
  <c r="X209" i="1"/>
  <c r="C240" i="2"/>
  <c r="C239" i="2" s="1"/>
  <c r="H239" i="2"/>
  <c r="I208" i="1"/>
  <c r="W208" i="1"/>
  <c r="X208" i="1"/>
  <c r="I207" i="1"/>
  <c r="W207" i="1"/>
  <c r="X207" i="1"/>
  <c r="I206" i="1"/>
  <c r="W206" i="1"/>
  <c r="X206" i="1"/>
  <c r="I205" i="1"/>
  <c r="W205" i="1"/>
  <c r="X205" i="1"/>
  <c r="I204" i="1"/>
  <c r="W204" i="1"/>
  <c r="X204" i="1"/>
  <c r="I203" i="1"/>
  <c r="W203" i="1"/>
  <c r="X203" i="1"/>
  <c r="I202" i="1"/>
  <c r="W202" i="1"/>
  <c r="X202" i="1"/>
  <c r="I201" i="1"/>
  <c r="W201" i="1"/>
  <c r="X201" i="1"/>
  <c r="I200" i="1"/>
  <c r="W200" i="1"/>
  <c r="X200" i="1"/>
  <c r="I199" i="1"/>
  <c r="W199" i="1"/>
  <c r="X199" i="1"/>
  <c r="I198" i="1"/>
  <c r="W198" i="1"/>
  <c r="X198" i="1"/>
  <c r="I197" i="1"/>
  <c r="W197" i="1"/>
  <c r="X197" i="1"/>
  <c r="I196" i="1"/>
  <c r="W196" i="1"/>
  <c r="X196" i="1"/>
  <c r="I195" i="1"/>
  <c r="W195" i="1"/>
  <c r="X195" i="1"/>
  <c r="I194" i="1"/>
  <c r="W194" i="1"/>
  <c r="X194" i="1"/>
  <c r="I193" i="1"/>
  <c r="W193" i="1"/>
  <c r="X193" i="1"/>
  <c r="I192" i="1"/>
  <c r="W192" i="1"/>
  <c r="X192" i="1"/>
  <c r="G15" i="15" l="1"/>
  <c r="I191" i="1"/>
  <c r="W191" i="1"/>
  <c r="X191" i="1"/>
  <c r="I189" i="1"/>
  <c r="W189" i="1"/>
  <c r="X189" i="1"/>
  <c r="I188" i="1"/>
  <c r="W188" i="1"/>
  <c r="X188" i="1"/>
  <c r="I187" i="1"/>
  <c r="W187" i="1"/>
  <c r="X187" i="1"/>
  <c r="I186" i="1"/>
  <c r="W186" i="1"/>
  <c r="X186" i="1"/>
  <c r="I185" i="1"/>
  <c r="W185" i="1"/>
  <c r="X185" i="1"/>
  <c r="I184" i="1"/>
  <c r="W184" i="1"/>
  <c r="X184" i="1"/>
  <c r="I183" i="1"/>
  <c r="W183" i="1"/>
  <c r="X183" i="1"/>
  <c r="I182" i="1"/>
  <c r="W182" i="1"/>
  <c r="X182" i="1"/>
  <c r="I181" i="1"/>
  <c r="W181" i="1"/>
  <c r="X181" i="1"/>
  <c r="I180" i="1"/>
  <c r="W180" i="1"/>
  <c r="X180" i="1"/>
  <c r="I179" i="1"/>
  <c r="W179" i="1"/>
  <c r="X179" i="1"/>
  <c r="I178" i="1"/>
  <c r="W178" i="1"/>
  <c r="X178" i="1"/>
  <c r="I177" i="1"/>
  <c r="W177" i="1"/>
  <c r="X177" i="1"/>
  <c r="H37" i="12"/>
  <c r="I176" i="1"/>
  <c r="W176" i="1"/>
  <c r="X176" i="1"/>
  <c r="I175" i="1"/>
  <c r="W175" i="1"/>
  <c r="X175" i="1"/>
  <c r="I174" i="1"/>
  <c r="W174" i="1"/>
  <c r="X174" i="1"/>
  <c r="I173" i="1"/>
  <c r="W173" i="1"/>
  <c r="X173" i="1"/>
  <c r="I172" i="1"/>
  <c r="W172" i="1"/>
  <c r="X172" i="1"/>
  <c r="I171" i="1"/>
  <c r="W171" i="1"/>
  <c r="X171" i="1"/>
  <c r="I170" i="1"/>
  <c r="W170" i="1"/>
  <c r="X170" i="1"/>
  <c r="H245" i="2" l="1"/>
  <c r="H244" i="2"/>
  <c r="I169" i="1"/>
  <c r="W169" i="1"/>
  <c r="X169" i="1"/>
  <c r="H243" i="2"/>
  <c r="H242" i="2"/>
  <c r="H241" i="2"/>
  <c r="H240" i="2"/>
  <c r="H238" i="2"/>
  <c r="H237" i="2"/>
  <c r="H236" i="2"/>
  <c r="H235" i="2"/>
  <c r="H234" i="2"/>
  <c r="H233" i="2"/>
  <c r="H232" i="2"/>
  <c r="H230" i="2"/>
  <c r="H231" i="2"/>
  <c r="H226" i="2"/>
  <c r="H227" i="2"/>
  <c r="H228" i="2"/>
  <c r="H224" i="2"/>
  <c r="H225" i="2"/>
  <c r="I168" i="1"/>
  <c r="W168" i="1"/>
  <c r="X168" i="1"/>
  <c r="I167" i="1"/>
  <c r="W167" i="1"/>
  <c r="X167" i="1"/>
  <c r="I166" i="1"/>
  <c r="W166" i="1"/>
  <c r="X166" i="1"/>
  <c r="H223" i="2"/>
  <c r="H222" i="2"/>
  <c r="H221" i="2"/>
  <c r="H219" i="2"/>
  <c r="H220" i="2"/>
  <c r="H218" i="2"/>
  <c r="H216" i="2"/>
  <c r="H217" i="2"/>
  <c r="H215" i="2"/>
  <c r="H214" i="2"/>
  <c r="H211" i="2"/>
  <c r="H213" i="2"/>
  <c r="H212" i="2"/>
  <c r="I165" i="1"/>
  <c r="W165" i="1"/>
  <c r="X165" i="1"/>
  <c r="I164" i="1"/>
  <c r="W164" i="1"/>
  <c r="X164" i="1"/>
  <c r="H210" i="2" l="1"/>
  <c r="H209" i="2"/>
  <c r="H208" i="2"/>
  <c r="H206" i="2"/>
  <c r="H207" i="2"/>
  <c r="H204" i="2"/>
  <c r="H205" i="2"/>
  <c r="H202" i="2"/>
  <c r="H203" i="2"/>
  <c r="I163" i="1"/>
  <c r="W163" i="1"/>
  <c r="X163" i="1"/>
  <c r="I162" i="1"/>
  <c r="W162" i="1"/>
  <c r="X162" i="1"/>
  <c r="H195" i="6" l="1"/>
  <c r="I161" i="1"/>
  <c r="W161" i="1"/>
  <c r="X161" i="1"/>
  <c r="I160" i="1"/>
  <c r="W160" i="1"/>
  <c r="X160" i="1"/>
  <c r="I159" i="1" l="1"/>
  <c r="W159" i="1"/>
  <c r="X159" i="1"/>
  <c r="I158" i="1"/>
  <c r="W158" i="1"/>
  <c r="X158" i="1"/>
  <c r="I157" i="1"/>
  <c r="W157" i="1"/>
  <c r="X157" i="1"/>
  <c r="I156" i="1"/>
  <c r="W156" i="1"/>
  <c r="X156" i="1"/>
  <c r="H201" i="2"/>
  <c r="H200" i="2"/>
  <c r="I155" i="1"/>
  <c r="W155" i="1"/>
  <c r="X155" i="1"/>
  <c r="H199" i="2" l="1"/>
  <c r="H198" i="2"/>
  <c r="H196" i="2"/>
  <c r="H195" i="2"/>
  <c r="H194" i="2"/>
  <c r="H192" i="2"/>
  <c r="H191" i="2"/>
  <c r="H193" i="2"/>
  <c r="H190" i="2"/>
  <c r="I154" i="1"/>
  <c r="W154" i="1"/>
  <c r="X154" i="1"/>
  <c r="I153" i="1"/>
  <c r="W153" i="1"/>
  <c r="X153" i="1"/>
  <c r="I152" i="1"/>
  <c r="W152" i="1"/>
  <c r="X152" i="1"/>
  <c r="I151" i="1"/>
  <c r="W151" i="1"/>
  <c r="X151" i="1"/>
  <c r="I150" i="1"/>
  <c r="W150" i="1"/>
  <c r="X150" i="1"/>
  <c r="I149" i="1"/>
  <c r="W149" i="1"/>
  <c r="X149" i="1"/>
  <c r="I148" i="1"/>
  <c r="W148" i="1"/>
  <c r="X148" i="1"/>
  <c r="H184" i="2"/>
  <c r="H187" i="2"/>
  <c r="H186" i="2"/>
  <c r="H189" i="2"/>
  <c r="H188" i="2"/>
  <c r="H171" i="2"/>
  <c r="I147" i="1"/>
  <c r="W147" i="1"/>
  <c r="X147" i="1"/>
  <c r="I146" i="1"/>
  <c r="W146" i="1"/>
  <c r="X146" i="1"/>
  <c r="I145" i="1"/>
  <c r="W145" i="1"/>
  <c r="X145" i="1"/>
  <c r="I144" i="1"/>
  <c r="W144" i="1"/>
  <c r="X144" i="1"/>
  <c r="H183" i="2"/>
  <c r="H185" i="2"/>
  <c r="H181" i="2"/>
  <c r="H180" i="2"/>
  <c r="H182" i="2"/>
  <c r="H179" i="2"/>
  <c r="H178" i="2"/>
  <c r="H173" i="2"/>
  <c r="H177" i="2"/>
  <c r="H176" i="2"/>
  <c r="H175" i="2"/>
  <c r="H174" i="2"/>
  <c r="I143" i="1"/>
  <c r="W143" i="1"/>
  <c r="X143" i="1"/>
  <c r="I142" i="1"/>
  <c r="W142" i="1"/>
  <c r="X142" i="1"/>
  <c r="I141" i="1"/>
  <c r="W141" i="1"/>
  <c r="X141" i="1"/>
  <c r="I140" i="1"/>
  <c r="W140" i="1"/>
  <c r="X140" i="1"/>
  <c r="I139" i="1"/>
  <c r="W139" i="1"/>
  <c r="X139" i="1"/>
  <c r="H169" i="2"/>
  <c r="H170" i="2"/>
  <c r="H172" i="2"/>
  <c r="I138" i="1"/>
  <c r="W138" i="1"/>
  <c r="X138" i="1"/>
  <c r="D26" i="8"/>
  <c r="H166" i="2" l="1"/>
  <c r="H167" i="2"/>
  <c r="H168" i="2"/>
  <c r="H6" i="15"/>
  <c r="H162" i="6" l="1"/>
  <c r="H163" i="6"/>
  <c r="H164" i="6"/>
  <c r="H165" i="6"/>
  <c r="H166" i="6"/>
  <c r="I137" i="1" l="1"/>
  <c r="W137" i="1"/>
  <c r="X137" i="1"/>
  <c r="I136" i="1"/>
  <c r="W136" i="1"/>
  <c r="X136" i="1"/>
  <c r="I135" i="1"/>
  <c r="W135" i="1"/>
  <c r="X135" i="1"/>
  <c r="I134" i="1"/>
  <c r="W134" i="1"/>
  <c r="X134" i="1"/>
  <c r="I133" i="1"/>
  <c r="W133" i="1"/>
  <c r="X133" i="1"/>
  <c r="C161" i="2" l="1"/>
  <c r="H162" i="2"/>
  <c r="H165" i="2"/>
  <c r="H164" i="2"/>
  <c r="H163" i="2"/>
  <c r="H161" i="2"/>
  <c r="H160" i="2"/>
  <c r="H159" i="2"/>
  <c r="H157" i="2"/>
  <c r="H158" i="2"/>
  <c r="H137" i="6"/>
  <c r="H156" i="2" l="1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I132" i="1"/>
  <c r="W132" i="1"/>
  <c r="X132" i="1"/>
  <c r="I131" i="1"/>
  <c r="W131" i="1"/>
  <c r="X131" i="1"/>
  <c r="I130" i="1"/>
  <c r="W130" i="1"/>
  <c r="X130" i="1"/>
  <c r="I129" i="1"/>
  <c r="W129" i="1"/>
  <c r="X129" i="1"/>
  <c r="H155" i="2"/>
  <c r="H154" i="2"/>
  <c r="H153" i="2"/>
  <c r="I128" i="1" l="1"/>
  <c r="W128" i="1"/>
  <c r="X128" i="1"/>
  <c r="I127" i="1"/>
  <c r="W127" i="1"/>
  <c r="X127" i="1"/>
  <c r="I126" i="1"/>
  <c r="W126" i="1"/>
  <c r="X126" i="1"/>
  <c r="W27" i="1"/>
  <c r="I125" i="1"/>
  <c r="W125" i="1"/>
  <c r="X125" i="1"/>
  <c r="C151" i="2"/>
  <c r="H151" i="2"/>
  <c r="C150" i="2"/>
  <c r="H150" i="2"/>
  <c r="H152" i="2"/>
  <c r="C143" i="2"/>
  <c r="H149" i="2"/>
  <c r="I124" i="1"/>
  <c r="W124" i="1"/>
  <c r="X124" i="1"/>
  <c r="I123" i="1"/>
  <c r="W123" i="1"/>
  <c r="X123" i="1"/>
  <c r="H148" i="2"/>
  <c r="I122" i="1"/>
  <c r="W122" i="1"/>
  <c r="X122" i="1"/>
  <c r="I121" i="1"/>
  <c r="W121" i="1"/>
  <c r="X121" i="1"/>
  <c r="I120" i="1"/>
  <c r="W120" i="1"/>
  <c r="X120" i="1"/>
  <c r="I119" i="1" l="1"/>
  <c r="W119" i="1"/>
  <c r="X119" i="1"/>
  <c r="I118" i="1"/>
  <c r="W118" i="1"/>
  <c r="X118" i="1"/>
  <c r="H144" i="2"/>
  <c r="H147" i="2"/>
  <c r="H146" i="2"/>
  <c r="H143" i="2"/>
  <c r="H142" i="2"/>
  <c r="H140" i="2"/>
  <c r="H141" i="2"/>
  <c r="H139" i="2"/>
  <c r="H138" i="2"/>
  <c r="H137" i="2"/>
  <c r="H2" i="2"/>
  <c r="H136" i="2"/>
  <c r="H135" i="2"/>
  <c r="H134" i="2"/>
  <c r="H133" i="2"/>
  <c r="H132" i="2"/>
  <c r="H131" i="2"/>
  <c r="H130" i="2"/>
  <c r="H129" i="2"/>
  <c r="I117" i="1"/>
  <c r="W117" i="1"/>
  <c r="X117" i="1"/>
  <c r="I116" i="1"/>
  <c r="W116" i="1"/>
  <c r="X116" i="1"/>
  <c r="I115" i="1"/>
  <c r="W115" i="1"/>
  <c r="X115" i="1"/>
  <c r="I114" i="1"/>
  <c r="W114" i="1"/>
  <c r="X114" i="1"/>
  <c r="I113" i="1"/>
  <c r="W113" i="1"/>
  <c r="X113" i="1"/>
  <c r="I112" i="1"/>
  <c r="W112" i="1"/>
  <c r="X112" i="1"/>
  <c r="I111" i="1"/>
  <c r="W111" i="1"/>
  <c r="X111" i="1"/>
  <c r="X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1" i="1"/>
  <c r="X32" i="1"/>
  <c r="X33" i="1"/>
  <c r="X34" i="1"/>
  <c r="X35" i="1"/>
  <c r="X36" i="1"/>
  <c r="X37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38" i="1"/>
  <c r="X52" i="1"/>
  <c r="X53" i="1"/>
  <c r="X54" i="1"/>
  <c r="X55" i="1"/>
  <c r="X30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33" i="2"/>
  <c r="H29" i="2"/>
  <c r="H30" i="2"/>
  <c r="H31" i="2"/>
  <c r="H32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6" i="2"/>
  <c r="H57" i="2"/>
  <c r="H58" i="2"/>
  <c r="H59" i="2"/>
  <c r="H61" i="2"/>
  <c r="H60" i="2"/>
  <c r="H62" i="2"/>
  <c r="H63" i="2"/>
  <c r="H64" i="2"/>
  <c r="H65" i="2"/>
  <c r="H66" i="2"/>
  <c r="H68" i="2"/>
  <c r="H67" i="2"/>
  <c r="H70" i="2"/>
  <c r="H69" i="2"/>
  <c r="H71" i="2"/>
  <c r="H72" i="2"/>
  <c r="H73" i="2"/>
  <c r="H74" i="2"/>
  <c r="H75" i="2"/>
  <c r="H76" i="2"/>
  <c r="H78" i="2"/>
  <c r="H77" i="2"/>
  <c r="H81" i="2"/>
  <c r="H79" i="2"/>
  <c r="H80" i="2"/>
  <c r="H82" i="2"/>
  <c r="H3" i="2"/>
  <c r="H55" i="2"/>
  <c r="H84" i="2"/>
  <c r="H83" i="2"/>
  <c r="H85" i="2"/>
  <c r="H86" i="2"/>
  <c r="H87" i="2"/>
  <c r="H88" i="2"/>
  <c r="H89" i="2"/>
  <c r="H90" i="2"/>
  <c r="H91" i="2"/>
  <c r="H93" i="2"/>
  <c r="H92" i="2"/>
  <c r="H94" i="2"/>
  <c r="H95" i="2"/>
  <c r="H96" i="2"/>
  <c r="H97" i="2"/>
  <c r="H98" i="2"/>
  <c r="H99" i="2"/>
  <c r="H100" i="2"/>
  <c r="H101" i="2"/>
  <c r="H104" i="2"/>
  <c r="H102" i="2"/>
  <c r="H103" i="2"/>
  <c r="H105" i="2"/>
  <c r="H106" i="2"/>
  <c r="H107" i="2"/>
  <c r="H111" i="2"/>
  <c r="H109" i="2"/>
  <c r="H110" i="2"/>
  <c r="H108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W109" i="1"/>
  <c r="W110" i="1"/>
  <c r="W17" i="1"/>
  <c r="W18" i="1"/>
  <c r="W19" i="1"/>
  <c r="W20" i="1"/>
  <c r="W21" i="1"/>
  <c r="W22" i="1"/>
  <c r="W23" i="1"/>
  <c r="W24" i="1"/>
  <c r="W25" i="1"/>
  <c r="W26" i="1"/>
  <c r="W28" i="1"/>
  <c r="W29" i="1"/>
  <c r="W31" i="1"/>
  <c r="W32" i="1"/>
  <c r="W33" i="1"/>
  <c r="W34" i="1"/>
  <c r="W35" i="1"/>
  <c r="W36" i="1"/>
  <c r="W37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38" i="1"/>
  <c r="W52" i="1"/>
  <c r="W53" i="1"/>
  <c r="W54" i="1"/>
  <c r="W55" i="1"/>
  <c r="W30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I110" i="1"/>
  <c r="I109" i="1"/>
  <c r="I108" i="1" l="1"/>
  <c r="I107" i="1"/>
  <c r="I106" i="1"/>
  <c r="C125" i="2"/>
  <c r="I105" i="1" l="1"/>
  <c r="I104" i="1"/>
  <c r="I103" i="1"/>
  <c r="I102" i="1" l="1"/>
  <c r="I101" i="1" l="1"/>
  <c r="I100" i="1"/>
  <c r="I99" i="1"/>
  <c r="I98" i="1"/>
  <c r="I97" i="1"/>
  <c r="I96" i="1" l="1"/>
  <c r="S35" i="8"/>
  <c r="S36" i="8"/>
  <c r="S38" i="8"/>
  <c r="S39" i="8"/>
  <c r="S40" i="8"/>
  <c r="S41" i="8"/>
  <c r="R35" i="8"/>
  <c r="R36" i="8"/>
  <c r="R38" i="8"/>
  <c r="R39" i="8"/>
  <c r="R40" i="8"/>
  <c r="R41" i="8"/>
  <c r="I95" i="1"/>
  <c r="I94" i="1"/>
  <c r="I93" i="1"/>
  <c r="I92" i="1"/>
  <c r="I91" i="1"/>
  <c r="C69" i="2"/>
  <c r="C91" i="2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I90" i="1"/>
  <c r="I89" i="1"/>
  <c r="I88" i="1"/>
  <c r="I87" i="1"/>
  <c r="I86" i="1"/>
  <c r="I85" i="1"/>
  <c r="I84" i="1"/>
  <c r="I83" i="1"/>
  <c r="I82" i="1"/>
  <c r="Q64" i="6"/>
  <c r="Q62" i="6"/>
  <c r="R62" i="6" s="1"/>
  <c r="S62" i="6" s="1"/>
  <c r="I81" i="1"/>
  <c r="I80" i="1"/>
  <c r="I79" i="1"/>
  <c r="I78" i="1"/>
  <c r="I77" i="1"/>
  <c r="I76" i="1"/>
  <c r="I75" i="1"/>
  <c r="I74" i="1"/>
  <c r="I73" i="1"/>
  <c r="I72" i="1"/>
  <c r="I71" i="1"/>
  <c r="I70" i="1"/>
  <c r="A38" i="1"/>
  <c r="A30" i="1"/>
  <c r="I69" i="1"/>
  <c r="I68" i="1"/>
  <c r="I67" i="1"/>
  <c r="Q37" i="8"/>
  <c r="Q34" i="8"/>
  <c r="Q33" i="8"/>
  <c r="Q32" i="8"/>
  <c r="Q31" i="8"/>
  <c r="I66" i="1"/>
  <c r="I65" i="1"/>
  <c r="I64" i="1"/>
  <c r="S56" i="8"/>
  <c r="R56" i="8"/>
  <c r="Q56" i="8"/>
  <c r="I34" i="12"/>
  <c r="I33" i="12"/>
  <c r="I32" i="12"/>
  <c r="I31" i="12"/>
  <c r="I63" i="1"/>
  <c r="I62" i="1"/>
  <c r="I61" i="1"/>
  <c r="I60" i="1"/>
  <c r="I59" i="1"/>
  <c r="I58" i="1"/>
  <c r="I57" i="1"/>
  <c r="I56" i="1"/>
  <c r="I30" i="1"/>
  <c r="I55" i="1"/>
  <c r="I54" i="1"/>
  <c r="C57" i="2"/>
  <c r="I53" i="1"/>
  <c r="I52" i="1"/>
  <c r="I38" i="1"/>
  <c r="I51" i="1"/>
  <c r="F12" i="6"/>
  <c r="F19" i="6"/>
  <c r="F21" i="6"/>
  <c r="F25" i="6"/>
  <c r="F31" i="6"/>
  <c r="F32" i="6"/>
  <c r="F34" i="6"/>
  <c r="C19" i="6"/>
  <c r="C32" i="6"/>
  <c r="C25" i="6"/>
  <c r="C34" i="6"/>
  <c r="C12" i="6"/>
  <c r="C21" i="6"/>
  <c r="C31" i="6"/>
  <c r="D57" i="2"/>
  <c r="E57" i="2"/>
  <c r="I50" i="1"/>
  <c r="I49" i="1"/>
  <c r="I48" i="1"/>
  <c r="G21" i="5"/>
  <c r="H17" i="5"/>
  <c r="H16" i="5"/>
  <c r="H15" i="5"/>
  <c r="H13" i="5"/>
  <c r="E31" i="2"/>
  <c r="D31" i="2"/>
  <c r="E24" i="2"/>
  <c r="D24" i="2"/>
  <c r="E23" i="2"/>
  <c r="D23" i="2"/>
  <c r="E27" i="2"/>
  <c r="D27" i="2"/>
  <c r="E12" i="2"/>
  <c r="D12" i="2"/>
  <c r="D31" i="6"/>
  <c r="B31" i="6"/>
  <c r="D21" i="6"/>
  <c r="B21" i="6"/>
  <c r="D12" i="6"/>
  <c r="B12" i="6"/>
  <c r="D13" i="6"/>
  <c r="H2" i="6"/>
  <c r="D34" i="6"/>
  <c r="B34" i="6"/>
  <c r="D25" i="6"/>
  <c r="B25" i="6"/>
  <c r="D32" i="6"/>
  <c r="B32" i="6"/>
  <c r="D19" i="6"/>
  <c r="B19" i="6"/>
  <c r="I47" i="1"/>
  <c r="I46" i="1"/>
  <c r="I45" i="1"/>
  <c r="I44" i="1"/>
  <c r="I43" i="1"/>
  <c r="I42" i="1"/>
  <c r="I41" i="1"/>
  <c r="I40" i="1"/>
  <c r="I39" i="1"/>
  <c r="I37" i="1"/>
  <c r="I36" i="1"/>
  <c r="I35" i="1"/>
  <c r="I34" i="1"/>
  <c r="I33" i="1"/>
  <c r="I32" i="1"/>
  <c r="I31" i="1"/>
  <c r="I29" i="1"/>
  <c r="E34" i="6"/>
  <c r="I28" i="1"/>
  <c r="I27" i="1"/>
  <c r="E32" i="6"/>
  <c r="I26" i="1"/>
  <c r="E31" i="6"/>
  <c r="I25" i="1"/>
  <c r="I24" i="1"/>
  <c r="I23" i="1"/>
  <c r="I22" i="1"/>
  <c r="E25" i="6"/>
  <c r="I21" i="1"/>
  <c r="I20" i="1"/>
  <c r="I19" i="1"/>
  <c r="I18" i="1"/>
  <c r="E21" i="6"/>
  <c r="I17" i="1"/>
  <c r="I16" i="1"/>
  <c r="E19" i="6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F235" i="2" l="1"/>
  <c r="D521" i="2"/>
  <c r="E448" i="2"/>
  <c r="F244" i="2"/>
  <c r="E521" i="2"/>
  <c r="F64" i="2"/>
  <c r="F363" i="2"/>
  <c r="F70" i="2"/>
  <c r="F375" i="2"/>
  <c r="F437" i="2"/>
  <c r="F73" i="2"/>
  <c r="F388" i="2"/>
  <c r="F448" i="2"/>
  <c r="F106" i="2"/>
  <c r="F474" i="2"/>
  <c r="F201" i="2"/>
  <c r="F585" i="2"/>
  <c r="F218" i="2"/>
  <c r="F669" i="2"/>
  <c r="F697" i="2"/>
  <c r="F701" i="2"/>
  <c r="F626" i="2"/>
  <c r="F689" i="2"/>
  <c r="F694" i="2"/>
  <c r="F659" i="2"/>
  <c r="F686" i="2"/>
  <c r="F631" i="2"/>
  <c r="F674" i="2"/>
  <c r="F698" i="2"/>
  <c r="F644" i="2"/>
  <c r="F679" i="2"/>
  <c r="F715" i="2"/>
  <c r="F640" i="2"/>
  <c r="F671" i="2"/>
  <c r="F670" i="2"/>
  <c r="F680" i="2"/>
  <c r="F615" i="2"/>
  <c r="F711" i="2"/>
  <c r="F690" i="2"/>
  <c r="F702" i="2"/>
  <c r="F700" i="2"/>
  <c r="F603" i="2"/>
  <c r="F654" i="2"/>
  <c r="F699" i="2"/>
  <c r="F713" i="2"/>
  <c r="F687" i="2"/>
  <c r="F685" i="2"/>
  <c r="F658" i="2"/>
  <c r="F704" i="2"/>
  <c r="F703" i="2"/>
  <c r="F624" i="2"/>
  <c r="F655" i="2"/>
  <c r="F661" i="2"/>
  <c r="F682" i="2"/>
  <c r="F688" i="2"/>
  <c r="F717" i="2"/>
  <c r="F653" i="2"/>
  <c r="F641" i="2"/>
  <c r="F696" i="2"/>
  <c r="F656" i="2"/>
  <c r="F684" i="2"/>
  <c r="F588" i="2"/>
  <c r="F673" i="2"/>
  <c r="F708" i="2"/>
  <c r="F710" i="2"/>
  <c r="F667" i="2"/>
  <c r="F621" i="2"/>
  <c r="F714" i="2"/>
  <c r="F677" i="2"/>
  <c r="F649" i="2"/>
  <c r="F676" i="2"/>
  <c r="F664" i="2"/>
  <c r="F660" i="2"/>
  <c r="F646" i="2"/>
  <c r="F600" i="2"/>
  <c r="F648" i="2"/>
  <c r="F692" i="2"/>
  <c r="F709" i="2"/>
  <c r="F344" i="2"/>
  <c r="F650" i="2"/>
  <c r="F716" i="2"/>
  <c r="F678" i="2"/>
  <c r="F663" i="2"/>
  <c r="F705" i="2"/>
  <c r="F706" i="2"/>
  <c r="F668" i="2"/>
  <c r="F681" i="2"/>
  <c r="F691" i="2"/>
  <c r="F647" i="2"/>
  <c r="F662" i="2"/>
  <c r="F643" i="2"/>
  <c r="F675" i="2"/>
  <c r="F666" i="2"/>
  <c r="F645" i="2"/>
  <c r="F672" i="2"/>
  <c r="F695" i="2"/>
  <c r="F718" i="2"/>
  <c r="F712" i="2"/>
  <c r="F630" i="2"/>
  <c r="F683" i="2"/>
  <c r="F707" i="2"/>
  <c r="F657" i="2"/>
  <c r="F618" i="2"/>
  <c r="F447" i="2"/>
  <c r="F409" i="2"/>
  <c r="F414" i="2"/>
  <c r="F323" i="2"/>
  <c r="F435" i="2"/>
  <c r="F347" i="2"/>
  <c r="F555" i="2"/>
  <c r="F575" i="2"/>
  <c r="F440" i="2"/>
  <c r="F380" i="2"/>
  <c r="F205" i="2"/>
  <c r="F48" i="2"/>
  <c r="F632" i="2"/>
  <c r="F389" i="2"/>
  <c r="F56" i="2"/>
  <c r="F590" i="2"/>
  <c r="F305" i="2"/>
  <c r="F445" i="2"/>
  <c r="F345" i="2"/>
  <c r="F285" i="2"/>
  <c r="F161" i="2"/>
  <c r="F510" i="2"/>
  <c r="F634" i="2"/>
  <c r="F397" i="2"/>
  <c r="F620" i="2"/>
  <c r="F410" i="2"/>
  <c r="F379" i="2"/>
  <c r="F240" i="2"/>
  <c r="F116" i="2"/>
  <c r="F635" i="2"/>
  <c r="F297" i="2"/>
  <c r="F493" i="2"/>
  <c r="F412" i="2"/>
  <c r="F303" i="2"/>
  <c r="F189" i="2"/>
  <c r="F76" i="2"/>
  <c r="F595" i="2"/>
  <c r="F434" i="2"/>
  <c r="F506" i="2"/>
  <c r="F393" i="2"/>
  <c r="F279" i="2"/>
  <c r="F221" i="2"/>
  <c r="F143" i="2"/>
  <c r="F549" i="2"/>
  <c r="F593" i="2"/>
  <c r="F485" i="2"/>
  <c r="F488" i="2"/>
  <c r="F464" i="2"/>
  <c r="F494" i="2"/>
  <c r="F517" i="2"/>
  <c r="F544" i="2"/>
  <c r="F541" i="2"/>
  <c r="F594" i="2"/>
  <c r="F415" i="2"/>
  <c r="F424" i="2"/>
  <c r="F340" i="2"/>
  <c r="F326" i="2"/>
  <c r="F329" i="2"/>
  <c r="F282" i="2"/>
  <c r="F271" i="2"/>
  <c r="F252" i="2"/>
  <c r="F216" i="2"/>
  <c r="F212" i="2"/>
  <c r="F184" i="2"/>
  <c r="F187" i="2"/>
  <c r="F138" i="2"/>
  <c r="F130" i="2"/>
  <c r="F196" i="2"/>
  <c r="F3" i="2"/>
  <c r="F88" i="2"/>
  <c r="F60" i="2"/>
  <c r="F118" i="2"/>
  <c r="F53" i="2"/>
  <c r="F359" i="2"/>
  <c r="F610" i="2"/>
  <c r="F418" i="2"/>
  <c r="F348" i="2"/>
  <c r="F465" i="2"/>
  <c r="F578" i="2"/>
  <c r="F214" i="2"/>
  <c r="F119" i="2"/>
  <c r="F400" i="2"/>
  <c r="F385" i="2"/>
  <c r="F356" i="2"/>
  <c r="F160" i="2"/>
  <c r="F422" i="2"/>
  <c r="F338" i="2"/>
  <c r="F693" i="2"/>
  <c r="F456" i="2"/>
  <c r="F354" i="2"/>
  <c r="F322" i="2"/>
  <c r="F190" i="2"/>
  <c r="F516" i="2"/>
  <c r="F617" i="2"/>
  <c r="F208" i="2"/>
  <c r="F37" i="2"/>
  <c r="F592" i="2"/>
  <c r="F162" i="2"/>
  <c r="F439" i="2"/>
  <c r="F328" i="2"/>
  <c r="F273" i="2"/>
  <c r="F126" i="2"/>
  <c r="F536" i="2"/>
  <c r="F665" i="2"/>
  <c r="F310" i="2"/>
  <c r="F460" i="2"/>
  <c r="F401" i="2"/>
  <c r="F306" i="2"/>
  <c r="F211" i="2"/>
  <c r="F91" i="2"/>
  <c r="F622" i="2"/>
  <c r="F226" i="2"/>
  <c r="F480" i="2"/>
  <c r="F398" i="2"/>
  <c r="F335" i="2"/>
  <c r="F173" i="2"/>
  <c r="F69" i="2"/>
  <c r="F601" i="2"/>
  <c r="F372" i="2"/>
  <c r="F423" i="2"/>
  <c r="F411" i="2"/>
  <c r="F308" i="2"/>
  <c r="F210" i="2"/>
  <c r="F104" i="2"/>
  <c r="F518" i="2"/>
  <c r="F582" i="2"/>
  <c r="F484" i="2"/>
  <c r="F479" i="2"/>
  <c r="F449" i="2"/>
  <c r="F471" i="2"/>
  <c r="F519" i="2"/>
  <c r="F511" i="2"/>
  <c r="F579" i="2"/>
  <c r="F543" i="2"/>
  <c r="F403" i="2"/>
  <c r="F357" i="2"/>
  <c r="F334" i="2"/>
  <c r="F301" i="2"/>
  <c r="F288" i="2"/>
  <c r="F215" i="2"/>
  <c r="F176" i="2"/>
  <c r="F228" i="2"/>
  <c r="F225" i="2"/>
  <c r="F199" i="2"/>
  <c r="F185" i="2"/>
  <c r="F197" i="2"/>
  <c r="F141" i="2"/>
  <c r="F165" i="2"/>
  <c r="F101" i="2"/>
  <c r="F55" i="2"/>
  <c r="F65" i="2"/>
  <c r="F79" i="2"/>
  <c r="F47" i="2"/>
  <c r="F43" i="2"/>
  <c r="F134" i="2"/>
  <c r="F426" i="2"/>
  <c r="F182" i="2"/>
  <c r="F558" i="2"/>
  <c r="F642" i="2"/>
  <c r="F548" i="2"/>
  <c r="F259" i="2"/>
  <c r="F265" i="2"/>
  <c r="F156" i="2"/>
  <c r="F564" i="2"/>
  <c r="F336" i="2"/>
  <c r="F146" i="2"/>
  <c r="F295" i="2"/>
  <c r="F331" i="2"/>
  <c r="F343" i="2"/>
  <c r="F115" i="2"/>
  <c r="F428" i="2"/>
  <c r="F324" i="2"/>
  <c r="F604" i="2"/>
  <c r="F451" i="2"/>
  <c r="F387" i="2"/>
  <c r="F376" i="2"/>
  <c r="F186" i="2"/>
  <c r="F497" i="2"/>
  <c r="F639" i="2"/>
  <c r="F220" i="2"/>
  <c r="F525" i="2"/>
  <c r="F608" i="2"/>
  <c r="F111" i="2"/>
  <c r="F413" i="2"/>
  <c r="F330" i="2"/>
  <c r="F266" i="2"/>
  <c r="F94" i="2"/>
  <c r="F554" i="2"/>
  <c r="F614" i="2"/>
  <c r="F194" i="2"/>
  <c r="F492" i="2"/>
  <c r="F596" i="2"/>
  <c r="F309" i="2"/>
  <c r="F167" i="2"/>
  <c r="F524" i="2"/>
  <c r="F628" i="2"/>
  <c r="F180" i="2"/>
  <c r="F461" i="2"/>
  <c r="F436" i="2"/>
  <c r="F287" i="2"/>
  <c r="F159" i="2"/>
  <c r="F44" i="2"/>
  <c r="F652" i="2"/>
  <c r="F383" i="2"/>
  <c r="F467" i="2"/>
  <c r="F394" i="2"/>
  <c r="F290" i="2"/>
  <c r="F145" i="2"/>
  <c r="F93" i="2"/>
  <c r="F529" i="2"/>
  <c r="F605" i="2"/>
  <c r="F438" i="2"/>
  <c r="F491" i="2"/>
  <c r="F454" i="2"/>
  <c r="F509" i="2"/>
  <c r="F623" i="2"/>
  <c r="F553" i="2"/>
  <c r="F561" i="2"/>
  <c r="F607" i="2"/>
  <c r="F421" i="2"/>
  <c r="F373" i="2"/>
  <c r="F353" i="2"/>
  <c r="F315" i="2"/>
  <c r="F313" i="2"/>
  <c r="F277" i="2"/>
  <c r="F274" i="2"/>
  <c r="F248" i="2"/>
  <c r="F249" i="2"/>
  <c r="F219" i="2"/>
  <c r="F135" i="2"/>
  <c r="F207" i="2"/>
  <c r="F154" i="2"/>
  <c r="F112" i="2"/>
  <c r="F113" i="2"/>
  <c r="F81" i="2"/>
  <c r="F78" i="2"/>
  <c r="F42" i="2"/>
  <c r="F75" i="2"/>
  <c r="F74" i="2"/>
  <c r="F551" i="2"/>
  <c r="F540" i="2"/>
  <c r="F304" i="2"/>
  <c r="F472" i="2"/>
  <c r="F382" i="2"/>
  <c r="F100" i="2"/>
  <c r="F522" i="2"/>
  <c r="F559" i="2"/>
  <c r="F278" i="2"/>
  <c r="F147" i="2"/>
  <c r="F114" i="2"/>
  <c r="F236" i="2"/>
  <c r="F325" i="2"/>
  <c r="F127" i="2"/>
  <c r="F523" i="2"/>
  <c r="F406" i="2"/>
  <c r="F317" i="2"/>
  <c r="F638" i="2"/>
  <c r="F478" i="2"/>
  <c r="F392" i="2"/>
  <c r="F283" i="2"/>
  <c r="F163" i="2"/>
  <c r="F538" i="2"/>
  <c r="F269" i="2"/>
  <c r="F198" i="2"/>
  <c r="F505" i="2"/>
  <c r="F613" i="2"/>
  <c r="F80" i="2"/>
  <c r="F396" i="2"/>
  <c r="F316" i="2"/>
  <c r="F223" i="2"/>
  <c r="F50" i="2"/>
  <c r="F571" i="2"/>
  <c r="F633" i="2"/>
  <c r="F123" i="2"/>
  <c r="F499" i="2"/>
  <c r="F362" i="2"/>
  <c r="F280" i="2"/>
  <c r="F164" i="2"/>
  <c r="F550" i="2"/>
  <c r="F531" i="2"/>
  <c r="F168" i="2"/>
  <c r="F452" i="2"/>
  <c r="F369" i="2"/>
  <c r="F276" i="2"/>
  <c r="F178" i="2"/>
  <c r="F40" i="2"/>
  <c r="F651" i="2"/>
  <c r="F350" i="2"/>
  <c r="F468" i="2"/>
  <c r="F312" i="2"/>
  <c r="F289" i="2"/>
  <c r="F179" i="2"/>
  <c r="F99" i="2"/>
  <c r="F535" i="2"/>
  <c r="F629" i="2"/>
  <c r="F446" i="2"/>
  <c r="F441" i="2"/>
  <c r="F503" i="2"/>
  <c r="F526" i="2"/>
  <c r="F520" i="2"/>
  <c r="F542" i="2"/>
  <c r="F562" i="2"/>
  <c r="F609" i="2"/>
  <c r="F408" i="2"/>
  <c r="F371" i="2"/>
  <c r="F339" i="2"/>
  <c r="F253" i="2"/>
  <c r="F292" i="2"/>
  <c r="F250" i="2"/>
  <c r="F255" i="2"/>
  <c r="F209" i="2"/>
  <c r="F222" i="2"/>
  <c r="F171" i="2"/>
  <c r="F149" i="2"/>
  <c r="F230" i="2"/>
  <c r="F140" i="2"/>
  <c r="F124" i="2"/>
  <c r="F86" i="2"/>
  <c r="F125" i="2"/>
  <c r="F63" i="2"/>
  <c r="F54" i="2"/>
  <c r="F46" i="2"/>
  <c r="F476" i="2"/>
  <c r="F239" i="2"/>
  <c r="F150" i="2"/>
  <c r="F566" i="2"/>
  <c r="F85" i="2"/>
  <c r="F514" i="2"/>
  <c r="F337" i="2"/>
  <c r="F204" i="2"/>
  <c r="F89" i="2"/>
  <c r="F120" i="2"/>
  <c r="F158" i="2"/>
  <c r="F58" i="2"/>
  <c r="F512" i="2"/>
  <c r="F416" i="2"/>
  <c r="F463" i="2"/>
  <c r="F378" i="2"/>
  <c r="F500" i="2"/>
  <c r="F370" i="2"/>
  <c r="F232" i="2"/>
  <c r="F144" i="2"/>
  <c r="F533" i="2"/>
  <c r="F291" i="2"/>
  <c r="F181" i="2"/>
  <c r="F532" i="2"/>
  <c r="F625" i="2"/>
  <c r="F584" i="2"/>
  <c r="F386" i="2"/>
  <c r="F314" i="2"/>
  <c r="F213" i="2"/>
  <c r="F67" i="2"/>
  <c r="F577" i="2"/>
  <c r="F557" i="2"/>
  <c r="F92" i="2"/>
  <c r="F458" i="2"/>
  <c r="F351" i="2"/>
  <c r="F264" i="2"/>
  <c r="F152" i="2"/>
  <c r="F611" i="2"/>
  <c r="F443" i="2"/>
  <c r="F61" i="2"/>
  <c r="F598" i="2"/>
  <c r="F352" i="2"/>
  <c r="F254" i="2"/>
  <c r="F129" i="2"/>
  <c r="F547" i="2"/>
  <c r="F636" i="2"/>
  <c r="F270" i="2"/>
  <c r="F431" i="2"/>
  <c r="F367" i="2"/>
  <c r="F262" i="2"/>
  <c r="F175" i="2"/>
  <c r="F107" i="2"/>
  <c r="F483" i="2"/>
  <c r="F616" i="2"/>
  <c r="F481" i="2"/>
  <c r="F473" i="2"/>
  <c r="F539" i="2"/>
  <c r="F546" i="2"/>
  <c r="F537" i="2"/>
  <c r="F552" i="2"/>
  <c r="F568" i="2"/>
  <c r="F637" i="2"/>
  <c r="F420" i="2"/>
  <c r="F402" i="2"/>
  <c r="F300" i="2"/>
  <c r="F319" i="2"/>
  <c r="F364" i="2"/>
  <c r="F267" i="2"/>
  <c r="F260" i="2"/>
  <c r="F233" i="2"/>
  <c r="F231" i="2"/>
  <c r="F188" i="2"/>
  <c r="F137" i="2"/>
  <c r="F241" i="2"/>
  <c r="F155" i="2"/>
  <c r="F169" i="2"/>
  <c r="F95" i="2"/>
  <c r="F66" i="2"/>
  <c r="F71" i="2"/>
  <c r="F59" i="2"/>
  <c r="F83" i="2"/>
  <c r="F574" i="2"/>
  <c r="F391" i="2"/>
  <c r="F121" i="2"/>
  <c r="F286" i="2"/>
  <c r="F469" i="2"/>
  <c r="F495" i="2"/>
  <c r="F591" i="2"/>
  <c r="F128" i="2"/>
  <c r="F257" i="2"/>
  <c r="F513" i="2"/>
  <c r="F246" i="2"/>
  <c r="F139" i="2"/>
  <c r="F602" i="2"/>
  <c r="F109" i="2"/>
  <c r="F459" i="2"/>
  <c r="F482" i="2"/>
  <c r="F361" i="2"/>
  <c r="F234" i="2"/>
  <c r="F200" i="2"/>
  <c r="F534" i="2"/>
  <c r="F390" i="2"/>
  <c r="F206" i="2"/>
  <c r="F136" i="2"/>
  <c r="F507" i="2"/>
  <c r="F261" i="2"/>
  <c r="F148" i="2"/>
  <c r="F565" i="2"/>
  <c r="F430" i="2"/>
  <c r="F501" i="2"/>
  <c r="F349" i="2"/>
  <c r="F296" i="2"/>
  <c r="F203" i="2"/>
  <c r="F545" i="2"/>
  <c r="F606" i="2"/>
  <c r="F429" i="2"/>
  <c r="F576" i="2"/>
  <c r="F427" i="2"/>
  <c r="F327" i="2"/>
  <c r="F242" i="2"/>
  <c r="F133" i="2"/>
  <c r="F581" i="2"/>
  <c r="F384" i="2"/>
  <c r="F556" i="2"/>
  <c r="F425" i="2"/>
  <c r="F321" i="2"/>
  <c r="F258" i="2"/>
  <c r="F98" i="2"/>
  <c r="F589" i="2"/>
  <c r="F455" i="2"/>
  <c r="F51" i="2"/>
  <c r="F355" i="2"/>
  <c r="F381" i="2"/>
  <c r="F217" i="2"/>
  <c r="F151" i="2"/>
  <c r="F49" i="2"/>
  <c r="F583" i="2"/>
  <c r="F521" i="2"/>
  <c r="F486" i="2"/>
  <c r="F462" i="2"/>
  <c r="F527" i="2"/>
  <c r="F515" i="2"/>
  <c r="F570" i="2"/>
  <c r="F530" i="2"/>
  <c r="F572" i="2"/>
  <c r="F619" i="2"/>
  <c r="F419" i="2"/>
  <c r="F365" i="2"/>
  <c r="F299" i="2"/>
  <c r="F302" i="2"/>
  <c r="F294" i="2"/>
  <c r="F272" i="2"/>
  <c r="F256" i="2"/>
  <c r="F275" i="2"/>
  <c r="F224" i="2"/>
  <c r="F293" i="2"/>
  <c r="F157" i="2"/>
  <c r="F263" i="2"/>
  <c r="F153" i="2"/>
  <c r="F132" i="2"/>
  <c r="F87" i="2"/>
  <c r="F68" i="2"/>
  <c r="F62" i="2"/>
  <c r="F77" i="2"/>
  <c r="F45" i="2"/>
  <c r="F597" i="2"/>
  <c r="F170" i="2"/>
  <c r="F374" i="2"/>
  <c r="F366" i="2"/>
  <c r="F405" i="2"/>
  <c r="F627" i="2"/>
  <c r="F563" i="2"/>
  <c r="F498" i="2"/>
  <c r="F238" i="2"/>
  <c r="F247" i="2"/>
  <c r="F30" i="2"/>
  <c r="F466" i="2"/>
  <c r="F528" i="2"/>
  <c r="F395" i="2"/>
  <c r="F496" i="2"/>
  <c r="F311" i="2"/>
  <c r="F174" i="2"/>
  <c r="F52" i="2"/>
  <c r="F489" i="2"/>
  <c r="F342" i="2"/>
  <c r="F202" i="2"/>
  <c r="F110" i="2"/>
  <c r="F573" i="2"/>
  <c r="F251" i="2"/>
  <c r="F195" i="2"/>
  <c r="F567" i="2"/>
  <c r="F346" i="2"/>
  <c r="F502" i="2"/>
  <c r="F360" i="2"/>
  <c r="F281" i="2"/>
  <c r="F166" i="2"/>
  <c r="F508" i="2"/>
  <c r="F587" i="2"/>
  <c r="F341" i="2"/>
  <c r="F612" i="2"/>
  <c r="F417" i="2"/>
  <c r="F358" i="2"/>
  <c r="F192" i="2"/>
  <c r="F103" i="2"/>
  <c r="F599" i="2"/>
  <c r="F318" i="2"/>
  <c r="F470" i="2"/>
  <c r="F399" i="2"/>
  <c r="F298" i="2"/>
  <c r="F191" i="2"/>
  <c r="F90" i="2"/>
  <c r="F475" i="2"/>
  <c r="F444" i="2"/>
  <c r="F569" i="2"/>
  <c r="F377" i="2"/>
  <c r="F320" i="2"/>
  <c r="F268" i="2"/>
  <c r="F183" i="2"/>
  <c r="F457" i="2"/>
  <c r="F432" i="2"/>
  <c r="F504" i="2"/>
  <c r="F487" i="2"/>
  <c r="F433" i="2"/>
  <c r="F450" i="2"/>
  <c r="F453" i="2"/>
  <c r="F490" i="2"/>
  <c r="F560" i="2"/>
  <c r="F586" i="2"/>
  <c r="F407" i="2"/>
  <c r="F284" i="2"/>
  <c r="F332" i="2"/>
  <c r="F333" i="2"/>
  <c r="F307" i="2"/>
  <c r="F243" i="2"/>
  <c r="F237" i="2"/>
  <c r="F229" i="2"/>
  <c r="F193" i="2"/>
  <c r="F177" i="2"/>
  <c r="F142" i="2"/>
  <c r="F172" i="2"/>
  <c r="F131" i="2"/>
  <c r="F122" i="2"/>
  <c r="F97" i="2"/>
  <c r="F96" i="2"/>
  <c r="F84" i="2"/>
  <c r="F102" i="2"/>
  <c r="F108" i="2"/>
  <c r="F41" i="2"/>
  <c r="F245" i="2"/>
  <c r="F580" i="2"/>
  <c r="F477" i="2"/>
  <c r="F404" i="2"/>
  <c r="F442" i="2"/>
  <c r="F368" i="2"/>
  <c r="F227" i="2"/>
  <c r="F105" i="2"/>
  <c r="F72" i="2"/>
  <c r="D679" i="6"/>
  <c r="M679" i="6" s="1"/>
  <c r="N679" i="6" s="1"/>
  <c r="O679" i="6" s="1"/>
  <c r="D702" i="6"/>
  <c r="M702" i="6" s="1"/>
  <c r="E728" i="6"/>
  <c r="D633" i="2"/>
  <c r="E633" i="2"/>
  <c r="B742" i="6"/>
  <c r="C738" i="6"/>
  <c r="D742" i="6"/>
  <c r="M742" i="6" s="1"/>
  <c r="D738" i="6"/>
  <c r="M738" i="6" s="1"/>
  <c r="E740" i="6"/>
  <c r="E739" i="6"/>
  <c r="F741" i="6"/>
  <c r="C737" i="6"/>
  <c r="F740" i="6"/>
  <c r="B737" i="6"/>
  <c r="E737" i="6"/>
  <c r="B741" i="6"/>
  <c r="F739" i="6"/>
  <c r="C740" i="6"/>
  <c r="E741" i="6"/>
  <c r="C739" i="6"/>
  <c r="F738" i="6"/>
  <c r="E736" i="6"/>
  <c r="B739" i="6"/>
  <c r="F737" i="6"/>
  <c r="C742" i="6"/>
  <c r="F736" i="6"/>
  <c r="B740" i="6"/>
  <c r="D739" i="6"/>
  <c r="M739" i="6" s="1"/>
  <c r="B738" i="6"/>
  <c r="C736" i="6"/>
  <c r="D740" i="6"/>
  <c r="M740" i="6" s="1"/>
  <c r="E742" i="6"/>
  <c r="D737" i="6"/>
  <c r="M737" i="6" s="1"/>
  <c r="B736" i="6"/>
  <c r="C741" i="6"/>
  <c r="F742" i="6"/>
  <c r="D736" i="6"/>
  <c r="M736" i="6" s="1"/>
  <c r="D741" i="6"/>
  <c r="M741" i="6" s="1"/>
  <c r="E738" i="6"/>
  <c r="E700" i="2"/>
  <c r="B735" i="6"/>
  <c r="F734" i="6"/>
  <c r="C735" i="6"/>
  <c r="D735" i="6"/>
  <c r="M735" i="6" s="1"/>
  <c r="F735" i="6"/>
  <c r="B734" i="6"/>
  <c r="C734" i="6"/>
  <c r="D734" i="6"/>
  <c r="M734" i="6" s="1"/>
  <c r="E734" i="6"/>
  <c r="D641" i="2"/>
  <c r="E641" i="2"/>
  <c r="D717" i="2"/>
  <c r="E717" i="2"/>
  <c r="D714" i="2"/>
  <c r="D716" i="2"/>
  <c r="D715" i="2"/>
  <c r="E716" i="2"/>
  <c r="E714" i="2"/>
  <c r="E715" i="2"/>
  <c r="D711" i="2"/>
  <c r="D713" i="2"/>
  <c r="D712" i="2"/>
  <c r="E713" i="2"/>
  <c r="E711" i="2"/>
  <c r="E712" i="2"/>
  <c r="D710" i="2"/>
  <c r="E710" i="2"/>
  <c r="D718" i="2"/>
  <c r="C733" i="6"/>
  <c r="D733" i="6"/>
  <c r="M733" i="6" s="1"/>
  <c r="F733" i="6"/>
  <c r="D732" i="6"/>
  <c r="M732" i="6" s="1"/>
  <c r="B732" i="6"/>
  <c r="E718" i="2"/>
  <c r="E733" i="6"/>
  <c r="F732" i="6"/>
  <c r="E732" i="6"/>
  <c r="B733" i="6"/>
  <c r="C732" i="6"/>
  <c r="B731" i="6"/>
  <c r="F730" i="6"/>
  <c r="C731" i="6"/>
  <c r="E730" i="6"/>
  <c r="D731" i="6"/>
  <c r="M731" i="6" s="1"/>
  <c r="E731" i="6"/>
  <c r="C730" i="6"/>
  <c r="F731" i="6"/>
  <c r="B730" i="6"/>
  <c r="D730" i="6"/>
  <c r="M730" i="6" s="1"/>
  <c r="B729" i="6"/>
  <c r="C729" i="6"/>
  <c r="D729" i="6"/>
  <c r="M729" i="6" s="1"/>
  <c r="E729" i="6"/>
  <c r="F729" i="6"/>
  <c r="B728" i="6"/>
  <c r="C728" i="6"/>
  <c r="D728" i="6"/>
  <c r="M728" i="6" s="1"/>
  <c r="F728" i="6"/>
  <c r="D727" i="6"/>
  <c r="M727" i="6" s="1"/>
  <c r="D700" i="2"/>
  <c r="D702" i="2"/>
  <c r="E702" i="2"/>
  <c r="D701" i="2"/>
  <c r="E701" i="2"/>
  <c r="B727" i="6"/>
  <c r="C727" i="6"/>
  <c r="E727" i="6"/>
  <c r="F727" i="6"/>
  <c r="B726" i="6"/>
  <c r="D719" i="6"/>
  <c r="M719" i="6" s="1"/>
  <c r="B725" i="6"/>
  <c r="F718" i="6"/>
  <c r="C724" i="6"/>
  <c r="E717" i="6"/>
  <c r="E726" i="6"/>
  <c r="F725" i="6"/>
  <c r="F724" i="6"/>
  <c r="B718" i="6"/>
  <c r="D722" i="6"/>
  <c r="M722" i="6" s="1"/>
  <c r="C717" i="6"/>
  <c r="F721" i="6"/>
  <c r="E720" i="6"/>
  <c r="E722" i="6"/>
  <c r="C725" i="6"/>
  <c r="F722" i="6"/>
  <c r="B719" i="6"/>
  <c r="C723" i="6"/>
  <c r="D726" i="6"/>
  <c r="M726" i="6" s="1"/>
  <c r="B721" i="6"/>
  <c r="D725" i="6"/>
  <c r="M725" i="6" s="1"/>
  <c r="C720" i="6"/>
  <c r="E721" i="6"/>
  <c r="C726" i="6"/>
  <c r="B723" i="6"/>
  <c r="C718" i="6"/>
  <c r="D720" i="6"/>
  <c r="M720" i="6" s="1"/>
  <c r="E719" i="6"/>
  <c r="F726" i="6"/>
  <c r="F720" i="6"/>
  <c r="F723" i="6"/>
  <c r="D718" i="6"/>
  <c r="M718" i="6" s="1"/>
  <c r="B724" i="6"/>
  <c r="F717" i="6"/>
  <c r="E724" i="6"/>
  <c r="B720" i="6"/>
  <c r="E725" i="6"/>
  <c r="D723" i="6"/>
  <c r="M723" i="6" s="1"/>
  <c r="C721" i="6"/>
  <c r="C719" i="6"/>
  <c r="C722" i="6"/>
  <c r="B717" i="6"/>
  <c r="D721" i="6"/>
  <c r="M721" i="6" s="1"/>
  <c r="D724" i="6"/>
  <c r="M724" i="6" s="1"/>
  <c r="E723" i="6"/>
  <c r="F719" i="6"/>
  <c r="D717" i="6"/>
  <c r="M717" i="6" s="1"/>
  <c r="B722" i="6"/>
  <c r="E718" i="6"/>
  <c r="D709" i="2"/>
  <c r="E708" i="2"/>
  <c r="D708" i="2"/>
  <c r="E709" i="2"/>
  <c r="E706" i="2"/>
  <c r="D707" i="2"/>
  <c r="E707" i="2"/>
  <c r="D706" i="2"/>
  <c r="D705" i="2"/>
  <c r="E705" i="2"/>
  <c r="D704" i="2"/>
  <c r="E704" i="2"/>
  <c r="D703" i="2"/>
  <c r="E703" i="2"/>
  <c r="D699" i="2"/>
  <c r="E699" i="2"/>
  <c r="B716" i="6"/>
  <c r="F716" i="6"/>
  <c r="B711" i="6"/>
  <c r="D711" i="6"/>
  <c r="M711" i="6" s="1"/>
  <c r="C716" i="6"/>
  <c r="B715" i="6"/>
  <c r="F715" i="6"/>
  <c r="D714" i="6"/>
  <c r="M714" i="6" s="1"/>
  <c r="E716" i="6"/>
  <c r="E713" i="6"/>
  <c r="C712" i="6"/>
  <c r="D712" i="6"/>
  <c r="M712" i="6" s="1"/>
  <c r="D716" i="6"/>
  <c r="M716" i="6" s="1"/>
  <c r="D713" i="6"/>
  <c r="M713" i="6" s="1"/>
  <c r="D715" i="6"/>
  <c r="M715" i="6" s="1"/>
  <c r="F711" i="6"/>
  <c r="B714" i="6"/>
  <c r="F714" i="6"/>
  <c r="C713" i="6"/>
  <c r="E714" i="6"/>
  <c r="B712" i="6"/>
  <c r="C714" i="6"/>
  <c r="E711" i="6"/>
  <c r="B713" i="6"/>
  <c r="C715" i="6"/>
  <c r="E715" i="6"/>
  <c r="E712" i="6"/>
  <c r="F713" i="6"/>
  <c r="F712" i="6"/>
  <c r="C711" i="6"/>
  <c r="B710" i="6"/>
  <c r="C710" i="6"/>
  <c r="E710" i="6"/>
  <c r="F710" i="6"/>
  <c r="D710" i="6"/>
  <c r="M710" i="6" s="1"/>
  <c r="N710" i="6" s="1"/>
  <c r="O710" i="6" s="1"/>
  <c r="D457" i="2"/>
  <c r="E457" i="2"/>
  <c r="D447" i="2"/>
  <c r="E447" i="2"/>
  <c r="D6" i="2"/>
  <c r="D698" i="2"/>
  <c r="E698" i="2"/>
  <c r="D697" i="2"/>
  <c r="E697" i="2"/>
  <c r="D696" i="2"/>
  <c r="E696" i="2"/>
  <c r="D695" i="2"/>
  <c r="E695" i="2"/>
  <c r="E694" i="2"/>
  <c r="D694" i="2"/>
  <c r="D693" i="2"/>
  <c r="E693" i="2"/>
  <c r="B709" i="6"/>
  <c r="C709" i="6"/>
  <c r="D709" i="6"/>
  <c r="M709" i="6" s="1"/>
  <c r="E709" i="6"/>
  <c r="F709" i="6"/>
  <c r="D32" i="2"/>
  <c r="D692" i="2"/>
  <c r="E692" i="2"/>
  <c r="B24" i="6"/>
  <c r="E25" i="2"/>
  <c r="D17" i="2"/>
  <c r="F10" i="6"/>
  <c r="F17" i="6"/>
  <c r="C5" i="6"/>
  <c r="C33" i="6"/>
  <c r="D22" i="6"/>
  <c r="M22" i="6" s="1"/>
  <c r="E38" i="2"/>
  <c r="D691" i="2"/>
  <c r="E691" i="2"/>
  <c r="D690" i="2"/>
  <c r="E690" i="2"/>
  <c r="D689" i="2"/>
  <c r="E689" i="2"/>
  <c r="D688" i="2"/>
  <c r="D687" i="2"/>
  <c r="D685" i="2"/>
  <c r="D686" i="2"/>
  <c r="E685" i="2"/>
  <c r="E688" i="2"/>
  <c r="E687" i="2"/>
  <c r="E686" i="2"/>
  <c r="D684" i="2"/>
  <c r="E684" i="2"/>
  <c r="D683" i="2"/>
  <c r="E683" i="2"/>
  <c r="D682" i="2"/>
  <c r="E682" i="2"/>
  <c r="D681" i="2"/>
  <c r="E681" i="2"/>
  <c r="D680" i="2"/>
  <c r="E680" i="2"/>
  <c r="D679" i="2"/>
  <c r="E679" i="2"/>
  <c r="F24" i="6"/>
  <c r="D678" i="2"/>
  <c r="E678" i="2"/>
  <c r="B8" i="6"/>
  <c r="B11" i="6"/>
  <c r="E6" i="2"/>
  <c r="D18" i="2"/>
  <c r="C9" i="6"/>
  <c r="D82" i="2"/>
  <c r="E33" i="2"/>
  <c r="E82" i="2"/>
  <c r="D8" i="6"/>
  <c r="M8" i="6" s="1"/>
  <c r="N8" i="6" s="1"/>
  <c r="O8" i="6" s="1"/>
  <c r="D11" i="6"/>
  <c r="M11" i="6" s="1"/>
  <c r="D8" i="2"/>
  <c r="E18" i="2"/>
  <c r="D22" i="2"/>
  <c r="C23" i="6"/>
  <c r="B5" i="6"/>
  <c r="F16" i="6"/>
  <c r="E16" i="6"/>
  <c r="D9" i="6"/>
  <c r="M9" i="6" s="1"/>
  <c r="C7" i="6"/>
  <c r="B33" i="6"/>
  <c r="E14" i="2"/>
  <c r="C26" i="6"/>
  <c r="C6" i="6"/>
  <c r="B20" i="6"/>
  <c r="D18" i="6"/>
  <c r="M18" i="6" s="1"/>
  <c r="E8" i="2"/>
  <c r="E17" i="2"/>
  <c r="E32" i="2"/>
  <c r="F26" i="6"/>
  <c r="F9" i="6"/>
  <c r="D35" i="2"/>
  <c r="D16" i="2"/>
  <c r="E34" i="2"/>
  <c r="F8" i="6"/>
  <c r="E16" i="2"/>
  <c r="E26" i="2"/>
  <c r="C17" i="6"/>
  <c r="D5" i="6"/>
  <c r="M5" i="6" s="1"/>
  <c r="F13" i="6"/>
  <c r="B708" i="6"/>
  <c r="C705" i="6"/>
  <c r="F708" i="6"/>
  <c r="E707" i="6"/>
  <c r="C708" i="6"/>
  <c r="C704" i="6"/>
  <c r="D706" i="6"/>
  <c r="M706" i="6" s="1"/>
  <c r="D705" i="6"/>
  <c r="M705" i="6" s="1"/>
  <c r="D704" i="6"/>
  <c r="M704" i="6" s="1"/>
  <c r="E708" i="6"/>
  <c r="F705" i="6"/>
  <c r="B705" i="6"/>
  <c r="B704" i="6"/>
  <c r="F704" i="6"/>
  <c r="F707" i="6"/>
  <c r="D707" i="6"/>
  <c r="M707" i="6" s="1"/>
  <c r="E704" i="6"/>
  <c r="B707" i="6"/>
  <c r="D708" i="6"/>
  <c r="M708" i="6" s="1"/>
  <c r="B706" i="6"/>
  <c r="C707" i="6"/>
  <c r="C706" i="6"/>
  <c r="E705" i="6"/>
  <c r="E706" i="6"/>
  <c r="F706" i="6"/>
  <c r="D6" i="6"/>
  <c r="M6" i="6" s="1"/>
  <c r="N6" i="6" s="1"/>
  <c r="O6" i="6" s="1"/>
  <c r="D24" i="6"/>
  <c r="M24" i="6" s="1"/>
  <c r="F3" i="6"/>
  <c r="F20" i="6"/>
  <c r="D16" i="6"/>
  <c r="M16" i="6" s="1"/>
  <c r="B7" i="6"/>
  <c r="D14" i="6"/>
  <c r="M14" i="6" s="1"/>
  <c r="B26" i="6"/>
  <c r="E29" i="2"/>
  <c r="E36" i="2"/>
  <c r="F11" i="6"/>
  <c r="C24" i="6"/>
  <c r="F6" i="6"/>
  <c r="D20" i="6"/>
  <c r="M20" i="6" s="1"/>
  <c r="D33" i="6"/>
  <c r="M33" i="6" s="1"/>
  <c r="E11" i="2"/>
  <c r="D29" i="2"/>
  <c r="E22" i="2"/>
  <c r="D3" i="6"/>
  <c r="M3" i="6" s="1"/>
  <c r="N3" i="6" s="1"/>
  <c r="F7" i="6"/>
  <c r="B22" i="6"/>
  <c r="D7" i="6"/>
  <c r="M7" i="6" s="1"/>
  <c r="B18" i="6"/>
  <c r="D26" i="6"/>
  <c r="M26" i="6" s="1"/>
  <c r="E19" i="2"/>
  <c r="D25" i="2"/>
  <c r="F27" i="6"/>
  <c r="C11" i="6"/>
  <c r="C22" i="6"/>
  <c r="F18" i="6"/>
  <c r="E4" i="6"/>
  <c r="E33" i="6"/>
  <c r="B4" i="6"/>
  <c r="D10" i="6"/>
  <c r="M10" i="6" s="1"/>
  <c r="B17" i="6"/>
  <c r="B15" i="6"/>
  <c r="B23" i="6"/>
  <c r="B27" i="6"/>
  <c r="E35" i="2"/>
  <c r="D13" i="2"/>
  <c r="D15" i="2"/>
  <c r="D21" i="2"/>
  <c r="D4" i="2"/>
  <c r="D28" i="2"/>
  <c r="D39" i="2"/>
  <c r="B3" i="6"/>
  <c r="C18" i="6"/>
  <c r="C20" i="6"/>
  <c r="C16" i="6"/>
  <c r="C3" i="6"/>
  <c r="F23" i="6"/>
  <c r="F15" i="6"/>
  <c r="F5" i="6"/>
  <c r="D4" i="6"/>
  <c r="M4" i="6" s="1"/>
  <c r="N4" i="6" s="1"/>
  <c r="O4" i="6" s="1"/>
  <c r="D17" i="6"/>
  <c r="M17" i="6" s="1"/>
  <c r="D15" i="6"/>
  <c r="M15" i="6" s="1"/>
  <c r="D23" i="6"/>
  <c r="M23" i="6" s="1"/>
  <c r="D27" i="6"/>
  <c r="M27" i="6" s="1"/>
  <c r="D9" i="2"/>
  <c r="E13" i="2"/>
  <c r="E15" i="2"/>
  <c r="E21" i="2"/>
  <c r="E4" i="2"/>
  <c r="E28" i="2"/>
  <c r="E39" i="2"/>
  <c r="C14" i="6"/>
  <c r="C13" i="6"/>
  <c r="C4" i="6"/>
  <c r="F22" i="6"/>
  <c r="F14" i="6"/>
  <c r="F4" i="6"/>
  <c r="E5" i="6"/>
  <c r="B16" i="6"/>
  <c r="B6" i="6"/>
  <c r="B13" i="6"/>
  <c r="B14" i="6"/>
  <c r="B9" i="6"/>
  <c r="E7" i="2"/>
  <c r="D11" i="2"/>
  <c r="D14" i="2"/>
  <c r="D19" i="2"/>
  <c r="D38" i="2"/>
  <c r="D26" i="2"/>
  <c r="D36" i="2"/>
  <c r="D34" i="2"/>
  <c r="C27" i="6"/>
  <c r="C15" i="6"/>
  <c r="C8" i="6"/>
  <c r="F33" i="6"/>
  <c r="D10" i="2"/>
  <c r="D20" i="2"/>
  <c r="D28" i="6"/>
  <c r="M28" i="6" s="1"/>
  <c r="C30" i="6"/>
  <c r="C29" i="6"/>
  <c r="E10" i="6"/>
  <c r="B28" i="6"/>
  <c r="B10" i="6"/>
  <c r="E10" i="2"/>
  <c r="E9" i="2"/>
  <c r="C28" i="6"/>
  <c r="B29" i="6"/>
  <c r="B2" i="6"/>
  <c r="E20" i="2"/>
  <c r="D29" i="6"/>
  <c r="M29" i="6" s="1"/>
  <c r="N29" i="6" s="1"/>
  <c r="O29" i="6" s="1"/>
  <c r="D2" i="6"/>
  <c r="M2" i="6" s="1"/>
  <c r="K2" i="1" s="1"/>
  <c r="C2" i="6"/>
  <c r="F30" i="6"/>
  <c r="E28" i="6"/>
  <c r="B30" i="6"/>
  <c r="C10" i="6"/>
  <c r="F29" i="6"/>
  <c r="F2" i="6"/>
  <c r="D30" i="6"/>
  <c r="M30" i="6" s="1"/>
  <c r="N30" i="6" s="1"/>
  <c r="O30" i="6" s="1"/>
  <c r="D7" i="2"/>
  <c r="F28" i="6"/>
  <c r="D33" i="2"/>
  <c r="B701" i="6"/>
  <c r="F702" i="6"/>
  <c r="F700" i="6"/>
  <c r="E700" i="6"/>
  <c r="C700" i="6"/>
  <c r="C703" i="6"/>
  <c r="F698" i="6"/>
  <c r="E701" i="6"/>
  <c r="C699" i="6"/>
  <c r="D699" i="6"/>
  <c r="M699" i="6" s="1"/>
  <c r="N699" i="6" s="1"/>
  <c r="O699" i="6" s="1"/>
  <c r="E702" i="6"/>
  <c r="F699" i="6"/>
  <c r="F701" i="6"/>
  <c r="B702" i="6"/>
  <c r="E703" i="6"/>
  <c r="B698" i="6"/>
  <c r="D698" i="6"/>
  <c r="M698" i="6" s="1"/>
  <c r="N698" i="6" s="1"/>
  <c r="O698" i="6" s="1"/>
  <c r="C701" i="6"/>
  <c r="E699" i="6"/>
  <c r="C698" i="6"/>
  <c r="B703" i="6"/>
  <c r="D700" i="6"/>
  <c r="M700" i="6" s="1"/>
  <c r="E698" i="6"/>
  <c r="F703" i="6"/>
  <c r="C702" i="6"/>
  <c r="B699" i="6"/>
  <c r="D703" i="6"/>
  <c r="M703" i="6" s="1"/>
  <c r="D701" i="6"/>
  <c r="M701" i="6" s="1"/>
  <c r="B700" i="6"/>
  <c r="E117" i="2"/>
  <c r="D117" i="2"/>
  <c r="D677" i="2"/>
  <c r="E677" i="2"/>
  <c r="D669" i="2"/>
  <c r="E669" i="2"/>
  <c r="B697" i="6"/>
  <c r="C697" i="6"/>
  <c r="D697" i="6"/>
  <c r="M697" i="6" s="1"/>
  <c r="E697" i="6"/>
  <c r="F697" i="6"/>
  <c r="F696" i="6"/>
  <c r="C695" i="6"/>
  <c r="E696" i="6"/>
  <c r="B695" i="6"/>
  <c r="D696" i="6"/>
  <c r="M696" i="6" s="1"/>
  <c r="N696" i="6" s="1"/>
  <c r="O696" i="6" s="1"/>
  <c r="F694" i="6"/>
  <c r="C696" i="6"/>
  <c r="E694" i="6"/>
  <c r="B696" i="6"/>
  <c r="D694" i="6"/>
  <c r="M694" i="6" s="1"/>
  <c r="F695" i="6"/>
  <c r="C694" i="6"/>
  <c r="E695" i="6"/>
  <c r="B694" i="6"/>
  <c r="D695" i="6"/>
  <c r="M695" i="6" s="1"/>
  <c r="N695" i="6" s="1"/>
  <c r="O695" i="6" s="1"/>
  <c r="D676" i="2"/>
  <c r="E676" i="2"/>
  <c r="D675" i="2"/>
  <c r="D674" i="2"/>
  <c r="E674" i="2"/>
  <c r="E675" i="2"/>
  <c r="D673" i="2"/>
  <c r="E673" i="2"/>
  <c r="D672" i="2"/>
  <c r="E672" i="2"/>
  <c r="D671" i="2"/>
  <c r="E671" i="2"/>
  <c r="D670" i="2"/>
  <c r="E670" i="2"/>
  <c r="D668" i="2"/>
  <c r="E668" i="2"/>
  <c r="D667" i="2"/>
  <c r="E667" i="2"/>
  <c r="D666" i="2"/>
  <c r="E666" i="2"/>
  <c r="D665" i="2"/>
  <c r="F693" i="6"/>
  <c r="B692" i="6"/>
  <c r="D689" i="6"/>
  <c r="M689" i="6" s="1"/>
  <c r="B688" i="6"/>
  <c r="F685" i="6"/>
  <c r="C684" i="6"/>
  <c r="D691" i="6"/>
  <c r="M691" i="6" s="1"/>
  <c r="D693" i="6"/>
  <c r="M693" i="6" s="1"/>
  <c r="D686" i="6"/>
  <c r="M686" i="6" s="1"/>
  <c r="C685" i="6"/>
  <c r="F690" i="6"/>
  <c r="C689" i="6"/>
  <c r="D685" i="6"/>
  <c r="M685" i="6" s="1"/>
  <c r="E665" i="2"/>
  <c r="C692" i="6"/>
  <c r="F689" i="6"/>
  <c r="C688" i="6"/>
  <c r="D684" i="6"/>
  <c r="M684" i="6" s="1"/>
  <c r="F684" i="6"/>
  <c r="F692" i="6"/>
  <c r="C691" i="6"/>
  <c r="F688" i="6"/>
  <c r="C687" i="6"/>
  <c r="D687" i="6"/>
  <c r="M687" i="6" s="1"/>
  <c r="B686" i="6"/>
  <c r="D692" i="6"/>
  <c r="M692" i="6" s="1"/>
  <c r="B691" i="6"/>
  <c r="D688" i="6"/>
  <c r="M688" i="6" s="1"/>
  <c r="B687" i="6"/>
  <c r="B693" i="6"/>
  <c r="B690" i="6"/>
  <c r="C693" i="6"/>
  <c r="F691" i="6"/>
  <c r="C690" i="6"/>
  <c r="F687" i="6"/>
  <c r="C686" i="6"/>
  <c r="B685" i="6"/>
  <c r="D690" i="6"/>
  <c r="M690" i="6" s="1"/>
  <c r="B689" i="6"/>
  <c r="E693" i="6"/>
  <c r="F686" i="6"/>
  <c r="B684" i="6"/>
  <c r="E691" i="6"/>
  <c r="E690" i="6"/>
  <c r="E684" i="6"/>
  <c r="E688" i="6"/>
  <c r="E689" i="6"/>
  <c r="E692" i="6"/>
  <c r="E685" i="6"/>
  <c r="E687" i="6"/>
  <c r="E686" i="6"/>
  <c r="B683" i="6"/>
  <c r="C683" i="6"/>
  <c r="D683" i="6"/>
  <c r="M683" i="6" s="1"/>
  <c r="E683" i="6"/>
  <c r="F683" i="6"/>
  <c r="B682" i="6"/>
  <c r="F681" i="6"/>
  <c r="C682" i="6"/>
  <c r="D682" i="6"/>
  <c r="M682" i="6" s="1"/>
  <c r="E682" i="6"/>
  <c r="F682" i="6"/>
  <c r="B681" i="6"/>
  <c r="E681" i="6"/>
  <c r="C681" i="6"/>
  <c r="D681" i="6"/>
  <c r="M681" i="6" s="1"/>
  <c r="B680" i="6"/>
  <c r="C680" i="6"/>
  <c r="D680" i="6"/>
  <c r="M680" i="6" s="1"/>
  <c r="E680" i="6"/>
  <c r="F680" i="6"/>
  <c r="B679" i="6"/>
  <c r="E678" i="6"/>
  <c r="C679" i="6"/>
  <c r="F678" i="6"/>
  <c r="E679" i="6"/>
  <c r="F679" i="6"/>
  <c r="B678" i="6"/>
  <c r="C678" i="6"/>
  <c r="D678" i="6"/>
  <c r="M678" i="6" s="1"/>
  <c r="B677" i="6"/>
  <c r="C677" i="6"/>
  <c r="D677" i="6"/>
  <c r="M677" i="6" s="1"/>
  <c r="E677" i="6"/>
  <c r="F677" i="6"/>
  <c r="D664" i="2"/>
  <c r="E664" i="2"/>
  <c r="D663" i="2"/>
  <c r="D661" i="2"/>
  <c r="E663" i="2"/>
  <c r="E661" i="2"/>
  <c r="D662" i="2"/>
  <c r="D660" i="2"/>
  <c r="E660" i="2"/>
  <c r="E658" i="2"/>
  <c r="D659" i="2"/>
  <c r="D658" i="2"/>
  <c r="E659" i="2"/>
  <c r="D657" i="2"/>
  <c r="D675" i="6"/>
  <c r="M675" i="6" s="1"/>
  <c r="F672" i="6"/>
  <c r="C671" i="6"/>
  <c r="D671" i="6"/>
  <c r="M671" i="6" s="1"/>
  <c r="B670" i="6"/>
  <c r="E657" i="2"/>
  <c r="E675" i="6"/>
  <c r="B674" i="6"/>
  <c r="F675" i="6"/>
  <c r="C674" i="6"/>
  <c r="F671" i="6"/>
  <c r="C670" i="6"/>
  <c r="B676" i="6"/>
  <c r="D674" i="6"/>
  <c r="M674" i="6" s="1"/>
  <c r="B673" i="6"/>
  <c r="D670" i="6"/>
  <c r="M670" i="6" s="1"/>
  <c r="B669" i="6"/>
  <c r="B675" i="6"/>
  <c r="F673" i="6"/>
  <c r="C672" i="6"/>
  <c r="C676" i="6"/>
  <c r="F674" i="6"/>
  <c r="C673" i="6"/>
  <c r="F670" i="6"/>
  <c r="C669" i="6"/>
  <c r="D673" i="6"/>
  <c r="M673" i="6" s="1"/>
  <c r="B672" i="6"/>
  <c r="D669" i="6"/>
  <c r="M669" i="6" s="1"/>
  <c r="E676" i="6"/>
  <c r="F669" i="6"/>
  <c r="D676" i="6"/>
  <c r="M676" i="6" s="1"/>
  <c r="F676" i="6"/>
  <c r="C675" i="6"/>
  <c r="D672" i="6"/>
  <c r="M672" i="6" s="1"/>
  <c r="B671" i="6"/>
  <c r="E669" i="6"/>
  <c r="E673" i="6"/>
  <c r="E670" i="6"/>
  <c r="E674" i="6"/>
  <c r="E671" i="6"/>
  <c r="E672" i="6"/>
  <c r="B668" i="6"/>
  <c r="C668" i="6"/>
  <c r="C665" i="6"/>
  <c r="D665" i="6"/>
  <c r="M665" i="6" s="1"/>
  <c r="D668" i="6"/>
  <c r="M668" i="6" s="1"/>
  <c r="F668" i="6"/>
  <c r="B667" i="6"/>
  <c r="F665" i="6"/>
  <c r="C667" i="6"/>
  <c r="B666" i="6"/>
  <c r="D667" i="6"/>
  <c r="M667" i="6" s="1"/>
  <c r="C666" i="6"/>
  <c r="F667" i="6"/>
  <c r="D666" i="6"/>
  <c r="M666" i="6" s="1"/>
  <c r="N666" i="6" s="1"/>
  <c r="O666" i="6" s="1"/>
  <c r="F666" i="6"/>
  <c r="B665" i="6"/>
  <c r="E667" i="6"/>
  <c r="E666" i="6"/>
  <c r="E665" i="6"/>
  <c r="E668" i="6"/>
  <c r="D656" i="2"/>
  <c r="E656" i="2"/>
  <c r="B664" i="6"/>
  <c r="C664" i="6"/>
  <c r="D664" i="6"/>
  <c r="M664" i="6" s="1"/>
  <c r="E664" i="6"/>
  <c r="F664" i="6"/>
  <c r="D655" i="2"/>
  <c r="E655" i="2"/>
  <c r="D654" i="2"/>
  <c r="E654" i="2"/>
  <c r="D653" i="2"/>
  <c r="E653" i="2"/>
  <c r="D652" i="2"/>
  <c r="E652" i="2"/>
  <c r="D651" i="2"/>
  <c r="D649" i="2"/>
  <c r="E651" i="2"/>
  <c r="E649" i="2"/>
  <c r="D650" i="2"/>
  <c r="E650" i="2"/>
  <c r="B663" i="6"/>
  <c r="E549" i="2"/>
  <c r="C663" i="6"/>
  <c r="D549" i="2"/>
  <c r="D663" i="6"/>
  <c r="M663" i="6" s="1"/>
  <c r="E663" i="6"/>
  <c r="F663" i="6"/>
  <c r="B662" i="6"/>
  <c r="C662" i="6"/>
  <c r="D662" i="6"/>
  <c r="M662" i="6" s="1"/>
  <c r="E662" i="6"/>
  <c r="F662" i="6"/>
  <c r="D648" i="2"/>
  <c r="E648" i="2"/>
  <c r="D647" i="2"/>
  <c r="E647" i="2"/>
  <c r="D646" i="2"/>
  <c r="E646" i="2"/>
  <c r="D645" i="2"/>
  <c r="E645" i="2"/>
  <c r="D644" i="2"/>
  <c r="E644" i="2"/>
  <c r="D643" i="2"/>
  <c r="E643" i="2"/>
  <c r="B661" i="6"/>
  <c r="F660" i="6"/>
  <c r="C659" i="6"/>
  <c r="F656" i="6"/>
  <c r="C655" i="6"/>
  <c r="D655" i="6"/>
  <c r="M655" i="6" s="1"/>
  <c r="C661" i="6"/>
  <c r="D659" i="6"/>
  <c r="M659" i="6" s="1"/>
  <c r="B658" i="6"/>
  <c r="D661" i="6"/>
  <c r="M661" i="6" s="1"/>
  <c r="F659" i="6"/>
  <c r="C658" i="6"/>
  <c r="F655" i="6"/>
  <c r="E661" i="6"/>
  <c r="D658" i="6"/>
  <c r="M658" i="6" s="1"/>
  <c r="B657" i="6"/>
  <c r="F661" i="6"/>
  <c r="B660" i="6"/>
  <c r="F658" i="6"/>
  <c r="C657" i="6"/>
  <c r="D657" i="6"/>
  <c r="M657" i="6" s="1"/>
  <c r="B656" i="6"/>
  <c r="C660" i="6"/>
  <c r="D660" i="6"/>
  <c r="M660" i="6" s="1"/>
  <c r="F657" i="6"/>
  <c r="C656" i="6"/>
  <c r="E660" i="6"/>
  <c r="B659" i="6"/>
  <c r="D656" i="6"/>
  <c r="M656" i="6" s="1"/>
  <c r="B655" i="6"/>
  <c r="E657" i="6"/>
  <c r="E658" i="6"/>
  <c r="E655" i="6"/>
  <c r="E659" i="6"/>
  <c r="E656" i="6"/>
  <c r="B654" i="6"/>
  <c r="C654" i="6"/>
  <c r="D654" i="6"/>
  <c r="M654" i="6" s="1"/>
  <c r="E654" i="6"/>
  <c r="F654" i="6"/>
  <c r="D642" i="2"/>
  <c r="E642" i="2"/>
  <c r="B653" i="6"/>
  <c r="C653" i="6"/>
  <c r="M653" i="6"/>
  <c r="E653" i="6"/>
  <c r="F653" i="6"/>
  <c r="D640" i="2"/>
  <c r="D638" i="2"/>
  <c r="E640" i="2"/>
  <c r="E638" i="2"/>
  <c r="D639" i="2"/>
  <c r="E639" i="2"/>
  <c r="D637" i="2"/>
  <c r="E637" i="2"/>
  <c r="D284" i="2"/>
  <c r="E284" i="2"/>
  <c r="D492" i="2"/>
  <c r="E492" i="2"/>
  <c r="D491" i="2"/>
  <c r="E491" i="2"/>
  <c r="D651" i="6"/>
  <c r="M651" i="6" s="1"/>
  <c r="E652" i="6"/>
  <c r="B652" i="6"/>
  <c r="E651" i="6"/>
  <c r="B651" i="6"/>
  <c r="C651" i="6"/>
  <c r="C652" i="6"/>
  <c r="F651" i="6"/>
  <c r="D652" i="6"/>
  <c r="M652" i="6" s="1"/>
  <c r="N652" i="6" s="1"/>
  <c r="O652" i="6" s="1"/>
  <c r="F652" i="6"/>
  <c r="D636" i="2"/>
  <c r="E636" i="2"/>
  <c r="D635" i="2"/>
  <c r="E635" i="2"/>
  <c r="D634" i="2"/>
  <c r="E634" i="2"/>
  <c r="D553" i="2"/>
  <c r="E553" i="2"/>
  <c r="E509" i="2"/>
  <c r="D509" i="2"/>
  <c r="D632" i="2"/>
  <c r="F650" i="6"/>
  <c r="E650" i="6"/>
  <c r="E632" i="2"/>
  <c r="B650" i="6"/>
  <c r="C650" i="6"/>
  <c r="D650" i="6"/>
  <c r="M650" i="6" s="1"/>
  <c r="D631" i="2"/>
  <c r="E631" i="2"/>
  <c r="D630" i="2"/>
  <c r="E630" i="2"/>
  <c r="D629" i="2"/>
  <c r="E629" i="2"/>
  <c r="D628" i="2"/>
  <c r="E628" i="2"/>
  <c r="B649" i="6"/>
  <c r="C649" i="6"/>
  <c r="D649" i="6"/>
  <c r="M649" i="6" s="1"/>
  <c r="E649" i="6"/>
  <c r="F649" i="6"/>
  <c r="B648" i="6"/>
  <c r="C648" i="6"/>
  <c r="D648" i="6"/>
  <c r="M648" i="6" s="1"/>
  <c r="E648" i="6"/>
  <c r="F648" i="6"/>
  <c r="D627" i="2"/>
  <c r="E627" i="2"/>
  <c r="D626" i="2"/>
  <c r="D625" i="2"/>
  <c r="E625" i="2"/>
  <c r="D624" i="2"/>
  <c r="E624" i="2"/>
  <c r="E623" i="2"/>
  <c r="D623" i="2"/>
  <c r="D622" i="2"/>
  <c r="E622" i="2"/>
  <c r="D621" i="2"/>
  <c r="E621" i="2"/>
  <c r="D620" i="2"/>
  <c r="E620" i="2"/>
  <c r="D619" i="2"/>
  <c r="E619" i="2"/>
  <c r="D618" i="2"/>
  <c r="F647" i="6"/>
  <c r="E618" i="2"/>
  <c r="B646" i="6"/>
  <c r="E645" i="6"/>
  <c r="F643" i="6"/>
  <c r="F641" i="6"/>
  <c r="C644" i="6"/>
  <c r="C642" i="6"/>
  <c r="C646" i="6"/>
  <c r="F645" i="6"/>
  <c r="B644" i="6"/>
  <c r="B642" i="6"/>
  <c r="F646" i="6"/>
  <c r="F644" i="6"/>
  <c r="F642" i="6"/>
  <c r="B641" i="6"/>
  <c r="D643" i="6"/>
  <c r="M643" i="6" s="1"/>
  <c r="D641" i="6"/>
  <c r="M641" i="6" s="1"/>
  <c r="D646" i="6"/>
  <c r="M646" i="6" s="1"/>
  <c r="D642" i="6"/>
  <c r="M642" i="6" s="1"/>
  <c r="B645" i="6"/>
  <c r="B643" i="6"/>
  <c r="B647" i="6"/>
  <c r="E646" i="6"/>
  <c r="D644" i="6"/>
  <c r="M644" i="6" s="1"/>
  <c r="C647" i="6"/>
  <c r="D647" i="6"/>
  <c r="M647" i="6" s="1"/>
  <c r="E647" i="6"/>
  <c r="C645" i="6"/>
  <c r="C643" i="6"/>
  <c r="C641" i="6"/>
  <c r="D645" i="6"/>
  <c r="M645" i="6" s="1"/>
  <c r="E642" i="6"/>
  <c r="E644" i="6"/>
  <c r="E641" i="6"/>
  <c r="E643" i="6"/>
  <c r="B640" i="6"/>
  <c r="C640" i="6"/>
  <c r="E639" i="6"/>
  <c r="D640" i="6"/>
  <c r="M640" i="6" s="1"/>
  <c r="E640" i="6"/>
  <c r="C639" i="6"/>
  <c r="D639" i="6"/>
  <c r="M639" i="6" s="1"/>
  <c r="B639" i="6"/>
  <c r="B638" i="6"/>
  <c r="E637" i="6"/>
  <c r="C638" i="6"/>
  <c r="D638" i="6"/>
  <c r="M638" i="6" s="1"/>
  <c r="B636" i="6"/>
  <c r="E638" i="6"/>
  <c r="C636" i="6"/>
  <c r="E600" i="2"/>
  <c r="D636" i="6"/>
  <c r="M636" i="6" s="1"/>
  <c r="B634" i="6"/>
  <c r="C634" i="6"/>
  <c r="B637" i="6"/>
  <c r="E636" i="6"/>
  <c r="C637" i="6"/>
  <c r="D634" i="6"/>
  <c r="M634" i="6" s="1"/>
  <c r="D637" i="6"/>
  <c r="M637" i="6" s="1"/>
  <c r="B635" i="6"/>
  <c r="C635" i="6"/>
  <c r="D635" i="6"/>
  <c r="M635" i="6" s="1"/>
  <c r="E634" i="6"/>
  <c r="E635" i="6"/>
  <c r="B633" i="6"/>
  <c r="D631" i="6"/>
  <c r="M631" i="6" s="1"/>
  <c r="C633" i="6"/>
  <c r="F631" i="6"/>
  <c r="D633" i="6"/>
  <c r="M633" i="6" s="1"/>
  <c r="E633" i="6"/>
  <c r="B631" i="6"/>
  <c r="F633" i="6"/>
  <c r="B632" i="6"/>
  <c r="D632" i="6"/>
  <c r="M632" i="6" s="1"/>
  <c r="C632" i="6"/>
  <c r="F632" i="6"/>
  <c r="C631" i="6"/>
  <c r="E631" i="6"/>
  <c r="E632" i="6"/>
  <c r="B630" i="6"/>
  <c r="F629" i="6"/>
  <c r="C628" i="6"/>
  <c r="C630" i="6"/>
  <c r="D628" i="6"/>
  <c r="M628" i="6" s="1"/>
  <c r="B627" i="6"/>
  <c r="D630" i="6"/>
  <c r="M630" i="6" s="1"/>
  <c r="F628" i="6"/>
  <c r="C627" i="6"/>
  <c r="E630" i="6"/>
  <c r="D627" i="6"/>
  <c r="M627" i="6" s="1"/>
  <c r="F630" i="6"/>
  <c r="B629" i="6"/>
  <c r="F627" i="6"/>
  <c r="C629" i="6"/>
  <c r="D629" i="6"/>
  <c r="M629" i="6" s="1"/>
  <c r="E629" i="6"/>
  <c r="B628" i="6"/>
  <c r="E627" i="6"/>
  <c r="E628" i="6"/>
  <c r="D617" i="2"/>
  <c r="E617" i="2"/>
  <c r="D616" i="2"/>
  <c r="E616" i="2"/>
  <c r="D615" i="2"/>
  <c r="E615" i="2"/>
  <c r="D614" i="2"/>
  <c r="E614" i="2"/>
  <c r="D613" i="2"/>
  <c r="E613" i="2"/>
  <c r="D612" i="2"/>
  <c r="E612" i="2"/>
  <c r="D611" i="2"/>
  <c r="E611" i="2"/>
  <c r="D610" i="2"/>
  <c r="E610" i="2"/>
  <c r="B626" i="6"/>
  <c r="C626" i="6"/>
  <c r="D626" i="6"/>
  <c r="M626" i="6" s="1"/>
  <c r="E626" i="6"/>
  <c r="F626" i="6"/>
  <c r="D519" i="2"/>
  <c r="E519" i="2"/>
  <c r="D586" i="2"/>
  <c r="E586" i="2"/>
  <c r="D552" i="2"/>
  <c r="E552" i="2"/>
  <c r="D518" i="2"/>
  <c r="E518" i="2"/>
  <c r="D517" i="2"/>
  <c r="E517" i="2"/>
  <c r="D505" i="2"/>
  <c r="E505" i="2"/>
  <c r="D423" i="2"/>
  <c r="E423" i="2"/>
  <c r="D403" i="2"/>
  <c r="E403" i="2"/>
  <c r="E465" i="2"/>
  <c r="B625" i="6"/>
  <c r="B623" i="6"/>
  <c r="C625" i="6"/>
  <c r="C623" i="6"/>
  <c r="D625" i="6"/>
  <c r="M625" i="6" s="1"/>
  <c r="D623" i="6"/>
  <c r="M623" i="6" s="1"/>
  <c r="E625" i="6"/>
  <c r="F623" i="6"/>
  <c r="F625" i="6"/>
  <c r="B624" i="6"/>
  <c r="C624" i="6"/>
  <c r="D624" i="6"/>
  <c r="M624" i="6" s="1"/>
  <c r="N624" i="6" s="1"/>
  <c r="O624" i="6" s="1"/>
  <c r="F624" i="6"/>
  <c r="E623" i="6"/>
  <c r="E624" i="6"/>
  <c r="D609" i="2"/>
  <c r="E609" i="2"/>
  <c r="B622" i="6"/>
  <c r="C622" i="6"/>
  <c r="D622" i="6"/>
  <c r="M622" i="6" s="1"/>
  <c r="E622" i="6"/>
  <c r="F622" i="6"/>
  <c r="F621" i="6"/>
  <c r="B621" i="6"/>
  <c r="C621" i="6"/>
  <c r="D621" i="6"/>
  <c r="M621" i="6" s="1"/>
  <c r="E621" i="6"/>
  <c r="E604" i="2"/>
  <c r="D608" i="2"/>
  <c r="E608" i="2"/>
  <c r="D607" i="2"/>
  <c r="E607" i="2"/>
  <c r="D606" i="2"/>
  <c r="E606" i="2"/>
  <c r="D605" i="2"/>
  <c r="E605" i="2"/>
  <c r="D604" i="2"/>
  <c r="D603" i="2"/>
  <c r="E603" i="2"/>
  <c r="D602" i="2"/>
  <c r="E602" i="2"/>
  <c r="D601" i="2"/>
  <c r="E601" i="2"/>
  <c r="D600" i="2"/>
  <c r="D599" i="2"/>
  <c r="E599" i="2"/>
  <c r="B620" i="6"/>
  <c r="E619" i="6"/>
  <c r="E617" i="6"/>
  <c r="D614" i="6"/>
  <c r="M614" i="6" s="1"/>
  <c r="C611" i="6"/>
  <c r="C620" i="6"/>
  <c r="F619" i="6"/>
  <c r="F617" i="6"/>
  <c r="B616" i="6"/>
  <c r="F614" i="6"/>
  <c r="B613" i="6"/>
  <c r="D611" i="6"/>
  <c r="M611" i="6" s="1"/>
  <c r="B611" i="6"/>
  <c r="D620" i="6"/>
  <c r="M620" i="6" s="1"/>
  <c r="B618" i="6"/>
  <c r="C616" i="6"/>
  <c r="C613" i="6"/>
  <c r="F611" i="6"/>
  <c r="B610" i="6"/>
  <c r="E620" i="6"/>
  <c r="C618" i="6"/>
  <c r="D616" i="6"/>
  <c r="M616" i="6" s="1"/>
  <c r="B615" i="6"/>
  <c r="D613" i="6"/>
  <c r="M613" i="6" s="1"/>
  <c r="C610" i="6"/>
  <c r="F612" i="6"/>
  <c r="F620" i="6"/>
  <c r="D618" i="6"/>
  <c r="M618" i="6" s="1"/>
  <c r="F616" i="6"/>
  <c r="C615" i="6"/>
  <c r="F613" i="6"/>
  <c r="B612" i="6"/>
  <c r="D610" i="6"/>
  <c r="M610" i="6" s="1"/>
  <c r="C619" i="6"/>
  <c r="B614" i="6"/>
  <c r="D612" i="6"/>
  <c r="M612" i="6" s="1"/>
  <c r="B619" i="6"/>
  <c r="F618" i="6"/>
  <c r="B617" i="6"/>
  <c r="D615" i="6"/>
  <c r="M615" i="6" s="1"/>
  <c r="C612" i="6"/>
  <c r="F610" i="6"/>
  <c r="C617" i="6"/>
  <c r="F615" i="6"/>
  <c r="D619" i="6"/>
  <c r="M619" i="6" s="1"/>
  <c r="D617" i="6"/>
  <c r="M617" i="6" s="1"/>
  <c r="C614" i="6"/>
  <c r="E615" i="6"/>
  <c r="E613" i="6"/>
  <c r="E616" i="6"/>
  <c r="E614" i="6"/>
  <c r="E611" i="6"/>
  <c r="E610" i="6"/>
  <c r="E618" i="6"/>
  <c r="E612" i="6"/>
  <c r="B609" i="6"/>
  <c r="F608" i="6"/>
  <c r="C607" i="6"/>
  <c r="C609" i="6"/>
  <c r="D607" i="6"/>
  <c r="M607" i="6" s="1"/>
  <c r="D609" i="6"/>
  <c r="M609" i="6" s="1"/>
  <c r="E607" i="6"/>
  <c r="E609" i="6"/>
  <c r="F607" i="6"/>
  <c r="F609" i="6"/>
  <c r="B608" i="6"/>
  <c r="C608" i="6"/>
  <c r="D608" i="6"/>
  <c r="M608" i="6" s="1"/>
  <c r="E608" i="6"/>
  <c r="B607" i="6"/>
  <c r="B606" i="6"/>
  <c r="C606" i="6"/>
  <c r="D606" i="6"/>
  <c r="M606" i="6" s="1"/>
  <c r="E606" i="6"/>
  <c r="F606" i="6"/>
  <c r="D597" i="2"/>
  <c r="D595" i="2"/>
  <c r="E597" i="2"/>
  <c r="E595" i="2"/>
  <c r="D598" i="2"/>
  <c r="E596" i="2"/>
  <c r="D596" i="2"/>
  <c r="E598" i="2"/>
  <c r="D594" i="2"/>
  <c r="E594" i="2"/>
  <c r="D593" i="2"/>
  <c r="E591" i="2"/>
  <c r="E589" i="2"/>
  <c r="E593" i="2"/>
  <c r="D590" i="2"/>
  <c r="E590" i="2"/>
  <c r="D589" i="2"/>
  <c r="D592" i="2"/>
  <c r="E592" i="2"/>
  <c r="D591" i="2"/>
  <c r="D588" i="2"/>
  <c r="E588" i="2"/>
  <c r="D587" i="2"/>
  <c r="E587" i="2"/>
  <c r="D585" i="2"/>
  <c r="D583" i="2"/>
  <c r="E585" i="2"/>
  <c r="E583" i="2"/>
  <c r="D584" i="2"/>
  <c r="E584" i="2"/>
  <c r="D582" i="2"/>
  <c r="E582" i="2"/>
  <c r="D581" i="2"/>
  <c r="E581" i="2"/>
  <c r="D580" i="2"/>
  <c r="E580" i="2"/>
  <c r="D579" i="2"/>
  <c r="E579" i="2"/>
  <c r="B605" i="6"/>
  <c r="C605" i="6"/>
  <c r="D605" i="6"/>
  <c r="M605" i="6" s="1"/>
  <c r="E605" i="6"/>
  <c r="F605" i="6"/>
  <c r="B604" i="6"/>
  <c r="F603" i="6"/>
  <c r="C602" i="6"/>
  <c r="C604" i="6"/>
  <c r="D602" i="6"/>
  <c r="M602" i="6" s="1"/>
  <c r="D604" i="6"/>
  <c r="M604" i="6" s="1"/>
  <c r="F602" i="6"/>
  <c r="E604" i="6"/>
  <c r="F604" i="6"/>
  <c r="B603" i="6"/>
  <c r="C603" i="6"/>
  <c r="D603" i="6"/>
  <c r="M603" i="6" s="1"/>
  <c r="E603" i="6"/>
  <c r="B602" i="6"/>
  <c r="E602" i="6"/>
  <c r="B601" i="6"/>
  <c r="F599" i="6"/>
  <c r="C598" i="6"/>
  <c r="C601" i="6"/>
  <c r="D598" i="6"/>
  <c r="M598" i="6" s="1"/>
  <c r="B597" i="6"/>
  <c r="D601" i="6"/>
  <c r="M601" i="6" s="1"/>
  <c r="F598" i="6"/>
  <c r="C597" i="6"/>
  <c r="F601" i="6"/>
  <c r="B600" i="6"/>
  <c r="D597" i="6"/>
  <c r="M597" i="6" s="1"/>
  <c r="B596" i="6"/>
  <c r="C600" i="6"/>
  <c r="F597" i="6"/>
  <c r="C596" i="6"/>
  <c r="D600" i="6"/>
  <c r="M600" i="6" s="1"/>
  <c r="B599" i="6"/>
  <c r="D596" i="6"/>
  <c r="M596" i="6" s="1"/>
  <c r="F600" i="6"/>
  <c r="C599" i="6"/>
  <c r="F596" i="6"/>
  <c r="D599" i="6"/>
  <c r="M599" i="6" s="1"/>
  <c r="B598" i="6"/>
  <c r="E596" i="6"/>
  <c r="E600" i="6"/>
  <c r="E597" i="6"/>
  <c r="E601" i="6"/>
  <c r="E598" i="6"/>
  <c r="E599" i="6"/>
  <c r="B595" i="6"/>
  <c r="C595" i="6"/>
  <c r="D595" i="6"/>
  <c r="M595" i="6" s="1"/>
  <c r="D594" i="6"/>
  <c r="M594" i="6" s="1"/>
  <c r="E595" i="6"/>
  <c r="B594" i="6"/>
  <c r="F595" i="6"/>
  <c r="C594" i="6"/>
  <c r="F594" i="6"/>
  <c r="E594" i="6"/>
  <c r="B593" i="6"/>
  <c r="C593" i="6"/>
  <c r="D593" i="6"/>
  <c r="M593" i="6" s="1"/>
  <c r="E593" i="6"/>
  <c r="F593" i="6"/>
  <c r="D577" i="2"/>
  <c r="E577" i="2"/>
  <c r="D576" i="2"/>
  <c r="D575" i="2"/>
  <c r="E576" i="2"/>
  <c r="E575" i="2"/>
  <c r="B592" i="6"/>
  <c r="C592" i="6"/>
  <c r="D592" i="6"/>
  <c r="M592" i="6" s="1"/>
  <c r="E592" i="6"/>
  <c r="F592" i="6"/>
  <c r="B591" i="6"/>
  <c r="C591" i="6"/>
  <c r="D591" i="6"/>
  <c r="M591" i="6" s="1"/>
  <c r="E591" i="6"/>
  <c r="F591" i="6"/>
  <c r="B590" i="6"/>
  <c r="F589" i="6"/>
  <c r="C590" i="6"/>
  <c r="D590" i="6"/>
  <c r="M590" i="6" s="1"/>
  <c r="E590" i="6"/>
  <c r="F590" i="6"/>
  <c r="B589" i="6"/>
  <c r="C589" i="6"/>
  <c r="D589" i="6"/>
  <c r="M589" i="6" s="1"/>
  <c r="E589" i="6"/>
  <c r="B588" i="6"/>
  <c r="D586" i="6"/>
  <c r="M586" i="6" s="1"/>
  <c r="F583" i="6"/>
  <c r="C588" i="6"/>
  <c r="E586" i="6"/>
  <c r="B585" i="6"/>
  <c r="D588" i="6"/>
  <c r="M588" i="6" s="1"/>
  <c r="F586" i="6"/>
  <c r="C585" i="6"/>
  <c r="E588" i="6"/>
  <c r="D585" i="6"/>
  <c r="M585" i="6" s="1"/>
  <c r="B584" i="6"/>
  <c r="F588" i="6"/>
  <c r="B587" i="6"/>
  <c r="F585" i="6"/>
  <c r="C584" i="6"/>
  <c r="C587" i="6"/>
  <c r="D584" i="6"/>
  <c r="M584" i="6" s="1"/>
  <c r="B583" i="6"/>
  <c r="D587" i="6"/>
  <c r="M587" i="6" s="1"/>
  <c r="B586" i="6"/>
  <c r="F584" i="6"/>
  <c r="C583" i="6"/>
  <c r="F587" i="6"/>
  <c r="C586" i="6"/>
  <c r="D583" i="6"/>
  <c r="M583" i="6" s="1"/>
  <c r="E584" i="6"/>
  <c r="E585" i="6"/>
  <c r="E583" i="6"/>
  <c r="E587" i="6"/>
  <c r="D574" i="2"/>
  <c r="E574" i="2"/>
  <c r="D573" i="2"/>
  <c r="E573" i="2"/>
  <c r="D572" i="2"/>
  <c r="E572" i="2"/>
  <c r="D571" i="2"/>
  <c r="E571" i="2"/>
  <c r="D570" i="2"/>
  <c r="E570" i="2"/>
  <c r="D569" i="2"/>
  <c r="E569" i="2"/>
  <c r="D568" i="2"/>
  <c r="E568" i="2"/>
  <c r="D567" i="2"/>
  <c r="D566" i="2"/>
  <c r="E567" i="2"/>
  <c r="E566" i="2"/>
  <c r="E564" i="2"/>
  <c r="D564" i="2"/>
  <c r="D565" i="2"/>
  <c r="E565" i="2"/>
  <c r="D563" i="2"/>
  <c r="D562" i="2"/>
  <c r="E562" i="2"/>
  <c r="E563" i="2"/>
  <c r="D561" i="2"/>
  <c r="E561" i="2"/>
  <c r="D560" i="2"/>
  <c r="E560" i="2"/>
  <c r="D559" i="2"/>
  <c r="D484" i="2"/>
  <c r="E559" i="2"/>
  <c r="E484" i="2"/>
  <c r="D485" i="2"/>
  <c r="E485" i="2"/>
  <c r="D483" i="2"/>
  <c r="E483" i="2"/>
  <c r="E482" i="2"/>
  <c r="D482" i="2"/>
  <c r="D481" i="2"/>
  <c r="E481" i="2"/>
  <c r="D480" i="2"/>
  <c r="D479" i="2"/>
  <c r="E480" i="2"/>
  <c r="E479" i="2"/>
  <c r="D478" i="2"/>
  <c r="E478" i="2"/>
  <c r="D477" i="2"/>
  <c r="E477" i="2"/>
  <c r="D476" i="2"/>
  <c r="E476" i="2"/>
  <c r="D475" i="2"/>
  <c r="E475" i="2"/>
  <c r="B582" i="6"/>
  <c r="C582" i="6"/>
  <c r="D582" i="6"/>
  <c r="M582" i="6" s="1"/>
  <c r="E582" i="6"/>
  <c r="F582" i="6"/>
  <c r="D474" i="2"/>
  <c r="E474" i="2"/>
  <c r="D473" i="2"/>
  <c r="E473" i="2"/>
  <c r="D513" i="2"/>
  <c r="E513" i="2"/>
  <c r="D512" i="2"/>
  <c r="E510" i="2"/>
  <c r="E512" i="2"/>
  <c r="D511" i="2"/>
  <c r="E511" i="2"/>
  <c r="D510" i="2"/>
  <c r="D508" i="2"/>
  <c r="E508" i="2"/>
  <c r="D507" i="2"/>
  <c r="E507" i="2"/>
  <c r="D506" i="2"/>
  <c r="E506" i="2"/>
  <c r="D504" i="2"/>
  <c r="E504" i="2"/>
  <c r="D448" i="2"/>
  <c r="D446" i="2"/>
  <c r="E446" i="2"/>
  <c r="D445" i="2"/>
  <c r="E445" i="2"/>
  <c r="D444" i="2"/>
  <c r="E444" i="2"/>
  <c r="D443" i="2"/>
  <c r="E443" i="2"/>
  <c r="D442" i="2"/>
  <c r="E442" i="2"/>
  <c r="D440" i="2"/>
  <c r="E440" i="2"/>
  <c r="D441" i="2"/>
  <c r="E441" i="2"/>
  <c r="D438" i="2"/>
  <c r="E438" i="2"/>
  <c r="D439" i="2"/>
  <c r="E439" i="2"/>
  <c r="D437" i="2"/>
  <c r="E437" i="2"/>
  <c r="D436" i="2"/>
  <c r="E436" i="2"/>
  <c r="D435" i="2"/>
  <c r="E435" i="2"/>
  <c r="D434" i="2"/>
  <c r="E434" i="2"/>
  <c r="D433" i="2"/>
  <c r="E433" i="2"/>
  <c r="D432" i="2"/>
  <c r="E432" i="2"/>
  <c r="D431" i="2"/>
  <c r="E431" i="2"/>
  <c r="D430" i="2"/>
  <c r="E430" i="2"/>
  <c r="D429" i="2"/>
  <c r="E429" i="2"/>
  <c r="D428" i="2"/>
  <c r="E428" i="2"/>
  <c r="D427" i="2"/>
  <c r="E427" i="2"/>
  <c r="D426" i="2"/>
  <c r="E426" i="2"/>
  <c r="D425" i="2"/>
  <c r="E425" i="2"/>
  <c r="D424" i="2"/>
  <c r="E424" i="2"/>
  <c r="D422" i="2"/>
  <c r="E422" i="2"/>
  <c r="D421" i="2"/>
  <c r="E421" i="2"/>
  <c r="D420" i="2"/>
  <c r="E420" i="2"/>
  <c r="D419" i="2"/>
  <c r="D418" i="2"/>
  <c r="E419" i="2"/>
  <c r="E418" i="2"/>
  <c r="D417" i="2"/>
  <c r="E417" i="2"/>
  <c r="D416" i="2"/>
  <c r="E416" i="2"/>
  <c r="D415" i="2"/>
  <c r="E415" i="2"/>
  <c r="D414" i="2"/>
  <c r="D412" i="2"/>
  <c r="E414" i="2"/>
  <c r="E412" i="2"/>
  <c r="D413" i="2"/>
  <c r="E413" i="2"/>
  <c r="D411" i="2"/>
  <c r="E411" i="2"/>
  <c r="D410" i="2"/>
  <c r="E410" i="2"/>
  <c r="D409" i="2"/>
  <c r="E409" i="2"/>
  <c r="D408" i="2"/>
  <c r="E408" i="2"/>
  <c r="D407" i="2"/>
  <c r="E407" i="2"/>
  <c r="D406" i="2"/>
  <c r="E406" i="2"/>
  <c r="D405" i="2"/>
  <c r="E405" i="2"/>
  <c r="D404" i="2"/>
  <c r="E404" i="2"/>
  <c r="D400" i="2"/>
  <c r="E400" i="2"/>
  <c r="D402" i="2"/>
  <c r="E402" i="2"/>
  <c r="D401" i="2"/>
  <c r="E401" i="2"/>
  <c r="D558" i="2"/>
  <c r="E558" i="2"/>
  <c r="D557" i="2"/>
  <c r="E557" i="2"/>
  <c r="D556" i="2"/>
  <c r="E556" i="2"/>
  <c r="D555" i="2"/>
  <c r="E555" i="2"/>
  <c r="D554" i="2"/>
  <c r="D550" i="2"/>
  <c r="E554" i="2"/>
  <c r="E550" i="2"/>
  <c r="D551" i="2"/>
  <c r="E551" i="2"/>
  <c r="D548" i="2"/>
  <c r="E548" i="2"/>
  <c r="D547" i="2"/>
  <c r="E547" i="2"/>
  <c r="D546" i="2"/>
  <c r="E546" i="2"/>
  <c r="D545" i="2"/>
  <c r="E545" i="2"/>
  <c r="D544" i="2"/>
  <c r="E544" i="2"/>
  <c r="D543" i="2"/>
  <c r="E543" i="2"/>
  <c r="E542" i="2"/>
  <c r="D542" i="2"/>
  <c r="D541" i="2"/>
  <c r="E541" i="2"/>
  <c r="D540" i="2"/>
  <c r="D496" i="2"/>
  <c r="D538" i="2"/>
  <c r="E540" i="2"/>
  <c r="E496" i="2"/>
  <c r="E538" i="2"/>
  <c r="D539" i="2"/>
  <c r="E539" i="2"/>
  <c r="D500" i="2"/>
  <c r="E500" i="2"/>
  <c r="D537" i="2"/>
  <c r="E537" i="2"/>
  <c r="D536" i="2"/>
  <c r="E536" i="2"/>
  <c r="D535" i="2"/>
  <c r="E535" i="2"/>
  <c r="D534" i="2"/>
  <c r="E534" i="2"/>
  <c r="D533" i="2"/>
  <c r="E533" i="2"/>
  <c r="D532" i="2"/>
  <c r="E532" i="2"/>
  <c r="D531" i="2"/>
  <c r="E531" i="2"/>
  <c r="D530" i="2"/>
  <c r="E530" i="2"/>
  <c r="D529" i="2"/>
  <c r="E529" i="2"/>
  <c r="D528" i="2"/>
  <c r="E528" i="2"/>
  <c r="D527" i="2"/>
  <c r="E527" i="2"/>
  <c r="D526" i="2"/>
  <c r="E526" i="2"/>
  <c r="D525" i="2"/>
  <c r="E525" i="2"/>
  <c r="D524" i="2"/>
  <c r="E523" i="2"/>
  <c r="E524" i="2"/>
  <c r="D523" i="2"/>
  <c r="D522" i="2"/>
  <c r="E522" i="2"/>
  <c r="D520" i="2"/>
  <c r="E520" i="2"/>
  <c r="D516" i="2"/>
  <c r="D515" i="2"/>
  <c r="E516" i="2"/>
  <c r="E515" i="2"/>
  <c r="D514" i="2"/>
  <c r="E514" i="2"/>
  <c r="D503" i="2"/>
  <c r="E503" i="2"/>
  <c r="D502" i="2"/>
  <c r="D499" i="2"/>
  <c r="D498" i="2"/>
  <c r="E501" i="2"/>
  <c r="E502" i="2"/>
  <c r="E499" i="2"/>
  <c r="D501" i="2"/>
  <c r="E498" i="2"/>
  <c r="D497" i="2"/>
  <c r="E497" i="2"/>
  <c r="D495" i="2"/>
  <c r="E495" i="2"/>
  <c r="D494" i="2"/>
  <c r="E494" i="2"/>
  <c r="D466" i="2"/>
  <c r="E466" i="2"/>
  <c r="D490" i="2"/>
  <c r="E490" i="2"/>
  <c r="D489" i="2"/>
  <c r="D487" i="2"/>
  <c r="D488" i="2"/>
  <c r="E489" i="2"/>
  <c r="E487" i="2"/>
  <c r="E488" i="2"/>
  <c r="D486" i="2"/>
  <c r="E486" i="2"/>
  <c r="D472" i="2"/>
  <c r="D470" i="2"/>
  <c r="D469" i="2"/>
  <c r="E469" i="2"/>
  <c r="E472" i="2"/>
  <c r="E470" i="2"/>
  <c r="D471" i="2"/>
  <c r="E471" i="2"/>
  <c r="D468" i="2"/>
  <c r="E468" i="2"/>
  <c r="D467" i="2"/>
  <c r="E467" i="2"/>
  <c r="D461" i="2"/>
  <c r="E461" i="2"/>
  <c r="D464" i="2"/>
  <c r="E464" i="2"/>
  <c r="D463" i="2"/>
  <c r="E463" i="2"/>
  <c r="D462" i="2"/>
  <c r="E462" i="2"/>
  <c r="D452" i="2"/>
  <c r="F581" i="6"/>
  <c r="B580" i="6"/>
  <c r="E452" i="2"/>
  <c r="C580" i="6"/>
  <c r="D580" i="6"/>
  <c r="M580" i="6" s="1"/>
  <c r="B579" i="6"/>
  <c r="F580" i="6"/>
  <c r="C579" i="6"/>
  <c r="B581" i="6"/>
  <c r="D579" i="6"/>
  <c r="M579" i="6" s="1"/>
  <c r="B578" i="6"/>
  <c r="F578" i="6"/>
  <c r="C581" i="6"/>
  <c r="F579" i="6"/>
  <c r="C578" i="6"/>
  <c r="E581" i="6"/>
  <c r="D581" i="6"/>
  <c r="M581" i="6" s="1"/>
  <c r="D578" i="6"/>
  <c r="M578" i="6" s="1"/>
  <c r="E579" i="6"/>
  <c r="E580" i="6"/>
  <c r="E578" i="6"/>
  <c r="B577" i="6"/>
  <c r="F576" i="6"/>
  <c r="D576" i="6"/>
  <c r="M576" i="6" s="1"/>
  <c r="C577" i="6"/>
  <c r="D577" i="6"/>
  <c r="M577" i="6" s="1"/>
  <c r="E577" i="6"/>
  <c r="F577" i="6"/>
  <c r="B576" i="6"/>
  <c r="C576" i="6"/>
  <c r="E576" i="6"/>
  <c r="B575" i="6"/>
  <c r="F574" i="6"/>
  <c r="C573" i="6"/>
  <c r="C575" i="6"/>
  <c r="D573" i="6"/>
  <c r="M573" i="6" s="1"/>
  <c r="B572" i="6"/>
  <c r="D575" i="6"/>
  <c r="M575" i="6" s="1"/>
  <c r="F573" i="6"/>
  <c r="C572" i="6"/>
  <c r="E575" i="6"/>
  <c r="D572" i="6"/>
  <c r="M572" i="6" s="1"/>
  <c r="F575" i="6"/>
  <c r="B574" i="6"/>
  <c r="F572" i="6"/>
  <c r="C574" i="6"/>
  <c r="D574" i="6"/>
  <c r="M574" i="6" s="1"/>
  <c r="E574" i="6"/>
  <c r="B573" i="6"/>
  <c r="E572" i="6"/>
  <c r="E573" i="6"/>
  <c r="B571" i="6"/>
  <c r="E570" i="6"/>
  <c r="D568" i="6"/>
  <c r="M568" i="6" s="1"/>
  <c r="C567" i="6"/>
  <c r="D563" i="6"/>
  <c r="M563" i="6" s="1"/>
  <c r="C562" i="6"/>
  <c r="C571" i="6"/>
  <c r="F570" i="6"/>
  <c r="F568" i="6"/>
  <c r="D567" i="6"/>
  <c r="M567" i="6" s="1"/>
  <c r="B566" i="6"/>
  <c r="F563" i="6"/>
  <c r="D562" i="6"/>
  <c r="M562" i="6" s="1"/>
  <c r="D571" i="6"/>
  <c r="M571" i="6" s="1"/>
  <c r="N571" i="6" s="1"/>
  <c r="O571" i="6" s="1"/>
  <c r="B569" i="6"/>
  <c r="F567" i="6"/>
  <c r="C566" i="6"/>
  <c r="F562" i="6"/>
  <c r="E571" i="6"/>
  <c r="C569" i="6"/>
  <c r="D566" i="6"/>
  <c r="M566" i="6" s="1"/>
  <c r="B565" i="6"/>
  <c r="F571" i="6"/>
  <c r="D569" i="6"/>
  <c r="M569" i="6" s="1"/>
  <c r="F566" i="6"/>
  <c r="C565" i="6"/>
  <c r="B564" i="6"/>
  <c r="B570" i="6"/>
  <c r="E569" i="6"/>
  <c r="D565" i="6"/>
  <c r="M565" i="6" s="1"/>
  <c r="C564" i="6"/>
  <c r="C570" i="6"/>
  <c r="F569" i="6"/>
  <c r="B568" i="6"/>
  <c r="F565" i="6"/>
  <c r="D564" i="6"/>
  <c r="M564" i="6" s="1"/>
  <c r="B563" i="6"/>
  <c r="D570" i="6"/>
  <c r="M570" i="6" s="1"/>
  <c r="N570" i="6" s="1"/>
  <c r="O570" i="6" s="1"/>
  <c r="C568" i="6"/>
  <c r="B567" i="6"/>
  <c r="F564" i="6"/>
  <c r="C563" i="6"/>
  <c r="B562" i="6"/>
  <c r="E565" i="6"/>
  <c r="E566" i="6"/>
  <c r="E562" i="6"/>
  <c r="E567" i="6"/>
  <c r="E563" i="6"/>
  <c r="E568" i="6"/>
  <c r="E564" i="6"/>
  <c r="B561" i="6"/>
  <c r="D559" i="6"/>
  <c r="M559" i="6" s="1"/>
  <c r="B558" i="6"/>
  <c r="D555" i="6"/>
  <c r="M555" i="6" s="1"/>
  <c r="B554" i="6"/>
  <c r="D551" i="6"/>
  <c r="M551" i="6" s="1"/>
  <c r="C561" i="6"/>
  <c r="F559" i="6"/>
  <c r="C558" i="6"/>
  <c r="F555" i="6"/>
  <c r="C554" i="6"/>
  <c r="F551" i="6"/>
  <c r="B550" i="6"/>
  <c r="D548" i="6"/>
  <c r="M548" i="6" s="1"/>
  <c r="N548" i="6" s="1"/>
  <c r="O548" i="6" s="1"/>
  <c r="F546" i="6"/>
  <c r="D561" i="6"/>
  <c r="M561" i="6" s="1"/>
  <c r="D558" i="6"/>
  <c r="M558" i="6" s="1"/>
  <c r="B557" i="6"/>
  <c r="D554" i="6"/>
  <c r="M554" i="6" s="1"/>
  <c r="B553" i="6"/>
  <c r="C550" i="6"/>
  <c r="F548" i="6"/>
  <c r="B545" i="6"/>
  <c r="F543" i="6"/>
  <c r="C542" i="6"/>
  <c r="E561" i="6"/>
  <c r="F558" i="6"/>
  <c r="C557" i="6"/>
  <c r="F554" i="6"/>
  <c r="C553" i="6"/>
  <c r="D550" i="6"/>
  <c r="M550" i="6" s="1"/>
  <c r="B547" i="6"/>
  <c r="C545" i="6"/>
  <c r="D542" i="6"/>
  <c r="M542" i="6" s="1"/>
  <c r="N542" i="6" s="1"/>
  <c r="O542" i="6" s="1"/>
  <c r="F561" i="6"/>
  <c r="B560" i="6"/>
  <c r="D557" i="6"/>
  <c r="M557" i="6" s="1"/>
  <c r="B556" i="6"/>
  <c r="D553" i="6"/>
  <c r="M553" i="6" s="1"/>
  <c r="B552" i="6"/>
  <c r="F550" i="6"/>
  <c r="B549" i="6"/>
  <c r="C547" i="6"/>
  <c r="D545" i="6"/>
  <c r="M545" i="6" s="1"/>
  <c r="F542" i="6"/>
  <c r="B541" i="6"/>
  <c r="C560" i="6"/>
  <c r="F557" i="6"/>
  <c r="C556" i="6"/>
  <c r="F553" i="6"/>
  <c r="C552" i="6"/>
  <c r="C549" i="6"/>
  <c r="D547" i="6"/>
  <c r="M547" i="6" s="1"/>
  <c r="F545" i="6"/>
  <c r="B544" i="6"/>
  <c r="D560" i="6"/>
  <c r="M560" i="6" s="1"/>
  <c r="B559" i="6"/>
  <c r="D556" i="6"/>
  <c r="M556" i="6" s="1"/>
  <c r="B555" i="6"/>
  <c r="D552" i="6"/>
  <c r="M552" i="6" s="1"/>
  <c r="B551" i="6"/>
  <c r="D549" i="6"/>
  <c r="M549" i="6" s="1"/>
  <c r="F547" i="6"/>
  <c r="B546" i="6"/>
  <c r="C544" i="6"/>
  <c r="C541" i="6"/>
  <c r="F560" i="6"/>
  <c r="C559" i="6"/>
  <c r="F556" i="6"/>
  <c r="C555" i="6"/>
  <c r="F552" i="6"/>
  <c r="C551" i="6"/>
  <c r="F549" i="6"/>
  <c r="B548" i="6"/>
  <c r="C546" i="6"/>
  <c r="D544" i="6"/>
  <c r="M544" i="6" s="1"/>
  <c r="B543" i="6"/>
  <c r="D541" i="6"/>
  <c r="M541" i="6" s="1"/>
  <c r="C548" i="6"/>
  <c r="D546" i="6"/>
  <c r="M546" i="6" s="1"/>
  <c r="N546" i="6" s="1"/>
  <c r="O546" i="6" s="1"/>
  <c r="F544" i="6"/>
  <c r="C543" i="6"/>
  <c r="F541" i="6"/>
  <c r="D543" i="6"/>
  <c r="M543" i="6" s="1"/>
  <c r="B542" i="6"/>
  <c r="E541" i="6"/>
  <c r="E550" i="6"/>
  <c r="E560" i="6"/>
  <c r="E549" i="6"/>
  <c r="E554" i="6"/>
  <c r="E546" i="6"/>
  <c r="E542" i="6"/>
  <c r="E552" i="6"/>
  <c r="E558" i="6"/>
  <c r="E548" i="6"/>
  <c r="E547" i="6"/>
  <c r="E543" i="6"/>
  <c r="E544" i="6"/>
  <c r="E551" i="6"/>
  <c r="E545" i="6"/>
  <c r="E555" i="6"/>
  <c r="E553" i="6"/>
  <c r="E559" i="6"/>
  <c r="E557" i="6"/>
  <c r="E556" i="6"/>
  <c r="B540" i="6"/>
  <c r="E539" i="6"/>
  <c r="F537" i="6"/>
  <c r="C536" i="6"/>
  <c r="D536" i="6"/>
  <c r="M536" i="6" s="1"/>
  <c r="B535" i="6"/>
  <c r="C540" i="6"/>
  <c r="F539" i="6"/>
  <c r="D540" i="6"/>
  <c r="M540" i="6" s="1"/>
  <c r="N540" i="6" s="1"/>
  <c r="O540" i="6" s="1"/>
  <c r="B538" i="6"/>
  <c r="F536" i="6"/>
  <c r="C535" i="6"/>
  <c r="E540" i="6"/>
  <c r="C538" i="6"/>
  <c r="D535" i="6"/>
  <c r="M535" i="6" s="1"/>
  <c r="B534" i="6"/>
  <c r="F540" i="6"/>
  <c r="D538" i="6"/>
  <c r="M538" i="6" s="1"/>
  <c r="F535" i="6"/>
  <c r="C534" i="6"/>
  <c r="B539" i="6"/>
  <c r="E538" i="6"/>
  <c r="B537" i="6"/>
  <c r="C539" i="6"/>
  <c r="F538" i="6"/>
  <c r="C537" i="6"/>
  <c r="F534" i="6"/>
  <c r="D539" i="6"/>
  <c r="M539" i="6" s="1"/>
  <c r="D537" i="6"/>
  <c r="M537" i="6" s="1"/>
  <c r="B536" i="6"/>
  <c r="D534" i="6"/>
  <c r="M534" i="6" s="1"/>
  <c r="E534" i="6"/>
  <c r="E535" i="6"/>
  <c r="E536" i="6"/>
  <c r="E537" i="6"/>
  <c r="B533" i="6"/>
  <c r="C533" i="6"/>
  <c r="D533" i="6"/>
  <c r="M533" i="6" s="1"/>
  <c r="E533" i="6"/>
  <c r="F533" i="6"/>
  <c r="B532" i="6"/>
  <c r="F531" i="6"/>
  <c r="B530" i="6"/>
  <c r="D527" i="6"/>
  <c r="M527" i="6" s="1"/>
  <c r="B526" i="6"/>
  <c r="B525" i="6"/>
  <c r="C532" i="6"/>
  <c r="C530" i="6"/>
  <c r="F527" i="6"/>
  <c r="C526" i="6"/>
  <c r="D526" i="6"/>
  <c r="M526" i="6" s="1"/>
  <c r="D532" i="6"/>
  <c r="M532" i="6" s="1"/>
  <c r="E532" i="6"/>
  <c r="F530" i="6"/>
  <c r="C529" i="6"/>
  <c r="F526" i="6"/>
  <c r="C525" i="6"/>
  <c r="B527" i="6"/>
  <c r="F532" i="6"/>
  <c r="B531" i="6"/>
  <c r="D529" i="6"/>
  <c r="M529" i="6" s="1"/>
  <c r="B528" i="6"/>
  <c r="D525" i="6"/>
  <c r="M525" i="6" s="1"/>
  <c r="D531" i="6"/>
  <c r="M531" i="6" s="1"/>
  <c r="D528" i="6"/>
  <c r="M528" i="6" s="1"/>
  <c r="C531" i="6"/>
  <c r="F529" i="6"/>
  <c r="C528" i="6"/>
  <c r="F525" i="6"/>
  <c r="E531" i="6"/>
  <c r="F528" i="6"/>
  <c r="C527" i="6"/>
  <c r="D530" i="6"/>
  <c r="M530" i="6" s="1"/>
  <c r="B529" i="6"/>
  <c r="E526" i="6"/>
  <c r="E530" i="6"/>
  <c r="E525" i="6"/>
  <c r="E528" i="6"/>
  <c r="E529" i="6"/>
  <c r="E527" i="6"/>
  <c r="E460" i="2"/>
  <c r="E458" i="2"/>
  <c r="E455" i="2"/>
  <c r="E453" i="2"/>
  <c r="E451" i="2"/>
  <c r="D456" i="2"/>
  <c r="D460" i="2"/>
  <c r="D458" i="2"/>
  <c r="D455" i="2"/>
  <c r="D453" i="2"/>
  <c r="D451" i="2"/>
  <c r="D493" i="2"/>
  <c r="E456" i="2"/>
  <c r="D454" i="2"/>
  <c r="D450" i="2"/>
  <c r="E459" i="2"/>
  <c r="E454" i="2"/>
  <c r="E493" i="2"/>
  <c r="E450" i="2"/>
  <c r="D459" i="2"/>
  <c r="E449" i="2"/>
  <c r="D449" i="2"/>
  <c r="B524" i="6"/>
  <c r="F523" i="6"/>
  <c r="C522" i="6"/>
  <c r="F519" i="6"/>
  <c r="C518" i="6"/>
  <c r="F515" i="6"/>
  <c r="C514" i="6"/>
  <c r="F511" i="6"/>
  <c r="C510" i="6"/>
  <c r="C507" i="6"/>
  <c r="F504" i="6"/>
  <c r="C503" i="6"/>
  <c r="F500" i="6"/>
  <c r="C499" i="6"/>
  <c r="C524" i="6"/>
  <c r="D522" i="6"/>
  <c r="M522" i="6" s="1"/>
  <c r="B521" i="6"/>
  <c r="D518" i="6"/>
  <c r="M518" i="6" s="1"/>
  <c r="B517" i="6"/>
  <c r="B506" i="6"/>
  <c r="D499" i="6"/>
  <c r="M499" i="6" s="1"/>
  <c r="B498" i="6"/>
  <c r="D524" i="6"/>
  <c r="M524" i="6" s="1"/>
  <c r="F522" i="6"/>
  <c r="C521" i="6"/>
  <c r="F518" i="6"/>
  <c r="C517" i="6"/>
  <c r="F514" i="6"/>
  <c r="C513" i="6"/>
  <c r="F510" i="6"/>
  <c r="C509" i="6"/>
  <c r="F507" i="6"/>
  <c r="C506" i="6"/>
  <c r="F503" i="6"/>
  <c r="C502" i="6"/>
  <c r="F499" i="6"/>
  <c r="C498" i="6"/>
  <c r="E524" i="6"/>
  <c r="D521" i="6"/>
  <c r="M521" i="6" s="1"/>
  <c r="B520" i="6"/>
  <c r="D517" i="6"/>
  <c r="M517" i="6" s="1"/>
  <c r="B516" i="6"/>
  <c r="D513" i="6"/>
  <c r="M513" i="6" s="1"/>
  <c r="B512" i="6"/>
  <c r="D509" i="6"/>
  <c r="M509" i="6" s="1"/>
  <c r="B508" i="6"/>
  <c r="D506" i="6"/>
  <c r="M506" i="6" s="1"/>
  <c r="B505" i="6"/>
  <c r="D502" i="6"/>
  <c r="M502" i="6" s="1"/>
  <c r="B501" i="6"/>
  <c r="D498" i="6"/>
  <c r="M498" i="6" s="1"/>
  <c r="N498" i="6" s="1"/>
  <c r="O498" i="6" s="1"/>
  <c r="F524" i="6"/>
  <c r="B523" i="6"/>
  <c r="F521" i="6"/>
  <c r="C520" i="6"/>
  <c r="F517" i="6"/>
  <c r="C516" i="6"/>
  <c r="F513" i="6"/>
  <c r="C512" i="6"/>
  <c r="F509" i="6"/>
  <c r="C508" i="6"/>
  <c r="F506" i="6"/>
  <c r="C505" i="6"/>
  <c r="F502" i="6"/>
  <c r="C501" i="6"/>
  <c r="F498" i="6"/>
  <c r="D520" i="6"/>
  <c r="M520" i="6" s="1"/>
  <c r="D516" i="6"/>
  <c r="M516" i="6" s="1"/>
  <c r="B515" i="6"/>
  <c r="D508" i="6"/>
  <c r="M508" i="6" s="1"/>
  <c r="N508" i="6" s="1"/>
  <c r="O508" i="6" s="1"/>
  <c r="C523" i="6"/>
  <c r="B519" i="6"/>
  <c r="D512" i="6"/>
  <c r="M512" i="6" s="1"/>
  <c r="B511" i="6"/>
  <c r="D505" i="6"/>
  <c r="M505" i="6" s="1"/>
  <c r="B504" i="6"/>
  <c r="D501" i="6"/>
  <c r="M501" i="6" s="1"/>
  <c r="B500" i="6"/>
  <c r="D523" i="6"/>
  <c r="M523" i="6" s="1"/>
  <c r="F520" i="6"/>
  <c r="C519" i="6"/>
  <c r="F516" i="6"/>
  <c r="C515" i="6"/>
  <c r="F512" i="6"/>
  <c r="C511" i="6"/>
  <c r="F508" i="6"/>
  <c r="F505" i="6"/>
  <c r="C504" i="6"/>
  <c r="F501" i="6"/>
  <c r="C500" i="6"/>
  <c r="D519" i="6"/>
  <c r="M519" i="6" s="1"/>
  <c r="D515" i="6"/>
  <c r="M515" i="6" s="1"/>
  <c r="B514" i="6"/>
  <c r="B507" i="6"/>
  <c r="D500" i="6"/>
  <c r="M500" i="6" s="1"/>
  <c r="B499" i="6"/>
  <c r="E523" i="6"/>
  <c r="B522" i="6"/>
  <c r="B518" i="6"/>
  <c r="D511" i="6"/>
  <c r="M511" i="6" s="1"/>
  <c r="B510" i="6"/>
  <c r="D504" i="6"/>
  <c r="M504" i="6" s="1"/>
  <c r="B503" i="6"/>
  <c r="D514" i="6"/>
  <c r="M514" i="6" s="1"/>
  <c r="B513" i="6"/>
  <c r="D510" i="6"/>
  <c r="M510" i="6" s="1"/>
  <c r="B509" i="6"/>
  <c r="D507" i="6"/>
  <c r="M507" i="6" s="1"/>
  <c r="D503" i="6"/>
  <c r="M503" i="6" s="1"/>
  <c r="B502" i="6"/>
  <c r="E504" i="6"/>
  <c r="E521" i="6"/>
  <c r="E507" i="6"/>
  <c r="E515" i="6"/>
  <c r="E498" i="6"/>
  <c r="E510" i="6"/>
  <c r="E505" i="6"/>
  <c r="E502" i="6"/>
  <c r="E514" i="6"/>
  <c r="E512" i="6"/>
  <c r="E509" i="6"/>
  <c r="E518" i="6"/>
  <c r="E520" i="6"/>
  <c r="E513" i="6"/>
  <c r="E522" i="6"/>
  <c r="E501" i="6"/>
  <c r="E517" i="6"/>
  <c r="E500" i="6"/>
  <c r="E508" i="6"/>
  <c r="E516" i="6"/>
  <c r="E499" i="6"/>
  <c r="E511" i="6"/>
  <c r="E506" i="6"/>
  <c r="E503" i="6"/>
  <c r="E519" i="6"/>
  <c r="E497" i="6"/>
  <c r="B497" i="6"/>
  <c r="C497" i="6"/>
  <c r="B496" i="6"/>
  <c r="D497" i="6"/>
  <c r="M497" i="6" s="1"/>
  <c r="C496" i="6"/>
  <c r="F497" i="6"/>
  <c r="D496" i="6"/>
  <c r="M496" i="6" s="1"/>
  <c r="E496" i="6"/>
  <c r="F496" i="6"/>
  <c r="B495" i="6"/>
  <c r="D493" i="6"/>
  <c r="M493" i="6" s="1"/>
  <c r="F490" i="6"/>
  <c r="C489" i="6"/>
  <c r="F486" i="6"/>
  <c r="C485" i="6"/>
  <c r="B484" i="6"/>
  <c r="D481" i="6"/>
  <c r="M481" i="6" s="1"/>
  <c r="B480" i="6"/>
  <c r="D477" i="6"/>
  <c r="M477" i="6" s="1"/>
  <c r="B476" i="6"/>
  <c r="D473" i="6"/>
  <c r="M473" i="6" s="1"/>
  <c r="B472" i="6"/>
  <c r="D469" i="6"/>
  <c r="M469" i="6" s="1"/>
  <c r="B468" i="6"/>
  <c r="D465" i="6"/>
  <c r="M465" i="6" s="1"/>
  <c r="B464" i="6"/>
  <c r="B494" i="6"/>
  <c r="C491" i="6"/>
  <c r="C495" i="6"/>
  <c r="E493" i="6"/>
  <c r="B492" i="6"/>
  <c r="D489" i="6"/>
  <c r="M489" i="6" s="1"/>
  <c r="B488" i="6"/>
  <c r="D485" i="6"/>
  <c r="M485" i="6" s="1"/>
  <c r="C484" i="6"/>
  <c r="F481" i="6"/>
  <c r="C480" i="6"/>
  <c r="F477" i="6"/>
  <c r="C476" i="6"/>
  <c r="F473" i="6"/>
  <c r="C472" i="6"/>
  <c r="F469" i="6"/>
  <c r="C468" i="6"/>
  <c r="F465" i="6"/>
  <c r="C464" i="6"/>
  <c r="B482" i="6"/>
  <c r="D479" i="6"/>
  <c r="M479" i="6" s="1"/>
  <c r="D475" i="6"/>
  <c r="M475" i="6" s="1"/>
  <c r="B474" i="6"/>
  <c r="D495" i="6"/>
  <c r="M495" i="6" s="1"/>
  <c r="F493" i="6"/>
  <c r="C492" i="6"/>
  <c r="F489" i="6"/>
  <c r="C488" i="6"/>
  <c r="F485" i="6"/>
  <c r="D484" i="6"/>
  <c r="M484" i="6" s="1"/>
  <c r="B483" i="6"/>
  <c r="D480" i="6"/>
  <c r="M480" i="6" s="1"/>
  <c r="B479" i="6"/>
  <c r="D476" i="6"/>
  <c r="M476" i="6" s="1"/>
  <c r="B475" i="6"/>
  <c r="D472" i="6"/>
  <c r="M472" i="6" s="1"/>
  <c r="B471" i="6"/>
  <c r="D468" i="6"/>
  <c r="M468" i="6" s="1"/>
  <c r="B467" i="6"/>
  <c r="D464" i="6"/>
  <c r="M464" i="6" s="1"/>
  <c r="B463" i="6"/>
  <c r="F492" i="6"/>
  <c r="B490" i="6"/>
  <c r="C487" i="6"/>
  <c r="D483" i="6"/>
  <c r="M483" i="6" s="1"/>
  <c r="E495" i="6"/>
  <c r="D492" i="6"/>
  <c r="M492" i="6" s="1"/>
  <c r="B491" i="6"/>
  <c r="D488" i="6"/>
  <c r="M488" i="6" s="1"/>
  <c r="B487" i="6"/>
  <c r="F484" i="6"/>
  <c r="C483" i="6"/>
  <c r="F480" i="6"/>
  <c r="C479" i="6"/>
  <c r="F476" i="6"/>
  <c r="C475" i="6"/>
  <c r="F472" i="6"/>
  <c r="C471" i="6"/>
  <c r="F468" i="6"/>
  <c r="C467" i="6"/>
  <c r="F464" i="6"/>
  <c r="C463" i="6"/>
  <c r="F488" i="6"/>
  <c r="B478" i="6"/>
  <c r="D471" i="6"/>
  <c r="M471" i="6" s="1"/>
  <c r="B470" i="6"/>
  <c r="D463" i="6"/>
  <c r="M463" i="6" s="1"/>
  <c r="B462" i="6"/>
  <c r="F495" i="6"/>
  <c r="C494" i="6"/>
  <c r="D491" i="6"/>
  <c r="M491" i="6" s="1"/>
  <c r="C490" i="6"/>
  <c r="D487" i="6"/>
  <c r="M487" i="6" s="1"/>
  <c r="B486" i="6"/>
  <c r="F483" i="6"/>
  <c r="C482" i="6"/>
  <c r="F479" i="6"/>
  <c r="C478" i="6"/>
  <c r="F475" i="6"/>
  <c r="C474" i="6"/>
  <c r="F471" i="6"/>
  <c r="C470" i="6"/>
  <c r="F467" i="6"/>
  <c r="C466" i="6"/>
  <c r="F463" i="6"/>
  <c r="C462" i="6"/>
  <c r="D494" i="6"/>
  <c r="M494" i="6" s="1"/>
  <c r="B493" i="6"/>
  <c r="F491" i="6"/>
  <c r="D490" i="6"/>
  <c r="M490" i="6" s="1"/>
  <c r="F487" i="6"/>
  <c r="C486" i="6"/>
  <c r="D482" i="6"/>
  <c r="M482" i="6" s="1"/>
  <c r="B481" i="6"/>
  <c r="D478" i="6"/>
  <c r="M478" i="6" s="1"/>
  <c r="B477" i="6"/>
  <c r="D474" i="6"/>
  <c r="M474" i="6" s="1"/>
  <c r="B473" i="6"/>
  <c r="D470" i="6"/>
  <c r="M470" i="6" s="1"/>
  <c r="B469" i="6"/>
  <c r="D466" i="6"/>
  <c r="M466" i="6" s="1"/>
  <c r="B465" i="6"/>
  <c r="D462" i="6"/>
  <c r="M462" i="6" s="1"/>
  <c r="D467" i="6"/>
  <c r="M467" i="6" s="1"/>
  <c r="B466" i="6"/>
  <c r="F494" i="6"/>
  <c r="C493" i="6"/>
  <c r="E490" i="6"/>
  <c r="B489" i="6"/>
  <c r="D486" i="6"/>
  <c r="M486" i="6" s="1"/>
  <c r="B485" i="6"/>
  <c r="F482" i="6"/>
  <c r="C481" i="6"/>
  <c r="F478" i="6"/>
  <c r="C477" i="6"/>
  <c r="F474" i="6"/>
  <c r="C473" i="6"/>
  <c r="F470" i="6"/>
  <c r="C469" i="6"/>
  <c r="F466" i="6"/>
  <c r="C465" i="6"/>
  <c r="F462" i="6"/>
  <c r="E487" i="6"/>
  <c r="E488" i="6"/>
  <c r="E489" i="6"/>
  <c r="E491" i="6"/>
  <c r="E492" i="6"/>
  <c r="E465" i="6"/>
  <c r="E462" i="6"/>
  <c r="E463" i="6"/>
  <c r="E464" i="6"/>
  <c r="E469" i="6"/>
  <c r="E466" i="6"/>
  <c r="E467" i="6"/>
  <c r="E468" i="6"/>
  <c r="E473" i="6"/>
  <c r="E470" i="6"/>
  <c r="E471" i="6"/>
  <c r="E472" i="6"/>
  <c r="E477" i="6"/>
  <c r="E474" i="6"/>
  <c r="E475" i="6"/>
  <c r="E476" i="6"/>
  <c r="E481" i="6"/>
  <c r="E478" i="6"/>
  <c r="E483" i="6"/>
  <c r="E480" i="6"/>
  <c r="E494" i="6"/>
  <c r="E479" i="6"/>
  <c r="E484" i="6"/>
  <c r="E486" i="6"/>
  <c r="E482" i="6"/>
  <c r="E485" i="6"/>
  <c r="B461" i="6"/>
  <c r="F459" i="6"/>
  <c r="D457" i="6"/>
  <c r="M457" i="6" s="1"/>
  <c r="B456" i="6"/>
  <c r="C461" i="6"/>
  <c r="F457" i="6"/>
  <c r="C456" i="6"/>
  <c r="D461" i="6"/>
  <c r="M461" i="6" s="1"/>
  <c r="D456" i="6"/>
  <c r="M456" i="6" s="1"/>
  <c r="N456" i="6" s="1"/>
  <c r="O456" i="6" s="1"/>
  <c r="B459" i="6"/>
  <c r="C459" i="6"/>
  <c r="B457" i="6"/>
  <c r="D459" i="6"/>
  <c r="M459" i="6" s="1"/>
  <c r="F458" i="6"/>
  <c r="E461" i="6"/>
  <c r="B460" i="6"/>
  <c r="F456" i="6"/>
  <c r="F460" i="6"/>
  <c r="F461" i="6"/>
  <c r="C460" i="6"/>
  <c r="B458" i="6"/>
  <c r="D460" i="6"/>
  <c r="M460" i="6" s="1"/>
  <c r="C458" i="6"/>
  <c r="D458" i="6"/>
  <c r="M458" i="6" s="1"/>
  <c r="C457" i="6"/>
  <c r="E460" i="6"/>
  <c r="E456" i="6"/>
  <c r="E458" i="6"/>
  <c r="E457" i="6"/>
  <c r="E459" i="6"/>
  <c r="B455" i="6"/>
  <c r="F454" i="6"/>
  <c r="C453" i="6"/>
  <c r="D450" i="6"/>
  <c r="M450" i="6" s="1"/>
  <c r="B449" i="6"/>
  <c r="D446" i="6"/>
  <c r="M446" i="6" s="1"/>
  <c r="N446" i="6" s="1"/>
  <c r="O446" i="6" s="1"/>
  <c r="C455" i="6"/>
  <c r="D453" i="6"/>
  <c r="M453" i="6" s="1"/>
  <c r="F450" i="6"/>
  <c r="C449" i="6"/>
  <c r="F446" i="6"/>
  <c r="D455" i="6"/>
  <c r="M455" i="6" s="1"/>
  <c r="E453" i="6"/>
  <c r="B452" i="6"/>
  <c r="D449" i="6"/>
  <c r="M449" i="6" s="1"/>
  <c r="B448" i="6"/>
  <c r="E455" i="6"/>
  <c r="F453" i="6"/>
  <c r="C452" i="6"/>
  <c r="F449" i="6"/>
  <c r="C448" i="6"/>
  <c r="F452" i="6"/>
  <c r="F447" i="6"/>
  <c r="F455" i="6"/>
  <c r="D452" i="6"/>
  <c r="M452" i="6" s="1"/>
  <c r="B451" i="6"/>
  <c r="D448" i="6"/>
  <c r="M448" i="6" s="1"/>
  <c r="B447" i="6"/>
  <c r="B454" i="6"/>
  <c r="C451" i="6"/>
  <c r="F448" i="6"/>
  <c r="C447" i="6"/>
  <c r="C446" i="6"/>
  <c r="C454" i="6"/>
  <c r="D451" i="6"/>
  <c r="M451" i="6" s="1"/>
  <c r="B450" i="6"/>
  <c r="D447" i="6"/>
  <c r="M447" i="6" s="1"/>
  <c r="B446" i="6"/>
  <c r="D454" i="6"/>
  <c r="M454" i="6" s="1"/>
  <c r="B453" i="6"/>
  <c r="F451" i="6"/>
  <c r="C450" i="6"/>
  <c r="E448" i="6"/>
  <c r="E452" i="6"/>
  <c r="E449" i="6"/>
  <c r="E450" i="6"/>
  <c r="E446" i="6"/>
  <c r="E454" i="6"/>
  <c r="E447" i="6"/>
  <c r="E451" i="6"/>
  <c r="E445" i="6"/>
  <c r="D445" i="6"/>
  <c r="M445" i="6" s="1"/>
  <c r="F445" i="6"/>
  <c r="B445" i="6"/>
  <c r="C445" i="6"/>
  <c r="B444" i="6"/>
  <c r="C444" i="6"/>
  <c r="D444" i="6"/>
  <c r="M444" i="6" s="1"/>
  <c r="E444" i="6"/>
  <c r="F444" i="6"/>
  <c r="E442" i="6"/>
  <c r="B441" i="6"/>
  <c r="F442" i="6"/>
  <c r="C441" i="6"/>
  <c r="B443" i="6"/>
  <c r="D441" i="6"/>
  <c r="M441" i="6" s="1"/>
  <c r="B440" i="6"/>
  <c r="D440" i="6"/>
  <c r="M440" i="6" s="1"/>
  <c r="C443" i="6"/>
  <c r="F441" i="6"/>
  <c r="C440" i="6"/>
  <c r="F440" i="6"/>
  <c r="D443" i="6"/>
  <c r="M443" i="6" s="1"/>
  <c r="B442" i="6"/>
  <c r="E443" i="6"/>
  <c r="F443" i="6"/>
  <c r="C442" i="6"/>
  <c r="D442" i="6"/>
  <c r="M442" i="6" s="1"/>
  <c r="E440" i="6"/>
  <c r="E441" i="6"/>
  <c r="B439" i="6"/>
  <c r="C439" i="6"/>
  <c r="F437" i="6"/>
  <c r="C436" i="6"/>
  <c r="D439" i="6"/>
  <c r="M439" i="6" s="1"/>
  <c r="E439" i="6"/>
  <c r="E436" i="6"/>
  <c r="B435" i="6"/>
  <c r="B438" i="6"/>
  <c r="F436" i="6"/>
  <c r="C435" i="6"/>
  <c r="D436" i="6"/>
  <c r="M436" i="6" s="1"/>
  <c r="F439" i="6"/>
  <c r="C438" i="6"/>
  <c r="D435" i="6"/>
  <c r="M435" i="6" s="1"/>
  <c r="F438" i="6"/>
  <c r="D437" i="6"/>
  <c r="M437" i="6" s="1"/>
  <c r="B436" i="6"/>
  <c r="D438" i="6"/>
  <c r="M438" i="6" s="1"/>
  <c r="B437" i="6"/>
  <c r="F435" i="6"/>
  <c r="C437" i="6"/>
  <c r="E437" i="6"/>
  <c r="E435" i="6"/>
  <c r="E438" i="6"/>
  <c r="B434" i="6"/>
  <c r="C434" i="6"/>
  <c r="D434" i="6"/>
  <c r="M434" i="6" s="1"/>
  <c r="N434" i="6" s="1"/>
  <c r="O434" i="6" s="1"/>
  <c r="E434" i="6"/>
  <c r="F434" i="6"/>
  <c r="D432" i="6"/>
  <c r="M432" i="6" s="1"/>
  <c r="B431" i="6"/>
  <c r="D428" i="6"/>
  <c r="M428" i="6" s="1"/>
  <c r="B427" i="6"/>
  <c r="D424" i="6"/>
  <c r="M424" i="6" s="1"/>
  <c r="B423" i="6"/>
  <c r="F432" i="6"/>
  <c r="C431" i="6"/>
  <c r="F428" i="6"/>
  <c r="C427" i="6"/>
  <c r="F424" i="6"/>
  <c r="C423" i="6"/>
  <c r="F421" i="6"/>
  <c r="B433" i="6"/>
  <c r="D431" i="6"/>
  <c r="M431" i="6" s="1"/>
  <c r="B430" i="6"/>
  <c r="D427" i="6"/>
  <c r="M427" i="6" s="1"/>
  <c r="B426" i="6"/>
  <c r="D423" i="6"/>
  <c r="M423" i="6" s="1"/>
  <c r="B422" i="6"/>
  <c r="D422" i="6"/>
  <c r="M422" i="6" s="1"/>
  <c r="C433" i="6"/>
  <c r="F431" i="6"/>
  <c r="C430" i="6"/>
  <c r="F427" i="6"/>
  <c r="C426" i="6"/>
  <c r="F423" i="6"/>
  <c r="C422" i="6"/>
  <c r="D433" i="6"/>
  <c r="M433" i="6" s="1"/>
  <c r="N433" i="6" s="1"/>
  <c r="O433" i="6" s="1"/>
  <c r="D430" i="6"/>
  <c r="M430" i="6" s="1"/>
  <c r="B429" i="6"/>
  <c r="D426" i="6"/>
  <c r="M426" i="6" s="1"/>
  <c r="B425" i="6"/>
  <c r="F433" i="6"/>
  <c r="F430" i="6"/>
  <c r="C429" i="6"/>
  <c r="F426" i="6"/>
  <c r="C425" i="6"/>
  <c r="F422" i="6"/>
  <c r="B421" i="6"/>
  <c r="D429" i="6"/>
  <c r="M429" i="6" s="1"/>
  <c r="B428" i="6"/>
  <c r="B424" i="6"/>
  <c r="C421" i="6"/>
  <c r="C432" i="6"/>
  <c r="C428" i="6"/>
  <c r="B432" i="6"/>
  <c r="D425" i="6"/>
  <c r="M425" i="6" s="1"/>
  <c r="F429" i="6"/>
  <c r="F425" i="6"/>
  <c r="C424" i="6"/>
  <c r="D421" i="6"/>
  <c r="M421" i="6" s="1"/>
  <c r="N421" i="6" s="1"/>
  <c r="O421" i="6" s="1"/>
  <c r="E422" i="6"/>
  <c r="E432" i="6"/>
  <c r="E428" i="6"/>
  <c r="E426" i="6"/>
  <c r="E421" i="6"/>
  <c r="E433" i="6"/>
  <c r="E427" i="6"/>
  <c r="E430" i="6"/>
  <c r="E425" i="6"/>
  <c r="E431" i="6"/>
  <c r="E429" i="6"/>
  <c r="E424" i="6"/>
  <c r="E423" i="6"/>
  <c r="D355" i="2"/>
  <c r="E355" i="2"/>
  <c r="E419" i="6"/>
  <c r="B418" i="6"/>
  <c r="F419" i="6"/>
  <c r="C418" i="6"/>
  <c r="F415" i="6"/>
  <c r="C414" i="6"/>
  <c r="D418" i="6"/>
  <c r="M418" i="6" s="1"/>
  <c r="B417" i="6"/>
  <c r="D414" i="6"/>
  <c r="M414" i="6" s="1"/>
  <c r="B413" i="6"/>
  <c r="E418" i="6"/>
  <c r="C417" i="6"/>
  <c r="F414" i="6"/>
  <c r="C413" i="6"/>
  <c r="C420" i="6"/>
  <c r="B420" i="6"/>
  <c r="F418" i="6"/>
  <c r="D417" i="6"/>
  <c r="M417" i="6" s="1"/>
  <c r="B416" i="6"/>
  <c r="D413" i="6"/>
  <c r="M413" i="6" s="1"/>
  <c r="N413" i="6" s="1"/>
  <c r="O413" i="6" s="1"/>
  <c r="B419" i="6"/>
  <c r="F417" i="6"/>
  <c r="C416" i="6"/>
  <c r="F413" i="6"/>
  <c r="B414" i="6"/>
  <c r="D420" i="6"/>
  <c r="M420" i="6" s="1"/>
  <c r="C419" i="6"/>
  <c r="D416" i="6"/>
  <c r="M416" i="6" s="1"/>
  <c r="B415" i="6"/>
  <c r="F416" i="6"/>
  <c r="C415" i="6"/>
  <c r="D415" i="6"/>
  <c r="M415" i="6" s="1"/>
  <c r="F420" i="6"/>
  <c r="D419" i="6"/>
  <c r="M419" i="6" s="1"/>
  <c r="E416" i="6"/>
  <c r="E417" i="6"/>
  <c r="E414" i="6"/>
  <c r="E415" i="6"/>
  <c r="E420" i="6"/>
  <c r="E413" i="6"/>
  <c r="D145" i="2"/>
  <c r="D312" i="2"/>
  <c r="E145" i="2"/>
  <c r="E312" i="2"/>
  <c r="D311" i="2"/>
  <c r="E311" i="2"/>
  <c r="D316" i="2"/>
  <c r="E316" i="2"/>
  <c r="E349" i="2"/>
  <c r="D349" i="2"/>
  <c r="D389" i="2"/>
  <c r="D391" i="2"/>
  <c r="D359" i="2"/>
  <c r="E389" i="2"/>
  <c r="E391" i="2"/>
  <c r="D393" i="2"/>
  <c r="E359" i="2"/>
  <c r="E393" i="2"/>
  <c r="D392" i="2"/>
  <c r="E392" i="2"/>
  <c r="E390" i="2"/>
  <c r="D390" i="2"/>
  <c r="D309" i="2"/>
  <c r="E309" i="2"/>
  <c r="D388" i="2"/>
  <c r="D381" i="2"/>
  <c r="D383" i="2"/>
  <c r="D385" i="2"/>
  <c r="D387" i="2"/>
  <c r="E388" i="2"/>
  <c r="E381" i="2"/>
  <c r="E383" i="2"/>
  <c r="E385" i="2"/>
  <c r="E387" i="2"/>
  <c r="D380" i="2"/>
  <c r="D382" i="2"/>
  <c r="D384" i="2"/>
  <c r="D386" i="2"/>
  <c r="E380" i="2"/>
  <c r="E382" i="2"/>
  <c r="E384" i="2"/>
  <c r="E386" i="2"/>
  <c r="D347" i="2"/>
  <c r="E347" i="2"/>
  <c r="C43" i="6"/>
  <c r="D367" i="2"/>
  <c r="E367" i="2"/>
  <c r="D399" i="2"/>
  <c r="D395" i="2"/>
  <c r="D378" i="2"/>
  <c r="D376" i="2"/>
  <c r="D374" i="2"/>
  <c r="D373" i="2"/>
  <c r="D369" i="2"/>
  <c r="D368" i="2"/>
  <c r="D364" i="2"/>
  <c r="D363" i="2"/>
  <c r="D361" i="2"/>
  <c r="D358" i="2"/>
  <c r="D357" i="2"/>
  <c r="D353" i="2"/>
  <c r="D351" i="2"/>
  <c r="D348" i="2"/>
  <c r="D345" i="2"/>
  <c r="D343" i="2"/>
  <c r="D341" i="2"/>
  <c r="D339" i="2"/>
  <c r="D337" i="2"/>
  <c r="D335" i="2"/>
  <c r="D333" i="2"/>
  <c r="E395" i="2"/>
  <c r="E368" i="2"/>
  <c r="E357" i="2"/>
  <c r="E343" i="2"/>
  <c r="E337" i="2"/>
  <c r="E398" i="2"/>
  <c r="E363" i="2"/>
  <c r="D398" i="2"/>
  <c r="E361" i="2"/>
  <c r="D397" i="2"/>
  <c r="D394" i="2"/>
  <c r="D379" i="2"/>
  <c r="D377" i="2"/>
  <c r="D375" i="2"/>
  <c r="D372" i="2"/>
  <c r="D371" i="2"/>
  <c r="D370" i="2"/>
  <c r="D366" i="2"/>
  <c r="D365" i="2"/>
  <c r="D362" i="2"/>
  <c r="D360" i="2"/>
  <c r="D356" i="2"/>
  <c r="D354" i="2"/>
  <c r="D352" i="2"/>
  <c r="D350" i="2"/>
  <c r="D346" i="2"/>
  <c r="D344" i="2"/>
  <c r="D342" i="2"/>
  <c r="D340" i="2"/>
  <c r="D338" i="2"/>
  <c r="D336" i="2"/>
  <c r="D334" i="2"/>
  <c r="E345" i="2"/>
  <c r="E397" i="2"/>
  <c r="E394" i="2"/>
  <c r="E379" i="2"/>
  <c r="E377" i="2"/>
  <c r="E375" i="2"/>
  <c r="E372" i="2"/>
  <c r="E371" i="2"/>
  <c r="E370" i="2"/>
  <c r="E366" i="2"/>
  <c r="E365" i="2"/>
  <c r="E362" i="2"/>
  <c r="E360" i="2"/>
  <c r="E356" i="2"/>
  <c r="E354" i="2"/>
  <c r="E352" i="2"/>
  <c r="E350" i="2"/>
  <c r="E346" i="2"/>
  <c r="E344" i="2"/>
  <c r="E342" i="2"/>
  <c r="E340" i="2"/>
  <c r="E338" i="2"/>
  <c r="E336" i="2"/>
  <c r="E334" i="2"/>
  <c r="E351" i="2"/>
  <c r="E396" i="2"/>
  <c r="E399" i="2"/>
  <c r="E378" i="2"/>
  <c r="E374" i="2"/>
  <c r="E369" i="2"/>
  <c r="E358" i="2"/>
  <c r="E348" i="2"/>
  <c r="E339" i="2"/>
  <c r="E333" i="2"/>
  <c r="D396" i="2"/>
  <c r="E376" i="2"/>
  <c r="E373" i="2"/>
  <c r="E364" i="2"/>
  <c r="E353" i="2"/>
  <c r="E341" i="2"/>
  <c r="E335" i="2"/>
  <c r="B412" i="6"/>
  <c r="F407" i="6"/>
  <c r="D406" i="6"/>
  <c r="M406" i="6" s="1"/>
  <c r="C405" i="6"/>
  <c r="B404" i="6"/>
  <c r="F399" i="6"/>
  <c r="D398" i="6"/>
  <c r="M398" i="6" s="1"/>
  <c r="C397" i="6"/>
  <c r="B396" i="6"/>
  <c r="F391" i="6"/>
  <c r="D390" i="6"/>
  <c r="M390" i="6" s="1"/>
  <c r="C389" i="6"/>
  <c r="B388" i="6"/>
  <c r="D404" i="6"/>
  <c r="M404" i="6" s="1"/>
  <c r="C403" i="6"/>
  <c r="B402" i="6"/>
  <c r="F389" i="6"/>
  <c r="D388" i="6"/>
  <c r="M388" i="6" s="1"/>
  <c r="F404" i="6"/>
  <c r="C402" i="6"/>
  <c r="F396" i="6"/>
  <c r="D395" i="6"/>
  <c r="M395" i="6" s="1"/>
  <c r="C394" i="6"/>
  <c r="F394" i="6"/>
  <c r="B391" i="6"/>
  <c r="C412" i="6"/>
  <c r="B411" i="6"/>
  <c r="F406" i="6"/>
  <c r="D405" i="6"/>
  <c r="M405" i="6" s="1"/>
  <c r="C404" i="6"/>
  <c r="B403" i="6"/>
  <c r="F398" i="6"/>
  <c r="D397" i="6"/>
  <c r="M397" i="6" s="1"/>
  <c r="C396" i="6"/>
  <c r="B395" i="6"/>
  <c r="F390" i="6"/>
  <c r="D389" i="6"/>
  <c r="M389" i="6" s="1"/>
  <c r="C388" i="6"/>
  <c r="F405" i="6"/>
  <c r="D403" i="6"/>
  <c r="M403" i="6" s="1"/>
  <c r="B401" i="6"/>
  <c r="D412" i="6"/>
  <c r="M412" i="6" s="1"/>
  <c r="C411" i="6"/>
  <c r="B410" i="6"/>
  <c r="F412" i="6"/>
  <c r="D411" i="6"/>
  <c r="M411" i="6" s="1"/>
  <c r="C410" i="6"/>
  <c r="B409" i="6"/>
  <c r="F411" i="6"/>
  <c r="D410" i="6"/>
  <c r="M410" i="6" s="1"/>
  <c r="C409" i="6"/>
  <c r="B408" i="6"/>
  <c r="F403" i="6"/>
  <c r="D402" i="6"/>
  <c r="M402" i="6" s="1"/>
  <c r="C401" i="6"/>
  <c r="B400" i="6"/>
  <c r="F395" i="6"/>
  <c r="D394" i="6"/>
  <c r="M394" i="6" s="1"/>
  <c r="C393" i="6"/>
  <c r="B392" i="6"/>
  <c r="F410" i="6"/>
  <c r="D409" i="6"/>
  <c r="M409" i="6" s="1"/>
  <c r="C408" i="6"/>
  <c r="B407" i="6"/>
  <c r="F402" i="6"/>
  <c r="D401" i="6"/>
  <c r="M401" i="6" s="1"/>
  <c r="C400" i="6"/>
  <c r="B399" i="6"/>
  <c r="F409" i="6"/>
  <c r="D408" i="6"/>
  <c r="M408" i="6" s="1"/>
  <c r="C407" i="6"/>
  <c r="B406" i="6"/>
  <c r="F401" i="6"/>
  <c r="D400" i="6"/>
  <c r="M400" i="6" s="1"/>
  <c r="C399" i="6"/>
  <c r="B398" i="6"/>
  <c r="F393" i="6"/>
  <c r="D392" i="6"/>
  <c r="M392" i="6" s="1"/>
  <c r="C391" i="6"/>
  <c r="B390" i="6"/>
  <c r="F408" i="6"/>
  <c r="D407" i="6"/>
  <c r="M407" i="6" s="1"/>
  <c r="C406" i="6"/>
  <c r="B405" i="6"/>
  <c r="F400" i="6"/>
  <c r="D399" i="6"/>
  <c r="M399" i="6" s="1"/>
  <c r="C398" i="6"/>
  <c r="B397" i="6"/>
  <c r="F392" i="6"/>
  <c r="D391" i="6"/>
  <c r="M391" i="6" s="1"/>
  <c r="C390" i="6"/>
  <c r="B389" i="6"/>
  <c r="F397" i="6"/>
  <c r="D396" i="6"/>
  <c r="M396" i="6" s="1"/>
  <c r="C395" i="6"/>
  <c r="B394" i="6"/>
  <c r="B393" i="6"/>
  <c r="F388" i="6"/>
  <c r="D393" i="6"/>
  <c r="M393" i="6" s="1"/>
  <c r="C392" i="6"/>
  <c r="E395" i="6"/>
  <c r="E394" i="6"/>
  <c r="E412" i="6"/>
  <c r="E408" i="6"/>
  <c r="E389" i="6"/>
  <c r="E402" i="6"/>
  <c r="E391" i="6"/>
  <c r="E397" i="6"/>
  <c r="E410" i="6"/>
  <c r="E399" i="6"/>
  <c r="E405" i="6"/>
  <c r="E403" i="6"/>
  <c r="E407" i="6"/>
  <c r="E398" i="6"/>
  <c r="E411" i="6"/>
  <c r="E390" i="6"/>
  <c r="E393" i="6"/>
  <c r="E388" i="6"/>
  <c r="E406" i="6"/>
  <c r="E401" i="6"/>
  <c r="E396" i="6"/>
  <c r="E392" i="6"/>
  <c r="E409" i="6"/>
  <c r="E404" i="6"/>
  <c r="E400" i="6"/>
  <c r="B387" i="6"/>
  <c r="C387" i="6"/>
  <c r="D387" i="6"/>
  <c r="M387" i="6" s="1"/>
  <c r="E387" i="6"/>
  <c r="F387" i="6"/>
  <c r="B386" i="6"/>
  <c r="F382" i="6"/>
  <c r="D381" i="6"/>
  <c r="M381" i="6" s="1"/>
  <c r="C380" i="6"/>
  <c r="B379" i="6"/>
  <c r="C386" i="6"/>
  <c r="F381" i="6"/>
  <c r="D380" i="6"/>
  <c r="M380" i="6" s="1"/>
  <c r="C379" i="6"/>
  <c r="D386" i="6"/>
  <c r="M386" i="6" s="1"/>
  <c r="B385" i="6"/>
  <c r="F380" i="6"/>
  <c r="D379" i="6"/>
  <c r="M379" i="6" s="1"/>
  <c r="F383" i="6"/>
  <c r="B380" i="6"/>
  <c r="E386" i="6"/>
  <c r="C385" i="6"/>
  <c r="B384" i="6"/>
  <c r="F379" i="6"/>
  <c r="C381" i="6"/>
  <c r="F386" i="6"/>
  <c r="D385" i="6"/>
  <c r="M385" i="6" s="1"/>
  <c r="C384" i="6"/>
  <c r="B383" i="6"/>
  <c r="F385" i="6"/>
  <c r="D384" i="6"/>
  <c r="M384" i="6" s="1"/>
  <c r="C383" i="6"/>
  <c r="B382" i="6"/>
  <c r="D382" i="6"/>
  <c r="M382" i="6" s="1"/>
  <c r="F384" i="6"/>
  <c r="D383" i="6"/>
  <c r="M383" i="6" s="1"/>
  <c r="C382" i="6"/>
  <c r="B381" i="6"/>
  <c r="E385" i="6"/>
  <c r="E380" i="6"/>
  <c r="E381" i="6"/>
  <c r="E379" i="6"/>
  <c r="E382" i="6"/>
  <c r="E384" i="6"/>
  <c r="E383" i="6"/>
  <c r="B378" i="6"/>
  <c r="F378" i="6"/>
  <c r="D377" i="6"/>
  <c r="M377" i="6" s="1"/>
  <c r="C378" i="6"/>
  <c r="F377" i="6"/>
  <c r="D378" i="6"/>
  <c r="M378" i="6" s="1"/>
  <c r="B377" i="6"/>
  <c r="E378" i="6"/>
  <c r="C377" i="6"/>
  <c r="E377" i="6"/>
  <c r="B376" i="6"/>
  <c r="F376" i="6"/>
  <c r="D375" i="6"/>
  <c r="M375" i="6" s="1"/>
  <c r="C374" i="6"/>
  <c r="B373" i="6"/>
  <c r="F372" i="6"/>
  <c r="D371" i="6"/>
  <c r="M371" i="6" s="1"/>
  <c r="C370" i="6"/>
  <c r="B369" i="6"/>
  <c r="F368" i="6"/>
  <c r="C367" i="6"/>
  <c r="B366" i="6"/>
  <c r="F365" i="6"/>
  <c r="D364" i="6"/>
  <c r="M364" i="6" s="1"/>
  <c r="C363" i="6"/>
  <c r="B362" i="6"/>
  <c r="F361" i="6"/>
  <c r="C376" i="6"/>
  <c r="F375" i="6"/>
  <c r="D374" i="6"/>
  <c r="M374" i="6" s="1"/>
  <c r="C373" i="6"/>
  <c r="B372" i="6"/>
  <c r="F371" i="6"/>
  <c r="D370" i="6"/>
  <c r="M370" i="6" s="1"/>
  <c r="C369" i="6"/>
  <c r="B368" i="6"/>
  <c r="D367" i="6"/>
  <c r="M367" i="6" s="1"/>
  <c r="C366" i="6"/>
  <c r="B365" i="6"/>
  <c r="F364" i="6"/>
  <c r="D363" i="6"/>
  <c r="M363" i="6" s="1"/>
  <c r="C362" i="6"/>
  <c r="B361" i="6"/>
  <c r="C371" i="6"/>
  <c r="B370" i="6"/>
  <c r="F369" i="6"/>
  <c r="D376" i="6"/>
  <c r="M376" i="6" s="1"/>
  <c r="B375" i="6"/>
  <c r="F374" i="6"/>
  <c r="D373" i="6"/>
  <c r="M373" i="6" s="1"/>
  <c r="C372" i="6"/>
  <c r="B371" i="6"/>
  <c r="F370" i="6"/>
  <c r="D369" i="6"/>
  <c r="M369" i="6" s="1"/>
  <c r="C368" i="6"/>
  <c r="F367" i="6"/>
  <c r="D366" i="6"/>
  <c r="M366" i="6" s="1"/>
  <c r="C365" i="6"/>
  <c r="B364" i="6"/>
  <c r="F363" i="6"/>
  <c r="D362" i="6"/>
  <c r="M362" i="6" s="1"/>
  <c r="C361" i="6"/>
  <c r="C375" i="6"/>
  <c r="B374" i="6"/>
  <c r="F373" i="6"/>
  <c r="D372" i="6"/>
  <c r="M372" i="6" s="1"/>
  <c r="D368" i="6"/>
  <c r="M368" i="6" s="1"/>
  <c r="B367" i="6"/>
  <c r="F366" i="6"/>
  <c r="D365" i="6"/>
  <c r="M365" i="6" s="1"/>
  <c r="E376" i="6"/>
  <c r="C364" i="6"/>
  <c r="B363" i="6"/>
  <c r="F362" i="6"/>
  <c r="D361" i="6"/>
  <c r="M361" i="6" s="1"/>
  <c r="E363" i="6"/>
  <c r="E364" i="6"/>
  <c r="E365" i="6"/>
  <c r="E366" i="6"/>
  <c r="E367" i="6"/>
  <c r="E371" i="6"/>
  <c r="E368" i="6"/>
  <c r="E369" i="6"/>
  <c r="E362" i="6"/>
  <c r="E370" i="6"/>
  <c r="E375" i="6"/>
  <c r="E372" i="6"/>
  <c r="E373" i="6"/>
  <c r="E374" i="6"/>
  <c r="E361" i="6"/>
  <c r="D74" i="2"/>
  <c r="D325" i="2"/>
  <c r="E325" i="2"/>
  <c r="D40" i="2"/>
  <c r="E40" i="2"/>
  <c r="D40" i="6"/>
  <c r="M40" i="6" s="1"/>
  <c r="D42" i="6"/>
  <c r="M42" i="6" s="1"/>
  <c r="D45" i="6"/>
  <c r="M45" i="6" s="1"/>
  <c r="B35" i="6"/>
  <c r="B36" i="6"/>
  <c r="C41" i="6"/>
  <c r="E35" i="6"/>
  <c r="E55" i="6"/>
  <c r="D46" i="6"/>
  <c r="M46" i="6" s="1"/>
  <c r="N46" i="6" s="1"/>
  <c r="O46" i="6" s="1"/>
  <c r="D35" i="6"/>
  <c r="M35" i="6" s="1"/>
  <c r="D36" i="6"/>
  <c r="M36" i="6" s="1"/>
  <c r="E54" i="2"/>
  <c r="C51" i="6"/>
  <c r="F36" i="6"/>
  <c r="B48" i="6"/>
  <c r="B43" i="6"/>
  <c r="D43" i="6"/>
  <c r="M43" i="6" s="1"/>
  <c r="N43" i="6" s="1"/>
  <c r="O43" i="6" s="1"/>
  <c r="B37" i="6"/>
  <c r="D52" i="6"/>
  <c r="M52" i="6" s="1"/>
  <c r="E45" i="2"/>
  <c r="B50" i="6"/>
  <c r="E37" i="6"/>
  <c r="B44" i="6"/>
  <c r="D37" i="6"/>
  <c r="M37" i="6" s="1"/>
  <c r="N37" i="6" s="1"/>
  <c r="O37" i="6" s="1"/>
  <c r="D54" i="6"/>
  <c r="M54" i="6" s="1"/>
  <c r="E47" i="2"/>
  <c r="C38" i="6"/>
  <c r="F46" i="6"/>
  <c r="D44" i="6"/>
  <c r="M44" i="6" s="1"/>
  <c r="N44" i="6" s="1"/>
  <c r="O44" i="6" s="1"/>
  <c r="B38" i="6"/>
  <c r="B41" i="6"/>
  <c r="C37" i="6"/>
  <c r="F45" i="6"/>
  <c r="E67" i="2"/>
  <c r="D75" i="2"/>
  <c r="E42" i="6"/>
  <c r="E49" i="6"/>
  <c r="E53" i="6"/>
  <c r="B40" i="6"/>
  <c r="B45" i="6"/>
  <c r="D38" i="6"/>
  <c r="M38" i="6" s="1"/>
  <c r="D41" i="6"/>
  <c r="M41" i="6" s="1"/>
  <c r="F43" i="6"/>
  <c r="F41" i="6"/>
  <c r="B39" i="6"/>
  <c r="D49" i="2"/>
  <c r="C48" i="6"/>
  <c r="F40" i="6"/>
  <c r="E39" i="6"/>
  <c r="B42" i="6"/>
  <c r="B46" i="6"/>
  <c r="D39" i="6"/>
  <c r="M39" i="6" s="1"/>
  <c r="E49" i="2"/>
  <c r="E42" i="2"/>
  <c r="C44" i="6"/>
  <c r="F37" i="6"/>
  <c r="D58" i="2"/>
  <c r="D48" i="2"/>
  <c r="D43" i="2"/>
  <c r="D41" i="2"/>
  <c r="E51" i="2"/>
  <c r="E53" i="2"/>
  <c r="E37" i="2"/>
  <c r="C36" i="6"/>
  <c r="C35" i="6"/>
  <c r="C46" i="6"/>
  <c r="C42" i="6"/>
  <c r="F55" i="6"/>
  <c r="F44" i="6"/>
  <c r="F39" i="6"/>
  <c r="F35" i="6"/>
  <c r="E59" i="2"/>
  <c r="D67" i="2"/>
  <c r="E74" i="2"/>
  <c r="E48" i="2"/>
  <c r="E43" i="2"/>
  <c r="E41" i="2"/>
  <c r="D53" i="2"/>
  <c r="D37" i="2"/>
  <c r="C55" i="6"/>
  <c r="C39" i="6"/>
  <c r="C45" i="6"/>
  <c r="C40" i="6"/>
  <c r="F50" i="6"/>
  <c r="F42" i="6"/>
  <c r="F38" i="6"/>
  <c r="C59" i="6"/>
  <c r="E58" i="2"/>
  <c r="D118" i="2"/>
  <c r="E69" i="2"/>
  <c r="E79" i="2"/>
  <c r="E114" i="2"/>
  <c r="E118" i="2"/>
  <c r="D48" i="6"/>
  <c r="M48" i="6" s="1"/>
  <c r="D50" i="6"/>
  <c r="M50" i="6" s="1"/>
  <c r="B47" i="6"/>
  <c r="B51" i="6"/>
  <c r="B53" i="6"/>
  <c r="B55" i="6"/>
  <c r="D30" i="2"/>
  <c r="D44" i="2"/>
  <c r="D50" i="2"/>
  <c r="D46" i="2"/>
  <c r="E56" i="6"/>
  <c r="E57" i="6"/>
  <c r="E58" i="6"/>
  <c r="D42" i="2"/>
  <c r="D54" i="2"/>
  <c r="D59" i="6"/>
  <c r="M59" i="6" s="1"/>
  <c r="C58" i="6"/>
  <c r="C52" i="6"/>
  <c r="F58" i="6"/>
  <c r="F54" i="6"/>
  <c r="F49" i="6"/>
  <c r="B59" i="6"/>
  <c r="D59" i="2"/>
  <c r="D79" i="2"/>
  <c r="D114" i="2"/>
  <c r="E50" i="6"/>
  <c r="E52" i="6"/>
  <c r="E54" i="6"/>
  <c r="B49" i="6"/>
  <c r="D47" i="6"/>
  <c r="M47" i="6" s="1"/>
  <c r="D51" i="6"/>
  <c r="M51" i="6" s="1"/>
  <c r="D53" i="6"/>
  <c r="M53" i="6" s="1"/>
  <c r="D55" i="6"/>
  <c r="M55" i="6" s="1"/>
  <c r="E30" i="2"/>
  <c r="E44" i="2"/>
  <c r="E50" i="2"/>
  <c r="E46" i="2"/>
  <c r="D56" i="6"/>
  <c r="M56" i="6" s="1"/>
  <c r="D57" i="6"/>
  <c r="M57" i="6" s="1"/>
  <c r="D58" i="6"/>
  <c r="M58" i="6" s="1"/>
  <c r="E52" i="2"/>
  <c r="E56" i="2"/>
  <c r="F51" i="6"/>
  <c r="C57" i="6"/>
  <c r="C53" i="6"/>
  <c r="C47" i="6"/>
  <c r="C50" i="6"/>
  <c r="F57" i="6"/>
  <c r="F53" i="6"/>
  <c r="F48" i="6"/>
  <c r="E59" i="6"/>
  <c r="E60" i="2"/>
  <c r="D83" i="2"/>
  <c r="D49" i="6"/>
  <c r="M49" i="6" s="1"/>
  <c r="B52" i="6"/>
  <c r="B54" i="6"/>
  <c r="D45" i="2"/>
  <c r="D47" i="2"/>
  <c r="D51" i="2"/>
  <c r="B56" i="6"/>
  <c r="B57" i="6"/>
  <c r="B58" i="6"/>
  <c r="D52" i="2"/>
  <c r="D56" i="2"/>
  <c r="C56" i="6"/>
  <c r="C54" i="6"/>
  <c r="C49" i="6"/>
  <c r="F56" i="6"/>
  <c r="F52" i="6"/>
  <c r="F47" i="6"/>
  <c r="F59" i="6"/>
  <c r="D60" i="2"/>
  <c r="D69" i="2"/>
  <c r="E75" i="2"/>
  <c r="E360" i="6"/>
  <c r="D360" i="6"/>
  <c r="M360" i="6" s="1"/>
  <c r="C360" i="6"/>
  <c r="F360" i="6"/>
  <c r="B360" i="6"/>
  <c r="E83" i="2"/>
  <c r="D332" i="2"/>
  <c r="D331" i="2"/>
  <c r="D330" i="2"/>
  <c r="D329" i="2"/>
  <c r="E332" i="2"/>
  <c r="E331" i="2"/>
  <c r="E330" i="2"/>
  <c r="E329" i="2"/>
  <c r="D328" i="2"/>
  <c r="E328" i="2"/>
  <c r="D327" i="2"/>
  <c r="E327" i="2"/>
  <c r="D326" i="2"/>
  <c r="E326" i="2"/>
  <c r="D324" i="2"/>
  <c r="D323" i="2"/>
  <c r="B359" i="6"/>
  <c r="F359" i="6"/>
  <c r="F358" i="6"/>
  <c r="F357" i="6"/>
  <c r="F356" i="6"/>
  <c r="F355" i="6"/>
  <c r="F354" i="6"/>
  <c r="D355" i="6"/>
  <c r="M355" i="6" s="1"/>
  <c r="E324" i="2"/>
  <c r="E323" i="2"/>
  <c r="C359" i="6"/>
  <c r="B358" i="6"/>
  <c r="B357" i="6"/>
  <c r="B356" i="6"/>
  <c r="B355" i="6"/>
  <c r="B354" i="6"/>
  <c r="D359" i="6"/>
  <c r="M359" i="6" s="1"/>
  <c r="C358" i="6"/>
  <c r="C357" i="6"/>
  <c r="C356" i="6"/>
  <c r="C355" i="6"/>
  <c r="C354" i="6"/>
  <c r="E359" i="6"/>
  <c r="D358" i="6"/>
  <c r="M358" i="6" s="1"/>
  <c r="D357" i="6"/>
  <c r="M357" i="6" s="1"/>
  <c r="D356" i="6"/>
  <c r="M356" i="6" s="1"/>
  <c r="D354" i="6"/>
  <c r="M354" i="6" s="1"/>
  <c r="E354" i="6"/>
  <c r="E358" i="6"/>
  <c r="E355" i="6"/>
  <c r="E356" i="6"/>
  <c r="E357" i="6"/>
  <c r="B353" i="6"/>
  <c r="F353" i="6"/>
  <c r="D352" i="6"/>
  <c r="M352" i="6" s="1"/>
  <c r="B351" i="6"/>
  <c r="F350" i="6"/>
  <c r="D349" i="6"/>
  <c r="M349" i="6" s="1"/>
  <c r="B350" i="6"/>
  <c r="D353" i="6"/>
  <c r="M353" i="6" s="1"/>
  <c r="F352" i="6"/>
  <c r="C352" i="6"/>
  <c r="F351" i="6"/>
  <c r="D350" i="6"/>
  <c r="M350" i="6" s="1"/>
  <c r="C353" i="6"/>
  <c r="E352" i="6"/>
  <c r="C351" i="6"/>
  <c r="F349" i="6"/>
  <c r="B352" i="6"/>
  <c r="D351" i="6"/>
  <c r="M351" i="6" s="1"/>
  <c r="C350" i="6"/>
  <c r="B349" i="6"/>
  <c r="E353" i="6"/>
  <c r="C349" i="6"/>
  <c r="E349" i="6"/>
  <c r="E350" i="6"/>
  <c r="E351" i="6"/>
  <c r="E348" i="6"/>
  <c r="D348" i="6"/>
  <c r="M348" i="6" s="1"/>
  <c r="C348" i="6"/>
  <c r="F348" i="6"/>
  <c r="B348" i="6"/>
  <c r="D322" i="2"/>
  <c r="E322" i="2"/>
  <c r="D321" i="2"/>
  <c r="E321" i="2"/>
  <c r="D319" i="2"/>
  <c r="E319" i="2"/>
  <c r="D320" i="2"/>
  <c r="D318" i="2"/>
  <c r="E320" i="2"/>
  <c r="E318" i="2"/>
  <c r="D317" i="2"/>
  <c r="E317" i="2"/>
  <c r="D314" i="2"/>
  <c r="D315" i="2"/>
  <c r="E314" i="2"/>
  <c r="E315" i="2"/>
  <c r="D313" i="2"/>
  <c r="E313" i="2"/>
  <c r="B347" i="6"/>
  <c r="F347" i="6"/>
  <c r="C346" i="6"/>
  <c r="C347" i="6"/>
  <c r="D346" i="6"/>
  <c r="M346" i="6" s="1"/>
  <c r="F346" i="6"/>
  <c r="D347" i="6"/>
  <c r="M347" i="6" s="1"/>
  <c r="E347" i="6"/>
  <c r="B346" i="6"/>
  <c r="E346" i="6"/>
  <c r="B345" i="6"/>
  <c r="F345" i="6"/>
  <c r="D344" i="6"/>
  <c r="M344" i="6" s="1"/>
  <c r="C343" i="6"/>
  <c r="C345" i="6"/>
  <c r="F344" i="6"/>
  <c r="D343" i="6"/>
  <c r="M343" i="6" s="1"/>
  <c r="D345" i="6"/>
  <c r="M345" i="6" s="1"/>
  <c r="B344" i="6"/>
  <c r="F343" i="6"/>
  <c r="E345" i="6"/>
  <c r="C344" i="6"/>
  <c r="B343" i="6"/>
  <c r="E343" i="6"/>
  <c r="E344" i="6"/>
  <c r="B342" i="6"/>
  <c r="F342" i="6"/>
  <c r="D341" i="6"/>
  <c r="M341" i="6" s="1"/>
  <c r="C340" i="6"/>
  <c r="B339" i="6"/>
  <c r="F338" i="6"/>
  <c r="D337" i="6"/>
  <c r="M337" i="6" s="1"/>
  <c r="C336" i="6"/>
  <c r="B335" i="6"/>
  <c r="C342" i="6"/>
  <c r="F341" i="6"/>
  <c r="D340" i="6"/>
  <c r="M340" i="6" s="1"/>
  <c r="C339" i="6"/>
  <c r="B338" i="6"/>
  <c r="F337" i="6"/>
  <c r="D336" i="6"/>
  <c r="M336" i="6" s="1"/>
  <c r="C335" i="6"/>
  <c r="D342" i="6"/>
  <c r="M342" i="6" s="1"/>
  <c r="B341" i="6"/>
  <c r="F340" i="6"/>
  <c r="D339" i="6"/>
  <c r="M339" i="6" s="1"/>
  <c r="C338" i="6"/>
  <c r="B337" i="6"/>
  <c r="F336" i="6"/>
  <c r="D335" i="6"/>
  <c r="M335" i="6" s="1"/>
  <c r="E342" i="6"/>
  <c r="C341" i="6"/>
  <c r="B340" i="6"/>
  <c r="F339" i="6"/>
  <c r="D338" i="6"/>
  <c r="M338" i="6" s="1"/>
  <c r="C337" i="6"/>
  <c r="B336" i="6"/>
  <c r="F335" i="6"/>
  <c r="E336" i="6"/>
  <c r="E338" i="6"/>
  <c r="E340" i="6"/>
  <c r="E335" i="6"/>
  <c r="E337" i="6"/>
  <c r="E339" i="6"/>
  <c r="E341" i="6"/>
  <c r="B334" i="6"/>
  <c r="F334" i="6"/>
  <c r="D334" i="6"/>
  <c r="M334" i="6" s="1"/>
  <c r="C334" i="6"/>
  <c r="E334" i="6"/>
  <c r="D290" i="2"/>
  <c r="E290" i="2"/>
  <c r="D310" i="2"/>
  <c r="E310" i="2"/>
  <c r="D308" i="2"/>
  <c r="E308" i="2"/>
  <c r="C283" i="6"/>
  <c r="B333" i="6"/>
  <c r="C333" i="6"/>
  <c r="D333" i="6"/>
  <c r="M333" i="6" s="1"/>
  <c r="F333" i="6"/>
  <c r="D332" i="6"/>
  <c r="M332" i="6" s="1"/>
  <c r="C331" i="6"/>
  <c r="C330" i="6"/>
  <c r="F332" i="6"/>
  <c r="D331" i="6"/>
  <c r="M331" i="6" s="1"/>
  <c r="D330" i="6"/>
  <c r="M330" i="6" s="1"/>
  <c r="F331" i="6"/>
  <c r="F330" i="6"/>
  <c r="C332" i="6"/>
  <c r="B332" i="6"/>
  <c r="B331" i="6"/>
  <c r="B330" i="6"/>
  <c r="E330" i="6"/>
  <c r="E332" i="6"/>
  <c r="E331" i="6"/>
  <c r="E333" i="6"/>
  <c r="D307" i="2"/>
  <c r="E307" i="2"/>
  <c r="D306" i="2"/>
  <c r="E306" i="2"/>
  <c r="D305" i="2"/>
  <c r="D303" i="2"/>
  <c r="E305" i="2"/>
  <c r="E303" i="2"/>
  <c r="D304" i="2"/>
  <c r="E304" i="2"/>
  <c r="D302" i="2"/>
  <c r="E302" i="2"/>
  <c r="D269" i="2"/>
  <c r="E269" i="2"/>
  <c r="B329" i="6"/>
  <c r="C329" i="6"/>
  <c r="C328" i="6"/>
  <c r="D328" i="6"/>
  <c r="M328" i="6" s="1"/>
  <c r="D329" i="6"/>
  <c r="M329" i="6" s="1"/>
  <c r="B328" i="6"/>
  <c r="F328" i="6"/>
  <c r="D327" i="6"/>
  <c r="M327" i="6" s="1"/>
  <c r="K268" i="1" s="1"/>
  <c r="C326" i="6"/>
  <c r="F326" i="6"/>
  <c r="E329" i="6"/>
  <c r="F329" i="6"/>
  <c r="B326" i="6"/>
  <c r="F327" i="6"/>
  <c r="D326" i="6"/>
  <c r="M326" i="6" s="1"/>
  <c r="B327" i="6"/>
  <c r="C327" i="6"/>
  <c r="E328" i="6"/>
  <c r="E326" i="6"/>
  <c r="E327" i="6"/>
  <c r="D325" i="6"/>
  <c r="M325" i="6" s="1"/>
  <c r="D324" i="6"/>
  <c r="M324" i="6" s="1"/>
  <c r="D323" i="6"/>
  <c r="M323" i="6" s="1"/>
  <c r="D322" i="6"/>
  <c r="M322" i="6" s="1"/>
  <c r="D321" i="6"/>
  <c r="M321" i="6" s="1"/>
  <c r="D320" i="6"/>
  <c r="M320" i="6" s="1"/>
  <c r="D319" i="6"/>
  <c r="M319" i="6" s="1"/>
  <c r="D318" i="6"/>
  <c r="M318" i="6" s="1"/>
  <c r="D317" i="6"/>
  <c r="M317" i="6" s="1"/>
  <c r="D316" i="6"/>
  <c r="M316" i="6" s="1"/>
  <c r="N316" i="6" s="1"/>
  <c r="O316" i="6" s="1"/>
  <c r="C314" i="6"/>
  <c r="F325" i="6"/>
  <c r="F324" i="6"/>
  <c r="F323" i="6"/>
  <c r="F322" i="6"/>
  <c r="F321" i="6"/>
  <c r="F320" i="6"/>
  <c r="F319" i="6"/>
  <c r="F318" i="6"/>
  <c r="F317" i="6"/>
  <c r="F316" i="6"/>
  <c r="D286" i="2"/>
  <c r="B315" i="6"/>
  <c r="B314" i="6"/>
  <c r="B313" i="6"/>
  <c r="C315" i="6"/>
  <c r="C313" i="6"/>
  <c r="E286" i="2"/>
  <c r="D315" i="6"/>
  <c r="M315" i="6" s="1"/>
  <c r="D314" i="6"/>
  <c r="M314" i="6" s="1"/>
  <c r="D313" i="6"/>
  <c r="M313" i="6" s="1"/>
  <c r="C323" i="6"/>
  <c r="C321" i="6"/>
  <c r="C318" i="6"/>
  <c r="F315" i="6"/>
  <c r="F314" i="6"/>
  <c r="F313" i="6"/>
  <c r="C325" i="6"/>
  <c r="C322" i="6"/>
  <c r="C319" i="6"/>
  <c r="C316" i="6"/>
  <c r="B325" i="6"/>
  <c r="B324" i="6"/>
  <c r="B323" i="6"/>
  <c r="B322" i="6"/>
  <c r="B321" i="6"/>
  <c r="B320" i="6"/>
  <c r="B319" i="6"/>
  <c r="B318" i="6"/>
  <c r="B317" i="6"/>
  <c r="B316" i="6"/>
  <c r="C324" i="6"/>
  <c r="C320" i="6"/>
  <c r="C317" i="6"/>
  <c r="E313" i="6"/>
  <c r="E322" i="6"/>
  <c r="E314" i="6"/>
  <c r="E323" i="6"/>
  <c r="E316" i="6"/>
  <c r="E324" i="6"/>
  <c r="E317" i="6"/>
  <c r="E325" i="6"/>
  <c r="E318" i="6"/>
  <c r="E315" i="6"/>
  <c r="E321" i="6"/>
  <c r="E319" i="6"/>
  <c r="E320" i="6"/>
  <c r="B312" i="6"/>
  <c r="E312" i="6"/>
  <c r="C311" i="6"/>
  <c r="B310" i="6"/>
  <c r="D309" i="6"/>
  <c r="M309" i="6" s="1"/>
  <c r="F312" i="6"/>
  <c r="D311" i="6"/>
  <c r="M311" i="6" s="1"/>
  <c r="C310" i="6"/>
  <c r="B309" i="6"/>
  <c r="F311" i="6"/>
  <c r="D310" i="6"/>
  <c r="M310" i="6" s="1"/>
  <c r="C309" i="6"/>
  <c r="B308" i="6"/>
  <c r="F310" i="6"/>
  <c r="C308" i="6"/>
  <c r="C312" i="6"/>
  <c r="D312" i="6"/>
  <c r="M312" i="6" s="1"/>
  <c r="B311" i="6"/>
  <c r="F309" i="6"/>
  <c r="D308" i="6"/>
  <c r="M308" i="6" s="1"/>
  <c r="F308" i="6"/>
  <c r="E310" i="6"/>
  <c r="E311" i="6"/>
  <c r="E309" i="6"/>
  <c r="E308" i="6"/>
  <c r="F306" i="6"/>
  <c r="F305" i="6"/>
  <c r="D304" i="6"/>
  <c r="M304" i="6" s="1"/>
  <c r="B303" i="6"/>
  <c r="D295" i="6"/>
  <c r="M295" i="6" s="1"/>
  <c r="C294" i="6"/>
  <c r="B293" i="6"/>
  <c r="F294" i="6"/>
  <c r="D293" i="6"/>
  <c r="M293" i="6" s="1"/>
  <c r="C292" i="6"/>
  <c r="B291" i="6"/>
  <c r="F303" i="6"/>
  <c r="D302" i="6"/>
  <c r="M302" i="6" s="1"/>
  <c r="D301" i="6"/>
  <c r="M301" i="6" s="1"/>
  <c r="C300" i="6"/>
  <c r="B298" i="6"/>
  <c r="B297" i="6"/>
  <c r="C291" i="6"/>
  <c r="C296" i="6"/>
  <c r="F291" i="6"/>
  <c r="D306" i="6"/>
  <c r="M306" i="6" s="1"/>
  <c r="F304" i="6"/>
  <c r="C303" i="6"/>
  <c r="B302" i="6"/>
  <c r="B301" i="6"/>
  <c r="F295" i="6"/>
  <c r="D294" i="6"/>
  <c r="M294" i="6" s="1"/>
  <c r="C293" i="6"/>
  <c r="B292" i="6"/>
  <c r="D297" i="6"/>
  <c r="M297" i="6" s="1"/>
  <c r="D303" i="6"/>
  <c r="M303" i="6" s="1"/>
  <c r="C302" i="6"/>
  <c r="C301" i="6"/>
  <c r="B300" i="6"/>
  <c r="B299" i="6"/>
  <c r="F300" i="6"/>
  <c r="F299" i="6"/>
  <c r="D298" i="6"/>
  <c r="M298" i="6" s="1"/>
  <c r="D305" i="6"/>
  <c r="M305" i="6" s="1"/>
  <c r="C299" i="6"/>
  <c r="F293" i="6"/>
  <c r="D292" i="6"/>
  <c r="M292" i="6" s="1"/>
  <c r="C304" i="6"/>
  <c r="B307" i="6"/>
  <c r="F302" i="6"/>
  <c r="F301" i="6"/>
  <c r="D300" i="6"/>
  <c r="M300" i="6" s="1"/>
  <c r="D299" i="6"/>
  <c r="M299" i="6" s="1"/>
  <c r="C298" i="6"/>
  <c r="C297" i="6"/>
  <c r="B296" i="6"/>
  <c r="F292" i="6"/>
  <c r="D291" i="6"/>
  <c r="M291" i="6" s="1"/>
  <c r="C307" i="6"/>
  <c r="B306" i="6"/>
  <c r="B305" i="6"/>
  <c r="D307" i="6"/>
  <c r="M307" i="6" s="1"/>
  <c r="C306" i="6"/>
  <c r="C305" i="6"/>
  <c r="B304" i="6"/>
  <c r="F298" i="6"/>
  <c r="F297" i="6"/>
  <c r="D296" i="6"/>
  <c r="M296" i="6" s="1"/>
  <c r="B295" i="6"/>
  <c r="F307" i="6"/>
  <c r="F296" i="6"/>
  <c r="C295" i="6"/>
  <c r="B294" i="6"/>
  <c r="E298" i="6"/>
  <c r="E304" i="6"/>
  <c r="E307" i="6"/>
  <c r="E300" i="6"/>
  <c r="E305" i="6"/>
  <c r="E293" i="6"/>
  <c r="E306" i="6"/>
  <c r="E291" i="6"/>
  <c r="E299" i="6"/>
  <c r="E301" i="6"/>
  <c r="E303" i="6"/>
  <c r="E302" i="6"/>
  <c r="E295" i="6"/>
  <c r="E292" i="6"/>
  <c r="E296" i="6"/>
  <c r="E294" i="6"/>
  <c r="E297" i="6"/>
  <c r="D301" i="2"/>
  <c r="D299" i="2"/>
  <c r="D295" i="2"/>
  <c r="D296" i="2"/>
  <c r="E301" i="2"/>
  <c r="E295" i="2"/>
  <c r="D298" i="2"/>
  <c r="D300" i="2"/>
  <c r="D297" i="2"/>
  <c r="E300" i="2"/>
  <c r="E298" i="2"/>
  <c r="E297" i="2"/>
  <c r="E299" i="2"/>
  <c r="E296" i="2"/>
  <c r="D293" i="2"/>
  <c r="D289" i="2"/>
  <c r="E292" i="2"/>
  <c r="E289" i="2"/>
  <c r="E288" i="2"/>
  <c r="E293" i="2"/>
  <c r="E287" i="2"/>
  <c r="D294" i="2"/>
  <c r="D291" i="2"/>
  <c r="D285" i="2"/>
  <c r="D287" i="2"/>
  <c r="E294" i="2"/>
  <c r="E291" i="2"/>
  <c r="E285" i="2"/>
  <c r="D292" i="2"/>
  <c r="D288" i="2"/>
  <c r="D279" i="2"/>
  <c r="E278" i="2"/>
  <c r="D283" i="2"/>
  <c r="D281" i="2"/>
  <c r="E279" i="2"/>
  <c r="E280" i="2"/>
  <c r="E283" i="2"/>
  <c r="E281" i="2"/>
  <c r="D276" i="2"/>
  <c r="D277" i="2"/>
  <c r="E276" i="2"/>
  <c r="D282" i="2"/>
  <c r="D280" i="2"/>
  <c r="E277" i="2"/>
  <c r="E282" i="2"/>
  <c r="D274" i="2"/>
  <c r="D278" i="2"/>
  <c r="E274" i="2"/>
  <c r="D273" i="2"/>
  <c r="E273" i="2"/>
  <c r="D275" i="2"/>
  <c r="E275" i="2"/>
  <c r="I30" i="12"/>
  <c r="H41" i="12" s="1"/>
  <c r="H36" i="12"/>
  <c r="H40" i="12" s="1"/>
  <c r="B290" i="6"/>
  <c r="C290" i="6"/>
  <c r="D290" i="6"/>
  <c r="M290" i="6" s="1"/>
  <c r="E290" i="6"/>
  <c r="F290" i="6"/>
  <c r="D250" i="2"/>
  <c r="D229" i="2"/>
  <c r="E229" i="2"/>
  <c r="E250" i="2"/>
  <c r="B289" i="6"/>
  <c r="E288" i="6"/>
  <c r="C289" i="6"/>
  <c r="F288" i="6"/>
  <c r="D288" i="6"/>
  <c r="M288" i="6" s="1"/>
  <c r="N288" i="6" s="1"/>
  <c r="O288" i="6" s="1"/>
  <c r="D289" i="6"/>
  <c r="M289" i="6" s="1"/>
  <c r="N289" i="6" s="1"/>
  <c r="O289" i="6" s="1"/>
  <c r="B287" i="6"/>
  <c r="E289" i="6"/>
  <c r="C287" i="6"/>
  <c r="F289" i="6"/>
  <c r="D287" i="6"/>
  <c r="M287" i="6" s="1"/>
  <c r="B288" i="6"/>
  <c r="E287" i="6"/>
  <c r="C288" i="6"/>
  <c r="F287" i="6"/>
  <c r="D272" i="2"/>
  <c r="D268" i="2"/>
  <c r="D265" i="2"/>
  <c r="B286" i="6"/>
  <c r="D281" i="6"/>
  <c r="M281" i="6" s="1"/>
  <c r="F284" i="6"/>
  <c r="E272" i="2"/>
  <c r="E268" i="2"/>
  <c r="E265" i="2"/>
  <c r="C286" i="6"/>
  <c r="F281" i="6"/>
  <c r="E270" i="2"/>
  <c r="E267" i="2"/>
  <c r="C282" i="6"/>
  <c r="F282" i="6"/>
  <c r="D286" i="6"/>
  <c r="M286" i="6" s="1"/>
  <c r="B285" i="6"/>
  <c r="B284" i="6"/>
  <c r="E271" i="2"/>
  <c r="E266" i="2"/>
  <c r="F285" i="6"/>
  <c r="D283" i="6"/>
  <c r="M283" i="6" s="1"/>
  <c r="E286" i="6"/>
  <c r="C285" i="6"/>
  <c r="C284" i="6"/>
  <c r="B283" i="6"/>
  <c r="D271" i="2"/>
  <c r="D270" i="2"/>
  <c r="D267" i="2"/>
  <c r="D266" i="2"/>
  <c r="F286" i="6"/>
  <c r="D285" i="6"/>
  <c r="M285" i="6" s="1"/>
  <c r="D284" i="6"/>
  <c r="M284" i="6" s="1"/>
  <c r="B282" i="6"/>
  <c r="C281" i="6"/>
  <c r="F283" i="6"/>
  <c r="D282" i="6"/>
  <c r="M282" i="6" s="1"/>
  <c r="B281" i="6"/>
  <c r="E284" i="6"/>
  <c r="E285" i="6"/>
  <c r="E281" i="6"/>
  <c r="E283" i="6"/>
  <c r="E282" i="6"/>
  <c r="D262" i="2"/>
  <c r="F280" i="6"/>
  <c r="E279" i="6"/>
  <c r="D278" i="6"/>
  <c r="M278" i="6" s="1"/>
  <c r="D277" i="6"/>
  <c r="M277" i="6" s="1"/>
  <c r="D276" i="6"/>
  <c r="M276" i="6" s="1"/>
  <c r="D275" i="6"/>
  <c r="M275" i="6" s="1"/>
  <c r="D274" i="6"/>
  <c r="M274" i="6" s="1"/>
  <c r="D273" i="6"/>
  <c r="M273" i="6" s="1"/>
  <c r="N273" i="6" s="1"/>
  <c r="O273" i="6" s="1"/>
  <c r="E262" i="2"/>
  <c r="F279" i="6"/>
  <c r="F278" i="6"/>
  <c r="F277" i="6"/>
  <c r="F276" i="6"/>
  <c r="F275" i="6"/>
  <c r="F274" i="6"/>
  <c r="F273" i="6"/>
  <c r="B272" i="6"/>
  <c r="C272" i="6"/>
  <c r="C277" i="6"/>
  <c r="B280" i="6"/>
  <c r="D272" i="6"/>
  <c r="M272" i="6" s="1"/>
  <c r="D279" i="6"/>
  <c r="M279" i="6" s="1"/>
  <c r="C275" i="6"/>
  <c r="C273" i="6"/>
  <c r="C280" i="6"/>
  <c r="B279" i="6"/>
  <c r="F272" i="6"/>
  <c r="E280" i="6"/>
  <c r="C276" i="6"/>
  <c r="D280" i="6"/>
  <c r="M280" i="6" s="1"/>
  <c r="C279" i="6"/>
  <c r="B278" i="6"/>
  <c r="B277" i="6"/>
  <c r="B276" i="6"/>
  <c r="B275" i="6"/>
  <c r="B274" i="6"/>
  <c r="B273" i="6"/>
  <c r="C278" i="6"/>
  <c r="C274" i="6"/>
  <c r="E273" i="6"/>
  <c r="E274" i="6"/>
  <c r="E275" i="6"/>
  <c r="E276" i="6"/>
  <c r="E277" i="6"/>
  <c r="E278" i="6"/>
  <c r="E272" i="6"/>
  <c r="D264" i="2"/>
  <c r="E264" i="2"/>
  <c r="D263" i="2"/>
  <c r="D261" i="2"/>
  <c r="D260" i="2"/>
  <c r="E263" i="2"/>
  <c r="E261" i="2"/>
  <c r="E260" i="2"/>
  <c r="D259" i="2"/>
  <c r="D258" i="2"/>
  <c r="E259" i="2"/>
  <c r="E258" i="2"/>
  <c r="D197" i="2"/>
  <c r="E197" i="2"/>
  <c r="D257" i="2"/>
  <c r="D255" i="2"/>
  <c r="E257" i="2"/>
  <c r="E255" i="2"/>
  <c r="D256" i="2"/>
  <c r="E256" i="2"/>
  <c r="D254" i="2"/>
  <c r="D252" i="2"/>
  <c r="E254" i="2"/>
  <c r="E252" i="2"/>
  <c r="D253" i="2"/>
  <c r="D251" i="2"/>
  <c r="E253" i="2"/>
  <c r="E251" i="2"/>
  <c r="D249" i="2"/>
  <c r="D248" i="2"/>
  <c r="E249" i="2"/>
  <c r="E248" i="2"/>
  <c r="D247" i="2"/>
  <c r="D246" i="2"/>
  <c r="E247" i="2"/>
  <c r="E246" i="2"/>
  <c r="B271" i="6"/>
  <c r="F271" i="6"/>
  <c r="B270" i="6"/>
  <c r="C270" i="6"/>
  <c r="C271" i="6"/>
  <c r="D271" i="6"/>
  <c r="M271" i="6" s="1"/>
  <c r="D270" i="6"/>
  <c r="M270" i="6" s="1"/>
  <c r="E271" i="6"/>
  <c r="F270" i="6"/>
  <c r="E270" i="6"/>
  <c r="B269" i="6"/>
  <c r="C269" i="6"/>
  <c r="D269" i="6"/>
  <c r="M269" i="6" s="1"/>
  <c r="E269" i="6"/>
  <c r="F269" i="6"/>
  <c r="B268" i="6"/>
  <c r="C268" i="6"/>
  <c r="D268" i="6"/>
  <c r="M268" i="6" s="1"/>
  <c r="E268" i="6"/>
  <c r="F268" i="6"/>
  <c r="B267" i="6"/>
  <c r="C267" i="6"/>
  <c r="D267" i="6"/>
  <c r="M267" i="6" s="1"/>
  <c r="E267" i="6"/>
  <c r="F267" i="6"/>
  <c r="B266" i="6"/>
  <c r="F266" i="6"/>
  <c r="C266" i="6"/>
  <c r="D266" i="6"/>
  <c r="M266" i="6" s="1"/>
  <c r="E266" i="6"/>
  <c r="B265" i="6"/>
  <c r="F265" i="6"/>
  <c r="C265" i="6"/>
  <c r="D265" i="6"/>
  <c r="M265" i="6" s="1"/>
  <c r="E265" i="6"/>
  <c r="C264" i="6"/>
  <c r="D264" i="6"/>
  <c r="M264" i="6" s="1"/>
  <c r="E264" i="6"/>
  <c r="B264" i="6"/>
  <c r="F264" i="6"/>
  <c r="D239" i="2"/>
  <c r="E239" i="2"/>
  <c r="B263" i="6"/>
  <c r="C263" i="6"/>
  <c r="D263" i="6"/>
  <c r="M263" i="6" s="1"/>
  <c r="F263" i="6"/>
  <c r="E263" i="6"/>
  <c r="B262" i="6"/>
  <c r="F262" i="6"/>
  <c r="D261" i="6"/>
  <c r="M261" i="6" s="1"/>
  <c r="B260" i="6"/>
  <c r="F259" i="6"/>
  <c r="D258" i="6"/>
  <c r="M258" i="6" s="1"/>
  <c r="B257" i="6"/>
  <c r="F256" i="6"/>
  <c r="C255" i="6"/>
  <c r="B254" i="6"/>
  <c r="D253" i="6"/>
  <c r="M253" i="6" s="1"/>
  <c r="C252" i="6"/>
  <c r="F251" i="6"/>
  <c r="D250" i="6"/>
  <c r="M250" i="6" s="1"/>
  <c r="B249" i="6"/>
  <c r="F248" i="6"/>
  <c r="F247" i="6"/>
  <c r="F246" i="6"/>
  <c r="F245" i="6"/>
  <c r="C244" i="6"/>
  <c r="C243" i="6"/>
  <c r="C242" i="6"/>
  <c r="C241" i="6"/>
  <c r="F261" i="6"/>
  <c r="C260" i="6"/>
  <c r="B259" i="6"/>
  <c r="F258" i="6"/>
  <c r="C257" i="6"/>
  <c r="B256" i="6"/>
  <c r="D255" i="6"/>
  <c r="M255" i="6" s="1"/>
  <c r="D243" i="6"/>
  <c r="M243" i="6" s="1"/>
  <c r="N243" i="6" s="1"/>
  <c r="O243" i="6" s="1"/>
  <c r="C262" i="6"/>
  <c r="D262" i="6"/>
  <c r="M262" i="6" s="1"/>
  <c r="B261" i="6"/>
  <c r="D260" i="6"/>
  <c r="M260" i="6" s="1"/>
  <c r="C259" i="6"/>
  <c r="B258" i="6"/>
  <c r="D257" i="6"/>
  <c r="M257" i="6" s="1"/>
  <c r="C256" i="6"/>
  <c r="F255" i="6"/>
  <c r="D254" i="6"/>
  <c r="M254" i="6" s="1"/>
  <c r="B253" i="6"/>
  <c r="F252" i="6"/>
  <c r="C251" i="6"/>
  <c r="B250" i="6"/>
  <c r="D249" i="6"/>
  <c r="M249" i="6" s="1"/>
  <c r="C248" i="6"/>
  <c r="C247" i="6"/>
  <c r="C246" i="6"/>
  <c r="C245" i="6"/>
  <c r="F244" i="6"/>
  <c r="F243" i="6"/>
  <c r="F242" i="6"/>
  <c r="F241" i="6"/>
  <c r="C254" i="6"/>
  <c r="F253" i="6"/>
  <c r="E262" i="6"/>
  <c r="C261" i="6"/>
  <c r="F260" i="6"/>
  <c r="D259" i="6"/>
  <c r="M259" i="6" s="1"/>
  <c r="C258" i="6"/>
  <c r="F257" i="6"/>
  <c r="D256" i="6"/>
  <c r="M256" i="6" s="1"/>
  <c r="B255" i="6"/>
  <c r="F254" i="6"/>
  <c r="C253" i="6"/>
  <c r="B252" i="6"/>
  <c r="D251" i="6"/>
  <c r="M251" i="6" s="1"/>
  <c r="C250" i="6"/>
  <c r="F249" i="6"/>
  <c r="D248" i="6"/>
  <c r="M248" i="6" s="1"/>
  <c r="N248" i="6" s="1"/>
  <c r="O248" i="6" s="1"/>
  <c r="D247" i="6"/>
  <c r="M247" i="6" s="1"/>
  <c r="N247" i="6" s="1"/>
  <c r="O247" i="6" s="1"/>
  <c r="D246" i="6"/>
  <c r="M246" i="6" s="1"/>
  <c r="N246" i="6" s="1"/>
  <c r="O246" i="6" s="1"/>
  <c r="D245" i="6"/>
  <c r="M245" i="6" s="1"/>
  <c r="B244" i="6"/>
  <c r="B243" i="6"/>
  <c r="B242" i="6"/>
  <c r="B241" i="6"/>
  <c r="D252" i="6"/>
  <c r="M252" i="6" s="1"/>
  <c r="B251" i="6"/>
  <c r="F250" i="6"/>
  <c r="C249" i="6"/>
  <c r="B248" i="6"/>
  <c r="B247" i="6"/>
  <c r="B246" i="6"/>
  <c r="B245" i="6"/>
  <c r="D244" i="6"/>
  <c r="M244" i="6" s="1"/>
  <c r="N244" i="6" s="1"/>
  <c r="O244" i="6" s="1"/>
  <c r="D242" i="6"/>
  <c r="M242" i="6" s="1"/>
  <c r="N242" i="6" s="1"/>
  <c r="O242" i="6" s="1"/>
  <c r="D241" i="6"/>
  <c r="M241" i="6" s="1"/>
  <c r="E247" i="6"/>
  <c r="E255" i="6"/>
  <c r="E261" i="6"/>
  <c r="E254" i="6"/>
  <c r="E246" i="6"/>
  <c r="E241" i="6"/>
  <c r="F240" i="6"/>
  <c r="D239" i="6"/>
  <c r="M239" i="6" s="1"/>
  <c r="C238" i="6"/>
  <c r="C237" i="6"/>
  <c r="C236" i="6"/>
  <c r="B235" i="6"/>
  <c r="B234" i="6"/>
  <c r="B233" i="6"/>
  <c r="E249" i="6"/>
  <c r="E244" i="6"/>
  <c r="C239" i="6"/>
  <c r="B238" i="6"/>
  <c r="B237" i="6"/>
  <c r="F233" i="6"/>
  <c r="E251" i="6"/>
  <c r="E250" i="6"/>
  <c r="E256" i="6"/>
  <c r="E257" i="6"/>
  <c r="E245" i="6"/>
  <c r="B240" i="6"/>
  <c r="F239" i="6"/>
  <c r="D238" i="6"/>
  <c r="M238" i="6" s="1"/>
  <c r="N238" i="6" s="1"/>
  <c r="O238" i="6" s="1"/>
  <c r="D237" i="6"/>
  <c r="M237" i="6" s="1"/>
  <c r="N237" i="6" s="1"/>
  <c r="O237" i="6" s="1"/>
  <c r="D236" i="6"/>
  <c r="M236" i="6" s="1"/>
  <c r="C235" i="6"/>
  <c r="C234" i="6"/>
  <c r="C233" i="6"/>
  <c r="E252" i="6"/>
  <c r="E242" i="6"/>
  <c r="E243" i="6"/>
  <c r="E253" i="6"/>
  <c r="E259" i="6"/>
  <c r="E260" i="6"/>
  <c r="E248" i="6"/>
  <c r="C240" i="6"/>
  <c r="B239" i="6"/>
  <c r="F238" i="6"/>
  <c r="F237" i="6"/>
  <c r="F236" i="6"/>
  <c r="D235" i="6"/>
  <c r="M235" i="6" s="1"/>
  <c r="N235" i="6" s="1"/>
  <c r="O235" i="6" s="1"/>
  <c r="D234" i="6"/>
  <c r="M234" i="6" s="1"/>
  <c r="N234" i="6" s="1"/>
  <c r="O234" i="6" s="1"/>
  <c r="D233" i="6"/>
  <c r="M233" i="6" s="1"/>
  <c r="E258" i="6"/>
  <c r="D240" i="6"/>
  <c r="M240" i="6" s="1"/>
  <c r="B236" i="6"/>
  <c r="F235" i="6"/>
  <c r="F234" i="6"/>
  <c r="E239" i="6"/>
  <c r="E236" i="6"/>
  <c r="E240" i="6"/>
  <c r="E238" i="6"/>
  <c r="E235" i="6"/>
  <c r="E237" i="6"/>
  <c r="E233" i="6"/>
  <c r="E234" i="6"/>
  <c r="B232" i="6"/>
  <c r="F232" i="6"/>
  <c r="D231" i="6"/>
  <c r="M231" i="6" s="1"/>
  <c r="C230" i="6"/>
  <c r="B229" i="6"/>
  <c r="F228" i="6"/>
  <c r="D227" i="6"/>
  <c r="M227" i="6" s="1"/>
  <c r="C226" i="6"/>
  <c r="B225" i="6"/>
  <c r="F224" i="6"/>
  <c r="D223" i="6"/>
  <c r="M223" i="6" s="1"/>
  <c r="F222" i="6"/>
  <c r="D221" i="6"/>
  <c r="M221" i="6" s="1"/>
  <c r="C220" i="6"/>
  <c r="B219" i="6"/>
  <c r="F218" i="6"/>
  <c r="C232" i="6"/>
  <c r="F231" i="6"/>
  <c r="D230" i="6"/>
  <c r="M230" i="6" s="1"/>
  <c r="C229" i="6"/>
  <c r="B228" i="6"/>
  <c r="F227" i="6"/>
  <c r="D226" i="6"/>
  <c r="M226" i="6" s="1"/>
  <c r="C225" i="6"/>
  <c r="B224" i="6"/>
  <c r="F223" i="6"/>
  <c r="B222" i="6"/>
  <c r="F221" i="6"/>
  <c r="D220" i="6"/>
  <c r="M220" i="6" s="1"/>
  <c r="C219" i="6"/>
  <c r="B218" i="6"/>
  <c r="C228" i="6"/>
  <c r="B227" i="6"/>
  <c r="F226" i="6"/>
  <c r="D225" i="6"/>
  <c r="M225" i="6" s="1"/>
  <c r="D232" i="6"/>
  <c r="M232" i="6" s="1"/>
  <c r="B231" i="6"/>
  <c r="F230" i="6"/>
  <c r="D229" i="6"/>
  <c r="M229" i="6" s="1"/>
  <c r="C224" i="6"/>
  <c r="B223" i="6"/>
  <c r="C222" i="6"/>
  <c r="B221" i="6"/>
  <c r="F220" i="6"/>
  <c r="D219" i="6"/>
  <c r="M219" i="6" s="1"/>
  <c r="C218" i="6"/>
  <c r="C221" i="6"/>
  <c r="B220" i="6"/>
  <c r="F219" i="6"/>
  <c r="E232" i="6"/>
  <c r="C231" i="6"/>
  <c r="B230" i="6"/>
  <c r="F229" i="6"/>
  <c r="D228" i="6"/>
  <c r="M228" i="6" s="1"/>
  <c r="C227" i="6"/>
  <c r="B226" i="6"/>
  <c r="F225" i="6"/>
  <c r="D224" i="6"/>
  <c r="M224" i="6" s="1"/>
  <c r="C223" i="6"/>
  <c r="D222" i="6"/>
  <c r="M222" i="6" s="1"/>
  <c r="D218" i="6"/>
  <c r="M218" i="6" s="1"/>
  <c r="E226" i="6"/>
  <c r="E223" i="6"/>
  <c r="E222" i="6"/>
  <c r="E225" i="6"/>
  <c r="E230" i="6"/>
  <c r="E231" i="6"/>
  <c r="E224" i="6"/>
  <c r="E229" i="6"/>
  <c r="E220" i="6"/>
  <c r="E227" i="6"/>
  <c r="E228" i="6"/>
  <c r="E221" i="6"/>
  <c r="E218" i="6"/>
  <c r="E219" i="6"/>
  <c r="B217" i="6"/>
  <c r="F217" i="6"/>
  <c r="E217" i="6"/>
  <c r="C217" i="6"/>
  <c r="D217" i="6"/>
  <c r="M217" i="6" s="1"/>
  <c r="B216" i="6"/>
  <c r="C216" i="6"/>
  <c r="D216" i="6"/>
  <c r="M216" i="6" s="1"/>
  <c r="E216" i="6"/>
  <c r="F216" i="6"/>
  <c r="D245" i="2"/>
  <c r="E245" i="2"/>
  <c r="D244" i="2"/>
  <c r="E244" i="2"/>
  <c r="B215" i="6"/>
  <c r="E214" i="6"/>
  <c r="C212" i="6"/>
  <c r="C215" i="6"/>
  <c r="F214" i="6"/>
  <c r="D212" i="6"/>
  <c r="M212" i="6" s="1"/>
  <c r="E213" i="6"/>
  <c r="D215" i="6"/>
  <c r="M215" i="6" s="1"/>
  <c r="N215" i="6" s="1"/>
  <c r="O215" i="6" s="1"/>
  <c r="B213" i="6"/>
  <c r="E212" i="6"/>
  <c r="E215" i="6"/>
  <c r="C213" i="6"/>
  <c r="F212" i="6"/>
  <c r="F215" i="6"/>
  <c r="D213" i="6"/>
  <c r="M213" i="6" s="1"/>
  <c r="N213" i="6" s="1"/>
  <c r="O213" i="6" s="1"/>
  <c r="B214" i="6"/>
  <c r="B212" i="6"/>
  <c r="C214" i="6"/>
  <c r="F213" i="6"/>
  <c r="D214" i="6"/>
  <c r="M214" i="6" s="1"/>
  <c r="N214" i="6" s="1"/>
  <c r="O214" i="6" s="1"/>
  <c r="D241" i="2"/>
  <c r="E243" i="2"/>
  <c r="E241" i="2"/>
  <c r="D242" i="2"/>
  <c r="D240" i="2"/>
  <c r="E240" i="2"/>
  <c r="E242" i="2"/>
  <c r="D243" i="2"/>
  <c r="E234" i="2"/>
  <c r="D226" i="2"/>
  <c r="D228" i="2"/>
  <c r="D227" i="2"/>
  <c r="E235" i="2"/>
  <c r="E236" i="2"/>
  <c r="E226" i="2"/>
  <c r="E228" i="2"/>
  <c r="D237" i="2"/>
  <c r="E231" i="2"/>
  <c r="E237" i="2"/>
  <c r="E238" i="2"/>
  <c r="D230" i="2"/>
  <c r="D235" i="2"/>
  <c r="E227" i="2"/>
  <c r="E232" i="2"/>
  <c r="D233" i="2"/>
  <c r="E230" i="2"/>
  <c r="E233" i="2"/>
  <c r="D232" i="2"/>
  <c r="D234" i="2"/>
  <c r="D236" i="2"/>
  <c r="D238" i="2"/>
  <c r="D231" i="2"/>
  <c r="D224" i="2"/>
  <c r="E224" i="2"/>
  <c r="D225" i="2"/>
  <c r="E225" i="2"/>
  <c r="B211" i="6"/>
  <c r="E210" i="6"/>
  <c r="C211" i="6"/>
  <c r="F210" i="6"/>
  <c r="D211" i="6"/>
  <c r="M211" i="6" s="1"/>
  <c r="N211" i="6" s="1"/>
  <c r="O211" i="6" s="1"/>
  <c r="B209" i="6"/>
  <c r="E211" i="6"/>
  <c r="C209" i="6"/>
  <c r="F211" i="6"/>
  <c r="D209" i="6"/>
  <c r="M209" i="6" s="1"/>
  <c r="B208" i="6"/>
  <c r="B210" i="6"/>
  <c r="E209" i="6"/>
  <c r="C208" i="6"/>
  <c r="C210" i="6"/>
  <c r="F209" i="6"/>
  <c r="D208" i="6"/>
  <c r="M208" i="6" s="1"/>
  <c r="D210" i="6"/>
  <c r="M210" i="6" s="1"/>
  <c r="N210" i="6" s="1"/>
  <c r="O210" i="6" s="1"/>
  <c r="F208" i="6"/>
  <c r="E208" i="6"/>
  <c r="B207" i="6"/>
  <c r="C207" i="6"/>
  <c r="D207" i="6"/>
  <c r="M207" i="6" s="1"/>
  <c r="E207" i="6"/>
  <c r="F207" i="6"/>
  <c r="D223" i="2"/>
  <c r="D221" i="2"/>
  <c r="D220" i="2"/>
  <c r="D216" i="2"/>
  <c r="D215" i="2"/>
  <c r="D211" i="2"/>
  <c r="D212" i="2"/>
  <c r="F206" i="6"/>
  <c r="D205" i="6"/>
  <c r="M205" i="6" s="1"/>
  <c r="N205" i="6" s="1"/>
  <c r="O205" i="6" s="1"/>
  <c r="D203" i="6"/>
  <c r="M203" i="6" s="1"/>
  <c r="F205" i="6"/>
  <c r="F203" i="6"/>
  <c r="B204" i="6"/>
  <c r="C204" i="6"/>
  <c r="D222" i="2"/>
  <c r="D219" i="2"/>
  <c r="D214" i="2"/>
  <c r="E219" i="2"/>
  <c r="E217" i="2"/>
  <c r="E213" i="2"/>
  <c r="B205" i="6"/>
  <c r="E206" i="6"/>
  <c r="E223" i="2"/>
  <c r="E221" i="2"/>
  <c r="E220" i="2"/>
  <c r="E216" i="2"/>
  <c r="E215" i="2"/>
  <c r="E211" i="2"/>
  <c r="E212" i="2"/>
  <c r="D217" i="2"/>
  <c r="B206" i="6"/>
  <c r="E222" i="2"/>
  <c r="E218" i="2"/>
  <c r="E214" i="2"/>
  <c r="C206" i="6"/>
  <c r="D206" i="6"/>
  <c r="M206" i="6" s="1"/>
  <c r="C203" i="6"/>
  <c r="D218" i="2"/>
  <c r="D213" i="2"/>
  <c r="D204" i="6"/>
  <c r="M204" i="6" s="1"/>
  <c r="N204" i="6" s="1"/>
  <c r="O204" i="6" s="1"/>
  <c r="F204" i="6"/>
  <c r="B203" i="6"/>
  <c r="C205" i="6"/>
  <c r="E205" i="6"/>
  <c r="E203" i="6"/>
  <c r="E204" i="6"/>
  <c r="D210" i="2"/>
  <c r="D208" i="2"/>
  <c r="D207" i="2"/>
  <c r="D205" i="2"/>
  <c r="D203" i="2"/>
  <c r="F202" i="6"/>
  <c r="F201" i="6"/>
  <c r="E210" i="2"/>
  <c r="E208" i="2"/>
  <c r="E207" i="2"/>
  <c r="E205" i="2"/>
  <c r="E203" i="2"/>
  <c r="D209" i="2"/>
  <c r="D206" i="2"/>
  <c r="D204" i="2"/>
  <c r="D202" i="2"/>
  <c r="B202" i="6"/>
  <c r="E209" i="2"/>
  <c r="E206" i="2"/>
  <c r="E204" i="2"/>
  <c r="E202" i="2"/>
  <c r="C202" i="6"/>
  <c r="B201" i="6"/>
  <c r="D202" i="6"/>
  <c r="M202" i="6" s="1"/>
  <c r="C201" i="6"/>
  <c r="D201" i="6"/>
  <c r="M201" i="6" s="1"/>
  <c r="E202" i="6"/>
  <c r="E201" i="6"/>
  <c r="B195" i="6"/>
  <c r="D200" i="6"/>
  <c r="M200" i="6" s="1"/>
  <c r="C195" i="6"/>
  <c r="F200" i="6"/>
  <c r="D195" i="6"/>
  <c r="M195" i="6" s="1"/>
  <c r="N195" i="6" s="1"/>
  <c r="O195" i="6" s="1"/>
  <c r="E195" i="6"/>
  <c r="F195" i="6"/>
  <c r="B200" i="6"/>
  <c r="C200" i="6"/>
  <c r="E200" i="6"/>
  <c r="B199" i="6"/>
  <c r="E198" i="6"/>
  <c r="C199" i="6"/>
  <c r="F198" i="6"/>
  <c r="D199" i="6"/>
  <c r="M199" i="6" s="1"/>
  <c r="N199" i="6" s="1"/>
  <c r="O199" i="6" s="1"/>
  <c r="E199" i="6"/>
  <c r="F199" i="6"/>
  <c r="D197" i="6"/>
  <c r="M197" i="6" s="1"/>
  <c r="B198" i="6"/>
  <c r="E197" i="6"/>
  <c r="B197" i="6"/>
  <c r="C197" i="6"/>
  <c r="C198" i="6"/>
  <c r="F197" i="6"/>
  <c r="D198" i="6"/>
  <c r="M198" i="6" s="1"/>
  <c r="N198" i="6" s="1"/>
  <c r="O198" i="6" s="1"/>
  <c r="F194" i="6"/>
  <c r="B193" i="6"/>
  <c r="B196" i="6"/>
  <c r="C193" i="6"/>
  <c r="D193" i="6"/>
  <c r="M193" i="6" s="1"/>
  <c r="B194" i="6"/>
  <c r="F193" i="6"/>
  <c r="C196" i="6"/>
  <c r="D196" i="6"/>
  <c r="M196" i="6" s="1"/>
  <c r="E196" i="6"/>
  <c r="C194" i="6"/>
  <c r="F196" i="6"/>
  <c r="D194" i="6"/>
  <c r="M194" i="6" s="1"/>
  <c r="N194" i="6" s="1"/>
  <c r="O194" i="6" s="1"/>
  <c r="E194" i="6"/>
  <c r="E193" i="6"/>
  <c r="B192" i="6"/>
  <c r="B190" i="6"/>
  <c r="B189" i="6"/>
  <c r="E201" i="2"/>
  <c r="F188" i="6"/>
  <c r="F186" i="6"/>
  <c r="C187" i="6"/>
  <c r="B186" i="6"/>
  <c r="C186" i="6"/>
  <c r="C192" i="6"/>
  <c r="C190" i="6"/>
  <c r="C189" i="6"/>
  <c r="B187" i="6"/>
  <c r="D192" i="6"/>
  <c r="M192" i="6" s="1"/>
  <c r="N192" i="6" s="1"/>
  <c r="O192" i="6" s="1"/>
  <c r="D190" i="6"/>
  <c r="M190" i="6" s="1"/>
  <c r="D189" i="6"/>
  <c r="M189" i="6" s="1"/>
  <c r="F192" i="6"/>
  <c r="F190" i="6"/>
  <c r="F189" i="6"/>
  <c r="D200" i="2"/>
  <c r="D187" i="6"/>
  <c r="M187" i="6" s="1"/>
  <c r="N187" i="6" s="1"/>
  <c r="O187" i="6" s="1"/>
  <c r="B188" i="6"/>
  <c r="C188" i="6"/>
  <c r="B191" i="6"/>
  <c r="C191" i="6"/>
  <c r="D191" i="6"/>
  <c r="M191" i="6" s="1"/>
  <c r="N191" i="6" s="1"/>
  <c r="O191" i="6" s="1"/>
  <c r="F191" i="6"/>
  <c r="D188" i="6"/>
  <c r="M188" i="6" s="1"/>
  <c r="N188" i="6" s="1"/>
  <c r="O188" i="6" s="1"/>
  <c r="D186" i="6"/>
  <c r="M186" i="6" s="1"/>
  <c r="F187" i="6"/>
  <c r="E192" i="6"/>
  <c r="E187" i="6"/>
  <c r="E189" i="6"/>
  <c r="E188" i="6"/>
  <c r="E191" i="6"/>
  <c r="D201" i="2"/>
  <c r="E190" i="6"/>
  <c r="E186" i="6"/>
  <c r="D199" i="2"/>
  <c r="D196" i="2"/>
  <c r="D194" i="2"/>
  <c r="D191" i="2"/>
  <c r="D190" i="2"/>
  <c r="E196" i="2"/>
  <c r="E194" i="2"/>
  <c r="E191" i="2"/>
  <c r="E190" i="2"/>
  <c r="D198" i="2"/>
  <c r="D195" i="2"/>
  <c r="D192" i="2"/>
  <c r="D193" i="2"/>
  <c r="E198" i="2"/>
  <c r="E195" i="2"/>
  <c r="E192" i="2"/>
  <c r="E193" i="2"/>
  <c r="B185" i="6"/>
  <c r="F181" i="6"/>
  <c r="D180" i="6"/>
  <c r="M180" i="6" s="1"/>
  <c r="C180" i="6"/>
  <c r="C185" i="6"/>
  <c r="F180" i="6"/>
  <c r="F182" i="6"/>
  <c r="D185" i="6"/>
  <c r="M185" i="6" s="1"/>
  <c r="B184" i="6"/>
  <c r="E185" i="6"/>
  <c r="C184" i="6"/>
  <c r="B183" i="6"/>
  <c r="F185" i="6"/>
  <c r="D184" i="6"/>
  <c r="M184" i="6" s="1"/>
  <c r="C183" i="6"/>
  <c r="B182" i="6"/>
  <c r="F184" i="6"/>
  <c r="D182" i="6"/>
  <c r="M182" i="6" s="1"/>
  <c r="B180" i="6"/>
  <c r="D181" i="6"/>
  <c r="M181" i="6" s="1"/>
  <c r="E184" i="6"/>
  <c r="D183" i="6"/>
  <c r="M183" i="6" s="1"/>
  <c r="C182" i="6"/>
  <c r="B181" i="6"/>
  <c r="F183" i="6"/>
  <c r="C181" i="6"/>
  <c r="E180" i="6"/>
  <c r="E181" i="6"/>
  <c r="E182" i="6"/>
  <c r="E183" i="6"/>
  <c r="B179" i="6"/>
  <c r="E178" i="6"/>
  <c r="E189" i="2"/>
  <c r="C179" i="6"/>
  <c r="F178" i="6"/>
  <c r="D187" i="2"/>
  <c r="E187" i="2"/>
  <c r="D188" i="2"/>
  <c r="D179" i="6"/>
  <c r="M179" i="6" s="1"/>
  <c r="N179" i="6" s="1"/>
  <c r="O179" i="6" s="1"/>
  <c r="E179" i="6"/>
  <c r="E188" i="2"/>
  <c r="F179" i="6"/>
  <c r="D186" i="2"/>
  <c r="B178" i="6"/>
  <c r="E186" i="2"/>
  <c r="C178" i="6"/>
  <c r="D184" i="2"/>
  <c r="D178" i="6"/>
  <c r="M178" i="6" s="1"/>
  <c r="E184" i="2"/>
  <c r="D189" i="2"/>
  <c r="D171" i="2"/>
  <c r="E171" i="2"/>
  <c r="B177" i="6"/>
  <c r="C177" i="6"/>
  <c r="D177" i="6"/>
  <c r="M177" i="6" s="1"/>
  <c r="E177" i="6"/>
  <c r="F177" i="6"/>
  <c r="B176" i="6"/>
  <c r="C176" i="6"/>
  <c r="D176" i="6"/>
  <c r="M176" i="6" s="1"/>
  <c r="B175" i="6"/>
  <c r="F175" i="6"/>
  <c r="E176" i="6"/>
  <c r="C175" i="6"/>
  <c r="F176" i="6"/>
  <c r="D175" i="6"/>
  <c r="M175" i="6" s="1"/>
  <c r="E175" i="6"/>
  <c r="D174" i="6"/>
  <c r="M174" i="6" s="1"/>
  <c r="E174" i="6"/>
  <c r="F174" i="6"/>
  <c r="C174" i="6"/>
  <c r="B174" i="6"/>
  <c r="D183" i="2"/>
  <c r="D181" i="2"/>
  <c r="D182" i="2"/>
  <c r="D177" i="2"/>
  <c r="E183" i="2"/>
  <c r="E181" i="2"/>
  <c r="E182" i="2"/>
  <c r="E178" i="2"/>
  <c r="E177" i="2"/>
  <c r="E175" i="2"/>
  <c r="E179" i="2"/>
  <c r="E185" i="2"/>
  <c r="E176" i="2"/>
  <c r="D185" i="2"/>
  <c r="D180" i="2"/>
  <c r="D179" i="2"/>
  <c r="D173" i="2"/>
  <c r="D176" i="2"/>
  <c r="D174" i="2"/>
  <c r="E180" i="2"/>
  <c r="E173" i="2"/>
  <c r="E174" i="2"/>
  <c r="D175" i="2"/>
  <c r="D178" i="2"/>
  <c r="B173" i="6"/>
  <c r="C171" i="6"/>
  <c r="B170" i="6"/>
  <c r="D171" i="6"/>
  <c r="M171" i="6" s="1"/>
  <c r="C170" i="6"/>
  <c r="B169" i="6"/>
  <c r="D169" i="6"/>
  <c r="M169" i="6" s="1"/>
  <c r="C173" i="6"/>
  <c r="D173" i="6"/>
  <c r="M173" i="6" s="1"/>
  <c r="B172" i="6"/>
  <c r="F171" i="6"/>
  <c r="D170" i="6"/>
  <c r="M170" i="6" s="1"/>
  <c r="C169" i="6"/>
  <c r="C172" i="6"/>
  <c r="F170" i="6"/>
  <c r="F169" i="6"/>
  <c r="E173" i="6"/>
  <c r="F173" i="6"/>
  <c r="D172" i="6"/>
  <c r="M172" i="6" s="1"/>
  <c r="N172" i="6" s="1"/>
  <c r="O172" i="6" s="1"/>
  <c r="E172" i="6"/>
  <c r="F172" i="6"/>
  <c r="B171" i="6"/>
  <c r="E169" i="6"/>
  <c r="E171" i="6"/>
  <c r="E170" i="6"/>
  <c r="B168" i="6"/>
  <c r="C168" i="6"/>
  <c r="D168" i="6"/>
  <c r="M168" i="6" s="1"/>
  <c r="D169" i="2"/>
  <c r="E168" i="6"/>
  <c r="E169" i="2"/>
  <c r="F168" i="6"/>
  <c r="D170" i="2"/>
  <c r="E170" i="2"/>
  <c r="D172" i="2"/>
  <c r="E172" i="2"/>
  <c r="B167" i="6"/>
  <c r="C167" i="6"/>
  <c r="D167" i="6"/>
  <c r="M167" i="6" s="1"/>
  <c r="F167" i="6"/>
  <c r="E167" i="6"/>
  <c r="D166" i="2"/>
  <c r="E166" i="2"/>
  <c r="E168" i="2"/>
  <c r="D167" i="2"/>
  <c r="D168" i="2"/>
  <c r="E167" i="2"/>
  <c r="D166" i="6"/>
  <c r="M166" i="6" s="1"/>
  <c r="B165" i="6"/>
  <c r="E166" i="6"/>
  <c r="C165" i="6"/>
  <c r="B164" i="6"/>
  <c r="F162" i="6"/>
  <c r="F166" i="6"/>
  <c r="D165" i="6"/>
  <c r="M165" i="6" s="1"/>
  <c r="C164" i="6"/>
  <c r="B163" i="6"/>
  <c r="D162" i="6"/>
  <c r="M162" i="6" s="1"/>
  <c r="F165" i="6"/>
  <c r="D164" i="6"/>
  <c r="M164" i="6" s="1"/>
  <c r="C163" i="6"/>
  <c r="B162" i="6"/>
  <c r="F164" i="6"/>
  <c r="D163" i="6"/>
  <c r="M163" i="6" s="1"/>
  <c r="C162" i="6"/>
  <c r="F163" i="6"/>
  <c r="B166" i="6"/>
  <c r="C166" i="6"/>
  <c r="E165" i="6"/>
  <c r="E162" i="6"/>
  <c r="E163" i="6"/>
  <c r="E164" i="6"/>
  <c r="D162" i="2"/>
  <c r="E162" i="2"/>
  <c r="D165" i="2"/>
  <c r="D163" i="2"/>
  <c r="D160" i="2"/>
  <c r="D157" i="2"/>
  <c r="E165" i="2"/>
  <c r="E163" i="2"/>
  <c r="E160" i="2"/>
  <c r="E157" i="2"/>
  <c r="D161" i="2"/>
  <c r="E161" i="2"/>
  <c r="E158" i="2"/>
  <c r="D164" i="2"/>
  <c r="D159" i="2"/>
  <c r="D158" i="2"/>
  <c r="E159" i="2"/>
  <c r="E164" i="2"/>
  <c r="E137" i="6"/>
  <c r="C137" i="6"/>
  <c r="D137" i="6"/>
  <c r="M137" i="6" s="1"/>
  <c r="N137" i="6" s="1"/>
  <c r="O137" i="6" s="1"/>
  <c r="F137" i="6"/>
  <c r="B137" i="6"/>
  <c r="D156" i="2"/>
  <c r="E156" i="2"/>
  <c r="B161" i="6"/>
  <c r="C161" i="6"/>
  <c r="D161" i="6"/>
  <c r="M161" i="6" s="1"/>
  <c r="B160" i="6"/>
  <c r="F160" i="6"/>
  <c r="D159" i="6"/>
  <c r="M159" i="6" s="1"/>
  <c r="E161" i="6"/>
  <c r="C160" i="6"/>
  <c r="B159" i="6"/>
  <c r="F161" i="6"/>
  <c r="D160" i="6"/>
  <c r="M160" i="6" s="1"/>
  <c r="C159" i="6"/>
  <c r="F159" i="6"/>
  <c r="E160" i="6"/>
  <c r="E159" i="6"/>
  <c r="C158" i="6"/>
  <c r="D153" i="2"/>
  <c r="E155" i="2"/>
  <c r="E153" i="2"/>
  <c r="D158" i="6"/>
  <c r="M158" i="6" s="1"/>
  <c r="D155" i="2"/>
  <c r="E158" i="6"/>
  <c r="F158" i="6"/>
  <c r="E154" i="2"/>
  <c r="D154" i="2"/>
  <c r="B158" i="6"/>
  <c r="B157" i="6"/>
  <c r="C157" i="6"/>
  <c r="D157" i="6"/>
  <c r="M157" i="6" s="1"/>
  <c r="E157" i="6"/>
  <c r="F157" i="6"/>
  <c r="B156" i="6"/>
  <c r="C156" i="6"/>
  <c r="D156" i="6"/>
  <c r="M156" i="6" s="1"/>
  <c r="E156" i="6"/>
  <c r="F156" i="6"/>
  <c r="B155" i="6"/>
  <c r="E154" i="6"/>
  <c r="C155" i="6"/>
  <c r="F154" i="6"/>
  <c r="D155" i="6"/>
  <c r="M155" i="6" s="1"/>
  <c r="N155" i="6" s="1"/>
  <c r="O155" i="6" s="1"/>
  <c r="B153" i="6"/>
  <c r="D153" i="6"/>
  <c r="M153" i="6" s="1"/>
  <c r="E153" i="6"/>
  <c r="F153" i="6"/>
  <c r="E155" i="6"/>
  <c r="C153" i="6"/>
  <c r="F155" i="6"/>
  <c r="B154" i="6"/>
  <c r="C154" i="6"/>
  <c r="D154" i="6"/>
  <c r="M154" i="6" s="1"/>
  <c r="N154" i="6" s="1"/>
  <c r="O154" i="6" s="1"/>
  <c r="B152" i="6"/>
  <c r="E150" i="2"/>
  <c r="C152" i="6"/>
  <c r="F152" i="6"/>
  <c r="D152" i="6"/>
  <c r="M152" i="6" s="1"/>
  <c r="D152" i="2"/>
  <c r="E152" i="6"/>
  <c r="D151" i="2"/>
  <c r="E152" i="2"/>
  <c r="E151" i="2"/>
  <c r="D150" i="2"/>
  <c r="E149" i="2"/>
  <c r="D149" i="2"/>
  <c r="C151" i="6"/>
  <c r="F150" i="6"/>
  <c r="D151" i="6"/>
  <c r="M151" i="6" s="1"/>
  <c r="B150" i="6"/>
  <c r="D150" i="6"/>
  <c r="M150" i="6" s="1"/>
  <c r="B151" i="6"/>
  <c r="E151" i="6"/>
  <c r="C150" i="6"/>
  <c r="F151" i="6"/>
  <c r="E150" i="6"/>
  <c r="D148" i="2"/>
  <c r="E148" i="2"/>
  <c r="C149" i="6"/>
  <c r="C148" i="6"/>
  <c r="D149" i="6"/>
  <c r="M149" i="6" s="1"/>
  <c r="D148" i="6"/>
  <c r="M148" i="6" s="1"/>
  <c r="F149" i="6"/>
  <c r="F148" i="6"/>
  <c r="B148" i="6"/>
  <c r="B149" i="6"/>
  <c r="E148" i="6"/>
  <c r="E149" i="6"/>
  <c r="B147" i="6"/>
  <c r="D147" i="6"/>
  <c r="M147" i="6" s="1"/>
  <c r="C147" i="6"/>
  <c r="E147" i="6"/>
  <c r="F147" i="6"/>
  <c r="B136" i="6"/>
  <c r="C136" i="6"/>
  <c r="D136" i="6"/>
  <c r="M136" i="6" s="1"/>
  <c r="N136" i="6" s="1"/>
  <c r="O136" i="6" s="1"/>
  <c r="E136" i="6"/>
  <c r="F136" i="6"/>
  <c r="B146" i="6"/>
  <c r="E145" i="6"/>
  <c r="D144" i="6"/>
  <c r="M144" i="6" s="1"/>
  <c r="C146" i="6"/>
  <c r="F145" i="6"/>
  <c r="E144" i="6"/>
  <c r="D146" i="6"/>
  <c r="M146" i="6" s="1"/>
  <c r="N146" i="6" s="1"/>
  <c r="O146" i="6" s="1"/>
  <c r="F144" i="6"/>
  <c r="E146" i="6"/>
  <c r="F146" i="6"/>
  <c r="B145" i="6"/>
  <c r="C145" i="6"/>
  <c r="B144" i="6"/>
  <c r="D145" i="6"/>
  <c r="M145" i="6" s="1"/>
  <c r="C144" i="6"/>
  <c r="D144" i="2"/>
  <c r="E144" i="2"/>
  <c r="D147" i="2"/>
  <c r="D143" i="2"/>
  <c r="D142" i="2"/>
  <c r="D141" i="2"/>
  <c r="D138" i="2"/>
  <c r="D2" i="2"/>
  <c r="E147" i="2"/>
  <c r="E143" i="2"/>
  <c r="E142" i="2"/>
  <c r="E141" i="2"/>
  <c r="E138" i="2"/>
  <c r="E2" i="2"/>
  <c r="F2" i="2"/>
  <c r="D146" i="2"/>
  <c r="D140" i="2"/>
  <c r="D139" i="2"/>
  <c r="D137" i="2"/>
  <c r="E146" i="2"/>
  <c r="E140" i="2"/>
  <c r="E139" i="2"/>
  <c r="E137" i="2"/>
  <c r="D136" i="2"/>
  <c r="D134" i="2"/>
  <c r="D130" i="2"/>
  <c r="E136" i="2"/>
  <c r="E134" i="2"/>
  <c r="D132" i="2"/>
  <c r="E130" i="2"/>
  <c r="E132" i="2"/>
  <c r="D129" i="2"/>
  <c r="D135" i="2"/>
  <c r="D133" i="2"/>
  <c r="D131" i="2"/>
  <c r="E129" i="2"/>
  <c r="E135" i="2"/>
  <c r="E133" i="2"/>
  <c r="E131" i="2"/>
  <c r="B143" i="6"/>
  <c r="C143" i="6"/>
  <c r="D143" i="6"/>
  <c r="M143" i="6" s="1"/>
  <c r="E143" i="6"/>
  <c r="F143" i="6"/>
  <c r="B142" i="6"/>
  <c r="F140" i="6"/>
  <c r="C134" i="6"/>
  <c r="B133" i="6"/>
  <c r="F134" i="6"/>
  <c r="D139" i="6"/>
  <c r="M139" i="6" s="1"/>
  <c r="F133" i="6"/>
  <c r="D132" i="6"/>
  <c r="M132" i="6" s="1"/>
  <c r="C142" i="6"/>
  <c r="B139" i="6"/>
  <c r="D134" i="6"/>
  <c r="M134" i="6" s="1"/>
  <c r="C133" i="6"/>
  <c r="B132" i="6"/>
  <c r="D133" i="6"/>
  <c r="M133" i="6" s="1"/>
  <c r="C132" i="6"/>
  <c r="C138" i="6"/>
  <c r="B135" i="6"/>
  <c r="D142" i="6"/>
  <c r="M142" i="6" s="1"/>
  <c r="N142" i="6" s="1"/>
  <c r="O142" i="6" s="1"/>
  <c r="C139" i="6"/>
  <c r="B138" i="6"/>
  <c r="F142" i="6"/>
  <c r="B141" i="6"/>
  <c r="F139" i="6"/>
  <c r="D138" i="6"/>
  <c r="M138" i="6" s="1"/>
  <c r="C135" i="6"/>
  <c r="F132" i="6"/>
  <c r="C141" i="6"/>
  <c r="B140" i="6"/>
  <c r="F138" i="6"/>
  <c r="D135" i="6"/>
  <c r="M135" i="6" s="1"/>
  <c r="N135" i="6" s="1"/>
  <c r="O135" i="6" s="1"/>
  <c r="D141" i="6"/>
  <c r="M141" i="6" s="1"/>
  <c r="C140" i="6"/>
  <c r="F135" i="6"/>
  <c r="F141" i="6"/>
  <c r="D140" i="6"/>
  <c r="M140" i="6" s="1"/>
  <c r="N140" i="6" s="1"/>
  <c r="O140" i="6" s="1"/>
  <c r="B134" i="6"/>
  <c r="E138" i="6"/>
  <c r="E139" i="6"/>
  <c r="E133" i="6"/>
  <c r="E132" i="6"/>
  <c r="E134" i="6"/>
  <c r="E140" i="6"/>
  <c r="E135" i="6"/>
  <c r="E141" i="6"/>
  <c r="E142" i="6"/>
  <c r="M12" i="6"/>
  <c r="M31" i="6"/>
  <c r="M19" i="6"/>
  <c r="M32" i="6"/>
  <c r="M13" i="6"/>
  <c r="M21" i="6"/>
  <c r="M34" i="6"/>
  <c r="M25" i="6"/>
  <c r="B131" i="6"/>
  <c r="C131" i="6"/>
  <c r="D131" i="6"/>
  <c r="F131" i="6"/>
  <c r="B130" i="6"/>
  <c r="C130" i="6"/>
  <c r="D130" i="6"/>
  <c r="F130" i="6"/>
  <c r="E131" i="6"/>
  <c r="E130" i="6"/>
  <c r="F129" i="6"/>
  <c r="B129" i="6"/>
  <c r="C129" i="6"/>
  <c r="D129" i="6"/>
  <c r="E129" i="6"/>
  <c r="B128" i="6"/>
  <c r="B127" i="6"/>
  <c r="B126" i="6"/>
  <c r="C128" i="6"/>
  <c r="D128" i="6"/>
  <c r="C127" i="6"/>
  <c r="C126" i="6"/>
  <c r="D126" i="6"/>
  <c r="E128" i="6"/>
  <c r="D127" i="6"/>
  <c r="F128" i="6"/>
  <c r="F127" i="6"/>
  <c r="F126" i="6"/>
  <c r="E127" i="6"/>
  <c r="E126" i="6"/>
  <c r="D127" i="2"/>
  <c r="E127" i="2"/>
  <c r="D126" i="2"/>
  <c r="E126" i="2"/>
  <c r="E125" i="2"/>
  <c r="D125" i="2"/>
  <c r="D128" i="2"/>
  <c r="E128" i="2"/>
  <c r="B124" i="6"/>
  <c r="D124" i="2"/>
  <c r="F125" i="6"/>
  <c r="D122" i="2"/>
  <c r="E122" i="2"/>
  <c r="B125" i="6"/>
  <c r="C124" i="6"/>
  <c r="E124" i="2"/>
  <c r="D125" i="6"/>
  <c r="F124" i="6"/>
  <c r="C125" i="6"/>
  <c r="D124" i="6"/>
  <c r="E125" i="6"/>
  <c r="E124" i="6"/>
  <c r="D123" i="2"/>
  <c r="E123" i="2"/>
  <c r="B123" i="6"/>
  <c r="C123" i="6"/>
  <c r="D123" i="6"/>
  <c r="E123" i="6"/>
  <c r="F123" i="6"/>
  <c r="C122" i="6"/>
  <c r="D122" i="6"/>
  <c r="F122" i="6"/>
  <c r="B122" i="6"/>
  <c r="E122" i="6"/>
  <c r="E119" i="2"/>
  <c r="D119" i="2"/>
  <c r="E121" i="2"/>
  <c r="D121" i="2"/>
  <c r="D120" i="2"/>
  <c r="E120" i="2"/>
  <c r="E117" i="6"/>
  <c r="B121" i="6"/>
  <c r="C121" i="6"/>
  <c r="D121" i="6"/>
  <c r="E121" i="6"/>
  <c r="F121" i="6"/>
  <c r="B120" i="6"/>
  <c r="E119" i="6"/>
  <c r="E120" i="6"/>
  <c r="C118" i="6"/>
  <c r="C117" i="6"/>
  <c r="F120" i="6"/>
  <c r="D118" i="6"/>
  <c r="D117" i="6"/>
  <c r="C120" i="6"/>
  <c r="B119" i="6"/>
  <c r="E118" i="6"/>
  <c r="F117" i="6"/>
  <c r="B118" i="6"/>
  <c r="C119" i="6"/>
  <c r="F118" i="6"/>
  <c r="F119" i="6"/>
  <c r="D120" i="6"/>
  <c r="B117" i="6"/>
  <c r="D119" i="6"/>
  <c r="B116" i="6"/>
  <c r="C116" i="6"/>
  <c r="D116" i="6"/>
  <c r="E116" i="6"/>
  <c r="F116" i="6"/>
  <c r="B115" i="6"/>
  <c r="C115" i="6"/>
  <c r="D115" i="6"/>
  <c r="E115" i="6"/>
  <c r="F115" i="6"/>
  <c r="E5" i="2"/>
  <c r="D5" i="2"/>
  <c r="B114" i="6"/>
  <c r="F114" i="6"/>
  <c r="D114" i="6"/>
  <c r="E114" i="6"/>
  <c r="C114" i="6"/>
  <c r="D108" i="2"/>
  <c r="E108" i="2"/>
  <c r="D115" i="2"/>
  <c r="E115" i="2"/>
  <c r="E116" i="2"/>
  <c r="D116" i="2"/>
  <c r="S31" i="8"/>
  <c r="R31" i="8"/>
  <c r="Q42" i="8"/>
  <c r="R42" i="8" s="1"/>
  <c r="S32" i="8"/>
  <c r="R32" i="8"/>
  <c r="S33" i="8"/>
  <c r="R33" i="8"/>
  <c r="S34" i="8"/>
  <c r="R34" i="8"/>
  <c r="S37" i="8"/>
  <c r="R37" i="8"/>
  <c r="E80" i="6"/>
  <c r="D110" i="2"/>
  <c r="D68" i="6"/>
  <c r="D61" i="6"/>
  <c r="D73" i="6"/>
  <c r="F67" i="6"/>
  <c r="B68" i="6"/>
  <c r="E75" i="6"/>
  <c r="F76" i="6"/>
  <c r="B91" i="6"/>
  <c r="B66" i="6"/>
  <c r="B80" i="6"/>
  <c r="E110" i="2"/>
  <c r="B113" i="6"/>
  <c r="D71" i="2"/>
  <c r="C66" i="6"/>
  <c r="E61" i="2"/>
  <c r="F69" i="6"/>
  <c r="F70" i="6"/>
  <c r="D65" i="2"/>
  <c r="E72" i="2"/>
  <c r="F88" i="6"/>
  <c r="C105" i="6"/>
  <c r="E87" i="6"/>
  <c r="C88" i="6"/>
  <c r="E77" i="2"/>
  <c r="F113" i="6"/>
  <c r="C69" i="6"/>
  <c r="F72" i="6"/>
  <c r="F77" i="6"/>
  <c r="E81" i="2"/>
  <c r="F81" i="6"/>
  <c r="F93" i="6"/>
  <c r="E113" i="6"/>
  <c r="C68" i="6"/>
  <c r="C75" i="6"/>
  <c r="C85" i="6"/>
  <c r="F97" i="6"/>
  <c r="D113" i="6"/>
  <c r="B60" i="6"/>
  <c r="B93" i="6"/>
  <c r="E65" i="6"/>
  <c r="D62" i="2"/>
  <c r="E79" i="6"/>
  <c r="F71" i="6"/>
  <c r="B78" i="6"/>
  <c r="B83" i="6"/>
  <c r="F102" i="6"/>
  <c r="E84" i="6"/>
  <c r="C113" i="6"/>
  <c r="D75" i="6"/>
  <c r="B62" i="6"/>
  <c r="D73" i="2"/>
  <c r="B67" i="6"/>
  <c r="D88" i="2"/>
  <c r="D101" i="6"/>
  <c r="D112" i="6"/>
  <c r="D113" i="2"/>
  <c r="E113" i="2"/>
  <c r="D112" i="2"/>
  <c r="E112" i="2"/>
  <c r="D109" i="2"/>
  <c r="E109" i="2"/>
  <c r="D105" i="2"/>
  <c r="E105" i="2"/>
  <c r="D106" i="2"/>
  <c r="E106" i="2"/>
  <c r="D107" i="2"/>
  <c r="E107" i="2"/>
  <c r="D111" i="2"/>
  <c r="E111" i="2"/>
  <c r="D94" i="2"/>
  <c r="E94" i="2"/>
  <c r="C58" i="2"/>
  <c r="N634" i="1" s="1"/>
  <c r="D63" i="6"/>
  <c r="D62" i="6"/>
  <c r="C60" i="6"/>
  <c r="C61" i="6"/>
  <c r="B61" i="6"/>
  <c r="C64" i="6"/>
  <c r="E70" i="6"/>
  <c r="D72" i="6"/>
  <c r="D70" i="2"/>
  <c r="D71" i="6"/>
  <c r="E65" i="2"/>
  <c r="C76" i="6"/>
  <c r="E77" i="6"/>
  <c r="D77" i="6"/>
  <c r="E76" i="2"/>
  <c r="D81" i="6"/>
  <c r="D3" i="2"/>
  <c r="B85" i="6"/>
  <c r="C83" i="6"/>
  <c r="D87" i="6"/>
  <c r="C82" i="6"/>
  <c r="D89" i="6"/>
  <c r="B89" i="6"/>
  <c r="D90" i="2"/>
  <c r="D92" i="2"/>
  <c r="D95" i="6"/>
  <c r="D97" i="6"/>
  <c r="D102" i="6"/>
  <c r="D99" i="6"/>
  <c r="B105" i="6"/>
  <c r="C81" i="6"/>
  <c r="F86" i="6"/>
  <c r="F90" i="6"/>
  <c r="F94" i="6"/>
  <c r="C102" i="6"/>
  <c r="D99" i="2"/>
  <c r="E86" i="6"/>
  <c r="B63" i="6"/>
  <c r="D64" i="6"/>
  <c r="D69" i="6"/>
  <c r="D63" i="2"/>
  <c r="F68" i="6"/>
  <c r="E64" i="2"/>
  <c r="D70" i="6"/>
  <c r="C71" i="6"/>
  <c r="F75" i="6"/>
  <c r="E70" i="2"/>
  <c r="E68" i="2"/>
  <c r="D76" i="6"/>
  <c r="C77" i="6"/>
  <c r="D79" i="6"/>
  <c r="D72" i="2"/>
  <c r="B81" i="6"/>
  <c r="C84" i="6"/>
  <c r="D84" i="2"/>
  <c r="D86" i="2"/>
  <c r="E89" i="2"/>
  <c r="F87" i="6"/>
  <c r="F91" i="6"/>
  <c r="D91" i="6"/>
  <c r="D92" i="6"/>
  <c r="F95" i="6"/>
  <c r="D95" i="2"/>
  <c r="F98" i="6"/>
  <c r="F99" i="6"/>
  <c r="F105" i="6"/>
  <c r="B104" i="6"/>
  <c r="D84" i="6"/>
  <c r="C87" i="6"/>
  <c r="F92" i="6"/>
  <c r="D96" i="2"/>
  <c r="E97" i="6"/>
  <c r="E101" i="6"/>
  <c r="F63" i="6"/>
  <c r="E63" i="2"/>
  <c r="C65" i="6"/>
  <c r="E67" i="6"/>
  <c r="E60" i="6"/>
  <c r="D65" i="6"/>
  <c r="C70" i="6"/>
  <c r="B74" i="6"/>
  <c r="C73" i="6"/>
  <c r="D74" i="6"/>
  <c r="B76" i="6"/>
  <c r="F78" i="6"/>
  <c r="C79" i="6"/>
  <c r="D76" i="2"/>
  <c r="E78" i="2"/>
  <c r="E80" i="2"/>
  <c r="E61" i="6"/>
  <c r="D83" i="6"/>
  <c r="B84" i="6"/>
  <c r="D87" i="2"/>
  <c r="C86" i="6"/>
  <c r="F82" i="6"/>
  <c r="E88" i="2"/>
  <c r="F89" i="6"/>
  <c r="B88" i="6"/>
  <c r="C92" i="6"/>
  <c r="D93" i="2"/>
  <c r="D96" i="6"/>
  <c r="D98" i="6"/>
  <c r="D100" i="6"/>
  <c r="F104" i="6"/>
  <c r="F103" i="6"/>
  <c r="E87" i="2"/>
  <c r="B82" i="6"/>
  <c r="D90" i="6"/>
  <c r="C95" i="6"/>
  <c r="C99" i="6"/>
  <c r="F65" i="6"/>
  <c r="C62" i="6"/>
  <c r="D67" i="6"/>
  <c r="C63" i="6"/>
  <c r="D64" i="2"/>
  <c r="B70" i="6"/>
  <c r="B71" i="6"/>
  <c r="C72" i="6"/>
  <c r="B75" i="6"/>
  <c r="D68" i="2"/>
  <c r="D78" i="6"/>
  <c r="B77" i="6"/>
  <c r="F80" i="6"/>
  <c r="D78" i="2"/>
  <c r="D80" i="2"/>
  <c r="E76" i="6"/>
  <c r="F83" i="6"/>
  <c r="E85" i="6"/>
  <c r="E85" i="2"/>
  <c r="E86" i="2"/>
  <c r="B87" i="6"/>
  <c r="E55" i="2"/>
  <c r="D88" i="6"/>
  <c r="E91" i="2"/>
  <c r="E90" i="2"/>
  <c r="B94" i="6"/>
  <c r="C96" i="6"/>
  <c r="E98" i="6"/>
  <c r="B101" i="6"/>
  <c r="D104" i="6"/>
  <c r="B103" i="6"/>
  <c r="D61" i="2"/>
  <c r="B64" i="6"/>
  <c r="F64" i="6"/>
  <c r="E66" i="6"/>
  <c r="F62" i="6"/>
  <c r="E62" i="2"/>
  <c r="F61" i="6"/>
  <c r="E72" i="6"/>
  <c r="B73" i="6"/>
  <c r="B72" i="6"/>
  <c r="C74" i="6"/>
  <c r="E66" i="2"/>
  <c r="C78" i="6"/>
  <c r="B79" i="6"/>
  <c r="D80" i="6"/>
  <c r="D77" i="2"/>
  <c r="F84" i="6"/>
  <c r="F85" i="6"/>
  <c r="D85" i="2"/>
  <c r="D86" i="6"/>
  <c r="D89" i="2"/>
  <c r="B90" i="6"/>
  <c r="C89" i="6"/>
  <c r="C90" i="6"/>
  <c r="B92" i="6"/>
  <c r="D93" i="6"/>
  <c r="B96" i="6"/>
  <c r="C98" i="6"/>
  <c r="B102" i="6"/>
  <c r="D105" i="6"/>
  <c r="C103" i="6"/>
  <c r="B69" i="6"/>
  <c r="D60" i="6"/>
  <c r="D66" i="6"/>
  <c r="F66" i="6"/>
  <c r="F60" i="6"/>
  <c r="B65" i="6"/>
  <c r="F73" i="6"/>
  <c r="F74" i="6"/>
  <c r="E74" i="6"/>
  <c r="C67" i="6"/>
  <c r="D66" i="2"/>
  <c r="E71" i="2"/>
  <c r="F79" i="6"/>
  <c r="E73" i="2"/>
  <c r="C80" i="6"/>
  <c r="D81" i="2"/>
  <c r="E82" i="6"/>
  <c r="E3" i="2"/>
  <c r="D85" i="6"/>
  <c r="E84" i="2"/>
  <c r="B86" i="6"/>
  <c r="D82" i="6"/>
  <c r="D91" i="2"/>
  <c r="E90" i="6"/>
  <c r="C91" i="6"/>
  <c r="B95" i="6"/>
  <c r="D94" i="6"/>
  <c r="B97" i="6"/>
  <c r="B99" i="6"/>
  <c r="F101" i="6"/>
  <c r="C104" i="6"/>
  <c r="E101" i="2"/>
  <c r="C94" i="6"/>
  <c r="E93" i="2"/>
  <c r="C97" i="6"/>
  <c r="E96" i="2"/>
  <c r="F100" i="6"/>
  <c r="C101" i="6"/>
  <c r="D98" i="2"/>
  <c r="E97" i="2"/>
  <c r="E95" i="6"/>
  <c r="F112" i="6"/>
  <c r="C93" i="6"/>
  <c r="E92" i="2"/>
  <c r="E95" i="2"/>
  <c r="F96" i="6"/>
  <c r="B98" i="6"/>
  <c r="C100" i="6"/>
  <c r="B100" i="6"/>
  <c r="D100" i="2"/>
  <c r="D106" i="6"/>
  <c r="E112" i="6"/>
  <c r="C106" i="6"/>
  <c r="F109" i="6"/>
  <c r="C112" i="6"/>
  <c r="E96" i="6"/>
  <c r="C110" i="6"/>
  <c r="B112" i="6"/>
  <c r="J4" i="8"/>
  <c r="E13" i="6"/>
  <c r="E2" i="6"/>
  <c r="E89" i="6"/>
  <c r="E88" i="6"/>
  <c r="E92" i="6"/>
  <c r="E100" i="6"/>
  <c r="E62" i="6"/>
  <c r="B107" i="6"/>
  <c r="B108" i="6"/>
  <c r="D110" i="6"/>
  <c r="E109" i="6"/>
  <c r="B110" i="6"/>
  <c r="E17" i="6"/>
  <c r="E99" i="2"/>
  <c r="D97" i="2"/>
  <c r="D109" i="6"/>
  <c r="F111" i="6"/>
  <c r="D101" i="2"/>
  <c r="E107" i="6"/>
  <c r="F108" i="6"/>
  <c r="C109" i="6"/>
  <c r="E111" i="6"/>
  <c r="E98" i="2"/>
  <c r="E106" i="6"/>
  <c r="F107" i="6"/>
  <c r="E108" i="6"/>
  <c r="B109" i="6"/>
  <c r="D111" i="6"/>
  <c r="E91" i="6"/>
  <c r="E99" i="6"/>
  <c r="D107" i="6"/>
  <c r="D108" i="6"/>
  <c r="F110" i="6"/>
  <c r="C111" i="6"/>
  <c r="E102" i="6"/>
  <c r="C107" i="6"/>
  <c r="C108" i="6"/>
  <c r="E110" i="6"/>
  <c r="B111" i="6"/>
  <c r="E46" i="6"/>
  <c r="E81" i="6"/>
  <c r="E38" i="6"/>
  <c r="E23" i="6"/>
  <c r="E44" i="6"/>
  <c r="E11" i="6"/>
  <c r="E105" i="6"/>
  <c r="E63" i="6"/>
  <c r="E64" i="6"/>
  <c r="E20" i="6"/>
  <c r="E6" i="6"/>
  <c r="E30" i="6"/>
  <c r="E29" i="6"/>
  <c r="E83" i="6"/>
  <c r="E78" i="6"/>
  <c r="E93" i="6"/>
  <c r="E45" i="6"/>
  <c r="E94" i="6"/>
  <c r="E69" i="6"/>
  <c r="E100" i="2"/>
  <c r="E18" i="6"/>
  <c r="E40" i="6"/>
  <c r="E104" i="6"/>
  <c r="E26" i="6"/>
  <c r="E22" i="6"/>
  <c r="E41" i="6"/>
  <c r="E36" i="6"/>
  <c r="E73" i="6"/>
  <c r="E103" i="6"/>
  <c r="E43" i="6"/>
  <c r="E48" i="6"/>
  <c r="E14" i="6"/>
  <c r="B106" i="6"/>
  <c r="E8" i="6"/>
  <c r="D103" i="6"/>
  <c r="D103" i="2"/>
  <c r="E7" i="6"/>
  <c r="F106" i="6"/>
  <c r="G20" i="5"/>
  <c r="E51" i="6"/>
  <c r="E15" i="6"/>
  <c r="E102" i="2"/>
  <c r="D55" i="2"/>
  <c r="D102" i="2"/>
  <c r="E9" i="6"/>
  <c r="E3" i="6"/>
  <c r="E47" i="6"/>
  <c r="E24" i="6"/>
  <c r="E71" i="6"/>
  <c r="E104" i="2"/>
  <c r="E103" i="2"/>
  <c r="E68" i="6"/>
  <c r="E12" i="6"/>
  <c r="E27" i="6"/>
  <c r="D104" i="2"/>
  <c r="N662" i="1" l="1"/>
  <c r="U662" i="1" s="1"/>
  <c r="N665" i="1"/>
  <c r="N661" i="1"/>
  <c r="U661" i="1" s="1"/>
  <c r="N664" i="1"/>
  <c r="U664" i="1" s="1"/>
  <c r="N660" i="1"/>
  <c r="U660" i="1" s="1"/>
  <c r="N663" i="1"/>
  <c r="U663" i="1" s="1"/>
  <c r="N659" i="1"/>
  <c r="U659" i="1" s="1"/>
  <c r="K662" i="1"/>
  <c r="N739" i="6"/>
  <c r="O739" i="6" s="1"/>
  <c r="M662" i="1" s="1"/>
  <c r="K660" i="1"/>
  <c r="N737" i="6"/>
  <c r="O737" i="6" s="1"/>
  <c r="M660" i="1" s="1"/>
  <c r="K661" i="1"/>
  <c r="N738" i="6"/>
  <c r="O738" i="6" s="1"/>
  <c r="M661" i="1" s="1"/>
  <c r="K663" i="1"/>
  <c r="N740" i="6"/>
  <c r="O740" i="6" s="1"/>
  <c r="M663" i="1" s="1"/>
  <c r="N742" i="6"/>
  <c r="O742" i="6" s="1"/>
  <c r="M665" i="1" s="1"/>
  <c r="K665" i="1"/>
  <c r="N741" i="6"/>
  <c r="O741" i="6" s="1"/>
  <c r="M664" i="1" s="1"/>
  <c r="K664" i="1"/>
  <c r="K659" i="1"/>
  <c r="N736" i="6"/>
  <c r="O736" i="6" s="1"/>
  <c r="M659" i="1" s="1"/>
  <c r="K658" i="1"/>
  <c r="N735" i="6"/>
  <c r="O735" i="6" s="1"/>
  <c r="M658" i="1" s="1"/>
  <c r="N658" i="1"/>
  <c r="U658" i="1" s="1"/>
  <c r="N657" i="1"/>
  <c r="U657" i="1" s="1"/>
  <c r="K657" i="1"/>
  <c r="N734" i="6"/>
  <c r="O734" i="6" s="1"/>
  <c r="M657" i="1" s="1"/>
  <c r="N732" i="6"/>
  <c r="O732" i="6" s="1"/>
  <c r="M655" i="1" s="1"/>
  <c r="K655" i="1"/>
  <c r="K656" i="1"/>
  <c r="N733" i="6"/>
  <c r="O733" i="6" s="1"/>
  <c r="M656" i="1" s="1"/>
  <c r="N656" i="1"/>
  <c r="N655" i="1"/>
  <c r="K654" i="1"/>
  <c r="N731" i="6"/>
  <c r="O731" i="6" s="1"/>
  <c r="M654" i="1" s="1"/>
  <c r="N654" i="1"/>
  <c r="N653" i="1"/>
  <c r="U653" i="1" s="1"/>
  <c r="N730" i="6"/>
  <c r="O730" i="6" s="1"/>
  <c r="M653" i="1" s="1"/>
  <c r="K653" i="1"/>
  <c r="N652" i="1"/>
  <c r="U652" i="1" s="1"/>
  <c r="K652" i="1"/>
  <c r="N729" i="6"/>
  <c r="O729" i="6" s="1"/>
  <c r="M652" i="1" s="1"/>
  <c r="N651" i="1"/>
  <c r="K651" i="1"/>
  <c r="N728" i="6"/>
  <c r="O728" i="6" s="1"/>
  <c r="M651" i="1" s="1"/>
  <c r="N650" i="1"/>
  <c r="K650" i="1"/>
  <c r="N727" i="6"/>
  <c r="O727" i="6" s="1"/>
  <c r="M650" i="1" s="1"/>
  <c r="N642" i="1"/>
  <c r="U642" i="1" s="1"/>
  <c r="K640" i="1"/>
  <c r="N717" i="6"/>
  <c r="O717" i="6" s="1"/>
  <c r="M640" i="1" s="1"/>
  <c r="N646" i="1"/>
  <c r="N723" i="6"/>
  <c r="O723" i="6" s="1"/>
  <c r="M646" i="1" s="1"/>
  <c r="K646" i="1"/>
  <c r="N643" i="1"/>
  <c r="U643" i="1" s="1"/>
  <c r="K648" i="1"/>
  <c r="N725" i="6"/>
  <c r="O725" i="6" s="1"/>
  <c r="M648" i="1" s="1"/>
  <c r="N647" i="1"/>
  <c r="U647" i="1" s="1"/>
  <c r="K647" i="1"/>
  <c r="N724" i="6"/>
  <c r="O724" i="6" s="1"/>
  <c r="M647" i="1" s="1"/>
  <c r="N640" i="1"/>
  <c r="U640" i="1" s="1"/>
  <c r="N644" i="1"/>
  <c r="K644" i="1"/>
  <c r="N721" i="6"/>
  <c r="O721" i="6" s="1"/>
  <c r="M644" i="1" s="1"/>
  <c r="K643" i="1"/>
  <c r="N720" i="6"/>
  <c r="O720" i="6" s="1"/>
  <c r="M643" i="1" s="1"/>
  <c r="K649" i="1"/>
  <c r="N726" i="6"/>
  <c r="O726" i="6" s="1"/>
  <c r="M649" i="1" s="1"/>
  <c r="N641" i="1"/>
  <c r="U641" i="1" s="1"/>
  <c r="N648" i="1"/>
  <c r="U648" i="1" s="1"/>
  <c r="K645" i="1"/>
  <c r="N722" i="6"/>
  <c r="O722" i="6" s="1"/>
  <c r="M645" i="1" s="1"/>
  <c r="N645" i="1"/>
  <c r="K642" i="1"/>
  <c r="N719" i="6"/>
  <c r="O719" i="6" s="1"/>
  <c r="M642" i="1" s="1"/>
  <c r="N649" i="1"/>
  <c r="K641" i="1"/>
  <c r="N718" i="6"/>
  <c r="O718" i="6" s="1"/>
  <c r="M641" i="1" s="1"/>
  <c r="N638" i="1"/>
  <c r="K637" i="1"/>
  <c r="N714" i="6"/>
  <c r="O714" i="6" s="1"/>
  <c r="M637" i="1" s="1"/>
  <c r="N635" i="1"/>
  <c r="U635" i="1" s="1"/>
  <c r="K638" i="1"/>
  <c r="N715" i="6"/>
  <c r="O715" i="6" s="1"/>
  <c r="M638" i="1" s="1"/>
  <c r="K636" i="1"/>
  <c r="N713" i="6"/>
  <c r="O713" i="6" s="1"/>
  <c r="M636" i="1" s="1"/>
  <c r="K639" i="1"/>
  <c r="N716" i="6"/>
  <c r="O716" i="6" s="1"/>
  <c r="M639" i="1" s="1"/>
  <c r="N639" i="1"/>
  <c r="N712" i="6"/>
  <c r="O712" i="6" s="1"/>
  <c r="M635" i="1" s="1"/>
  <c r="K635" i="1"/>
  <c r="N711" i="6"/>
  <c r="O711" i="6" s="1"/>
  <c r="N637" i="1"/>
  <c r="N636" i="1"/>
  <c r="U636" i="1" s="1"/>
  <c r="N582" i="1"/>
  <c r="N709" i="6"/>
  <c r="O709" i="6" s="1"/>
  <c r="N633" i="1"/>
  <c r="N630" i="1"/>
  <c r="N629" i="1"/>
  <c r="N632" i="1"/>
  <c r="N628" i="1"/>
  <c r="N631" i="1"/>
  <c r="N708" i="6"/>
  <c r="O708" i="6" s="1"/>
  <c r="M632" i="1" s="1"/>
  <c r="K632" i="1"/>
  <c r="K630" i="1"/>
  <c r="N706" i="6"/>
  <c r="O706" i="6" s="1"/>
  <c r="M630" i="1" s="1"/>
  <c r="K628" i="1"/>
  <c r="N704" i="6"/>
  <c r="O704" i="6" s="1"/>
  <c r="M628" i="1" s="1"/>
  <c r="K631" i="1"/>
  <c r="N707" i="6"/>
  <c r="O707" i="6" s="1"/>
  <c r="M631" i="1" s="1"/>
  <c r="K629" i="1"/>
  <c r="N705" i="6"/>
  <c r="O705" i="6" s="1"/>
  <c r="M629" i="1" s="1"/>
  <c r="N2" i="6"/>
  <c r="K624" i="1"/>
  <c r="N702" i="6"/>
  <c r="O702" i="6" s="1"/>
  <c r="N700" i="6"/>
  <c r="O700" i="6" s="1"/>
  <c r="M625" i="1" s="1"/>
  <c r="K625" i="1"/>
  <c r="N625" i="1"/>
  <c r="N701" i="6"/>
  <c r="O701" i="6" s="1"/>
  <c r="M626" i="1" s="1"/>
  <c r="K626" i="1"/>
  <c r="N627" i="1"/>
  <c r="N703" i="6"/>
  <c r="O703" i="6" s="1"/>
  <c r="M627" i="1" s="1"/>
  <c r="K627" i="1"/>
  <c r="N626" i="1"/>
  <c r="N624" i="1"/>
  <c r="K623" i="1"/>
  <c r="N697" i="6"/>
  <c r="O697" i="6" s="1"/>
  <c r="M623" i="1" s="1"/>
  <c r="N623" i="1"/>
  <c r="N694" i="6"/>
  <c r="O694" i="6" s="1"/>
  <c r="M622" i="1" s="1"/>
  <c r="K622" i="1"/>
  <c r="N622" i="1"/>
  <c r="N617" i="1"/>
  <c r="N621" i="1"/>
  <c r="N613" i="1"/>
  <c r="N616" i="1"/>
  <c r="U616" i="1" s="1"/>
  <c r="N620" i="1"/>
  <c r="N612" i="1"/>
  <c r="N614" i="1"/>
  <c r="N619" i="1"/>
  <c r="U619" i="1" s="1"/>
  <c r="N618" i="1"/>
  <c r="N615" i="1"/>
  <c r="K616" i="1"/>
  <c r="N688" i="6"/>
  <c r="O688" i="6" s="1"/>
  <c r="M616" i="1" s="1"/>
  <c r="N685" i="6"/>
  <c r="O685" i="6" s="1"/>
  <c r="M613" i="1" s="1"/>
  <c r="K613" i="1"/>
  <c r="N690" i="6"/>
  <c r="O690" i="6" s="1"/>
  <c r="M618" i="1" s="1"/>
  <c r="K618" i="1"/>
  <c r="K620" i="1"/>
  <c r="N692" i="6"/>
  <c r="O692" i="6" s="1"/>
  <c r="M620" i="1" s="1"/>
  <c r="K617" i="1"/>
  <c r="N689" i="6"/>
  <c r="O689" i="6" s="1"/>
  <c r="M617" i="1" s="1"/>
  <c r="K619" i="1"/>
  <c r="N691" i="6"/>
  <c r="O691" i="6" s="1"/>
  <c r="M619" i="1" s="1"/>
  <c r="K612" i="1"/>
  <c r="N684" i="6"/>
  <c r="O684" i="6" s="1"/>
  <c r="M612" i="1" s="1"/>
  <c r="N686" i="6"/>
  <c r="O686" i="6" s="1"/>
  <c r="M614" i="1" s="1"/>
  <c r="K614" i="1"/>
  <c r="N687" i="6"/>
  <c r="O687" i="6" s="1"/>
  <c r="M615" i="1" s="1"/>
  <c r="K615" i="1"/>
  <c r="K621" i="1"/>
  <c r="N693" i="6"/>
  <c r="O693" i="6" s="1"/>
  <c r="M621" i="1" s="1"/>
  <c r="N611" i="1"/>
  <c r="N683" i="6"/>
  <c r="O683" i="6" s="1"/>
  <c r="M611" i="1" s="1"/>
  <c r="K611" i="1"/>
  <c r="N609" i="1"/>
  <c r="U609" i="1" s="1"/>
  <c r="N681" i="6"/>
  <c r="O681" i="6" s="1"/>
  <c r="M609" i="1" s="1"/>
  <c r="K609" i="1"/>
  <c r="K610" i="1"/>
  <c r="N682" i="6"/>
  <c r="O682" i="6" s="1"/>
  <c r="M610" i="1" s="1"/>
  <c r="N610" i="1"/>
  <c r="U610" i="1" s="1"/>
  <c r="K608" i="1"/>
  <c r="N680" i="6"/>
  <c r="O680" i="6" s="1"/>
  <c r="M608" i="1" s="1"/>
  <c r="N608" i="1"/>
  <c r="K607" i="1"/>
  <c r="N678" i="6"/>
  <c r="O678" i="6" s="1"/>
  <c r="M607" i="1" s="1"/>
  <c r="N607" i="1"/>
  <c r="N606" i="1"/>
  <c r="N677" i="6"/>
  <c r="O677" i="6" s="1"/>
  <c r="M606" i="1" s="1"/>
  <c r="K606" i="1"/>
  <c r="N603" i="1"/>
  <c r="N599" i="1"/>
  <c r="N598" i="1"/>
  <c r="N602" i="1"/>
  <c r="N605" i="1"/>
  <c r="U605" i="1" s="1"/>
  <c r="N601" i="1"/>
  <c r="N604" i="1"/>
  <c r="N600" i="1"/>
  <c r="K605" i="1"/>
  <c r="N676" i="6"/>
  <c r="O676" i="6" s="1"/>
  <c r="M605" i="1" s="1"/>
  <c r="N674" i="6"/>
  <c r="O674" i="6" s="1"/>
  <c r="M603" i="1" s="1"/>
  <c r="K603" i="1"/>
  <c r="N669" i="6"/>
  <c r="O669" i="6" s="1"/>
  <c r="M598" i="1" s="1"/>
  <c r="K598" i="1"/>
  <c r="N671" i="6"/>
  <c r="O671" i="6" s="1"/>
  <c r="M600" i="1" s="1"/>
  <c r="K600" i="1"/>
  <c r="K601" i="1"/>
  <c r="N672" i="6"/>
  <c r="O672" i="6" s="1"/>
  <c r="M601" i="1" s="1"/>
  <c r="K602" i="1"/>
  <c r="N673" i="6"/>
  <c r="O673" i="6" s="1"/>
  <c r="M602" i="1" s="1"/>
  <c r="K604" i="1"/>
  <c r="N675" i="6"/>
  <c r="O675" i="6" s="1"/>
  <c r="M604" i="1" s="1"/>
  <c r="K599" i="1"/>
  <c r="N670" i="6"/>
  <c r="O670" i="6" s="1"/>
  <c r="M599" i="1" s="1"/>
  <c r="N597" i="1"/>
  <c r="N595" i="1"/>
  <c r="N596" i="1"/>
  <c r="U596" i="1" s="1"/>
  <c r="K597" i="1"/>
  <c r="N668" i="6"/>
  <c r="O668" i="6" s="1"/>
  <c r="M597" i="1" s="1"/>
  <c r="K595" i="1"/>
  <c r="N665" i="6"/>
  <c r="O665" i="6" s="1"/>
  <c r="M595" i="1" s="1"/>
  <c r="K596" i="1"/>
  <c r="N667" i="6"/>
  <c r="O667" i="6" s="1"/>
  <c r="M596" i="1" s="1"/>
  <c r="K594" i="1"/>
  <c r="N664" i="6"/>
  <c r="O664" i="6" s="1"/>
  <c r="M594" i="1" s="1"/>
  <c r="N594" i="1"/>
  <c r="N593" i="1"/>
  <c r="N663" i="6"/>
  <c r="O663" i="6" s="1"/>
  <c r="M593" i="1" s="1"/>
  <c r="K593" i="1"/>
  <c r="N662" i="6"/>
  <c r="O662" i="6" s="1"/>
  <c r="M592" i="1" s="1"/>
  <c r="K592" i="1"/>
  <c r="N592" i="1"/>
  <c r="N660" i="6"/>
  <c r="O660" i="6" s="1"/>
  <c r="M590" i="1" s="1"/>
  <c r="K590" i="1"/>
  <c r="N659" i="6"/>
  <c r="O659" i="6" s="1"/>
  <c r="M589" i="1" s="1"/>
  <c r="K589" i="1"/>
  <c r="N588" i="1"/>
  <c r="K588" i="1"/>
  <c r="N658" i="6"/>
  <c r="O658" i="6" s="1"/>
  <c r="M588" i="1" s="1"/>
  <c r="N591" i="1"/>
  <c r="K585" i="1"/>
  <c r="N655" i="6"/>
  <c r="O655" i="6" s="1"/>
  <c r="M585" i="1" s="1"/>
  <c r="N589" i="1"/>
  <c r="N656" i="6"/>
  <c r="O656" i="6" s="1"/>
  <c r="M586" i="1" s="1"/>
  <c r="K586" i="1"/>
  <c r="N657" i="6"/>
  <c r="O657" i="6" s="1"/>
  <c r="M587" i="1" s="1"/>
  <c r="K587" i="1"/>
  <c r="N585" i="1"/>
  <c r="N586" i="1"/>
  <c r="N590" i="1"/>
  <c r="K591" i="1"/>
  <c r="N661" i="6"/>
  <c r="O661" i="6" s="1"/>
  <c r="M591" i="1" s="1"/>
  <c r="N587" i="1"/>
  <c r="K584" i="1"/>
  <c r="N654" i="6"/>
  <c r="O654" i="6" s="1"/>
  <c r="M584" i="1" s="1"/>
  <c r="N584" i="1"/>
  <c r="K583" i="1"/>
  <c r="N653" i="6"/>
  <c r="O653" i="6" s="1"/>
  <c r="M583" i="1" s="1"/>
  <c r="N583" i="1"/>
  <c r="N651" i="6"/>
  <c r="O651" i="6" s="1"/>
  <c r="M582" i="1" s="1"/>
  <c r="K582" i="1"/>
  <c r="K386" i="1"/>
  <c r="N567" i="1"/>
  <c r="N581" i="1"/>
  <c r="K581" i="1"/>
  <c r="N650" i="6"/>
  <c r="O650" i="6" s="1"/>
  <c r="M581" i="1" s="1"/>
  <c r="K580" i="1"/>
  <c r="N649" i="6"/>
  <c r="O649" i="6" s="1"/>
  <c r="M580" i="1" s="1"/>
  <c r="N580" i="1"/>
  <c r="K579" i="1"/>
  <c r="N648" i="6"/>
  <c r="O648" i="6" s="1"/>
  <c r="M579" i="1" s="1"/>
  <c r="N579" i="1"/>
  <c r="N576" i="1"/>
  <c r="N575" i="1"/>
  <c r="K573" i="1"/>
  <c r="N642" i="6"/>
  <c r="O642" i="6" s="1"/>
  <c r="M573" i="1" s="1"/>
  <c r="N574" i="1"/>
  <c r="K578" i="1"/>
  <c r="N647" i="6"/>
  <c r="O647" i="6" s="1"/>
  <c r="M578" i="1" s="1"/>
  <c r="N646" i="6"/>
  <c r="O646" i="6" s="1"/>
  <c r="M577" i="1" s="1"/>
  <c r="K577" i="1"/>
  <c r="N573" i="1"/>
  <c r="K572" i="1"/>
  <c r="N641" i="6"/>
  <c r="O641" i="6" s="1"/>
  <c r="M572" i="1" s="1"/>
  <c r="N578" i="1"/>
  <c r="K575" i="1"/>
  <c r="N644" i="6"/>
  <c r="O644" i="6" s="1"/>
  <c r="M575" i="1" s="1"/>
  <c r="K574" i="1"/>
  <c r="N643" i="6"/>
  <c r="O643" i="6" s="1"/>
  <c r="M574" i="1" s="1"/>
  <c r="N572" i="1"/>
  <c r="N645" i="6"/>
  <c r="O645" i="6" s="1"/>
  <c r="M576" i="1" s="1"/>
  <c r="K576" i="1"/>
  <c r="N577" i="1"/>
  <c r="U577" i="1" s="1"/>
  <c r="N571" i="1"/>
  <c r="U571" i="1" s="1"/>
  <c r="N570" i="1"/>
  <c r="N639" i="6"/>
  <c r="O639" i="6" s="1"/>
  <c r="M570" i="1" s="1"/>
  <c r="K570" i="1"/>
  <c r="K571" i="1"/>
  <c r="N640" i="6"/>
  <c r="O640" i="6" s="1"/>
  <c r="M571" i="1" s="1"/>
  <c r="N634" i="6"/>
  <c r="O634" i="6" s="1"/>
  <c r="M565" i="1" s="1"/>
  <c r="K565" i="1"/>
  <c r="N636" i="6"/>
  <c r="O636" i="6" s="1"/>
  <c r="M567" i="1" s="1"/>
  <c r="K567" i="1"/>
  <c r="N635" i="6"/>
  <c r="O635" i="6" s="1"/>
  <c r="M566" i="1" s="1"/>
  <c r="K566" i="1"/>
  <c r="N569" i="1"/>
  <c r="N568" i="1"/>
  <c r="U568" i="1" s="1"/>
  <c r="N566" i="1"/>
  <c r="K569" i="1"/>
  <c r="N638" i="6"/>
  <c r="O638" i="6" s="1"/>
  <c r="M569" i="1" s="1"/>
  <c r="N565" i="1"/>
  <c r="N637" i="6"/>
  <c r="O637" i="6" s="1"/>
  <c r="M568" i="1" s="1"/>
  <c r="K568" i="1"/>
  <c r="N516" i="1"/>
  <c r="N563" i="1"/>
  <c r="N559" i="1"/>
  <c r="N558" i="1"/>
  <c r="N560" i="1"/>
  <c r="N564" i="1"/>
  <c r="N561" i="1"/>
  <c r="N562" i="1"/>
  <c r="K564" i="1"/>
  <c r="N633" i="6"/>
  <c r="O633" i="6" s="1"/>
  <c r="M564" i="1" s="1"/>
  <c r="K563" i="1"/>
  <c r="N632" i="6"/>
  <c r="O632" i="6" s="1"/>
  <c r="M563" i="1" s="1"/>
  <c r="K562" i="1"/>
  <c r="N631" i="6"/>
  <c r="O631" i="6" s="1"/>
  <c r="M562" i="1" s="1"/>
  <c r="K560" i="1"/>
  <c r="N629" i="6"/>
  <c r="O629" i="6" s="1"/>
  <c r="M560" i="1" s="1"/>
  <c r="K561" i="1"/>
  <c r="N630" i="6"/>
  <c r="O630" i="6" s="1"/>
  <c r="M561" i="1" s="1"/>
  <c r="N628" i="6"/>
  <c r="O628" i="6" s="1"/>
  <c r="M559" i="1" s="1"/>
  <c r="K559" i="1"/>
  <c r="N627" i="6"/>
  <c r="O627" i="6" s="1"/>
  <c r="M558" i="1" s="1"/>
  <c r="K558" i="1"/>
  <c r="N557" i="1"/>
  <c r="U557" i="1" s="1"/>
  <c r="K557" i="1"/>
  <c r="N626" i="6"/>
  <c r="O626" i="6" s="1"/>
  <c r="M557" i="1" s="1"/>
  <c r="N555" i="1"/>
  <c r="K555" i="1"/>
  <c r="N623" i="6"/>
  <c r="O623" i="6" s="1"/>
  <c r="M555" i="1" s="1"/>
  <c r="K556" i="1"/>
  <c r="N625" i="6"/>
  <c r="O625" i="6" s="1"/>
  <c r="M556" i="1" s="1"/>
  <c r="N556" i="1"/>
  <c r="N554" i="1"/>
  <c r="K554" i="1"/>
  <c r="N622" i="6"/>
  <c r="O622" i="6" s="1"/>
  <c r="M554" i="1" s="1"/>
  <c r="N553" i="1"/>
  <c r="U553" i="1" s="1"/>
  <c r="K553" i="1"/>
  <c r="N621" i="6"/>
  <c r="O621" i="6" s="1"/>
  <c r="M553" i="1" s="1"/>
  <c r="N545" i="1"/>
  <c r="N544" i="1"/>
  <c r="N552" i="1"/>
  <c r="N543" i="1"/>
  <c r="N550" i="1"/>
  <c r="N548" i="1"/>
  <c r="N551" i="1"/>
  <c r="N547" i="1"/>
  <c r="N542" i="1"/>
  <c r="N546" i="1"/>
  <c r="N549" i="1"/>
  <c r="K547" i="1"/>
  <c r="N615" i="6"/>
  <c r="O615" i="6" s="1"/>
  <c r="M547" i="1" s="1"/>
  <c r="K545" i="1"/>
  <c r="N613" i="6"/>
  <c r="O613" i="6" s="1"/>
  <c r="M545" i="1" s="1"/>
  <c r="K549" i="1"/>
  <c r="N617" i="6"/>
  <c r="O617" i="6" s="1"/>
  <c r="M549" i="1" s="1"/>
  <c r="K548" i="1"/>
  <c r="N616" i="6"/>
  <c r="O616" i="6" s="1"/>
  <c r="M548" i="1" s="1"/>
  <c r="K552" i="1"/>
  <c r="N620" i="6"/>
  <c r="O620" i="6" s="1"/>
  <c r="M552" i="1" s="1"/>
  <c r="K551" i="1"/>
  <c r="N619" i="6"/>
  <c r="O619" i="6" s="1"/>
  <c r="M551" i="1" s="1"/>
  <c r="K544" i="1"/>
  <c r="N612" i="6"/>
  <c r="O612" i="6" s="1"/>
  <c r="M544" i="1" s="1"/>
  <c r="K550" i="1"/>
  <c r="N618" i="6"/>
  <c r="O618" i="6" s="1"/>
  <c r="M550" i="1" s="1"/>
  <c r="K543" i="1"/>
  <c r="N611" i="6"/>
  <c r="O611" i="6" s="1"/>
  <c r="M543" i="1" s="1"/>
  <c r="K546" i="1"/>
  <c r="N614" i="6"/>
  <c r="O614" i="6" s="1"/>
  <c r="M546" i="1" s="1"/>
  <c r="K542" i="1"/>
  <c r="N610" i="6"/>
  <c r="O610" i="6" s="1"/>
  <c r="M542" i="1" s="1"/>
  <c r="N538" i="1"/>
  <c r="K541" i="1"/>
  <c r="N609" i="6"/>
  <c r="O609" i="6" s="1"/>
  <c r="M541" i="1" s="1"/>
  <c r="K540" i="1"/>
  <c r="N608" i="6"/>
  <c r="O608" i="6" s="1"/>
  <c r="M540" i="1" s="1"/>
  <c r="N607" i="6"/>
  <c r="O607" i="6" s="1"/>
  <c r="M539" i="1" s="1"/>
  <c r="K539" i="1"/>
  <c r="N540" i="1"/>
  <c r="N541" i="1"/>
  <c r="N539" i="1"/>
  <c r="K538" i="1"/>
  <c r="N606" i="6"/>
  <c r="O606" i="6" s="1"/>
  <c r="M538" i="1" s="1"/>
  <c r="K537" i="1"/>
  <c r="N605" i="6"/>
  <c r="O605" i="6" s="1"/>
  <c r="M537" i="1" s="1"/>
  <c r="N537" i="1"/>
  <c r="N602" i="6"/>
  <c r="O602" i="6" s="1"/>
  <c r="M534" i="1" s="1"/>
  <c r="K534" i="1"/>
  <c r="K535" i="1"/>
  <c r="N603" i="6"/>
  <c r="O603" i="6" s="1"/>
  <c r="M535" i="1" s="1"/>
  <c r="N536" i="1"/>
  <c r="N534" i="1"/>
  <c r="K536" i="1"/>
  <c r="N604" i="6"/>
  <c r="O604" i="6" s="1"/>
  <c r="M536" i="1" s="1"/>
  <c r="N535" i="1"/>
  <c r="K532" i="1"/>
  <c r="N600" i="6"/>
  <c r="O600" i="6" s="1"/>
  <c r="M532" i="1" s="1"/>
  <c r="N82" i="1"/>
  <c r="N529" i="1"/>
  <c r="K531" i="1"/>
  <c r="N599" i="6"/>
  <c r="O599" i="6" s="1"/>
  <c r="M531" i="1" s="1"/>
  <c r="K533" i="1"/>
  <c r="N601" i="6"/>
  <c r="O601" i="6" s="1"/>
  <c r="M533" i="1" s="1"/>
  <c r="N533" i="1"/>
  <c r="N530" i="1"/>
  <c r="K530" i="1"/>
  <c r="N598" i="6"/>
  <c r="O598" i="6" s="1"/>
  <c r="M530" i="1" s="1"/>
  <c r="N531" i="1"/>
  <c r="K529" i="1"/>
  <c r="N597" i="6"/>
  <c r="O597" i="6" s="1"/>
  <c r="M529" i="1" s="1"/>
  <c r="N528" i="1"/>
  <c r="N596" i="6"/>
  <c r="O596" i="6" s="1"/>
  <c r="M528" i="1" s="1"/>
  <c r="K528" i="1"/>
  <c r="N532" i="1"/>
  <c r="U532" i="1" s="1"/>
  <c r="K526" i="1"/>
  <c r="N594" i="6"/>
  <c r="O594" i="6" s="1"/>
  <c r="M526" i="1" s="1"/>
  <c r="K527" i="1"/>
  <c r="N595" i="6"/>
  <c r="O595" i="6" s="1"/>
  <c r="M527" i="1" s="1"/>
  <c r="N527" i="1"/>
  <c r="N526" i="1"/>
  <c r="N525" i="1"/>
  <c r="K525" i="1"/>
  <c r="N593" i="6"/>
  <c r="O593" i="6" s="1"/>
  <c r="M525" i="1" s="1"/>
  <c r="K524" i="1"/>
  <c r="N592" i="6"/>
  <c r="O592" i="6" s="1"/>
  <c r="M524" i="1" s="1"/>
  <c r="N524" i="1"/>
  <c r="K523" i="1"/>
  <c r="N591" i="6"/>
  <c r="O591" i="6" s="1"/>
  <c r="M523" i="1" s="1"/>
  <c r="N523" i="1"/>
  <c r="K522" i="1"/>
  <c r="N590" i="6"/>
  <c r="O590" i="6" s="1"/>
  <c r="M522" i="1" s="1"/>
  <c r="K521" i="1"/>
  <c r="N589" i="6"/>
  <c r="O589" i="6" s="1"/>
  <c r="M521" i="1" s="1"/>
  <c r="N522" i="1"/>
  <c r="N521" i="1"/>
  <c r="K515" i="1"/>
  <c r="N583" i="6"/>
  <c r="O583" i="6" s="1"/>
  <c r="M515" i="1" s="1"/>
  <c r="K516" i="1"/>
  <c r="N584" i="6"/>
  <c r="O584" i="6" s="1"/>
  <c r="M516" i="1" s="1"/>
  <c r="K518" i="1"/>
  <c r="N586" i="6"/>
  <c r="O586" i="6" s="1"/>
  <c r="M518" i="1" s="1"/>
  <c r="N517" i="1"/>
  <c r="K520" i="1"/>
  <c r="N588" i="6"/>
  <c r="O588" i="6" s="1"/>
  <c r="M520" i="1" s="1"/>
  <c r="N520" i="1"/>
  <c r="U520" i="1" s="1"/>
  <c r="N518" i="1"/>
  <c r="N515" i="1"/>
  <c r="K519" i="1"/>
  <c r="N587" i="6"/>
  <c r="O587" i="6" s="1"/>
  <c r="M519" i="1" s="1"/>
  <c r="N519" i="1"/>
  <c r="K517" i="1"/>
  <c r="N585" i="6"/>
  <c r="O585" i="6" s="1"/>
  <c r="M517" i="1" s="1"/>
  <c r="N358" i="1"/>
  <c r="N514" i="1"/>
  <c r="K514" i="1"/>
  <c r="N582" i="6"/>
  <c r="O582" i="6" s="1"/>
  <c r="M514" i="1" s="1"/>
  <c r="N345" i="1"/>
  <c r="N513" i="1"/>
  <c r="U513" i="1" s="1"/>
  <c r="N508" i="1"/>
  <c r="N512" i="1"/>
  <c r="N511" i="1"/>
  <c r="N510" i="1"/>
  <c r="N509" i="1"/>
  <c r="K510" i="1"/>
  <c r="N578" i="6"/>
  <c r="O578" i="6" s="1"/>
  <c r="M510" i="1" s="1"/>
  <c r="K511" i="1"/>
  <c r="N579" i="6"/>
  <c r="O579" i="6" s="1"/>
  <c r="M511" i="1" s="1"/>
  <c r="K513" i="1"/>
  <c r="N581" i="6"/>
  <c r="O581" i="6" s="1"/>
  <c r="M513" i="1" s="1"/>
  <c r="K512" i="1"/>
  <c r="N580" i="6"/>
  <c r="O580" i="6" s="1"/>
  <c r="M512" i="1" s="1"/>
  <c r="N577" i="6"/>
  <c r="O577" i="6" s="1"/>
  <c r="M509" i="1" s="1"/>
  <c r="K509" i="1"/>
  <c r="K508" i="1"/>
  <c r="N576" i="6"/>
  <c r="O576" i="6" s="1"/>
  <c r="M508" i="1" s="1"/>
  <c r="K504" i="1"/>
  <c r="N572" i="6"/>
  <c r="O572" i="6" s="1"/>
  <c r="M504" i="1" s="1"/>
  <c r="K506" i="1"/>
  <c r="N574" i="6"/>
  <c r="O574" i="6" s="1"/>
  <c r="M506" i="1" s="1"/>
  <c r="N504" i="1"/>
  <c r="K507" i="1"/>
  <c r="N575" i="6"/>
  <c r="O575" i="6" s="1"/>
  <c r="M507" i="1" s="1"/>
  <c r="N507" i="1"/>
  <c r="N505" i="1"/>
  <c r="N573" i="6"/>
  <c r="O573" i="6" s="1"/>
  <c r="M505" i="1" s="1"/>
  <c r="K505" i="1"/>
  <c r="N506" i="1"/>
  <c r="N499" i="1"/>
  <c r="N502" i="1"/>
  <c r="N569" i="6"/>
  <c r="O569" i="6" s="1"/>
  <c r="M503" i="1" s="1"/>
  <c r="K503" i="1"/>
  <c r="K499" i="1"/>
  <c r="N565" i="6"/>
  <c r="O565" i="6" s="1"/>
  <c r="M499" i="1" s="1"/>
  <c r="N497" i="1"/>
  <c r="U497" i="1" s="1"/>
  <c r="N566" i="6"/>
  <c r="O566" i="6" s="1"/>
  <c r="M500" i="1" s="1"/>
  <c r="K500" i="1"/>
  <c r="K496" i="1"/>
  <c r="N562" i="6"/>
  <c r="O562" i="6" s="1"/>
  <c r="M496" i="1" s="1"/>
  <c r="N563" i="6"/>
  <c r="O563" i="6" s="1"/>
  <c r="M497" i="1" s="1"/>
  <c r="K497" i="1"/>
  <c r="N500" i="1"/>
  <c r="K498" i="1"/>
  <c r="N564" i="6"/>
  <c r="O564" i="6" s="1"/>
  <c r="M498" i="1" s="1"/>
  <c r="N496" i="1"/>
  <c r="K502" i="1"/>
  <c r="N568" i="6"/>
  <c r="O568" i="6" s="1"/>
  <c r="M502" i="1" s="1"/>
  <c r="N501" i="1"/>
  <c r="K501" i="1"/>
  <c r="N567" i="6"/>
  <c r="O567" i="6" s="1"/>
  <c r="M501" i="1" s="1"/>
  <c r="N498" i="1"/>
  <c r="N503" i="1"/>
  <c r="K478" i="1"/>
  <c r="N541" i="6"/>
  <c r="O541" i="6" s="1"/>
  <c r="M478" i="1" s="1"/>
  <c r="K483" i="1"/>
  <c r="N549" i="6"/>
  <c r="O549" i="6" s="1"/>
  <c r="M483" i="1" s="1"/>
  <c r="K485" i="1"/>
  <c r="N551" i="6"/>
  <c r="O551" i="6" s="1"/>
  <c r="M485" i="1" s="1"/>
  <c r="N495" i="1"/>
  <c r="N480" i="1"/>
  <c r="K482" i="1"/>
  <c r="N547" i="6"/>
  <c r="O547" i="6" s="1"/>
  <c r="M482" i="1" s="1"/>
  <c r="K491" i="1"/>
  <c r="N557" i="6"/>
  <c r="O557" i="6" s="1"/>
  <c r="M491" i="1" s="1"/>
  <c r="N488" i="1"/>
  <c r="N483" i="1"/>
  <c r="U483" i="1" s="1"/>
  <c r="K479" i="1"/>
  <c r="N543" i="6"/>
  <c r="O543" i="6" s="1"/>
  <c r="M479" i="1" s="1"/>
  <c r="K480" i="1"/>
  <c r="N544" i="6"/>
  <c r="O544" i="6" s="1"/>
  <c r="M480" i="1" s="1"/>
  <c r="K486" i="1"/>
  <c r="N552" i="6"/>
  <c r="O552" i="6" s="1"/>
  <c r="M486" i="1" s="1"/>
  <c r="N545" i="6"/>
  <c r="O545" i="6" s="1"/>
  <c r="M481" i="1" s="1"/>
  <c r="K481" i="1"/>
  <c r="K489" i="1"/>
  <c r="N555" i="6"/>
  <c r="O555" i="6" s="1"/>
  <c r="M489" i="1" s="1"/>
  <c r="N492" i="1"/>
  <c r="N486" i="1"/>
  <c r="N554" i="6"/>
  <c r="O554" i="6" s="1"/>
  <c r="M488" i="1" s="1"/>
  <c r="K488" i="1"/>
  <c r="N479" i="1"/>
  <c r="N490" i="1"/>
  <c r="K490" i="1"/>
  <c r="N556" i="6"/>
  <c r="O556" i="6" s="1"/>
  <c r="M490" i="1" s="1"/>
  <c r="K493" i="1"/>
  <c r="N559" i="6"/>
  <c r="O559" i="6" s="1"/>
  <c r="M493" i="1" s="1"/>
  <c r="N485" i="1"/>
  <c r="U485" i="1" s="1"/>
  <c r="N494" i="1"/>
  <c r="N558" i="6"/>
  <c r="O558" i="6" s="1"/>
  <c r="M492" i="1" s="1"/>
  <c r="K492" i="1"/>
  <c r="N489" i="1"/>
  <c r="K494" i="1"/>
  <c r="N560" i="6"/>
  <c r="O560" i="6" s="1"/>
  <c r="M494" i="1" s="1"/>
  <c r="K495" i="1"/>
  <c r="N561" i="6"/>
  <c r="O561" i="6" s="1"/>
  <c r="M495" i="1" s="1"/>
  <c r="N481" i="1"/>
  <c r="U481" i="1" s="1"/>
  <c r="N493" i="1"/>
  <c r="N487" i="1"/>
  <c r="K487" i="1"/>
  <c r="N553" i="6"/>
  <c r="O553" i="6" s="1"/>
  <c r="M487" i="1" s="1"/>
  <c r="N550" i="6"/>
  <c r="O550" i="6" s="1"/>
  <c r="M484" i="1" s="1"/>
  <c r="K484" i="1"/>
  <c r="N484" i="1"/>
  <c r="U484" i="1" s="1"/>
  <c r="N478" i="1"/>
  <c r="N491" i="1"/>
  <c r="K476" i="1"/>
  <c r="N538" i="6"/>
  <c r="O538" i="6" s="1"/>
  <c r="M476" i="1" s="1"/>
  <c r="N473" i="1"/>
  <c r="K472" i="1"/>
  <c r="N534" i="6"/>
  <c r="O534" i="6" s="1"/>
  <c r="M472" i="1" s="1"/>
  <c r="K473" i="1"/>
  <c r="N535" i="6"/>
  <c r="O535" i="6" s="1"/>
  <c r="M473" i="1" s="1"/>
  <c r="N474" i="1"/>
  <c r="N477" i="1"/>
  <c r="U477" i="1" s="1"/>
  <c r="K475" i="1"/>
  <c r="N537" i="6"/>
  <c r="O537" i="6" s="1"/>
  <c r="M475" i="1" s="1"/>
  <c r="K474" i="1"/>
  <c r="N536" i="6"/>
  <c r="O536" i="6" s="1"/>
  <c r="M474" i="1" s="1"/>
  <c r="N475" i="1"/>
  <c r="K477" i="1"/>
  <c r="N539" i="6"/>
  <c r="O539" i="6" s="1"/>
  <c r="M477" i="1" s="1"/>
  <c r="N476" i="1"/>
  <c r="N472" i="1"/>
  <c r="K471" i="1"/>
  <c r="N533" i="6"/>
  <c r="O533" i="6" s="1"/>
  <c r="M471" i="1" s="1"/>
  <c r="N471" i="1"/>
  <c r="K469" i="1"/>
  <c r="N531" i="6"/>
  <c r="O531" i="6" s="1"/>
  <c r="M469" i="1" s="1"/>
  <c r="N466" i="1"/>
  <c r="N525" i="6"/>
  <c r="O525" i="6" s="1"/>
  <c r="M463" i="1" s="1"/>
  <c r="K463" i="1"/>
  <c r="N470" i="1"/>
  <c r="N468" i="1"/>
  <c r="N529" i="6"/>
  <c r="O529" i="6" s="1"/>
  <c r="M467" i="1" s="1"/>
  <c r="K467" i="1"/>
  <c r="N464" i="1"/>
  <c r="K470" i="1"/>
  <c r="N532" i="6"/>
  <c r="O532" i="6" s="1"/>
  <c r="M470" i="1" s="1"/>
  <c r="K465" i="1"/>
  <c r="N527" i="6"/>
  <c r="O527" i="6" s="1"/>
  <c r="M465" i="1" s="1"/>
  <c r="N465" i="1"/>
  <c r="K464" i="1"/>
  <c r="N526" i="6"/>
  <c r="O526" i="6" s="1"/>
  <c r="M464" i="1" s="1"/>
  <c r="N469" i="1"/>
  <c r="U469" i="1" s="1"/>
  <c r="N463" i="1"/>
  <c r="K468" i="1"/>
  <c r="N530" i="6"/>
  <c r="O530" i="6" s="1"/>
  <c r="M468" i="1" s="1"/>
  <c r="N528" i="6"/>
  <c r="O528" i="6" s="1"/>
  <c r="M466" i="1" s="1"/>
  <c r="K466" i="1"/>
  <c r="N467" i="1"/>
  <c r="K446" i="1"/>
  <c r="N507" i="6"/>
  <c r="O507" i="6" s="1"/>
  <c r="M446" i="1" s="1"/>
  <c r="K449" i="1"/>
  <c r="N511" i="6"/>
  <c r="O511" i="6" s="1"/>
  <c r="M449" i="1" s="1"/>
  <c r="K453" i="1"/>
  <c r="N515" i="6"/>
  <c r="O515" i="6" s="1"/>
  <c r="M453" i="1" s="1"/>
  <c r="N516" i="6"/>
  <c r="O516" i="6" s="1"/>
  <c r="M454" i="1" s="1"/>
  <c r="K454" i="1"/>
  <c r="N455" i="1"/>
  <c r="N448" i="1"/>
  <c r="N449" i="1"/>
  <c r="K457" i="1"/>
  <c r="N519" i="6"/>
  <c r="O519" i="6" s="1"/>
  <c r="M457" i="1" s="1"/>
  <c r="K444" i="1"/>
  <c r="N505" i="6"/>
  <c r="O505" i="6" s="1"/>
  <c r="M444" i="1" s="1"/>
  <c r="N520" i="6"/>
  <c r="O520" i="6" s="1"/>
  <c r="M458" i="1" s="1"/>
  <c r="K458" i="1"/>
  <c r="K451" i="1"/>
  <c r="N513" i="6"/>
  <c r="O513" i="6" s="1"/>
  <c r="M451" i="1" s="1"/>
  <c r="N459" i="1"/>
  <c r="N456" i="1"/>
  <c r="N453" i="1"/>
  <c r="K448" i="1"/>
  <c r="N510" i="6"/>
  <c r="O510" i="6" s="1"/>
  <c r="M448" i="1" s="1"/>
  <c r="K456" i="1"/>
  <c r="N518" i="6"/>
  <c r="O518" i="6" s="1"/>
  <c r="M456" i="1" s="1"/>
  <c r="N462" i="1"/>
  <c r="N460" i="1"/>
  <c r="U460" i="1" s="1"/>
  <c r="N457" i="1"/>
  <c r="N512" i="6"/>
  <c r="O512" i="6" s="1"/>
  <c r="M450" i="1" s="1"/>
  <c r="K450" i="1"/>
  <c r="K441" i="1"/>
  <c r="N502" i="6"/>
  <c r="O502" i="6" s="1"/>
  <c r="M441" i="1" s="1"/>
  <c r="K455" i="1"/>
  <c r="N517" i="6"/>
  <c r="O517" i="6" s="1"/>
  <c r="M455" i="1" s="1"/>
  <c r="N437" i="1"/>
  <c r="N435" i="1"/>
  <c r="N461" i="1"/>
  <c r="K452" i="1"/>
  <c r="N514" i="6"/>
  <c r="O514" i="6" s="1"/>
  <c r="M452" i="1" s="1"/>
  <c r="K460" i="1"/>
  <c r="N522" i="6"/>
  <c r="O522" i="6" s="1"/>
  <c r="M460" i="1" s="1"/>
  <c r="N440" i="1"/>
  <c r="N445" i="1"/>
  <c r="N446" i="1"/>
  <c r="N444" i="1"/>
  <c r="U444" i="1" s="1"/>
  <c r="N500" i="6"/>
  <c r="O500" i="6" s="1"/>
  <c r="M439" i="1" s="1"/>
  <c r="K439" i="1"/>
  <c r="K461" i="1"/>
  <c r="N523" i="6"/>
  <c r="O523" i="6" s="1"/>
  <c r="M461" i="1" s="1"/>
  <c r="K445" i="1"/>
  <c r="N506" i="6"/>
  <c r="O506" i="6" s="1"/>
  <c r="M445" i="1" s="1"/>
  <c r="K459" i="1"/>
  <c r="N521" i="6"/>
  <c r="O521" i="6" s="1"/>
  <c r="M459" i="1" s="1"/>
  <c r="K462" i="1"/>
  <c r="N524" i="6"/>
  <c r="O524" i="6" s="1"/>
  <c r="M462" i="1" s="1"/>
  <c r="N450" i="1"/>
  <c r="N451" i="1"/>
  <c r="N452" i="1"/>
  <c r="N454" i="1"/>
  <c r="N504" i="6"/>
  <c r="O504" i="6" s="1"/>
  <c r="M443" i="1" s="1"/>
  <c r="K443" i="1"/>
  <c r="N441" i="1"/>
  <c r="N438" i="1"/>
  <c r="N439" i="1"/>
  <c r="N458" i="1"/>
  <c r="K442" i="1"/>
  <c r="N503" i="6"/>
  <c r="O503" i="6" s="1"/>
  <c r="M442" i="1" s="1"/>
  <c r="K440" i="1"/>
  <c r="N501" i="6"/>
  <c r="O501" i="6" s="1"/>
  <c r="M440" i="1" s="1"/>
  <c r="K447" i="1"/>
  <c r="N509" i="6"/>
  <c r="O509" i="6" s="1"/>
  <c r="M447" i="1" s="1"/>
  <c r="N499" i="6"/>
  <c r="O499" i="6" s="1"/>
  <c r="M438" i="1" s="1"/>
  <c r="K438" i="1"/>
  <c r="N447" i="1"/>
  <c r="N442" i="1"/>
  <c r="N443" i="1"/>
  <c r="N436" i="1"/>
  <c r="M437" i="1"/>
  <c r="K437" i="1"/>
  <c r="K435" i="1"/>
  <c r="N496" i="6"/>
  <c r="O496" i="6" s="1"/>
  <c r="M435" i="1" s="1"/>
  <c r="K436" i="1"/>
  <c r="N497" i="6"/>
  <c r="O497" i="6" s="1"/>
  <c r="M436" i="1" s="1"/>
  <c r="K429" i="1"/>
  <c r="N490" i="6"/>
  <c r="O490" i="6" s="1"/>
  <c r="M429" i="1" s="1"/>
  <c r="K415" i="1"/>
  <c r="N476" i="6"/>
  <c r="O476" i="6" s="1"/>
  <c r="M415" i="1" s="1"/>
  <c r="N408" i="1"/>
  <c r="N404" i="1"/>
  <c r="N390" i="1"/>
  <c r="N393" i="1"/>
  <c r="N413" i="1"/>
  <c r="N426" i="1"/>
  <c r="K406" i="1"/>
  <c r="N467" i="6"/>
  <c r="O467" i="6" s="1"/>
  <c r="M406" i="1" s="1"/>
  <c r="K413" i="1"/>
  <c r="N474" i="6"/>
  <c r="O474" i="6" s="1"/>
  <c r="M413" i="1" s="1"/>
  <c r="K426" i="1"/>
  <c r="N487" i="6"/>
  <c r="O487" i="6" s="1"/>
  <c r="M426" i="1" s="1"/>
  <c r="K410" i="1"/>
  <c r="N471" i="6"/>
  <c r="O471" i="6" s="1"/>
  <c r="M410" i="1" s="1"/>
  <c r="N488" i="6"/>
  <c r="O488" i="6" s="1"/>
  <c r="M427" i="1" s="1"/>
  <c r="K427" i="1"/>
  <c r="K412" i="1"/>
  <c r="N473" i="6"/>
  <c r="O473" i="6" s="1"/>
  <c r="M412" i="1" s="1"/>
  <c r="N387" i="1"/>
  <c r="N403" i="1"/>
  <c r="N394" i="1"/>
  <c r="N397" i="1"/>
  <c r="N417" i="1"/>
  <c r="N416" i="1"/>
  <c r="K403" i="1"/>
  <c r="N464" i="6"/>
  <c r="O464" i="6" s="1"/>
  <c r="M403" i="1" s="1"/>
  <c r="N480" i="6"/>
  <c r="O480" i="6" s="1"/>
  <c r="M419" i="1" s="1"/>
  <c r="K419" i="1"/>
  <c r="K434" i="1"/>
  <c r="N495" i="6"/>
  <c r="O495" i="6" s="1"/>
  <c r="M434" i="1" s="1"/>
  <c r="N391" i="1"/>
  <c r="N407" i="1"/>
  <c r="N398" i="1"/>
  <c r="N425" i="1"/>
  <c r="N421" i="1"/>
  <c r="N402" i="1"/>
  <c r="K425" i="1"/>
  <c r="N486" i="6"/>
  <c r="O486" i="6" s="1"/>
  <c r="M425" i="1" s="1"/>
  <c r="K401" i="1"/>
  <c r="N462" i="6"/>
  <c r="O462" i="6" s="1"/>
  <c r="M401" i="1" s="1"/>
  <c r="K417" i="1"/>
  <c r="N478" i="6"/>
  <c r="O478" i="6" s="1"/>
  <c r="M417" i="1" s="1"/>
  <c r="K433" i="1"/>
  <c r="N494" i="6"/>
  <c r="O494" i="6" s="1"/>
  <c r="M433" i="1" s="1"/>
  <c r="N491" i="6"/>
  <c r="O491" i="6" s="1"/>
  <c r="M430" i="1" s="1"/>
  <c r="K430" i="1"/>
  <c r="K431" i="1"/>
  <c r="N492" i="6"/>
  <c r="O492" i="6" s="1"/>
  <c r="M431" i="1" s="1"/>
  <c r="K424" i="1"/>
  <c r="N485" i="6"/>
  <c r="O485" i="6" s="1"/>
  <c r="M424" i="1" s="1"/>
  <c r="K416" i="1"/>
  <c r="N477" i="6"/>
  <c r="O477" i="6" s="1"/>
  <c r="M416" i="1" s="1"/>
  <c r="K432" i="1"/>
  <c r="N493" i="6"/>
  <c r="O493" i="6" s="1"/>
  <c r="M432" i="1" s="1"/>
  <c r="N395" i="1"/>
  <c r="U395" i="1" s="1"/>
  <c r="N411" i="1"/>
  <c r="N428" i="1"/>
  <c r="N429" i="1"/>
  <c r="N433" i="1"/>
  <c r="N406" i="1"/>
  <c r="K407" i="1"/>
  <c r="N468" i="6"/>
  <c r="O468" i="6" s="1"/>
  <c r="M407" i="1" s="1"/>
  <c r="N484" i="6"/>
  <c r="O484" i="6" s="1"/>
  <c r="M423" i="1" s="1"/>
  <c r="K423" i="1"/>
  <c r="K414" i="1"/>
  <c r="N475" i="6"/>
  <c r="O475" i="6" s="1"/>
  <c r="M414" i="1" s="1"/>
  <c r="N399" i="1"/>
  <c r="N415" i="1"/>
  <c r="N432" i="1"/>
  <c r="N420" i="1"/>
  <c r="N412" i="1"/>
  <c r="N410" i="1"/>
  <c r="K405" i="1"/>
  <c r="N466" i="6"/>
  <c r="O466" i="6" s="1"/>
  <c r="M405" i="1" s="1"/>
  <c r="K421" i="1"/>
  <c r="N482" i="6"/>
  <c r="O482" i="6" s="1"/>
  <c r="M421" i="1" s="1"/>
  <c r="K422" i="1"/>
  <c r="N483" i="6"/>
  <c r="O483" i="6" s="1"/>
  <c r="M422" i="1" s="1"/>
  <c r="K418" i="1"/>
  <c r="N479" i="6"/>
  <c r="O479" i="6" s="1"/>
  <c r="M418" i="1" s="1"/>
  <c r="K428" i="1"/>
  <c r="N489" i="6"/>
  <c r="O489" i="6" s="1"/>
  <c r="M428" i="1" s="1"/>
  <c r="K404" i="1"/>
  <c r="N465" i="6"/>
  <c r="O465" i="6" s="1"/>
  <c r="M404" i="1" s="1"/>
  <c r="K420" i="1"/>
  <c r="N481" i="6"/>
  <c r="O481" i="6" s="1"/>
  <c r="M420" i="1" s="1"/>
  <c r="N424" i="1"/>
  <c r="N427" i="1"/>
  <c r="N419" i="1"/>
  <c r="N401" i="1"/>
  <c r="N388" i="1"/>
  <c r="U388" i="1" s="1"/>
  <c r="N414" i="1"/>
  <c r="N472" i="6"/>
  <c r="O472" i="6" s="1"/>
  <c r="M411" i="1" s="1"/>
  <c r="K411" i="1"/>
  <c r="N400" i="1"/>
  <c r="N431" i="1"/>
  <c r="N423" i="1"/>
  <c r="N385" i="1"/>
  <c r="N405" i="1"/>
  <c r="N392" i="1"/>
  <c r="N418" i="1"/>
  <c r="K409" i="1"/>
  <c r="N470" i="6"/>
  <c r="O470" i="6" s="1"/>
  <c r="M409" i="1" s="1"/>
  <c r="N463" i="6"/>
  <c r="O463" i="6" s="1"/>
  <c r="M402" i="1" s="1"/>
  <c r="K402" i="1"/>
  <c r="K408" i="1"/>
  <c r="N469" i="6"/>
  <c r="O469" i="6" s="1"/>
  <c r="M408" i="1" s="1"/>
  <c r="N430" i="1"/>
  <c r="N434" i="1"/>
  <c r="N386" i="1"/>
  <c r="N389" i="1"/>
  <c r="N409" i="1"/>
  <c r="N396" i="1"/>
  <c r="N422" i="1"/>
  <c r="N459" i="6"/>
  <c r="O459" i="6" s="1"/>
  <c r="M398" i="1" s="1"/>
  <c r="K398" i="1"/>
  <c r="K397" i="1"/>
  <c r="N458" i="6"/>
  <c r="O458" i="6" s="1"/>
  <c r="M397" i="1" s="1"/>
  <c r="N457" i="6"/>
  <c r="O457" i="6" s="1"/>
  <c r="M396" i="1" s="1"/>
  <c r="K396" i="1"/>
  <c r="K399" i="1"/>
  <c r="N460" i="6"/>
  <c r="O460" i="6" s="1"/>
  <c r="M399" i="1" s="1"/>
  <c r="K400" i="1"/>
  <c r="N461" i="6"/>
  <c r="O461" i="6" s="1"/>
  <c r="N455" i="6"/>
  <c r="O455" i="6" s="1"/>
  <c r="M395" i="1" s="1"/>
  <c r="K395" i="1"/>
  <c r="K393" i="1"/>
  <c r="N453" i="6"/>
  <c r="O453" i="6" s="1"/>
  <c r="M393" i="1" s="1"/>
  <c r="K394" i="1"/>
  <c r="N454" i="6"/>
  <c r="O454" i="6" s="1"/>
  <c r="M394" i="1" s="1"/>
  <c r="K389" i="1"/>
  <c r="N449" i="6"/>
  <c r="O449" i="6" s="1"/>
  <c r="M389" i="1" s="1"/>
  <c r="N447" i="6"/>
  <c r="O447" i="6" s="1"/>
  <c r="M387" i="1" s="1"/>
  <c r="K387" i="1"/>
  <c r="K390" i="1"/>
  <c r="N450" i="6"/>
  <c r="O450" i="6" s="1"/>
  <c r="M390" i="1" s="1"/>
  <c r="N451" i="6"/>
  <c r="O451" i="6" s="1"/>
  <c r="M391" i="1" s="1"/>
  <c r="K391" i="1"/>
  <c r="K388" i="1"/>
  <c r="N448" i="6"/>
  <c r="O448" i="6" s="1"/>
  <c r="M388" i="1" s="1"/>
  <c r="K392" i="1"/>
  <c r="N452" i="6"/>
  <c r="O452" i="6" s="1"/>
  <c r="M392" i="1" s="1"/>
  <c r="M386" i="1"/>
  <c r="K385" i="1"/>
  <c r="N445" i="6"/>
  <c r="O445" i="6" s="1"/>
  <c r="M385" i="1" s="1"/>
  <c r="K384" i="1"/>
  <c r="N444" i="6"/>
  <c r="O444" i="6" s="1"/>
  <c r="M384" i="1" s="1"/>
  <c r="N384" i="1"/>
  <c r="K382" i="1"/>
  <c r="N442" i="6"/>
  <c r="O442" i="6" s="1"/>
  <c r="M382" i="1" s="1"/>
  <c r="K380" i="1"/>
  <c r="N440" i="6"/>
  <c r="O440" i="6" s="1"/>
  <c r="M380" i="1" s="1"/>
  <c r="N381" i="1"/>
  <c r="N382" i="1"/>
  <c r="K381" i="1"/>
  <c r="N441" i="6"/>
  <c r="O441" i="6" s="1"/>
  <c r="M381" i="1" s="1"/>
  <c r="N383" i="1"/>
  <c r="K383" i="1"/>
  <c r="N443" i="6"/>
  <c r="O443" i="6" s="1"/>
  <c r="M383" i="1" s="1"/>
  <c r="N380" i="1"/>
  <c r="K378" i="1"/>
  <c r="N438" i="6"/>
  <c r="O438" i="6" s="1"/>
  <c r="M378" i="1" s="1"/>
  <c r="N437" i="6"/>
  <c r="O437" i="6" s="1"/>
  <c r="M377" i="1" s="1"/>
  <c r="K377" i="1"/>
  <c r="N379" i="1"/>
  <c r="K375" i="1"/>
  <c r="N435" i="6"/>
  <c r="O435" i="6" s="1"/>
  <c r="M375" i="1" s="1"/>
  <c r="N376" i="1"/>
  <c r="N377" i="1"/>
  <c r="K379" i="1"/>
  <c r="N439" i="6"/>
  <c r="O439" i="6" s="1"/>
  <c r="M379" i="1" s="1"/>
  <c r="N378" i="1"/>
  <c r="K376" i="1"/>
  <c r="N436" i="6"/>
  <c r="O436" i="6" s="1"/>
  <c r="M376" i="1" s="1"/>
  <c r="N375" i="1"/>
  <c r="N369" i="1"/>
  <c r="N373" i="1"/>
  <c r="N365" i="1"/>
  <c r="N366" i="1"/>
  <c r="N372" i="1"/>
  <c r="N370" i="1"/>
  <c r="N368" i="1"/>
  <c r="N374" i="1"/>
  <c r="N371" i="1"/>
  <c r="N364" i="1"/>
  <c r="N367" i="1"/>
  <c r="N363" i="1"/>
  <c r="U363" i="1" s="1"/>
  <c r="N362" i="1"/>
  <c r="K362" i="1"/>
  <c r="N422" i="6"/>
  <c r="O422" i="6" s="1"/>
  <c r="M363" i="1" s="1"/>
  <c r="K363" i="1"/>
  <c r="M374" i="1"/>
  <c r="K374" i="1"/>
  <c r="N423" i="6"/>
  <c r="O423" i="6" s="1"/>
  <c r="M364" i="1" s="1"/>
  <c r="K364" i="1"/>
  <c r="N424" i="6"/>
  <c r="O424" i="6" s="1"/>
  <c r="M365" i="1" s="1"/>
  <c r="K365" i="1"/>
  <c r="K370" i="1"/>
  <c r="N429" i="6"/>
  <c r="O429" i="6" s="1"/>
  <c r="M370" i="1" s="1"/>
  <c r="N425" i="6"/>
  <c r="O425" i="6" s="1"/>
  <c r="M366" i="1" s="1"/>
  <c r="K366" i="1"/>
  <c r="N426" i="6"/>
  <c r="O426" i="6" s="1"/>
  <c r="M367" i="1" s="1"/>
  <c r="K367" i="1"/>
  <c r="N427" i="6"/>
  <c r="O427" i="6" s="1"/>
  <c r="M368" i="1" s="1"/>
  <c r="K368" i="1"/>
  <c r="K369" i="1"/>
  <c r="N428" i="6"/>
  <c r="O428" i="6" s="1"/>
  <c r="M369" i="1" s="1"/>
  <c r="N430" i="6"/>
  <c r="O430" i="6" s="1"/>
  <c r="M371" i="1" s="1"/>
  <c r="K371" i="1"/>
  <c r="N431" i="6"/>
  <c r="O431" i="6" s="1"/>
  <c r="M372" i="1" s="1"/>
  <c r="K372" i="1"/>
  <c r="N432" i="6"/>
  <c r="O432" i="6" s="1"/>
  <c r="M373" i="1" s="1"/>
  <c r="K373" i="1"/>
  <c r="K354" i="1"/>
  <c r="N419" i="6"/>
  <c r="O419" i="6" s="1"/>
  <c r="M360" i="1" s="1"/>
  <c r="K360" i="1"/>
  <c r="K361" i="1"/>
  <c r="N420" i="6"/>
  <c r="O420" i="6" s="1"/>
  <c r="M362" i="1" s="1"/>
  <c r="K358" i="1"/>
  <c r="N417" i="6"/>
  <c r="O417" i="6" s="1"/>
  <c r="N361" i="1"/>
  <c r="K356" i="1"/>
  <c r="N415" i="6"/>
  <c r="O415" i="6" s="1"/>
  <c r="N355" i="1"/>
  <c r="K355" i="1"/>
  <c r="N414" i="6"/>
  <c r="O414" i="6" s="1"/>
  <c r="M355" i="1" s="1"/>
  <c r="N360" i="1"/>
  <c r="N354" i="1"/>
  <c r="K359" i="1"/>
  <c r="N418" i="6"/>
  <c r="O418" i="6" s="1"/>
  <c r="M359" i="1" s="1"/>
  <c r="N357" i="1"/>
  <c r="K357" i="1"/>
  <c r="N416" i="6"/>
  <c r="O416" i="6" s="1"/>
  <c r="N356" i="1"/>
  <c r="N359" i="1"/>
  <c r="N301" i="1"/>
  <c r="N156" i="1"/>
  <c r="N337" i="1"/>
  <c r="N348" i="1"/>
  <c r="N335" i="1"/>
  <c r="K344" i="1"/>
  <c r="N403" i="6"/>
  <c r="O403" i="6" s="1"/>
  <c r="M344" i="1" s="1"/>
  <c r="N349" i="1"/>
  <c r="N343" i="1"/>
  <c r="N398" i="6"/>
  <c r="O398" i="6" s="1"/>
  <c r="M339" i="1" s="1"/>
  <c r="K339" i="1"/>
  <c r="N330" i="1"/>
  <c r="N353" i="1"/>
  <c r="N340" i="1"/>
  <c r="N351" i="1"/>
  <c r="N396" i="6"/>
  <c r="O396" i="6" s="1"/>
  <c r="M337" i="1" s="1"/>
  <c r="K337" i="1"/>
  <c r="N399" i="6"/>
  <c r="O399" i="6" s="1"/>
  <c r="M340" i="1" s="1"/>
  <c r="K340" i="1"/>
  <c r="N392" i="6"/>
  <c r="O392" i="6" s="1"/>
  <c r="M333" i="1" s="1"/>
  <c r="K333" i="1"/>
  <c r="K349" i="1"/>
  <c r="N408" i="6"/>
  <c r="O408" i="6" s="1"/>
  <c r="M349" i="1" s="1"/>
  <c r="K350" i="1"/>
  <c r="N409" i="6"/>
  <c r="O409" i="6" s="1"/>
  <c r="M350" i="1" s="1"/>
  <c r="K343" i="1"/>
  <c r="N402" i="6"/>
  <c r="O402" i="6" s="1"/>
  <c r="M343" i="1" s="1"/>
  <c r="K352" i="1"/>
  <c r="N411" i="6"/>
  <c r="O411" i="6" s="1"/>
  <c r="M352" i="1" s="1"/>
  <c r="K336" i="1"/>
  <c r="N395" i="6"/>
  <c r="O395" i="6" s="1"/>
  <c r="M336" i="1" s="1"/>
  <c r="K345" i="1"/>
  <c r="N404" i="6"/>
  <c r="O404" i="6" s="1"/>
  <c r="M345" i="1" s="1"/>
  <c r="N333" i="1"/>
  <c r="N338" i="1"/>
  <c r="N334" i="1"/>
  <c r="U334" i="1" s="1"/>
  <c r="N389" i="6"/>
  <c r="O389" i="6" s="1"/>
  <c r="M330" i="1" s="1"/>
  <c r="K330" i="1"/>
  <c r="K346" i="1"/>
  <c r="N405" i="6"/>
  <c r="O405" i="6" s="1"/>
  <c r="M346" i="1" s="1"/>
  <c r="N336" i="1"/>
  <c r="N346" i="1"/>
  <c r="N342" i="1"/>
  <c r="N344" i="1"/>
  <c r="N331" i="1"/>
  <c r="N350" i="1"/>
  <c r="K334" i="1"/>
  <c r="N393" i="6"/>
  <c r="O393" i="6" s="1"/>
  <c r="M334" i="1" s="1"/>
  <c r="K331" i="1"/>
  <c r="N390" i="6"/>
  <c r="O390" i="6" s="1"/>
  <c r="M331" i="1" s="1"/>
  <c r="K347" i="1"/>
  <c r="N406" i="6"/>
  <c r="O406" i="6" s="1"/>
  <c r="M347" i="1" s="1"/>
  <c r="N352" i="1"/>
  <c r="N339" i="1"/>
  <c r="N332" i="1"/>
  <c r="K332" i="1"/>
  <c r="N391" i="6"/>
  <c r="O391" i="6" s="1"/>
  <c r="M332" i="1" s="1"/>
  <c r="N407" i="6"/>
  <c r="O407" i="6" s="1"/>
  <c r="M348" i="1" s="1"/>
  <c r="K348" i="1"/>
  <c r="N400" i="6"/>
  <c r="O400" i="6" s="1"/>
  <c r="M341" i="1" s="1"/>
  <c r="K341" i="1"/>
  <c r="K342" i="1"/>
  <c r="N401" i="6"/>
  <c r="O401" i="6" s="1"/>
  <c r="M342" i="1" s="1"/>
  <c r="K335" i="1"/>
  <c r="N394" i="6"/>
  <c r="O394" i="6" s="1"/>
  <c r="M335" i="1" s="1"/>
  <c r="K351" i="1"/>
  <c r="N410" i="6"/>
  <c r="O410" i="6" s="1"/>
  <c r="M351" i="1" s="1"/>
  <c r="N412" i="6"/>
  <c r="O412" i="6" s="1"/>
  <c r="K353" i="1"/>
  <c r="N388" i="6"/>
  <c r="O388" i="6" s="1"/>
  <c r="M329" i="1" s="1"/>
  <c r="K329" i="1"/>
  <c r="N329" i="1"/>
  <c r="N347" i="1"/>
  <c r="N341" i="1"/>
  <c r="N397" i="6"/>
  <c r="O397" i="6" s="1"/>
  <c r="M338" i="1" s="1"/>
  <c r="K338" i="1"/>
  <c r="N328" i="1"/>
  <c r="K328" i="1"/>
  <c r="N387" i="6"/>
  <c r="O387" i="6" s="1"/>
  <c r="M328" i="1" s="1"/>
  <c r="N312" i="1"/>
  <c r="N323" i="1"/>
  <c r="N313" i="1"/>
  <c r="N380" i="6"/>
  <c r="O380" i="6" s="1"/>
  <c r="M321" i="1" s="1"/>
  <c r="K321" i="1"/>
  <c r="N306" i="1"/>
  <c r="N304" i="1"/>
  <c r="N325" i="1"/>
  <c r="N383" i="6"/>
  <c r="O383" i="6" s="1"/>
  <c r="M324" i="1" s="1"/>
  <c r="K324" i="1"/>
  <c r="N309" i="1"/>
  <c r="N308" i="1"/>
  <c r="N315" i="1"/>
  <c r="K326" i="1"/>
  <c r="N385" i="6"/>
  <c r="O385" i="6" s="1"/>
  <c r="M326" i="1" s="1"/>
  <c r="N317" i="1"/>
  <c r="N305" i="1"/>
  <c r="N314" i="1"/>
  <c r="N382" i="6"/>
  <c r="O382" i="6" s="1"/>
  <c r="M323" i="1" s="1"/>
  <c r="K323" i="1"/>
  <c r="N379" i="6"/>
  <c r="O379" i="6" s="1"/>
  <c r="M320" i="1" s="1"/>
  <c r="K320" i="1"/>
  <c r="N321" i="1"/>
  <c r="N316" i="1"/>
  <c r="N307" i="1"/>
  <c r="N322" i="1"/>
  <c r="N324" i="1"/>
  <c r="N310" i="1"/>
  <c r="N381" i="6"/>
  <c r="O381" i="6" s="1"/>
  <c r="M322" i="1" s="1"/>
  <c r="K322" i="1"/>
  <c r="N327" i="1"/>
  <c r="N311" i="1"/>
  <c r="N303" i="1"/>
  <c r="N318" i="1"/>
  <c r="K325" i="1"/>
  <c r="N384" i="6"/>
  <c r="O384" i="6" s="1"/>
  <c r="M325" i="1" s="1"/>
  <c r="K327" i="1"/>
  <c r="N386" i="6"/>
  <c r="O386" i="6" s="1"/>
  <c r="M327" i="1" s="1"/>
  <c r="N320" i="1"/>
  <c r="N319" i="1"/>
  <c r="N302" i="1"/>
  <c r="N326" i="1"/>
  <c r="K318" i="1"/>
  <c r="N377" i="6"/>
  <c r="O377" i="6" s="1"/>
  <c r="M318" i="1" s="1"/>
  <c r="N378" i="6"/>
  <c r="O378" i="6" s="1"/>
  <c r="M319" i="1" s="1"/>
  <c r="K319" i="1"/>
  <c r="N365" i="6"/>
  <c r="O365" i="6" s="1"/>
  <c r="M306" i="1" s="1"/>
  <c r="K306" i="1"/>
  <c r="K313" i="1"/>
  <c r="N372" i="6"/>
  <c r="O372" i="6" s="1"/>
  <c r="M313" i="1" s="1"/>
  <c r="N369" i="6"/>
  <c r="O369" i="6" s="1"/>
  <c r="M310" i="1" s="1"/>
  <c r="K310" i="1"/>
  <c r="K314" i="1"/>
  <c r="N373" i="6"/>
  <c r="O373" i="6" s="1"/>
  <c r="M314" i="1" s="1"/>
  <c r="K311" i="1"/>
  <c r="N370" i="6"/>
  <c r="O370" i="6" s="1"/>
  <c r="M311" i="1" s="1"/>
  <c r="K315" i="1"/>
  <c r="N374" i="6"/>
  <c r="O374" i="6" s="1"/>
  <c r="M315" i="1" s="1"/>
  <c r="N362" i="6"/>
  <c r="O362" i="6" s="1"/>
  <c r="M303" i="1" s="1"/>
  <c r="K303" i="1"/>
  <c r="N366" i="6"/>
  <c r="O366" i="6" s="1"/>
  <c r="M307" i="1" s="1"/>
  <c r="K307" i="1"/>
  <c r="N363" i="6"/>
  <c r="O363" i="6" s="1"/>
  <c r="M304" i="1" s="1"/>
  <c r="K304" i="1"/>
  <c r="N367" i="6"/>
  <c r="O367" i="6" s="1"/>
  <c r="M308" i="1" s="1"/>
  <c r="K308" i="1"/>
  <c r="N371" i="6"/>
  <c r="O371" i="6" s="1"/>
  <c r="M312" i="1" s="1"/>
  <c r="K312" i="1"/>
  <c r="N375" i="6"/>
  <c r="O375" i="6" s="1"/>
  <c r="M316" i="1" s="1"/>
  <c r="K316" i="1"/>
  <c r="K305" i="1"/>
  <c r="N364" i="6"/>
  <c r="O364" i="6" s="1"/>
  <c r="M305" i="1" s="1"/>
  <c r="N361" i="6"/>
  <c r="O361" i="6" s="1"/>
  <c r="M302" i="1" s="1"/>
  <c r="K302" i="1"/>
  <c r="K309" i="1"/>
  <c r="N368" i="6"/>
  <c r="O368" i="6" s="1"/>
  <c r="M309" i="1" s="1"/>
  <c r="K317" i="1"/>
  <c r="N376" i="6"/>
  <c r="O376" i="6" s="1"/>
  <c r="M317" i="1" s="1"/>
  <c r="N55" i="6"/>
  <c r="O55" i="6" s="1"/>
  <c r="M47" i="1" s="1"/>
  <c r="K47" i="1"/>
  <c r="N224" i="6"/>
  <c r="O224" i="6" s="1"/>
  <c r="M178" i="1" s="1"/>
  <c r="K178" i="1"/>
  <c r="N228" i="6"/>
  <c r="O228" i="6" s="1"/>
  <c r="M182" i="1" s="1"/>
  <c r="K182" i="1"/>
  <c r="N251" i="6"/>
  <c r="O251" i="6" s="1"/>
  <c r="M196" i="1" s="1"/>
  <c r="K196" i="1"/>
  <c r="N259" i="6"/>
  <c r="O259" i="6" s="1"/>
  <c r="M204" i="1" s="1"/>
  <c r="K204" i="1"/>
  <c r="N280" i="6"/>
  <c r="O280" i="6" s="1"/>
  <c r="M224" i="1" s="1"/>
  <c r="K224" i="1"/>
  <c r="N279" i="6"/>
  <c r="O279" i="6" s="1"/>
  <c r="M223" i="1" s="1"/>
  <c r="K223" i="1"/>
  <c r="N274" i="6"/>
  <c r="O274" i="6" s="1"/>
  <c r="M218" i="1" s="1"/>
  <c r="K218" i="1"/>
  <c r="N278" i="6"/>
  <c r="O278" i="6" s="1"/>
  <c r="M222" i="1" s="1"/>
  <c r="K222" i="1"/>
  <c r="N307" i="6"/>
  <c r="O307" i="6" s="1"/>
  <c r="M249" i="1" s="1"/>
  <c r="K249" i="1"/>
  <c r="N291" i="6"/>
  <c r="O291" i="6" s="1"/>
  <c r="M233" i="1" s="1"/>
  <c r="K233" i="1"/>
  <c r="N306" i="6"/>
  <c r="O306" i="6" s="1"/>
  <c r="M248" i="1" s="1"/>
  <c r="K248" i="1"/>
  <c r="N302" i="6"/>
  <c r="O302" i="6" s="1"/>
  <c r="M244" i="1" s="1"/>
  <c r="K244" i="1"/>
  <c r="N293" i="6"/>
  <c r="O293" i="6" s="1"/>
  <c r="M235" i="1" s="1"/>
  <c r="K235" i="1"/>
  <c r="N295" i="6"/>
  <c r="O295" i="6" s="1"/>
  <c r="M237" i="1" s="1"/>
  <c r="K237" i="1"/>
  <c r="N315" i="6"/>
  <c r="O315" i="6" s="1"/>
  <c r="M257" i="1" s="1"/>
  <c r="K257" i="1"/>
  <c r="N320" i="6"/>
  <c r="O320" i="6" s="1"/>
  <c r="M261" i="1" s="1"/>
  <c r="K261" i="1"/>
  <c r="N324" i="6"/>
  <c r="O324" i="6" s="1"/>
  <c r="M265" i="1" s="1"/>
  <c r="K265" i="1"/>
  <c r="N333" i="6"/>
  <c r="O333" i="6" s="1"/>
  <c r="M274" i="1" s="1"/>
  <c r="K274" i="1"/>
  <c r="N334" i="6"/>
  <c r="O334" i="6" s="1"/>
  <c r="M275" i="1" s="1"/>
  <c r="K275" i="1"/>
  <c r="N337" i="6"/>
  <c r="O337" i="6" s="1"/>
  <c r="M278" i="1" s="1"/>
  <c r="K278" i="1"/>
  <c r="N341" i="6"/>
  <c r="O341" i="6" s="1"/>
  <c r="M282" i="1" s="1"/>
  <c r="K282" i="1"/>
  <c r="N45" i="6"/>
  <c r="O45" i="6" s="1"/>
  <c r="M37" i="1" s="1"/>
  <c r="K37" i="1"/>
  <c r="N56" i="6"/>
  <c r="O56" i="6" s="1"/>
  <c r="M48" i="1" s="1"/>
  <c r="K48" i="1"/>
  <c r="N35" i="6"/>
  <c r="O35" i="6" s="1"/>
  <c r="N49" i="6"/>
  <c r="O49" i="6" s="1"/>
  <c r="M41" i="1" s="1"/>
  <c r="K41" i="1"/>
  <c r="N26" i="6"/>
  <c r="O26" i="6" s="1"/>
  <c r="M23" i="1" s="1"/>
  <c r="K23" i="1"/>
  <c r="N10" i="6"/>
  <c r="O10" i="6" s="1"/>
  <c r="M7" i="1" s="1"/>
  <c r="K7" i="1"/>
  <c r="N58" i="6"/>
  <c r="O58" i="6" s="1"/>
  <c r="M50" i="1" s="1"/>
  <c r="K50" i="1"/>
  <c r="N38" i="6"/>
  <c r="O38" i="6" s="1"/>
  <c r="M32" i="1" s="1"/>
  <c r="K32" i="1"/>
  <c r="N42" i="6"/>
  <c r="O42" i="6" s="1"/>
  <c r="M36" i="1" s="1"/>
  <c r="K36" i="1"/>
  <c r="N9" i="6"/>
  <c r="O9" i="6" s="1"/>
  <c r="M6" i="1" s="1"/>
  <c r="K6" i="1"/>
  <c r="N145" i="6"/>
  <c r="O145" i="6" s="1"/>
  <c r="M119" i="1" s="1"/>
  <c r="K119" i="1"/>
  <c r="N151" i="6"/>
  <c r="O151" i="6" s="1"/>
  <c r="M124" i="1" s="1"/>
  <c r="K124" i="1"/>
  <c r="N153" i="6"/>
  <c r="O153" i="6" s="1"/>
  <c r="M126" i="1" s="1"/>
  <c r="K126" i="1"/>
  <c r="N159" i="6"/>
  <c r="O159" i="6" s="1"/>
  <c r="M130" i="1" s="1"/>
  <c r="K130" i="1"/>
  <c r="N169" i="6"/>
  <c r="O169" i="6" s="1"/>
  <c r="M140" i="1" s="1"/>
  <c r="K140" i="1"/>
  <c r="N177" i="6"/>
  <c r="O177" i="6" s="1"/>
  <c r="M147" i="1" s="1"/>
  <c r="K147" i="1"/>
  <c r="N178" i="6"/>
  <c r="O178" i="6" s="1"/>
  <c r="M148" i="1" s="1"/>
  <c r="K148" i="1"/>
  <c r="N40" i="6"/>
  <c r="O40" i="6" s="1"/>
  <c r="M34" i="1" s="1"/>
  <c r="K34" i="1"/>
  <c r="N54" i="6"/>
  <c r="O54" i="6" s="1"/>
  <c r="M46" i="1" s="1"/>
  <c r="K46" i="1"/>
  <c r="N14" i="6"/>
  <c r="O14" i="6" s="1"/>
  <c r="M11" i="1" s="1"/>
  <c r="K11" i="1"/>
  <c r="N59" i="6"/>
  <c r="O59" i="6" s="1"/>
  <c r="M51" i="1" s="1"/>
  <c r="K51" i="1"/>
  <c r="N5" i="6"/>
  <c r="K4" i="1"/>
  <c r="N23" i="6"/>
  <c r="O23" i="6" s="1"/>
  <c r="M20" i="1" s="1"/>
  <c r="K20" i="1"/>
  <c r="N57" i="6"/>
  <c r="O57" i="6" s="1"/>
  <c r="M49" i="1" s="1"/>
  <c r="K49" i="1"/>
  <c r="N33" i="6"/>
  <c r="O33" i="6" s="1"/>
  <c r="M28" i="1" s="1"/>
  <c r="K28" i="1"/>
  <c r="N53" i="6"/>
  <c r="O53" i="6" s="1"/>
  <c r="M45" i="1" s="1"/>
  <c r="K45" i="1"/>
  <c r="N18" i="6"/>
  <c r="O18" i="6" s="1"/>
  <c r="M15" i="1" s="1"/>
  <c r="K15" i="1"/>
  <c r="N138" i="6"/>
  <c r="O138" i="6" s="1"/>
  <c r="M114" i="1" s="1"/>
  <c r="K114" i="1"/>
  <c r="N132" i="6"/>
  <c r="O132" i="6" s="1"/>
  <c r="M111" i="1" s="1"/>
  <c r="K111" i="1"/>
  <c r="N156" i="6"/>
  <c r="O156" i="6" s="1"/>
  <c r="M127" i="1" s="1"/>
  <c r="K127" i="1"/>
  <c r="N163" i="6"/>
  <c r="O163" i="6" s="1"/>
  <c r="M134" i="1" s="1"/>
  <c r="K134" i="1"/>
  <c r="N164" i="6"/>
  <c r="O164" i="6" s="1"/>
  <c r="M135" i="1" s="1"/>
  <c r="K135" i="1"/>
  <c r="N166" i="6"/>
  <c r="O166" i="6" s="1"/>
  <c r="M137" i="1" s="1"/>
  <c r="K137" i="1"/>
  <c r="N167" i="6"/>
  <c r="O167" i="6" s="1"/>
  <c r="M138" i="1" s="1"/>
  <c r="K138" i="1"/>
  <c r="N175" i="6"/>
  <c r="O175" i="6" s="1"/>
  <c r="M145" i="1" s="1"/>
  <c r="K145" i="1"/>
  <c r="N181" i="6"/>
  <c r="O181" i="6" s="1"/>
  <c r="M150" i="1" s="1"/>
  <c r="K150" i="1"/>
  <c r="N185" i="6"/>
  <c r="O185" i="6" s="1"/>
  <c r="M154" i="1" s="1"/>
  <c r="K154" i="1"/>
  <c r="N186" i="6"/>
  <c r="O186" i="6" s="1"/>
  <c r="M155" i="1" s="1"/>
  <c r="K155" i="1"/>
  <c r="N196" i="6"/>
  <c r="O196" i="6" s="1"/>
  <c r="M159" i="1" s="1"/>
  <c r="K159" i="1"/>
  <c r="N193" i="6"/>
  <c r="O193" i="6" s="1"/>
  <c r="M158" i="1" s="1"/>
  <c r="K158" i="1"/>
  <c r="N197" i="6"/>
  <c r="O197" i="6" s="1"/>
  <c r="M160" i="1" s="1"/>
  <c r="K160" i="1"/>
  <c r="N200" i="6"/>
  <c r="O200" i="6" s="1"/>
  <c r="M161" i="1" s="1"/>
  <c r="K161" i="1"/>
  <c r="N217" i="6"/>
  <c r="O217" i="6" s="1"/>
  <c r="M171" i="1" s="1"/>
  <c r="K171" i="1"/>
  <c r="N222" i="6"/>
  <c r="O222" i="6" s="1"/>
  <c r="M176" i="1" s="1"/>
  <c r="K176" i="1"/>
  <c r="N232" i="6"/>
  <c r="O232" i="6" s="1"/>
  <c r="M186" i="1" s="1"/>
  <c r="K186" i="1"/>
  <c r="N245" i="6"/>
  <c r="O245" i="6" s="1"/>
  <c r="M193" i="1" s="1"/>
  <c r="K193" i="1"/>
  <c r="N249" i="6"/>
  <c r="O249" i="6" s="1"/>
  <c r="M194" i="1" s="1"/>
  <c r="K194" i="1"/>
  <c r="N257" i="6"/>
  <c r="O257" i="6" s="1"/>
  <c r="M202" i="1" s="1"/>
  <c r="K202" i="1"/>
  <c r="N255" i="6"/>
  <c r="O255" i="6" s="1"/>
  <c r="M200" i="1" s="1"/>
  <c r="K200" i="1"/>
  <c r="N250" i="6"/>
  <c r="O250" i="6" s="1"/>
  <c r="M195" i="1" s="1"/>
  <c r="K195" i="1"/>
  <c r="N258" i="6"/>
  <c r="O258" i="6" s="1"/>
  <c r="M203" i="1" s="1"/>
  <c r="K203" i="1"/>
  <c r="N263" i="6"/>
  <c r="O263" i="6" s="1"/>
  <c r="M208" i="1" s="1"/>
  <c r="K208" i="1"/>
  <c r="N265" i="6"/>
  <c r="O265" i="6" s="1"/>
  <c r="M210" i="1" s="1"/>
  <c r="K210" i="1"/>
  <c r="N268" i="6"/>
  <c r="O268" i="6" s="1"/>
  <c r="M213" i="1" s="1"/>
  <c r="K213" i="1"/>
  <c r="N271" i="6"/>
  <c r="O271" i="6" s="1"/>
  <c r="M216" i="1" s="1"/>
  <c r="K216" i="1"/>
  <c r="N276" i="6"/>
  <c r="O276" i="6" s="1"/>
  <c r="M220" i="1" s="1"/>
  <c r="K220" i="1"/>
  <c r="N282" i="6"/>
  <c r="O282" i="6" s="1"/>
  <c r="M226" i="1" s="1"/>
  <c r="K226" i="1"/>
  <c r="N284" i="6"/>
  <c r="O284" i="6" s="1"/>
  <c r="M228" i="1" s="1"/>
  <c r="K228" i="1"/>
  <c r="N287" i="6"/>
  <c r="O287" i="6" s="1"/>
  <c r="M231" i="1" s="1"/>
  <c r="K231" i="1"/>
  <c r="N296" i="6"/>
  <c r="O296" i="6" s="1"/>
  <c r="M238" i="1" s="1"/>
  <c r="K238" i="1"/>
  <c r="N300" i="6"/>
  <c r="O300" i="6" s="1"/>
  <c r="M242" i="1" s="1"/>
  <c r="K242" i="1"/>
  <c r="N305" i="6"/>
  <c r="O305" i="6" s="1"/>
  <c r="M247" i="1" s="1"/>
  <c r="K247" i="1"/>
  <c r="N303" i="6"/>
  <c r="O303" i="6" s="1"/>
  <c r="M245" i="1" s="1"/>
  <c r="K245" i="1"/>
  <c r="N294" i="6"/>
  <c r="O294" i="6" s="1"/>
  <c r="M236" i="1" s="1"/>
  <c r="K236" i="1"/>
  <c r="N304" i="6"/>
  <c r="O304" i="6" s="1"/>
  <c r="M246" i="1" s="1"/>
  <c r="K246" i="1"/>
  <c r="N308" i="6"/>
  <c r="O308" i="6" s="1"/>
  <c r="M250" i="1" s="1"/>
  <c r="K250" i="1"/>
  <c r="N313" i="6"/>
  <c r="O313" i="6" s="1"/>
  <c r="M255" i="1" s="1"/>
  <c r="K255" i="1"/>
  <c r="N318" i="6"/>
  <c r="O318" i="6" s="1"/>
  <c r="M259" i="1" s="1"/>
  <c r="K259" i="1"/>
  <c r="N322" i="6"/>
  <c r="O322" i="6" s="1"/>
  <c r="M263" i="1" s="1"/>
  <c r="K263" i="1"/>
  <c r="N327" i="6"/>
  <c r="O327" i="6" s="1"/>
  <c r="M268" i="1" s="1"/>
  <c r="N328" i="6"/>
  <c r="O328" i="6" s="1"/>
  <c r="M269" i="1" s="1"/>
  <c r="K269" i="1"/>
  <c r="N331" i="6"/>
  <c r="O331" i="6" s="1"/>
  <c r="M272" i="1" s="1"/>
  <c r="K272" i="1"/>
  <c r="N332" i="6"/>
  <c r="O332" i="6" s="1"/>
  <c r="M273" i="1" s="1"/>
  <c r="K273" i="1"/>
  <c r="N335" i="6"/>
  <c r="O335" i="6" s="1"/>
  <c r="M276" i="1" s="1"/>
  <c r="K276" i="1"/>
  <c r="N339" i="6"/>
  <c r="O339" i="6" s="1"/>
  <c r="M280" i="1" s="1"/>
  <c r="K280" i="1"/>
  <c r="N345" i="6"/>
  <c r="O345" i="6" s="1"/>
  <c r="M286" i="1" s="1"/>
  <c r="K286" i="1"/>
  <c r="N348" i="6"/>
  <c r="O348" i="6" s="1"/>
  <c r="M289" i="1" s="1"/>
  <c r="K289" i="1"/>
  <c r="N352" i="6"/>
  <c r="O352" i="6" s="1"/>
  <c r="M293" i="1" s="1"/>
  <c r="K293" i="1"/>
  <c r="N354" i="6"/>
  <c r="O354" i="6" s="1"/>
  <c r="M295" i="1" s="1"/>
  <c r="K295" i="1"/>
  <c r="N25" i="6"/>
  <c r="O25" i="6" s="1"/>
  <c r="M22" i="1" s="1"/>
  <c r="K22" i="1"/>
  <c r="N28" i="6"/>
  <c r="O28" i="6" s="1"/>
  <c r="M25" i="1" s="1"/>
  <c r="K25" i="1"/>
  <c r="N27" i="6"/>
  <c r="O27" i="6" s="1"/>
  <c r="M24" i="1" s="1"/>
  <c r="K24" i="1"/>
  <c r="N21" i="6"/>
  <c r="O21" i="6" s="1"/>
  <c r="M18" i="1" s="1"/>
  <c r="K18" i="1"/>
  <c r="N7" i="6"/>
  <c r="O7" i="6" s="1"/>
  <c r="M5" i="1" s="1"/>
  <c r="K5" i="1"/>
  <c r="N32" i="6"/>
  <c r="O32" i="6" s="1"/>
  <c r="M27" i="1" s="1"/>
  <c r="K27" i="1"/>
  <c r="N51" i="6"/>
  <c r="O51" i="6" s="1"/>
  <c r="M43" i="1" s="1"/>
  <c r="K43" i="1"/>
  <c r="N15" i="6"/>
  <c r="O15" i="6" s="1"/>
  <c r="M12" i="1" s="1"/>
  <c r="K12" i="1"/>
  <c r="N16" i="6"/>
  <c r="O16" i="6" s="1"/>
  <c r="M13" i="1" s="1"/>
  <c r="K13" i="1"/>
  <c r="N24" i="6"/>
  <c r="O24" i="6" s="1"/>
  <c r="M21" i="1" s="1"/>
  <c r="K21" i="1"/>
  <c r="N41" i="6"/>
  <c r="O41" i="6" s="1"/>
  <c r="K35" i="1"/>
  <c r="N31" i="6"/>
  <c r="O31" i="6" s="1"/>
  <c r="M26" i="1" s="1"/>
  <c r="K26" i="1"/>
  <c r="N47" i="6"/>
  <c r="O47" i="6" s="1"/>
  <c r="M40" i="1" s="1"/>
  <c r="K40" i="1"/>
  <c r="N11" i="6"/>
  <c r="O11" i="6" s="1"/>
  <c r="M8" i="1" s="1"/>
  <c r="K8" i="1"/>
  <c r="N141" i="6"/>
  <c r="O141" i="6" s="1"/>
  <c r="M116" i="1" s="1"/>
  <c r="K116" i="1"/>
  <c r="N134" i="6"/>
  <c r="O134" i="6" s="1"/>
  <c r="M113" i="1" s="1"/>
  <c r="K113" i="1"/>
  <c r="N147" i="6"/>
  <c r="O147" i="6" s="1"/>
  <c r="M120" i="1" s="1"/>
  <c r="K120" i="1"/>
  <c r="N148" i="6"/>
  <c r="O148" i="6" s="1"/>
  <c r="M121" i="1" s="1"/>
  <c r="K121" i="1"/>
  <c r="N150" i="6"/>
  <c r="O150" i="6" s="1"/>
  <c r="M123" i="1" s="1"/>
  <c r="K123" i="1"/>
  <c r="N157" i="6"/>
  <c r="O157" i="6" s="1"/>
  <c r="M128" i="1" s="1"/>
  <c r="K128" i="1"/>
  <c r="N165" i="6"/>
  <c r="O165" i="6" s="1"/>
  <c r="M136" i="1" s="1"/>
  <c r="K136" i="1"/>
  <c r="N173" i="6"/>
  <c r="O173" i="6" s="1"/>
  <c r="M143" i="1" s="1"/>
  <c r="K143" i="1"/>
  <c r="N180" i="6"/>
  <c r="O180" i="6" s="1"/>
  <c r="M149" i="1" s="1"/>
  <c r="K149" i="1"/>
  <c r="N189" i="6"/>
  <c r="O189" i="6" s="1"/>
  <c r="M156" i="1" s="1"/>
  <c r="K156" i="1"/>
  <c r="N201" i="6"/>
  <c r="O201" i="6" s="1"/>
  <c r="M162" i="1" s="1"/>
  <c r="K162" i="1"/>
  <c r="N209" i="6"/>
  <c r="O209" i="6" s="1"/>
  <c r="M168" i="1" s="1"/>
  <c r="K168" i="1"/>
  <c r="N216" i="6"/>
  <c r="O216" i="6" s="1"/>
  <c r="M170" i="1" s="1"/>
  <c r="K170" i="1"/>
  <c r="N229" i="6"/>
  <c r="O229" i="6" s="1"/>
  <c r="M183" i="1" s="1"/>
  <c r="K183" i="1"/>
  <c r="N225" i="6"/>
  <c r="O225" i="6" s="1"/>
  <c r="M179" i="1" s="1"/>
  <c r="K179" i="1"/>
  <c r="N226" i="6"/>
  <c r="O226" i="6" s="1"/>
  <c r="M180" i="1" s="1"/>
  <c r="K180" i="1"/>
  <c r="N230" i="6"/>
  <c r="O230" i="6" s="1"/>
  <c r="M184" i="1" s="1"/>
  <c r="K184" i="1"/>
  <c r="N223" i="6"/>
  <c r="O223" i="6" s="1"/>
  <c r="M177" i="1" s="1"/>
  <c r="K177" i="1"/>
  <c r="N227" i="6"/>
  <c r="O227" i="6" s="1"/>
  <c r="M181" i="1" s="1"/>
  <c r="K181" i="1"/>
  <c r="N231" i="6"/>
  <c r="O231" i="6" s="1"/>
  <c r="M185" i="1" s="1"/>
  <c r="K185" i="1"/>
  <c r="N233" i="6"/>
  <c r="O233" i="6" s="1"/>
  <c r="M187" i="1" s="1"/>
  <c r="K187" i="1"/>
  <c r="N239" i="6"/>
  <c r="O239" i="6" s="1"/>
  <c r="M189" i="1" s="1"/>
  <c r="K189" i="1"/>
  <c r="N241" i="6"/>
  <c r="O241" i="6" s="1"/>
  <c r="M192" i="1" s="1"/>
  <c r="K192" i="1"/>
  <c r="N254" i="6"/>
  <c r="O254" i="6" s="1"/>
  <c r="M199" i="1" s="1"/>
  <c r="K199" i="1"/>
  <c r="N262" i="6"/>
  <c r="O262" i="6" s="1"/>
  <c r="M207" i="1" s="1"/>
  <c r="K207" i="1"/>
  <c r="N264" i="6"/>
  <c r="O264" i="6" s="1"/>
  <c r="M209" i="1" s="1"/>
  <c r="K209" i="1"/>
  <c r="N266" i="6"/>
  <c r="O266" i="6" s="1"/>
  <c r="M211" i="1" s="1"/>
  <c r="K211" i="1"/>
  <c r="N269" i="6"/>
  <c r="O269" i="6" s="1"/>
  <c r="M214" i="1" s="1"/>
  <c r="K214" i="1"/>
  <c r="N277" i="6"/>
  <c r="O277" i="6" s="1"/>
  <c r="M221" i="1" s="1"/>
  <c r="K221" i="1"/>
  <c r="N285" i="6"/>
  <c r="O285" i="6" s="1"/>
  <c r="M229" i="1" s="1"/>
  <c r="K229" i="1"/>
  <c r="N286" i="6"/>
  <c r="O286" i="6" s="1"/>
  <c r="M230" i="1" s="1"/>
  <c r="K230" i="1"/>
  <c r="N292" i="6"/>
  <c r="O292" i="6" s="1"/>
  <c r="M234" i="1" s="1"/>
  <c r="K234" i="1"/>
  <c r="N298" i="6"/>
  <c r="O298" i="6" s="1"/>
  <c r="M240" i="1" s="1"/>
  <c r="K240" i="1"/>
  <c r="N297" i="6"/>
  <c r="O297" i="6" s="1"/>
  <c r="M239" i="1" s="1"/>
  <c r="K239" i="1"/>
  <c r="N301" i="6"/>
  <c r="O301" i="6" s="1"/>
  <c r="M243" i="1" s="1"/>
  <c r="K243" i="1"/>
  <c r="N310" i="6"/>
  <c r="O310" i="6" s="1"/>
  <c r="M252" i="1" s="1"/>
  <c r="K252" i="1"/>
  <c r="N311" i="6"/>
  <c r="O311" i="6" s="1"/>
  <c r="M253" i="1" s="1"/>
  <c r="K253" i="1"/>
  <c r="N314" i="6"/>
  <c r="O314" i="6" s="1"/>
  <c r="M256" i="1" s="1"/>
  <c r="K256" i="1"/>
  <c r="N319" i="6"/>
  <c r="O319" i="6" s="1"/>
  <c r="M260" i="1" s="1"/>
  <c r="K260" i="1"/>
  <c r="N323" i="6"/>
  <c r="O323" i="6" s="1"/>
  <c r="M264" i="1" s="1"/>
  <c r="K264" i="1"/>
  <c r="N326" i="6"/>
  <c r="O326" i="6" s="1"/>
  <c r="M267" i="1" s="1"/>
  <c r="K267" i="1"/>
  <c r="N336" i="6"/>
  <c r="O336" i="6" s="1"/>
  <c r="M277" i="1" s="1"/>
  <c r="K277" i="1"/>
  <c r="N340" i="6"/>
  <c r="O340" i="6" s="1"/>
  <c r="M281" i="1" s="1"/>
  <c r="K281" i="1"/>
  <c r="N343" i="6"/>
  <c r="O343" i="6" s="1"/>
  <c r="M284" i="1" s="1"/>
  <c r="K284" i="1"/>
  <c r="N344" i="6"/>
  <c r="O344" i="6" s="1"/>
  <c r="M285" i="1" s="1"/>
  <c r="K285" i="1"/>
  <c r="N346" i="6"/>
  <c r="O346" i="6" s="1"/>
  <c r="M287" i="1" s="1"/>
  <c r="K287" i="1"/>
  <c r="N351" i="6"/>
  <c r="O351" i="6" s="1"/>
  <c r="M292" i="1" s="1"/>
  <c r="K292" i="1"/>
  <c r="N349" i="6"/>
  <c r="O349" i="6" s="1"/>
  <c r="M290" i="1" s="1"/>
  <c r="K290" i="1"/>
  <c r="N356" i="6"/>
  <c r="O356" i="6" s="1"/>
  <c r="M297" i="1" s="1"/>
  <c r="K297" i="1"/>
  <c r="N355" i="6"/>
  <c r="O355" i="6" s="1"/>
  <c r="M296" i="1" s="1"/>
  <c r="K296" i="1"/>
  <c r="K30" i="1"/>
  <c r="N50" i="6"/>
  <c r="O50" i="6" s="1"/>
  <c r="M42" i="1" s="1"/>
  <c r="K42" i="1"/>
  <c r="N34" i="6"/>
  <c r="O34" i="6" s="1"/>
  <c r="M29" i="1" s="1"/>
  <c r="K29" i="1"/>
  <c r="N36" i="6"/>
  <c r="O36" i="6" s="1"/>
  <c r="M31" i="1" s="1"/>
  <c r="K31" i="1"/>
  <c r="N13" i="6"/>
  <c r="O13" i="6" s="1"/>
  <c r="M10" i="1" s="1"/>
  <c r="K10" i="1"/>
  <c r="N22" i="6"/>
  <c r="O22" i="6" s="1"/>
  <c r="M19" i="1" s="1"/>
  <c r="K19" i="1"/>
  <c r="N19" i="6"/>
  <c r="O19" i="6" s="1"/>
  <c r="M16" i="1" s="1"/>
  <c r="K16" i="1"/>
  <c r="N39" i="6"/>
  <c r="O39" i="6" s="1"/>
  <c r="M33" i="1" s="1"/>
  <c r="K33" i="1"/>
  <c r="N17" i="6"/>
  <c r="O17" i="6" s="1"/>
  <c r="M14" i="1" s="1"/>
  <c r="K14" i="1"/>
  <c r="N48" i="6"/>
  <c r="O48" i="6" s="1"/>
  <c r="K39" i="1"/>
  <c r="N52" i="6"/>
  <c r="O52" i="6" s="1"/>
  <c r="M44" i="1" s="1"/>
  <c r="K44" i="1"/>
  <c r="N12" i="6"/>
  <c r="O12" i="6" s="1"/>
  <c r="M9" i="1" s="1"/>
  <c r="K9" i="1"/>
  <c r="N20" i="6"/>
  <c r="O20" i="6" s="1"/>
  <c r="M17" i="1" s="1"/>
  <c r="K17" i="1"/>
  <c r="N133" i="6"/>
  <c r="O133" i="6" s="1"/>
  <c r="M112" i="1" s="1"/>
  <c r="K112" i="1"/>
  <c r="N139" i="6"/>
  <c r="O139" i="6" s="1"/>
  <c r="M115" i="1" s="1"/>
  <c r="K115" i="1"/>
  <c r="N143" i="6"/>
  <c r="O143" i="6" s="1"/>
  <c r="M117" i="1" s="1"/>
  <c r="K117" i="1"/>
  <c r="N144" i="6"/>
  <c r="O144" i="6" s="1"/>
  <c r="M118" i="1" s="1"/>
  <c r="K118" i="1"/>
  <c r="N149" i="6"/>
  <c r="O149" i="6" s="1"/>
  <c r="M122" i="1" s="1"/>
  <c r="K122" i="1"/>
  <c r="N152" i="6"/>
  <c r="O152" i="6" s="1"/>
  <c r="M125" i="1" s="1"/>
  <c r="K125" i="1"/>
  <c r="N158" i="6"/>
  <c r="O158" i="6" s="1"/>
  <c r="M129" i="1" s="1"/>
  <c r="K129" i="1"/>
  <c r="N160" i="6"/>
  <c r="O160" i="6" s="1"/>
  <c r="M131" i="1" s="1"/>
  <c r="K131" i="1"/>
  <c r="N161" i="6"/>
  <c r="O161" i="6" s="1"/>
  <c r="M132" i="1" s="1"/>
  <c r="K132" i="1"/>
  <c r="N162" i="6"/>
  <c r="O162" i="6" s="1"/>
  <c r="M133" i="1" s="1"/>
  <c r="K133" i="1"/>
  <c r="N168" i="6"/>
  <c r="O168" i="6" s="1"/>
  <c r="M139" i="1" s="1"/>
  <c r="K139" i="1"/>
  <c r="N170" i="6"/>
  <c r="O170" i="6" s="1"/>
  <c r="M141" i="1" s="1"/>
  <c r="K141" i="1"/>
  <c r="N171" i="6"/>
  <c r="O171" i="6" s="1"/>
  <c r="M142" i="1" s="1"/>
  <c r="K142" i="1"/>
  <c r="N174" i="6"/>
  <c r="O174" i="6" s="1"/>
  <c r="M144" i="1" s="1"/>
  <c r="K144" i="1"/>
  <c r="N176" i="6"/>
  <c r="O176" i="6" s="1"/>
  <c r="M146" i="1" s="1"/>
  <c r="K146" i="1"/>
  <c r="N183" i="6"/>
  <c r="O183" i="6" s="1"/>
  <c r="M152" i="1" s="1"/>
  <c r="K152" i="1"/>
  <c r="N182" i="6"/>
  <c r="O182" i="6" s="1"/>
  <c r="M151" i="1" s="1"/>
  <c r="K151" i="1"/>
  <c r="N184" i="6"/>
  <c r="O184" i="6" s="1"/>
  <c r="M153" i="1" s="1"/>
  <c r="K153" i="1"/>
  <c r="N190" i="6"/>
  <c r="O190" i="6" s="1"/>
  <c r="M157" i="1" s="1"/>
  <c r="K157" i="1"/>
  <c r="N208" i="6"/>
  <c r="O208" i="6" s="1"/>
  <c r="M167" i="1" s="1"/>
  <c r="K167" i="1"/>
  <c r="N357" i="6"/>
  <c r="O357" i="6" s="1"/>
  <c r="M298" i="1" s="1"/>
  <c r="K298" i="1"/>
  <c r="N359" i="6"/>
  <c r="O359" i="6" s="1"/>
  <c r="M300" i="1" s="1"/>
  <c r="K300" i="1"/>
  <c r="N360" i="6"/>
  <c r="O360" i="6" s="1"/>
  <c r="M301" i="1" s="1"/>
  <c r="K301" i="1"/>
  <c r="N202" i="6"/>
  <c r="O202" i="6" s="1"/>
  <c r="M163" i="1" s="1"/>
  <c r="K163" i="1"/>
  <c r="N206" i="6"/>
  <c r="O206" i="6" s="1"/>
  <c r="M165" i="1" s="1"/>
  <c r="K165" i="1"/>
  <c r="N203" i="6"/>
  <c r="O203" i="6" s="1"/>
  <c r="M164" i="1" s="1"/>
  <c r="K164" i="1"/>
  <c r="N207" i="6"/>
  <c r="O207" i="6" s="1"/>
  <c r="M166" i="1" s="1"/>
  <c r="K166" i="1"/>
  <c r="N212" i="6"/>
  <c r="O212" i="6" s="1"/>
  <c r="M169" i="1" s="1"/>
  <c r="K169" i="1"/>
  <c r="N218" i="6"/>
  <c r="O218" i="6" s="1"/>
  <c r="M172" i="1" s="1"/>
  <c r="K172" i="1"/>
  <c r="N219" i="6"/>
  <c r="O219" i="6" s="1"/>
  <c r="M173" i="1" s="1"/>
  <c r="K173" i="1"/>
  <c r="N220" i="6"/>
  <c r="O220" i="6" s="1"/>
  <c r="M174" i="1" s="1"/>
  <c r="K174" i="1"/>
  <c r="N221" i="6"/>
  <c r="O221" i="6" s="1"/>
  <c r="M175" i="1" s="1"/>
  <c r="K175" i="1"/>
  <c r="N240" i="6"/>
  <c r="O240" i="6" s="1"/>
  <c r="K191" i="1"/>
  <c r="K190" i="1"/>
  <c r="N236" i="6"/>
  <c r="O236" i="6" s="1"/>
  <c r="M188" i="1" s="1"/>
  <c r="K188" i="1"/>
  <c r="N252" i="6"/>
  <c r="O252" i="6" s="1"/>
  <c r="M197" i="1" s="1"/>
  <c r="K197" i="1"/>
  <c r="N256" i="6"/>
  <c r="O256" i="6" s="1"/>
  <c r="M201" i="1" s="1"/>
  <c r="K201" i="1"/>
  <c r="N260" i="6"/>
  <c r="O260" i="6" s="1"/>
  <c r="M205" i="1" s="1"/>
  <c r="K205" i="1"/>
  <c r="N253" i="6"/>
  <c r="O253" i="6" s="1"/>
  <c r="M198" i="1" s="1"/>
  <c r="K198" i="1"/>
  <c r="N261" i="6"/>
  <c r="O261" i="6" s="1"/>
  <c r="M206" i="1" s="1"/>
  <c r="K206" i="1"/>
  <c r="N267" i="6"/>
  <c r="O267" i="6" s="1"/>
  <c r="M212" i="1" s="1"/>
  <c r="K212" i="1"/>
  <c r="N270" i="6"/>
  <c r="O270" i="6" s="1"/>
  <c r="M215" i="1" s="1"/>
  <c r="K215" i="1"/>
  <c r="N272" i="6"/>
  <c r="O272" i="6" s="1"/>
  <c r="M217" i="1" s="1"/>
  <c r="K217" i="1"/>
  <c r="N275" i="6"/>
  <c r="O275" i="6" s="1"/>
  <c r="M219" i="1" s="1"/>
  <c r="K219" i="1"/>
  <c r="N283" i="6"/>
  <c r="O283" i="6" s="1"/>
  <c r="M227" i="1" s="1"/>
  <c r="K227" i="1"/>
  <c r="N281" i="6"/>
  <c r="O281" i="6" s="1"/>
  <c r="M225" i="1" s="1"/>
  <c r="K225" i="1"/>
  <c r="N290" i="6"/>
  <c r="O290" i="6" s="1"/>
  <c r="M232" i="1" s="1"/>
  <c r="K232" i="1"/>
  <c r="N299" i="6"/>
  <c r="O299" i="6" s="1"/>
  <c r="M241" i="1" s="1"/>
  <c r="K241" i="1"/>
  <c r="N312" i="6"/>
  <c r="O312" i="6" s="1"/>
  <c r="M254" i="1" s="1"/>
  <c r="K254" i="1"/>
  <c r="N309" i="6"/>
  <c r="O309" i="6" s="1"/>
  <c r="M251" i="1" s="1"/>
  <c r="K251" i="1"/>
  <c r="N317" i="6"/>
  <c r="O317" i="6" s="1"/>
  <c r="M258" i="1" s="1"/>
  <c r="K258" i="1"/>
  <c r="N321" i="6"/>
  <c r="O321" i="6" s="1"/>
  <c r="M262" i="1" s="1"/>
  <c r="K262" i="1"/>
  <c r="N325" i="6"/>
  <c r="O325" i="6" s="1"/>
  <c r="M266" i="1" s="1"/>
  <c r="K266" i="1"/>
  <c r="N329" i="6"/>
  <c r="O329" i="6" s="1"/>
  <c r="M270" i="1" s="1"/>
  <c r="K270" i="1"/>
  <c r="N330" i="6"/>
  <c r="O330" i="6" s="1"/>
  <c r="M271" i="1" s="1"/>
  <c r="K271" i="1"/>
  <c r="N338" i="6"/>
  <c r="O338" i="6" s="1"/>
  <c r="M279" i="1" s="1"/>
  <c r="K279" i="1"/>
  <c r="N342" i="6"/>
  <c r="O342" i="6" s="1"/>
  <c r="M283" i="1" s="1"/>
  <c r="K283" i="1"/>
  <c r="N347" i="6"/>
  <c r="O347" i="6" s="1"/>
  <c r="M288" i="1" s="1"/>
  <c r="K288" i="1"/>
  <c r="N350" i="6"/>
  <c r="O350" i="6" s="1"/>
  <c r="M291" i="1" s="1"/>
  <c r="K291" i="1"/>
  <c r="N353" i="6"/>
  <c r="O353" i="6" s="1"/>
  <c r="M294" i="1" s="1"/>
  <c r="K294" i="1"/>
  <c r="N358" i="6"/>
  <c r="O358" i="6" s="1"/>
  <c r="M299" i="1" s="1"/>
  <c r="K299" i="1"/>
  <c r="K3" i="1"/>
  <c r="K38" i="1"/>
  <c r="N273" i="1"/>
  <c r="U273" i="1" s="1"/>
  <c r="N299" i="1"/>
  <c r="N295" i="1"/>
  <c r="N298" i="1"/>
  <c r="N297" i="1"/>
  <c r="N296" i="1"/>
  <c r="N300" i="1"/>
  <c r="N291" i="1"/>
  <c r="N292" i="1"/>
  <c r="N294" i="1"/>
  <c r="N290" i="1"/>
  <c r="N293" i="1"/>
  <c r="N289" i="1"/>
  <c r="N287" i="1"/>
  <c r="N288" i="1"/>
  <c r="N284" i="1"/>
  <c r="N285" i="1"/>
  <c r="N286" i="1"/>
  <c r="N279" i="1"/>
  <c r="N277" i="1"/>
  <c r="N283" i="1"/>
  <c r="N281" i="1"/>
  <c r="N276" i="1"/>
  <c r="N278" i="1"/>
  <c r="N280" i="1"/>
  <c r="N282" i="1"/>
  <c r="N275" i="1"/>
  <c r="N271" i="1"/>
  <c r="N272" i="1"/>
  <c r="N274" i="1"/>
  <c r="N238" i="1"/>
  <c r="N269" i="1"/>
  <c r="N267" i="1"/>
  <c r="N270" i="1"/>
  <c r="N268" i="1"/>
  <c r="N262" i="1"/>
  <c r="N264" i="1"/>
  <c r="N256" i="1"/>
  <c r="N255" i="1"/>
  <c r="N261" i="1"/>
  <c r="N254" i="1"/>
  <c r="N252" i="1"/>
  <c r="N265" i="1"/>
  <c r="N260" i="1"/>
  <c r="N259" i="1"/>
  <c r="N263" i="1"/>
  <c r="N251" i="1"/>
  <c r="N250" i="1"/>
  <c r="N253" i="1"/>
  <c r="N266" i="1"/>
  <c r="N257" i="1"/>
  <c r="N258" i="1"/>
  <c r="N234" i="1"/>
  <c r="N249" i="1"/>
  <c r="N235" i="1"/>
  <c r="N236" i="1"/>
  <c r="N241" i="1"/>
  <c r="N237" i="1"/>
  <c r="N244" i="1"/>
  <c r="N247" i="1"/>
  <c r="N245" i="1"/>
  <c r="N239" i="1"/>
  <c r="N240" i="1"/>
  <c r="N246" i="1"/>
  <c r="N233" i="1"/>
  <c r="N242" i="1"/>
  <c r="N243" i="1"/>
  <c r="N248" i="1"/>
  <c r="N221" i="1"/>
  <c r="N232" i="1"/>
  <c r="N213" i="1"/>
  <c r="N231" i="1"/>
  <c r="N190" i="1"/>
  <c r="N230" i="1"/>
  <c r="N228" i="1"/>
  <c r="N225" i="1"/>
  <c r="N227" i="1"/>
  <c r="N226" i="1"/>
  <c r="N229" i="1"/>
  <c r="N217" i="1"/>
  <c r="N222" i="1"/>
  <c r="N224" i="1"/>
  <c r="N223" i="1"/>
  <c r="N218" i="1"/>
  <c r="N219" i="1"/>
  <c r="N220" i="1"/>
  <c r="N214" i="1"/>
  <c r="N216" i="1"/>
  <c r="N215" i="1"/>
  <c r="N159" i="1"/>
  <c r="N212" i="1"/>
  <c r="N209" i="1"/>
  <c r="N211" i="1"/>
  <c r="N210" i="1"/>
  <c r="N208" i="1"/>
  <c r="N188" i="1"/>
  <c r="N201" i="1"/>
  <c r="N194" i="1"/>
  <c r="N192" i="1"/>
  <c r="N203" i="1"/>
  <c r="N189" i="1"/>
  <c r="N204" i="1"/>
  <c r="N199" i="1"/>
  <c r="N200" i="1"/>
  <c r="N206" i="1"/>
  <c r="N187" i="1"/>
  <c r="N193" i="1"/>
  <c r="N207" i="1"/>
  <c r="N202" i="1"/>
  <c r="N195" i="1"/>
  <c r="N191" i="1"/>
  <c r="N196" i="1"/>
  <c r="N197" i="1"/>
  <c r="N205" i="1"/>
  <c r="N198" i="1"/>
  <c r="N186" i="1"/>
  <c r="U186" i="1" s="1"/>
  <c r="N179" i="1"/>
  <c r="N171" i="1"/>
  <c r="N185" i="1"/>
  <c r="U185" i="1" s="1"/>
  <c r="N176" i="1"/>
  <c r="N172" i="1"/>
  <c r="N174" i="1"/>
  <c r="N175" i="1"/>
  <c r="N178" i="1"/>
  <c r="N183" i="1"/>
  <c r="N180" i="1"/>
  <c r="N177" i="1"/>
  <c r="N182" i="1"/>
  <c r="N173" i="1"/>
  <c r="N184" i="1"/>
  <c r="N181" i="1"/>
  <c r="H44" i="12"/>
  <c r="H45" i="12" s="1"/>
  <c r="N169" i="1"/>
  <c r="N170" i="1"/>
  <c r="N165" i="1"/>
  <c r="N164" i="1"/>
  <c r="N166" i="1"/>
  <c r="N167" i="1"/>
  <c r="N168" i="1"/>
  <c r="G24" i="5"/>
  <c r="G28" i="5" s="1"/>
  <c r="G29" i="5" s="1"/>
  <c r="N161" i="1"/>
  <c r="N163" i="1"/>
  <c r="N162" i="1"/>
  <c r="N160" i="1"/>
  <c r="N158" i="1"/>
  <c r="N138" i="1"/>
  <c r="N155" i="1"/>
  <c r="N157" i="1"/>
  <c r="N153" i="1"/>
  <c r="N149" i="1"/>
  <c r="N150" i="1"/>
  <c r="N154" i="1"/>
  <c r="N152" i="1"/>
  <c r="N151" i="1"/>
  <c r="N148" i="1"/>
  <c r="N146" i="1"/>
  <c r="N145" i="1"/>
  <c r="N147" i="1"/>
  <c r="N144" i="1"/>
  <c r="N142" i="1"/>
  <c r="N141" i="1"/>
  <c r="N140" i="1"/>
  <c r="N143" i="1"/>
  <c r="N139" i="1"/>
  <c r="N129" i="1"/>
  <c r="N137" i="1"/>
  <c r="N134" i="1"/>
  <c r="N136" i="1"/>
  <c r="N135" i="1"/>
  <c r="N133" i="1"/>
  <c r="N130" i="1"/>
  <c r="N131" i="1"/>
  <c r="N132" i="1"/>
  <c r="N126" i="1"/>
  <c r="N128" i="1"/>
  <c r="N127" i="1"/>
  <c r="N125" i="1"/>
  <c r="N123" i="1"/>
  <c r="N124" i="1"/>
  <c r="N120" i="1"/>
  <c r="N122" i="1"/>
  <c r="N121" i="1"/>
  <c r="N111" i="1"/>
  <c r="N118" i="1"/>
  <c r="N119" i="1"/>
  <c r="N113" i="1"/>
  <c r="N116" i="1"/>
  <c r="N115" i="1"/>
  <c r="N112" i="1"/>
  <c r="N117" i="1"/>
  <c r="N114" i="1"/>
  <c r="M111" i="6"/>
  <c r="N111" i="6" s="1"/>
  <c r="O111" i="6" s="1"/>
  <c r="M86" i="6"/>
  <c r="M77" i="6"/>
  <c r="M66" i="6"/>
  <c r="N66" i="6" s="1"/>
  <c r="O66" i="6" s="1"/>
  <c r="M74" i="6"/>
  <c r="M97" i="6"/>
  <c r="M101" i="6"/>
  <c r="M108" i="6"/>
  <c r="M67" i="6"/>
  <c r="N67" i="6" s="1"/>
  <c r="O67" i="6" s="1"/>
  <c r="M84" i="6"/>
  <c r="M71" i="6"/>
  <c r="M115" i="6"/>
  <c r="M107" i="6"/>
  <c r="M94" i="6"/>
  <c r="N94" i="6" s="1"/>
  <c r="O94" i="6" s="1"/>
  <c r="M85" i="6"/>
  <c r="M65" i="6"/>
  <c r="M62" i="6"/>
  <c r="M114" i="6"/>
  <c r="M123" i="6"/>
  <c r="M87" i="6"/>
  <c r="M76" i="6"/>
  <c r="M110" i="6"/>
  <c r="N110" i="6" s="1"/>
  <c r="O110" i="6" s="1"/>
  <c r="M106" i="6"/>
  <c r="M90" i="6"/>
  <c r="M127" i="6"/>
  <c r="M105" i="6"/>
  <c r="M83" i="6"/>
  <c r="M70" i="6"/>
  <c r="M89" i="6"/>
  <c r="M72" i="6"/>
  <c r="M63" i="6"/>
  <c r="N63" i="6" s="1"/>
  <c r="O63" i="6" s="1"/>
  <c r="M73" i="6"/>
  <c r="M120" i="6"/>
  <c r="N120" i="6" s="1"/>
  <c r="O120" i="6" s="1"/>
  <c r="M122" i="6"/>
  <c r="M124" i="6"/>
  <c r="M126" i="6"/>
  <c r="M104" i="6"/>
  <c r="N104" i="6" s="1"/>
  <c r="O104" i="6" s="1"/>
  <c r="M112" i="6"/>
  <c r="M68" i="6"/>
  <c r="M103" i="6"/>
  <c r="M82" i="6"/>
  <c r="M109" i="6"/>
  <c r="N109" i="6" s="1"/>
  <c r="O109" i="6" s="1"/>
  <c r="M96" i="6"/>
  <c r="M91" i="6"/>
  <c r="M64" i="6"/>
  <c r="M81" i="6"/>
  <c r="M119" i="6"/>
  <c r="N119" i="6" s="1"/>
  <c r="O119" i="6" s="1"/>
  <c r="M80" i="6"/>
  <c r="M88" i="6"/>
  <c r="M79" i="6"/>
  <c r="M99" i="6"/>
  <c r="M113" i="6"/>
  <c r="M61" i="6"/>
  <c r="M117" i="6"/>
  <c r="M130" i="6"/>
  <c r="M118" i="6"/>
  <c r="M129" i="6"/>
  <c r="M116" i="6"/>
  <c r="M121" i="6"/>
  <c r="M125" i="6"/>
  <c r="M128" i="6"/>
  <c r="M102" i="6"/>
  <c r="M75" i="6"/>
  <c r="M60" i="6"/>
  <c r="M93" i="6"/>
  <c r="M100" i="6"/>
  <c r="M95" i="6"/>
  <c r="M78" i="6"/>
  <c r="M98" i="6"/>
  <c r="M92" i="6"/>
  <c r="M69" i="6"/>
  <c r="M131" i="6"/>
  <c r="N131" i="6" s="1"/>
  <c r="O131" i="6" s="1"/>
  <c r="N103" i="1"/>
  <c r="N109" i="1"/>
  <c r="N110" i="1"/>
  <c r="N106" i="1"/>
  <c r="N108" i="1"/>
  <c r="N107" i="1"/>
  <c r="N105" i="1"/>
  <c r="N104" i="1"/>
  <c r="N101" i="1"/>
  <c r="N102" i="1"/>
  <c r="N95" i="1"/>
  <c r="N98" i="1"/>
  <c r="N100" i="1"/>
  <c r="N99" i="1"/>
  <c r="N97" i="1"/>
  <c r="N96" i="1"/>
  <c r="N11" i="1"/>
  <c r="N85" i="1"/>
  <c r="U85" i="1" s="1"/>
  <c r="N18" i="1"/>
  <c r="N79" i="1"/>
  <c r="N93" i="1"/>
  <c r="N36" i="1"/>
  <c r="N91" i="1"/>
  <c r="N53" i="1"/>
  <c r="N90" i="1"/>
  <c r="N49" i="1"/>
  <c r="N65" i="1"/>
  <c r="N7" i="1"/>
  <c r="N23" i="1"/>
  <c r="N83" i="1"/>
  <c r="N87" i="1"/>
  <c r="N63" i="1"/>
  <c r="N5" i="1"/>
  <c r="N50" i="1"/>
  <c r="N15" i="1"/>
  <c r="N33" i="1"/>
  <c r="N34" i="1"/>
  <c r="N72" i="1"/>
  <c r="N74" i="1"/>
  <c r="N14" i="1"/>
  <c r="N69" i="1"/>
  <c r="N42" i="1"/>
  <c r="N68" i="1"/>
  <c r="N57" i="1"/>
  <c r="N32" i="1"/>
  <c r="N73" i="1"/>
  <c r="N21" i="1"/>
  <c r="N30" i="1"/>
  <c r="N10" i="1"/>
  <c r="N81" i="1"/>
  <c r="N47" i="1"/>
  <c r="N59" i="1"/>
  <c r="N20" i="1"/>
  <c r="N2" i="1"/>
  <c r="N48" i="1"/>
  <c r="N29" i="1"/>
  <c r="N76" i="1"/>
  <c r="N38" i="1"/>
  <c r="N80" i="1"/>
  <c r="N22" i="1"/>
  <c r="U22" i="1" s="1"/>
  <c r="N78" i="1"/>
  <c r="N19" i="1"/>
  <c r="N94" i="1"/>
  <c r="N70" i="1"/>
  <c r="N13" i="1"/>
  <c r="N17" i="1"/>
  <c r="N24" i="1"/>
  <c r="N67" i="1"/>
  <c r="N4" i="1"/>
  <c r="N46" i="1"/>
  <c r="S42" i="8"/>
  <c r="N89" i="1"/>
  <c r="N3" i="1"/>
  <c r="N77" i="1"/>
  <c r="N39" i="1"/>
  <c r="N8" i="1"/>
  <c r="N92" i="1"/>
  <c r="N75" i="1"/>
  <c r="U75" i="1" s="1"/>
  <c r="N40" i="1"/>
  <c r="N64" i="1"/>
  <c r="N27" i="1"/>
  <c r="N26" i="1"/>
  <c r="N84" i="1"/>
  <c r="N6" i="1"/>
  <c r="N52" i="1"/>
  <c r="N12" i="1"/>
  <c r="N62" i="1"/>
  <c r="N58" i="1"/>
  <c r="N61" i="1"/>
  <c r="N35" i="1"/>
  <c r="N45" i="1"/>
  <c r="N9" i="1"/>
  <c r="N28" i="1"/>
  <c r="N55" i="1"/>
  <c r="N54" i="1"/>
  <c r="N51" i="1"/>
  <c r="N37" i="1"/>
  <c r="N88" i="1"/>
  <c r="N16" i="1"/>
  <c r="N86" i="1"/>
  <c r="N56" i="1"/>
  <c r="N66" i="1"/>
  <c r="N25" i="1"/>
  <c r="N44" i="1"/>
  <c r="N41" i="1"/>
  <c r="N31" i="1"/>
  <c r="N43" i="1"/>
  <c r="N71" i="1"/>
  <c r="N60" i="1"/>
  <c r="O3" i="6"/>
  <c r="M3" i="1" s="1"/>
  <c r="O663" i="1" l="1"/>
  <c r="P663" i="1"/>
  <c r="O659" i="1"/>
  <c r="P659" i="1"/>
  <c r="O661" i="1"/>
  <c r="P661" i="1"/>
  <c r="O660" i="1"/>
  <c r="P660" i="1"/>
  <c r="O664" i="1"/>
  <c r="P664" i="1"/>
  <c r="O662" i="1"/>
  <c r="P662" i="1"/>
  <c r="P665" i="1"/>
  <c r="O657" i="1"/>
  <c r="P657" i="1"/>
  <c r="O658" i="1"/>
  <c r="P658" i="1"/>
  <c r="P633" i="1"/>
  <c r="Q633" i="1" s="1"/>
  <c r="P655" i="1"/>
  <c r="U656" i="1"/>
  <c r="O656" i="1" s="1"/>
  <c r="P656" i="1"/>
  <c r="P653" i="1"/>
  <c r="Q653" i="1" s="1"/>
  <c r="P654" i="1"/>
  <c r="O652" i="1"/>
  <c r="P652" i="1"/>
  <c r="P651" i="1"/>
  <c r="Q651" i="1" s="1"/>
  <c r="P650" i="1"/>
  <c r="Q650" i="1" s="1"/>
  <c r="P645" i="1"/>
  <c r="P644" i="1"/>
  <c r="O641" i="1"/>
  <c r="P641" i="1"/>
  <c r="P646" i="1"/>
  <c r="P649" i="1"/>
  <c r="O647" i="1"/>
  <c r="P647" i="1"/>
  <c r="O642" i="1"/>
  <c r="P642" i="1"/>
  <c r="O640" i="1"/>
  <c r="P640" i="1"/>
  <c r="O643" i="1"/>
  <c r="P643" i="1"/>
  <c r="O648" i="1"/>
  <c r="P648" i="1"/>
  <c r="O636" i="1"/>
  <c r="P636" i="1"/>
  <c r="P638" i="1"/>
  <c r="O635" i="1"/>
  <c r="P635" i="1"/>
  <c r="P637" i="1"/>
  <c r="P639" i="1"/>
  <c r="P634" i="1"/>
  <c r="R634" i="1" s="1"/>
  <c r="P582" i="1"/>
  <c r="Q582" i="1" s="1"/>
  <c r="O2" i="6"/>
  <c r="M2" i="1" s="1"/>
  <c r="P631" i="1"/>
  <c r="P628" i="1"/>
  <c r="P630" i="1"/>
  <c r="P629" i="1"/>
  <c r="P632" i="1"/>
  <c r="P626" i="1"/>
  <c r="P625" i="1"/>
  <c r="P627" i="1"/>
  <c r="O5" i="6"/>
  <c r="M4" i="1" s="1"/>
  <c r="M35" i="1"/>
  <c r="M624" i="1"/>
  <c r="P623" i="1"/>
  <c r="P622" i="1"/>
  <c r="P620" i="1"/>
  <c r="P614" i="1"/>
  <c r="P612" i="1"/>
  <c r="P618" i="1"/>
  <c r="P621" i="1"/>
  <c r="O619" i="1"/>
  <c r="P619" i="1"/>
  <c r="P613" i="1"/>
  <c r="P617" i="1"/>
  <c r="O616" i="1"/>
  <c r="P616" i="1"/>
  <c r="P615" i="1"/>
  <c r="P611" i="1"/>
  <c r="O610" i="1"/>
  <c r="P610" i="1"/>
  <c r="P609" i="1"/>
  <c r="O609" i="1"/>
  <c r="P608" i="1"/>
  <c r="P606" i="1"/>
  <c r="R606" i="1" s="1"/>
  <c r="P607" i="1"/>
  <c r="P599" i="1"/>
  <c r="P600" i="1"/>
  <c r="P604" i="1"/>
  <c r="P598" i="1"/>
  <c r="P602" i="1"/>
  <c r="P603" i="1"/>
  <c r="P601" i="1"/>
  <c r="O605" i="1"/>
  <c r="P605" i="1"/>
  <c r="P595" i="1"/>
  <c r="P597" i="1"/>
  <c r="O596" i="1"/>
  <c r="P596" i="1"/>
  <c r="P594" i="1"/>
  <c r="P593" i="1"/>
  <c r="O577" i="1"/>
  <c r="P213" i="1"/>
  <c r="P592" i="1"/>
  <c r="P588" i="1"/>
  <c r="P587" i="1"/>
  <c r="P591" i="1"/>
  <c r="P586" i="1"/>
  <c r="P589" i="1"/>
  <c r="P585" i="1"/>
  <c r="P590" i="1"/>
  <c r="P584" i="1"/>
  <c r="P583" i="1"/>
  <c r="P581" i="1"/>
  <c r="Q581" i="1" s="1"/>
  <c r="P580" i="1"/>
  <c r="P579" i="1"/>
  <c r="P574" i="1"/>
  <c r="Q574" i="1" s="1"/>
  <c r="P577" i="1"/>
  <c r="Q577" i="1" s="1"/>
  <c r="P575" i="1"/>
  <c r="P578" i="1"/>
  <c r="P572" i="1"/>
  <c r="P573" i="1"/>
  <c r="P576" i="1"/>
  <c r="P571" i="1"/>
  <c r="R571" i="1" s="1"/>
  <c r="P570" i="1"/>
  <c r="R570" i="1" s="1"/>
  <c r="P567" i="1"/>
  <c r="Q567" i="1" s="1"/>
  <c r="P568" i="1"/>
  <c r="P566" i="1"/>
  <c r="P569" i="1"/>
  <c r="P565" i="1"/>
  <c r="P562" i="1"/>
  <c r="P563" i="1"/>
  <c r="P564" i="1"/>
  <c r="P558" i="1"/>
  <c r="P559" i="1"/>
  <c r="P561" i="1"/>
  <c r="P560" i="1"/>
  <c r="O557" i="1"/>
  <c r="P557" i="1"/>
  <c r="O553" i="1"/>
  <c r="P542" i="1"/>
  <c r="Q542" i="1" s="1"/>
  <c r="P556" i="1"/>
  <c r="P555" i="1"/>
  <c r="P554" i="1"/>
  <c r="Q554" i="1" s="1"/>
  <c r="P553" i="1"/>
  <c r="Q553" i="1" s="1"/>
  <c r="P545" i="1"/>
  <c r="R545" i="1" s="1"/>
  <c r="P543" i="1"/>
  <c r="R543" i="1" s="1"/>
  <c r="P544" i="1"/>
  <c r="R544" i="1" s="1"/>
  <c r="P552" i="1"/>
  <c r="Q552" i="1" s="1"/>
  <c r="P549" i="1"/>
  <c r="R549" i="1" s="1"/>
  <c r="P546" i="1"/>
  <c r="Q546" i="1" s="1"/>
  <c r="P550" i="1"/>
  <c r="R550" i="1" s="1"/>
  <c r="P551" i="1"/>
  <c r="Q551" i="1" s="1"/>
  <c r="P548" i="1"/>
  <c r="R548" i="1" s="1"/>
  <c r="P547" i="1"/>
  <c r="Q547" i="1" s="1"/>
  <c r="P539" i="1"/>
  <c r="P540" i="1"/>
  <c r="P538" i="1"/>
  <c r="Q538" i="1" s="1"/>
  <c r="P541" i="1"/>
  <c r="P537" i="1"/>
  <c r="P536" i="1"/>
  <c r="P535" i="1"/>
  <c r="P534" i="1"/>
  <c r="P533" i="1"/>
  <c r="P529" i="1"/>
  <c r="P531" i="1"/>
  <c r="P530" i="1"/>
  <c r="O532" i="1"/>
  <c r="P532" i="1"/>
  <c r="P528" i="1"/>
  <c r="P527" i="1"/>
  <c r="P526" i="1"/>
  <c r="P525" i="1"/>
  <c r="P524" i="1"/>
  <c r="P523" i="1"/>
  <c r="P521" i="1"/>
  <c r="P522" i="1"/>
  <c r="P519" i="1"/>
  <c r="P518" i="1"/>
  <c r="P516" i="1"/>
  <c r="P515" i="1"/>
  <c r="P517" i="1"/>
  <c r="O520" i="1"/>
  <c r="P520" i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498" i="1"/>
  <c r="Q498" i="1" s="1"/>
  <c r="P501" i="1"/>
  <c r="Q501" i="1" s="1"/>
  <c r="P499" i="1"/>
  <c r="Q499" i="1" s="1"/>
  <c r="P500" i="1"/>
  <c r="Q500" i="1" s="1"/>
  <c r="O497" i="1"/>
  <c r="P497" i="1"/>
  <c r="Q497" i="1" s="1"/>
  <c r="P502" i="1"/>
  <c r="Q502" i="1" s="1"/>
  <c r="P496" i="1"/>
  <c r="Q496" i="1" s="1"/>
  <c r="P503" i="1"/>
  <c r="Q503" i="1" s="1"/>
  <c r="P484" i="1"/>
  <c r="Q484" i="1" s="1"/>
  <c r="P490" i="1"/>
  <c r="Q490" i="1" s="1"/>
  <c r="P489" i="1"/>
  <c r="Q489" i="1" s="1"/>
  <c r="P479" i="1"/>
  <c r="Q479" i="1" s="1"/>
  <c r="P485" i="1"/>
  <c r="Q485" i="1" s="1"/>
  <c r="P492" i="1"/>
  <c r="Q492" i="1" s="1"/>
  <c r="P481" i="1"/>
  <c r="Q481" i="1" s="1"/>
  <c r="P495" i="1"/>
  <c r="Q495" i="1" s="1"/>
  <c r="P486" i="1"/>
  <c r="Q486" i="1" s="1"/>
  <c r="P491" i="1"/>
  <c r="Q491" i="1" s="1"/>
  <c r="P483" i="1"/>
  <c r="Q483" i="1" s="1"/>
  <c r="P488" i="1"/>
  <c r="Q488" i="1" s="1"/>
  <c r="P494" i="1"/>
  <c r="Q494" i="1" s="1"/>
  <c r="P493" i="1"/>
  <c r="Q493" i="1" s="1"/>
  <c r="P480" i="1"/>
  <c r="Q480" i="1" s="1"/>
  <c r="P482" i="1"/>
  <c r="Q482" i="1" s="1"/>
  <c r="P478" i="1"/>
  <c r="Q478" i="1" s="1"/>
  <c r="P487" i="1"/>
  <c r="Q487" i="1" s="1"/>
  <c r="P477" i="1"/>
  <c r="Q477" i="1" s="1"/>
  <c r="P473" i="1"/>
  <c r="Q473" i="1" s="1"/>
  <c r="P474" i="1"/>
  <c r="Q474" i="1" s="1"/>
  <c r="P472" i="1"/>
  <c r="Q472" i="1" s="1"/>
  <c r="P475" i="1"/>
  <c r="Q475" i="1" s="1"/>
  <c r="P476" i="1"/>
  <c r="Q476" i="1" s="1"/>
  <c r="P471" i="1"/>
  <c r="Q471" i="1" s="1"/>
  <c r="P467" i="1"/>
  <c r="Q467" i="1" s="1"/>
  <c r="P466" i="1"/>
  <c r="Q466" i="1" s="1"/>
  <c r="P465" i="1"/>
  <c r="Q465" i="1" s="1"/>
  <c r="P468" i="1"/>
  <c r="Q468" i="1" s="1"/>
  <c r="P470" i="1"/>
  <c r="Q470" i="1" s="1"/>
  <c r="P463" i="1"/>
  <c r="Q463" i="1" s="1"/>
  <c r="O469" i="1"/>
  <c r="P469" i="1"/>
  <c r="Q469" i="1" s="1"/>
  <c r="P464" i="1"/>
  <c r="Q464" i="1" s="1"/>
  <c r="P447" i="1"/>
  <c r="Q447" i="1" s="1"/>
  <c r="P462" i="1"/>
  <c r="Q462" i="1" s="1"/>
  <c r="P452" i="1"/>
  <c r="Q452" i="1" s="1"/>
  <c r="P448" i="1"/>
  <c r="Q448" i="1" s="1"/>
  <c r="P458" i="1"/>
  <c r="Q458" i="1" s="1"/>
  <c r="P439" i="1"/>
  <c r="Q439" i="1" s="1"/>
  <c r="O444" i="1"/>
  <c r="P444" i="1"/>
  <c r="Q444" i="1" s="1"/>
  <c r="P454" i="1"/>
  <c r="Q454" i="1" s="1"/>
  <c r="P440" i="1"/>
  <c r="Q440" i="1" s="1"/>
  <c r="P459" i="1"/>
  <c r="Q459" i="1" s="1"/>
  <c r="P450" i="1"/>
  <c r="Q450" i="1" s="1"/>
  <c r="P453" i="1"/>
  <c r="Q453" i="1" s="1"/>
  <c r="P443" i="1"/>
  <c r="Q443" i="1" s="1"/>
  <c r="P457" i="1"/>
  <c r="Q457" i="1" s="1"/>
  <c r="P442" i="1"/>
  <c r="Q442" i="1" s="1"/>
  <c r="P445" i="1"/>
  <c r="Q445" i="1" s="1"/>
  <c r="P449" i="1"/>
  <c r="Q449" i="1" s="1"/>
  <c r="P455" i="1"/>
  <c r="Q455" i="1" s="1"/>
  <c r="P451" i="1"/>
  <c r="Q451" i="1" s="1"/>
  <c r="P461" i="1"/>
  <c r="Q461" i="1" s="1"/>
  <c r="O460" i="1"/>
  <c r="P460" i="1"/>
  <c r="Q460" i="1" s="1"/>
  <c r="P456" i="1"/>
  <c r="Q456" i="1" s="1"/>
  <c r="P446" i="1"/>
  <c r="Q446" i="1" s="1"/>
  <c r="P438" i="1"/>
  <c r="Q438" i="1" s="1"/>
  <c r="P441" i="1"/>
  <c r="Q441" i="1" s="1"/>
  <c r="P437" i="1"/>
  <c r="Q437" i="1" s="1"/>
  <c r="P436" i="1"/>
  <c r="Q436" i="1" s="1"/>
  <c r="P435" i="1"/>
  <c r="Q435" i="1" s="1"/>
  <c r="P419" i="1"/>
  <c r="Q419" i="1" s="1"/>
  <c r="P408" i="1"/>
  <c r="Q408" i="1" s="1"/>
  <c r="P404" i="1"/>
  <c r="Q404" i="1" s="1"/>
  <c r="P421" i="1"/>
  <c r="Q421" i="1" s="1"/>
  <c r="P416" i="1"/>
  <c r="Q416" i="1" s="1"/>
  <c r="P433" i="1"/>
  <c r="Q433" i="1" s="1"/>
  <c r="P426" i="1"/>
  <c r="Q426" i="1" s="1"/>
  <c r="P428" i="1"/>
  <c r="Q428" i="1" s="1"/>
  <c r="P405" i="1"/>
  <c r="Q405" i="1" s="1"/>
  <c r="P414" i="1"/>
  <c r="Q414" i="1" s="1"/>
  <c r="P424" i="1"/>
  <c r="Q424" i="1" s="1"/>
  <c r="P417" i="1"/>
  <c r="Q417" i="1" s="1"/>
  <c r="P403" i="1"/>
  <c r="Q403" i="1" s="1"/>
  <c r="P412" i="1"/>
  <c r="Q412" i="1" s="1"/>
  <c r="P413" i="1"/>
  <c r="Q413" i="1" s="1"/>
  <c r="P402" i="1"/>
  <c r="Q402" i="1" s="1"/>
  <c r="P409" i="1"/>
  <c r="Q409" i="1" s="1"/>
  <c r="P418" i="1"/>
  <c r="Q418" i="1" s="1"/>
  <c r="P431" i="1"/>
  <c r="Q431" i="1" s="1"/>
  <c r="P401" i="1"/>
  <c r="Q401" i="1" s="1"/>
  <c r="P406" i="1"/>
  <c r="Q406" i="1" s="1"/>
  <c r="P415" i="1"/>
  <c r="Q415" i="1" s="1"/>
  <c r="P423" i="1"/>
  <c r="Q423" i="1" s="1"/>
  <c r="P427" i="1"/>
  <c r="Q427" i="1" s="1"/>
  <c r="P411" i="1"/>
  <c r="Q411" i="1" s="1"/>
  <c r="P420" i="1"/>
  <c r="Q420" i="1" s="1"/>
  <c r="P422" i="1"/>
  <c r="Q422" i="1" s="1"/>
  <c r="P407" i="1"/>
  <c r="Q407" i="1" s="1"/>
  <c r="P432" i="1"/>
  <c r="Q432" i="1" s="1"/>
  <c r="P425" i="1"/>
  <c r="Q425" i="1" s="1"/>
  <c r="P434" i="1"/>
  <c r="Q434" i="1" s="1"/>
  <c r="P410" i="1"/>
  <c r="Q410" i="1" s="1"/>
  <c r="P429" i="1"/>
  <c r="Q429" i="1" s="1"/>
  <c r="P430" i="1"/>
  <c r="Q430" i="1" s="1"/>
  <c r="M400" i="1"/>
  <c r="P400" i="1" s="1"/>
  <c r="Q400" i="1" s="1"/>
  <c r="P399" i="1"/>
  <c r="Q399" i="1" s="1"/>
  <c r="P396" i="1"/>
  <c r="Q396" i="1" s="1"/>
  <c r="P397" i="1"/>
  <c r="Q397" i="1" s="1"/>
  <c r="P398" i="1"/>
  <c r="Q398" i="1" s="1"/>
  <c r="P395" i="1"/>
  <c r="Q395" i="1" s="1"/>
  <c r="O395" i="1"/>
  <c r="P387" i="1"/>
  <c r="Q387" i="1" s="1"/>
  <c r="O388" i="1"/>
  <c r="P388" i="1"/>
  <c r="Q388" i="1" s="1"/>
  <c r="P389" i="1"/>
  <c r="Q389" i="1" s="1"/>
  <c r="P391" i="1"/>
  <c r="Q391" i="1" s="1"/>
  <c r="P394" i="1"/>
  <c r="Q394" i="1" s="1"/>
  <c r="P390" i="1"/>
  <c r="Q390" i="1" s="1"/>
  <c r="P393" i="1"/>
  <c r="Q393" i="1" s="1"/>
  <c r="P392" i="1"/>
  <c r="Q392" i="1" s="1"/>
  <c r="P386" i="1"/>
  <c r="Q386" i="1" s="1"/>
  <c r="P385" i="1"/>
  <c r="Q385" i="1" s="1"/>
  <c r="P362" i="1"/>
  <c r="Q362" i="1" s="1"/>
  <c r="P384" i="1"/>
  <c r="Q384" i="1" s="1"/>
  <c r="P381" i="1"/>
  <c r="Q381" i="1" s="1"/>
  <c r="P380" i="1"/>
  <c r="Q380" i="1" s="1"/>
  <c r="P383" i="1"/>
  <c r="Q383" i="1" s="1"/>
  <c r="P382" i="1"/>
  <c r="Q382" i="1" s="1"/>
  <c r="P375" i="1"/>
  <c r="Q375" i="1" s="1"/>
  <c r="P376" i="1"/>
  <c r="Q376" i="1" s="1"/>
  <c r="P379" i="1"/>
  <c r="Q379" i="1" s="1"/>
  <c r="P377" i="1"/>
  <c r="Q377" i="1" s="1"/>
  <c r="P378" i="1"/>
  <c r="Q378" i="1" s="1"/>
  <c r="P363" i="1"/>
  <c r="Q363" i="1" s="1"/>
  <c r="P373" i="1"/>
  <c r="Q373" i="1" s="1"/>
  <c r="P368" i="1"/>
  <c r="Q368" i="1" s="1"/>
  <c r="P365" i="1"/>
  <c r="Q365" i="1" s="1"/>
  <c r="P372" i="1"/>
  <c r="Q372" i="1" s="1"/>
  <c r="P367" i="1"/>
  <c r="Q367" i="1" s="1"/>
  <c r="P364" i="1"/>
  <c r="Q364" i="1" s="1"/>
  <c r="P371" i="1"/>
  <c r="Q371" i="1" s="1"/>
  <c r="P366" i="1"/>
  <c r="Q366" i="1" s="1"/>
  <c r="P374" i="1"/>
  <c r="Q374" i="1" s="1"/>
  <c r="P369" i="1"/>
  <c r="Q369" i="1" s="1"/>
  <c r="P370" i="1"/>
  <c r="Q370" i="1" s="1"/>
  <c r="M361" i="1"/>
  <c r="P361" i="1" s="1"/>
  <c r="Q361" i="1" s="1"/>
  <c r="M358" i="1"/>
  <c r="M357" i="1"/>
  <c r="M356" i="1"/>
  <c r="P356" i="1" s="1"/>
  <c r="Q356" i="1" s="1"/>
  <c r="P355" i="1"/>
  <c r="Q355" i="1" s="1"/>
  <c r="P359" i="1"/>
  <c r="Q359" i="1" s="1"/>
  <c r="P360" i="1"/>
  <c r="Q360" i="1" s="1"/>
  <c r="M353" i="1"/>
  <c r="P353" i="1" s="1"/>
  <c r="Q353" i="1" s="1"/>
  <c r="M354" i="1"/>
  <c r="O334" i="1"/>
  <c r="O185" i="1"/>
  <c r="O186" i="1"/>
  <c r="P334" i="1"/>
  <c r="Q334" i="1" s="1"/>
  <c r="P346" i="1"/>
  <c r="Q346" i="1" s="1"/>
  <c r="P337" i="1"/>
  <c r="Q337" i="1" s="1"/>
  <c r="P342" i="1"/>
  <c r="Q342" i="1" s="1"/>
  <c r="P336" i="1"/>
  <c r="Q336" i="1" s="1"/>
  <c r="P349" i="1"/>
  <c r="Q349" i="1" s="1"/>
  <c r="P350" i="1"/>
  <c r="Q350" i="1" s="1"/>
  <c r="P344" i="1"/>
  <c r="Q344" i="1" s="1"/>
  <c r="P330" i="1"/>
  <c r="Q330" i="1" s="1"/>
  <c r="P352" i="1"/>
  <c r="Q352" i="1" s="1"/>
  <c r="P341" i="1"/>
  <c r="Q341" i="1" s="1"/>
  <c r="P347" i="1"/>
  <c r="Q347" i="1" s="1"/>
  <c r="P333" i="1"/>
  <c r="Q333" i="1" s="1"/>
  <c r="P332" i="1"/>
  <c r="Q332" i="1" s="1"/>
  <c r="P345" i="1"/>
  <c r="Q345" i="1" s="1"/>
  <c r="P329" i="1"/>
  <c r="Q329" i="1" s="1"/>
  <c r="P338" i="1"/>
  <c r="Q338" i="1" s="1"/>
  <c r="P351" i="1"/>
  <c r="Q351" i="1" s="1"/>
  <c r="P343" i="1"/>
  <c r="Q343" i="1" s="1"/>
  <c r="P335" i="1"/>
  <c r="Q335" i="1" s="1"/>
  <c r="P348" i="1"/>
  <c r="Q348" i="1" s="1"/>
  <c r="P331" i="1"/>
  <c r="Q331" i="1" s="1"/>
  <c r="P340" i="1"/>
  <c r="Q340" i="1" s="1"/>
  <c r="P339" i="1"/>
  <c r="Q339" i="1" s="1"/>
  <c r="P328" i="1"/>
  <c r="Q328" i="1" s="1"/>
  <c r="P327" i="1"/>
  <c r="Q327" i="1" s="1"/>
  <c r="P322" i="1"/>
  <c r="Q322" i="1" s="1"/>
  <c r="P320" i="1"/>
  <c r="Q320" i="1" s="1"/>
  <c r="P326" i="1"/>
  <c r="Q326" i="1" s="1"/>
  <c r="P325" i="1"/>
  <c r="Q325" i="1" s="1"/>
  <c r="P321" i="1"/>
  <c r="Q321" i="1" s="1"/>
  <c r="P323" i="1"/>
  <c r="Q323" i="1" s="1"/>
  <c r="P324" i="1"/>
  <c r="Q324" i="1" s="1"/>
  <c r="P319" i="1"/>
  <c r="Q319" i="1" s="1"/>
  <c r="P318" i="1"/>
  <c r="Q318" i="1" s="1"/>
  <c r="P317" i="1"/>
  <c r="Q317" i="1" s="1"/>
  <c r="P315" i="1"/>
  <c r="Q315" i="1" s="1"/>
  <c r="P314" i="1"/>
  <c r="Q314" i="1" s="1"/>
  <c r="P313" i="1"/>
  <c r="Q313" i="1" s="1"/>
  <c r="P302" i="1"/>
  <c r="Q302" i="1" s="1"/>
  <c r="P316" i="1"/>
  <c r="Q316" i="1" s="1"/>
  <c r="P308" i="1"/>
  <c r="Q308" i="1" s="1"/>
  <c r="P307" i="1"/>
  <c r="Q307" i="1" s="1"/>
  <c r="P309" i="1"/>
  <c r="Q309" i="1" s="1"/>
  <c r="P305" i="1"/>
  <c r="Q305" i="1" s="1"/>
  <c r="P311" i="1"/>
  <c r="Q311" i="1" s="1"/>
  <c r="P312" i="1"/>
  <c r="Q312" i="1" s="1"/>
  <c r="P304" i="1"/>
  <c r="Q304" i="1" s="1"/>
  <c r="P303" i="1"/>
  <c r="Q303" i="1" s="1"/>
  <c r="P310" i="1"/>
  <c r="Q310" i="1" s="1"/>
  <c r="P306" i="1"/>
  <c r="Q306" i="1" s="1"/>
  <c r="N69" i="6"/>
  <c r="O69" i="6" s="1"/>
  <c r="M57" i="1" s="1"/>
  <c r="K57" i="1"/>
  <c r="N95" i="6"/>
  <c r="O95" i="6" s="1"/>
  <c r="M81" i="1" s="1"/>
  <c r="K81" i="1"/>
  <c r="N60" i="6"/>
  <c r="K52" i="1"/>
  <c r="N125" i="6"/>
  <c r="O125" i="6" s="1"/>
  <c r="M105" i="1" s="1"/>
  <c r="K105" i="1"/>
  <c r="N118" i="6"/>
  <c r="O118" i="6" s="1"/>
  <c r="M100" i="1" s="1"/>
  <c r="K100" i="1"/>
  <c r="N113" i="6"/>
  <c r="O113" i="6" s="1"/>
  <c r="M95" i="1" s="1"/>
  <c r="K95" i="1"/>
  <c r="N80" i="6"/>
  <c r="O80" i="6" s="1"/>
  <c r="M67" i="1" s="1"/>
  <c r="K67" i="1"/>
  <c r="N91" i="6"/>
  <c r="O91" i="6" s="1"/>
  <c r="M78" i="1" s="1"/>
  <c r="K78" i="1"/>
  <c r="N103" i="6"/>
  <c r="O103" i="6" s="1"/>
  <c r="M89" i="1" s="1"/>
  <c r="K89" i="1"/>
  <c r="N126" i="6"/>
  <c r="O126" i="6" s="1"/>
  <c r="M106" i="1" s="1"/>
  <c r="K106" i="1"/>
  <c r="N73" i="6"/>
  <c r="O73" i="6" s="1"/>
  <c r="M61" i="1" s="1"/>
  <c r="K61" i="1"/>
  <c r="N70" i="6"/>
  <c r="O70" i="6" s="1"/>
  <c r="M58" i="1" s="1"/>
  <c r="K58" i="1"/>
  <c r="N90" i="6"/>
  <c r="O90" i="6" s="1"/>
  <c r="M77" i="1" s="1"/>
  <c r="K77" i="1"/>
  <c r="N87" i="6"/>
  <c r="O87" i="6" s="1"/>
  <c r="M74" i="1" s="1"/>
  <c r="K74" i="1"/>
  <c r="N65" i="6"/>
  <c r="O65" i="6" s="1"/>
  <c r="M55" i="1" s="1"/>
  <c r="K55" i="1"/>
  <c r="N115" i="6"/>
  <c r="O115" i="6" s="1"/>
  <c r="M97" i="1" s="1"/>
  <c r="K97" i="1"/>
  <c r="N108" i="6"/>
  <c r="O108" i="6" s="1"/>
  <c r="M93" i="1" s="1"/>
  <c r="K93" i="1"/>
  <c r="N74" i="6"/>
  <c r="O74" i="6" s="1"/>
  <c r="K62" i="1"/>
  <c r="N86" i="6"/>
  <c r="O86" i="6" s="1"/>
  <c r="M73" i="1" s="1"/>
  <c r="K73" i="1"/>
  <c r="N92" i="6"/>
  <c r="O92" i="6" s="1"/>
  <c r="M79" i="1" s="1"/>
  <c r="K79" i="1"/>
  <c r="N100" i="6"/>
  <c r="O100" i="6" s="1"/>
  <c r="M86" i="1" s="1"/>
  <c r="K86" i="1"/>
  <c r="N121" i="6"/>
  <c r="O121" i="6" s="1"/>
  <c r="M101" i="1" s="1"/>
  <c r="K101" i="1"/>
  <c r="N130" i="6"/>
  <c r="O130" i="6" s="1"/>
  <c r="M110" i="1" s="1"/>
  <c r="K110" i="1"/>
  <c r="N99" i="6"/>
  <c r="O99" i="6" s="1"/>
  <c r="M85" i="1" s="1"/>
  <c r="O85" i="1" s="1"/>
  <c r="K85" i="1"/>
  <c r="N96" i="6"/>
  <c r="O96" i="6" s="1"/>
  <c r="M82" i="1" s="1"/>
  <c r="K82" i="1"/>
  <c r="N68" i="6"/>
  <c r="O68" i="6" s="1"/>
  <c r="M56" i="1" s="1"/>
  <c r="K56" i="1"/>
  <c r="N124" i="6"/>
  <c r="O124" i="6" s="1"/>
  <c r="M104" i="1" s="1"/>
  <c r="K104" i="1"/>
  <c r="N83" i="6"/>
  <c r="O83" i="6" s="1"/>
  <c r="M70" i="1" s="1"/>
  <c r="K70" i="1"/>
  <c r="N106" i="6"/>
  <c r="O106" i="6" s="1"/>
  <c r="M91" i="1" s="1"/>
  <c r="K91" i="1"/>
  <c r="N123" i="6"/>
  <c r="O123" i="6" s="1"/>
  <c r="M103" i="1" s="1"/>
  <c r="K103" i="1"/>
  <c r="N85" i="6"/>
  <c r="O85" i="6" s="1"/>
  <c r="M72" i="1" s="1"/>
  <c r="K72" i="1"/>
  <c r="N71" i="6"/>
  <c r="O71" i="6" s="1"/>
  <c r="M59" i="1" s="1"/>
  <c r="K59" i="1"/>
  <c r="N101" i="6"/>
  <c r="O101" i="6" s="1"/>
  <c r="M87" i="1" s="1"/>
  <c r="K87" i="1"/>
  <c r="M30" i="1"/>
  <c r="N98" i="6"/>
  <c r="O98" i="6" s="1"/>
  <c r="M84" i="1" s="1"/>
  <c r="K84" i="1"/>
  <c r="N102" i="6"/>
  <c r="O102" i="6" s="1"/>
  <c r="M88" i="1" s="1"/>
  <c r="K88" i="1"/>
  <c r="N116" i="6"/>
  <c r="O116" i="6" s="1"/>
  <c r="M98" i="1" s="1"/>
  <c r="K98" i="1"/>
  <c r="N117" i="6"/>
  <c r="O117" i="6" s="1"/>
  <c r="M99" i="1" s="1"/>
  <c r="K99" i="1"/>
  <c r="N79" i="6"/>
  <c r="O79" i="6" s="1"/>
  <c r="M66" i="1" s="1"/>
  <c r="K66" i="1"/>
  <c r="N81" i="6"/>
  <c r="O81" i="6" s="1"/>
  <c r="M68" i="1" s="1"/>
  <c r="K68" i="1"/>
  <c r="N112" i="6"/>
  <c r="O112" i="6" s="1"/>
  <c r="M94" i="1" s="1"/>
  <c r="K94" i="1"/>
  <c r="N122" i="6"/>
  <c r="O122" i="6" s="1"/>
  <c r="M102" i="1" s="1"/>
  <c r="K102" i="1"/>
  <c r="N72" i="6"/>
  <c r="O72" i="6" s="1"/>
  <c r="M60" i="1" s="1"/>
  <c r="K60" i="1"/>
  <c r="N105" i="6"/>
  <c r="O105" i="6" s="1"/>
  <c r="M90" i="1" s="1"/>
  <c r="K90" i="1"/>
  <c r="N114" i="6"/>
  <c r="O114" i="6" s="1"/>
  <c r="M96" i="1" s="1"/>
  <c r="K96" i="1"/>
  <c r="N84" i="6"/>
  <c r="O84" i="6" s="1"/>
  <c r="M71" i="1" s="1"/>
  <c r="K71" i="1"/>
  <c r="N78" i="6"/>
  <c r="O78" i="6" s="1"/>
  <c r="M65" i="1" s="1"/>
  <c r="K65" i="1"/>
  <c r="N93" i="6"/>
  <c r="O93" i="6" s="1"/>
  <c r="M80" i="1" s="1"/>
  <c r="K80" i="1"/>
  <c r="N128" i="6"/>
  <c r="O128" i="6" s="1"/>
  <c r="M108" i="1" s="1"/>
  <c r="K108" i="1"/>
  <c r="N129" i="6"/>
  <c r="O129" i="6" s="1"/>
  <c r="M109" i="1" s="1"/>
  <c r="K109" i="1"/>
  <c r="N61" i="6"/>
  <c r="O61" i="6" s="1"/>
  <c r="M53" i="1" s="1"/>
  <c r="K53" i="1"/>
  <c r="N88" i="6"/>
  <c r="O88" i="6" s="1"/>
  <c r="M75" i="1" s="1"/>
  <c r="K75" i="1"/>
  <c r="N82" i="6"/>
  <c r="O82" i="6" s="1"/>
  <c r="M69" i="1" s="1"/>
  <c r="K69" i="1"/>
  <c r="N89" i="6"/>
  <c r="O89" i="6" s="1"/>
  <c r="M76" i="1" s="1"/>
  <c r="K76" i="1"/>
  <c r="N127" i="6"/>
  <c r="O127" i="6" s="1"/>
  <c r="M107" i="1" s="1"/>
  <c r="K107" i="1"/>
  <c r="N76" i="6"/>
  <c r="O76" i="6" s="1"/>
  <c r="M63" i="1" s="1"/>
  <c r="K63" i="1"/>
  <c r="N62" i="6"/>
  <c r="O62" i="6" s="1"/>
  <c r="K54" i="1"/>
  <c r="N107" i="6"/>
  <c r="O107" i="6" s="1"/>
  <c r="M92" i="1" s="1"/>
  <c r="K92" i="1"/>
  <c r="N97" i="6"/>
  <c r="O97" i="6" s="1"/>
  <c r="M83" i="1" s="1"/>
  <c r="K83" i="1"/>
  <c r="N77" i="6"/>
  <c r="O77" i="6" s="1"/>
  <c r="M64" i="1" s="1"/>
  <c r="K64" i="1"/>
  <c r="M191" i="1"/>
  <c r="M190" i="1"/>
  <c r="P301" i="1"/>
  <c r="Q301" i="1" s="1"/>
  <c r="M39" i="1"/>
  <c r="M38" i="1"/>
  <c r="N75" i="6"/>
  <c r="O75" i="6" s="1"/>
  <c r="N64" i="6"/>
  <c r="Q660" i="1" l="1"/>
  <c r="R660" i="1"/>
  <c r="R665" i="1"/>
  <c r="Q665" i="1"/>
  <c r="Q661" i="1"/>
  <c r="R661" i="1"/>
  <c r="Q662" i="1"/>
  <c r="R662" i="1"/>
  <c r="Q659" i="1"/>
  <c r="R659" i="1"/>
  <c r="Q664" i="1"/>
  <c r="R664" i="1"/>
  <c r="Q663" i="1"/>
  <c r="R663" i="1"/>
  <c r="L665" i="1"/>
  <c r="L664" i="1"/>
  <c r="L663" i="1"/>
  <c r="L662" i="1"/>
  <c r="L661" i="1"/>
  <c r="L660" i="1"/>
  <c r="L659" i="1"/>
  <c r="R633" i="1"/>
  <c r="U633" i="1" s="1"/>
  <c r="Q658" i="1"/>
  <c r="R658" i="1"/>
  <c r="Q657" i="1"/>
  <c r="R657" i="1"/>
  <c r="L658" i="1"/>
  <c r="L657" i="1"/>
  <c r="Q656" i="1"/>
  <c r="R656" i="1"/>
  <c r="Q655" i="1"/>
  <c r="R655" i="1"/>
  <c r="L656" i="1"/>
  <c r="L655" i="1"/>
  <c r="R653" i="1"/>
  <c r="Q654" i="1"/>
  <c r="R654" i="1"/>
  <c r="L654" i="1"/>
  <c r="L653" i="1"/>
  <c r="R651" i="1"/>
  <c r="U651" i="1" s="1"/>
  <c r="O651" i="1" s="1"/>
  <c r="Q652" i="1"/>
  <c r="R652" i="1"/>
  <c r="L652" i="1"/>
  <c r="L651" i="1"/>
  <c r="R650" i="1"/>
  <c r="U650" i="1" s="1"/>
  <c r="O650" i="1" s="1"/>
  <c r="L650" i="1"/>
  <c r="Q640" i="1"/>
  <c r="R640" i="1"/>
  <c r="Q646" i="1"/>
  <c r="R646" i="1"/>
  <c r="Q642" i="1"/>
  <c r="R642" i="1"/>
  <c r="Q641" i="1"/>
  <c r="R641" i="1"/>
  <c r="Q648" i="1"/>
  <c r="R648" i="1"/>
  <c r="Q647" i="1"/>
  <c r="R647" i="1"/>
  <c r="Q644" i="1"/>
  <c r="R644" i="1"/>
  <c r="R643" i="1"/>
  <c r="Q643" i="1"/>
  <c r="Q649" i="1"/>
  <c r="R649" i="1"/>
  <c r="Q645" i="1"/>
  <c r="R645" i="1"/>
  <c r="L649" i="1"/>
  <c r="L648" i="1"/>
  <c r="L647" i="1"/>
  <c r="L646" i="1"/>
  <c r="L645" i="1"/>
  <c r="L644" i="1"/>
  <c r="L643" i="1"/>
  <c r="L642" i="1"/>
  <c r="L641" i="1"/>
  <c r="L640" i="1"/>
  <c r="Q635" i="1"/>
  <c r="R635" i="1"/>
  <c r="Q638" i="1"/>
  <c r="R638" i="1"/>
  <c r="Q639" i="1"/>
  <c r="R639" i="1"/>
  <c r="R637" i="1"/>
  <c r="Q637" i="1"/>
  <c r="Q636" i="1"/>
  <c r="R636" i="1"/>
  <c r="L639" i="1"/>
  <c r="L638" i="1"/>
  <c r="L637" i="1"/>
  <c r="L636" i="1"/>
  <c r="L635" i="1"/>
  <c r="Q634" i="1"/>
  <c r="U634" i="1" s="1"/>
  <c r="O634" i="1" s="1"/>
  <c r="R582" i="1"/>
  <c r="U582" i="1" s="1"/>
  <c r="O582" i="1" s="1"/>
  <c r="L633" i="1"/>
  <c r="Q630" i="1"/>
  <c r="R630" i="1"/>
  <c r="Q628" i="1"/>
  <c r="R628" i="1"/>
  <c r="Q632" i="1"/>
  <c r="R632" i="1"/>
  <c r="Q631" i="1"/>
  <c r="R631" i="1"/>
  <c r="Q629" i="1"/>
  <c r="R629" i="1"/>
  <c r="L632" i="1"/>
  <c r="L631" i="1"/>
  <c r="L630" i="1"/>
  <c r="L629" i="1"/>
  <c r="L628" i="1"/>
  <c r="R627" i="1"/>
  <c r="Q627" i="1"/>
  <c r="R625" i="1"/>
  <c r="Q625" i="1"/>
  <c r="R626" i="1"/>
  <c r="Q626" i="1"/>
  <c r="L627" i="1"/>
  <c r="L626" i="1"/>
  <c r="O60" i="6"/>
  <c r="M52" i="1" s="1"/>
  <c r="L625" i="1"/>
  <c r="P624" i="1"/>
  <c r="R624" i="1" s="1"/>
  <c r="L624" i="1"/>
  <c r="R623" i="1"/>
  <c r="Q623" i="1"/>
  <c r="L623" i="1"/>
  <c r="Q622" i="1"/>
  <c r="R622" i="1"/>
  <c r="L622" i="1"/>
  <c r="Q617" i="1"/>
  <c r="R617" i="1"/>
  <c r="Q615" i="1"/>
  <c r="R615" i="1"/>
  <c r="Q619" i="1"/>
  <c r="R619" i="1"/>
  <c r="R614" i="1"/>
  <c r="Q614" i="1"/>
  <c r="Q618" i="1"/>
  <c r="R618" i="1"/>
  <c r="Q613" i="1"/>
  <c r="R613" i="1"/>
  <c r="Q612" i="1"/>
  <c r="R612" i="1"/>
  <c r="Q616" i="1"/>
  <c r="R616" i="1"/>
  <c r="Q620" i="1"/>
  <c r="R620" i="1"/>
  <c r="Q621" i="1"/>
  <c r="R621" i="1"/>
  <c r="L621" i="1"/>
  <c r="L620" i="1"/>
  <c r="L619" i="1"/>
  <c r="L618" i="1"/>
  <c r="L617" i="1"/>
  <c r="L616" i="1"/>
  <c r="L615" i="1"/>
  <c r="L614" i="1"/>
  <c r="L613" i="1"/>
  <c r="L612" i="1"/>
  <c r="Q611" i="1"/>
  <c r="R611" i="1"/>
  <c r="L611" i="1"/>
  <c r="Q609" i="1"/>
  <c r="R609" i="1"/>
  <c r="R610" i="1"/>
  <c r="Q610" i="1"/>
  <c r="L610" i="1"/>
  <c r="L609" i="1"/>
  <c r="Q608" i="1"/>
  <c r="R608" i="1"/>
  <c r="Q606" i="1"/>
  <c r="U606" i="1" s="1"/>
  <c r="O606" i="1" s="1"/>
  <c r="L608" i="1"/>
  <c r="Q607" i="1"/>
  <c r="R607" i="1"/>
  <c r="L607" i="1"/>
  <c r="L606" i="1"/>
  <c r="L598" i="1"/>
  <c r="R605" i="1"/>
  <c r="Q605" i="1"/>
  <c r="Q598" i="1"/>
  <c r="R598" i="1"/>
  <c r="Q601" i="1"/>
  <c r="R601" i="1"/>
  <c r="Q604" i="1"/>
  <c r="R604" i="1"/>
  <c r="R603" i="1"/>
  <c r="Q603" i="1"/>
  <c r="Q600" i="1"/>
  <c r="R600" i="1"/>
  <c r="R602" i="1"/>
  <c r="Q602" i="1"/>
  <c r="R599" i="1"/>
  <c r="Q599" i="1"/>
  <c r="L605" i="1"/>
  <c r="L604" i="1"/>
  <c r="L603" i="1"/>
  <c r="L602" i="1"/>
  <c r="L601" i="1"/>
  <c r="L600" i="1"/>
  <c r="L599" i="1"/>
  <c r="Q596" i="1"/>
  <c r="R596" i="1"/>
  <c r="Q597" i="1"/>
  <c r="R597" i="1"/>
  <c r="Q595" i="1"/>
  <c r="R595" i="1"/>
  <c r="L597" i="1"/>
  <c r="L596" i="1"/>
  <c r="L595" i="1"/>
  <c r="Q594" i="1"/>
  <c r="R594" i="1"/>
  <c r="L594" i="1"/>
  <c r="Q593" i="1"/>
  <c r="R593" i="1"/>
  <c r="L593" i="1"/>
  <c r="Q592" i="1"/>
  <c r="R592" i="1"/>
  <c r="L592" i="1"/>
  <c r="Q590" i="1"/>
  <c r="R590" i="1"/>
  <c r="Q591" i="1"/>
  <c r="R591" i="1"/>
  <c r="Q586" i="1"/>
  <c r="R586" i="1"/>
  <c r="Q585" i="1"/>
  <c r="R585" i="1"/>
  <c r="Q587" i="1"/>
  <c r="R587" i="1"/>
  <c r="Q589" i="1"/>
  <c r="R589" i="1"/>
  <c r="Q588" i="1"/>
  <c r="R588" i="1"/>
  <c r="L591" i="1"/>
  <c r="L590" i="1"/>
  <c r="L589" i="1"/>
  <c r="L588" i="1"/>
  <c r="L587" i="1"/>
  <c r="L586" i="1"/>
  <c r="L585" i="1"/>
  <c r="Q584" i="1"/>
  <c r="R584" i="1"/>
  <c r="L584" i="1"/>
  <c r="Q583" i="1"/>
  <c r="R583" i="1"/>
  <c r="L583" i="1"/>
  <c r="L582" i="1"/>
  <c r="R581" i="1"/>
  <c r="U581" i="1" s="1"/>
  <c r="O581" i="1" s="1"/>
  <c r="L581" i="1"/>
  <c r="Q580" i="1"/>
  <c r="R580" i="1"/>
  <c r="L580" i="1"/>
  <c r="R574" i="1"/>
  <c r="U574" i="1" s="1"/>
  <c r="O574" i="1" s="1"/>
  <c r="Q579" i="1"/>
  <c r="R579" i="1"/>
  <c r="L579" i="1"/>
  <c r="R577" i="1"/>
  <c r="Q576" i="1"/>
  <c r="R576" i="1"/>
  <c r="Q573" i="1"/>
  <c r="R573" i="1"/>
  <c r="Q572" i="1"/>
  <c r="R572" i="1"/>
  <c r="R578" i="1"/>
  <c r="Q578" i="1"/>
  <c r="R575" i="1"/>
  <c r="Q575" i="1"/>
  <c r="L578" i="1"/>
  <c r="L577" i="1"/>
  <c r="L576" i="1"/>
  <c r="L575" i="1"/>
  <c r="L574" i="1"/>
  <c r="L573" i="1"/>
  <c r="L572" i="1"/>
  <c r="Q570" i="1"/>
  <c r="Q571" i="1"/>
  <c r="L571" i="1"/>
  <c r="L570" i="1"/>
  <c r="R567" i="1"/>
  <c r="U567" i="1" s="1"/>
  <c r="O567" i="1" s="1"/>
  <c r="R565" i="1"/>
  <c r="Q565" i="1"/>
  <c r="Q569" i="1"/>
  <c r="R569" i="1"/>
  <c r="R566" i="1"/>
  <c r="Q566" i="1"/>
  <c r="Q568" i="1"/>
  <c r="R568" i="1"/>
  <c r="L569" i="1"/>
  <c r="L568" i="1"/>
  <c r="L567" i="1"/>
  <c r="L566" i="1"/>
  <c r="L565" i="1"/>
  <c r="Q564" i="1"/>
  <c r="R564" i="1"/>
  <c r="Q563" i="1"/>
  <c r="R563" i="1"/>
  <c r="Q562" i="1"/>
  <c r="R562" i="1"/>
  <c r="L564" i="1"/>
  <c r="L563" i="1"/>
  <c r="L562" i="1"/>
  <c r="Q560" i="1"/>
  <c r="R560" i="1"/>
  <c r="Q561" i="1"/>
  <c r="R561" i="1"/>
  <c r="Q559" i="1"/>
  <c r="R559" i="1"/>
  <c r="Q558" i="1"/>
  <c r="R558" i="1"/>
  <c r="L561" i="1"/>
  <c r="L560" i="1"/>
  <c r="L559" i="1"/>
  <c r="L558" i="1"/>
  <c r="Q557" i="1"/>
  <c r="R557" i="1"/>
  <c r="L557" i="1"/>
  <c r="R542" i="1"/>
  <c r="U542" i="1" s="1"/>
  <c r="O542" i="1" s="1"/>
  <c r="Q555" i="1"/>
  <c r="R555" i="1"/>
  <c r="Q556" i="1"/>
  <c r="R556" i="1"/>
  <c r="L556" i="1"/>
  <c r="L555" i="1"/>
  <c r="R554" i="1"/>
  <c r="U554" i="1" s="1"/>
  <c r="O554" i="1" s="1"/>
  <c r="Q545" i="1"/>
  <c r="U545" i="1" s="1"/>
  <c r="O545" i="1" s="1"/>
  <c r="L554" i="1"/>
  <c r="R553" i="1"/>
  <c r="Q543" i="1"/>
  <c r="U543" i="1" s="1"/>
  <c r="O543" i="1" s="1"/>
  <c r="L553" i="1"/>
  <c r="Q544" i="1"/>
  <c r="U544" i="1" s="1"/>
  <c r="O544" i="1" s="1"/>
  <c r="Q549" i="1"/>
  <c r="U549" i="1" s="1"/>
  <c r="O549" i="1" s="1"/>
  <c r="R551" i="1"/>
  <c r="U551" i="1" s="1"/>
  <c r="O551" i="1" s="1"/>
  <c r="R552" i="1"/>
  <c r="U552" i="1" s="1"/>
  <c r="O552" i="1" s="1"/>
  <c r="Q550" i="1"/>
  <c r="U550" i="1" s="1"/>
  <c r="O550" i="1" s="1"/>
  <c r="R546" i="1"/>
  <c r="U546" i="1" s="1"/>
  <c r="O546" i="1" s="1"/>
  <c r="R547" i="1"/>
  <c r="U547" i="1" s="1"/>
  <c r="O547" i="1" s="1"/>
  <c r="Q548" i="1"/>
  <c r="U548" i="1" s="1"/>
  <c r="O548" i="1" s="1"/>
  <c r="L552" i="1"/>
  <c r="L551" i="1"/>
  <c r="L550" i="1"/>
  <c r="L549" i="1"/>
  <c r="L548" i="1"/>
  <c r="L547" i="1"/>
  <c r="L546" i="1"/>
  <c r="L545" i="1"/>
  <c r="L544" i="1"/>
  <c r="L543" i="1"/>
  <c r="R538" i="1"/>
  <c r="U538" i="1" s="1"/>
  <c r="O538" i="1" s="1"/>
  <c r="L542" i="1"/>
  <c r="Q541" i="1"/>
  <c r="R541" i="1"/>
  <c r="Q540" i="1"/>
  <c r="R540" i="1"/>
  <c r="Q539" i="1"/>
  <c r="R539" i="1"/>
  <c r="L541" i="1"/>
  <c r="L540" i="1"/>
  <c r="L539" i="1"/>
  <c r="L538" i="1"/>
  <c r="Q537" i="1"/>
  <c r="R537" i="1"/>
  <c r="L537" i="1"/>
  <c r="Q534" i="1"/>
  <c r="R534" i="1"/>
  <c r="Q535" i="1"/>
  <c r="R535" i="1"/>
  <c r="Q536" i="1"/>
  <c r="R536" i="1"/>
  <c r="L536" i="1"/>
  <c r="L535" i="1"/>
  <c r="L534" i="1"/>
  <c r="Q530" i="1"/>
  <c r="R530" i="1"/>
  <c r="R531" i="1"/>
  <c r="Q531" i="1"/>
  <c r="Q528" i="1"/>
  <c r="R528" i="1"/>
  <c r="Q529" i="1"/>
  <c r="R529" i="1"/>
  <c r="R532" i="1"/>
  <c r="Q532" i="1"/>
  <c r="R533" i="1"/>
  <c r="Q533" i="1"/>
  <c r="L533" i="1"/>
  <c r="L532" i="1"/>
  <c r="L531" i="1"/>
  <c r="L530" i="1"/>
  <c r="L529" i="1"/>
  <c r="L528" i="1"/>
  <c r="Q526" i="1"/>
  <c r="R526" i="1"/>
  <c r="R527" i="1"/>
  <c r="Q527" i="1"/>
  <c r="L527" i="1"/>
  <c r="L526" i="1"/>
  <c r="Q525" i="1"/>
  <c r="R525" i="1"/>
  <c r="L525" i="1"/>
  <c r="R524" i="1"/>
  <c r="Q524" i="1"/>
  <c r="L524" i="1"/>
  <c r="Q523" i="1"/>
  <c r="R523" i="1"/>
  <c r="L523" i="1"/>
  <c r="Q522" i="1"/>
  <c r="R522" i="1"/>
  <c r="Q521" i="1"/>
  <c r="R521" i="1"/>
  <c r="L522" i="1"/>
  <c r="L521" i="1"/>
  <c r="Q516" i="1"/>
  <c r="R516" i="1"/>
  <c r="Q520" i="1"/>
  <c r="R520" i="1"/>
  <c r="Q518" i="1"/>
  <c r="R518" i="1"/>
  <c r="Q517" i="1"/>
  <c r="R517" i="1"/>
  <c r="Q519" i="1"/>
  <c r="R519" i="1"/>
  <c r="Q515" i="1"/>
  <c r="R515" i="1"/>
  <c r="L520" i="1"/>
  <c r="L519" i="1"/>
  <c r="L518" i="1"/>
  <c r="L517" i="1"/>
  <c r="L516" i="1"/>
  <c r="L515" i="1"/>
  <c r="R514" i="1"/>
  <c r="U514" i="1" s="1"/>
  <c r="O514" i="1" s="1"/>
  <c r="L514" i="1"/>
  <c r="R484" i="1"/>
  <c r="R513" i="1"/>
  <c r="R510" i="1"/>
  <c r="U510" i="1" s="1"/>
  <c r="O510" i="1" s="1"/>
  <c r="R511" i="1"/>
  <c r="U511" i="1" s="1"/>
  <c r="O511" i="1" s="1"/>
  <c r="R512" i="1"/>
  <c r="U512" i="1" s="1"/>
  <c r="O512" i="1" s="1"/>
  <c r="L513" i="1"/>
  <c r="L512" i="1"/>
  <c r="L511" i="1"/>
  <c r="L510" i="1"/>
  <c r="R509" i="1"/>
  <c r="U509" i="1" s="1"/>
  <c r="O509" i="1" s="1"/>
  <c r="L509" i="1"/>
  <c r="R508" i="1"/>
  <c r="U508" i="1" s="1"/>
  <c r="O508" i="1" s="1"/>
  <c r="L508" i="1"/>
  <c r="R505" i="1"/>
  <c r="U505" i="1" s="1"/>
  <c r="O505" i="1" s="1"/>
  <c r="R504" i="1"/>
  <c r="U504" i="1" s="1"/>
  <c r="O504" i="1" s="1"/>
  <c r="R506" i="1"/>
  <c r="U506" i="1" s="1"/>
  <c r="O506" i="1" s="1"/>
  <c r="R507" i="1"/>
  <c r="U507" i="1" s="1"/>
  <c r="O507" i="1" s="1"/>
  <c r="L507" i="1"/>
  <c r="L506" i="1"/>
  <c r="L505" i="1"/>
  <c r="L504" i="1"/>
  <c r="R499" i="1"/>
  <c r="U499" i="1" s="1"/>
  <c r="O499" i="1" s="1"/>
  <c r="R502" i="1"/>
  <c r="U502" i="1" s="1"/>
  <c r="O502" i="1" s="1"/>
  <c r="R501" i="1"/>
  <c r="U501" i="1" s="1"/>
  <c r="O501" i="1" s="1"/>
  <c r="R496" i="1"/>
  <c r="U496" i="1" s="1"/>
  <c r="O496" i="1" s="1"/>
  <c r="R500" i="1"/>
  <c r="U500" i="1" s="1"/>
  <c r="O500" i="1" s="1"/>
  <c r="R497" i="1"/>
  <c r="R498" i="1"/>
  <c r="R503" i="1"/>
  <c r="U503" i="1" s="1"/>
  <c r="O503" i="1" s="1"/>
  <c r="L503" i="1"/>
  <c r="L502" i="1"/>
  <c r="L501" i="1"/>
  <c r="L500" i="1"/>
  <c r="L499" i="1"/>
  <c r="L498" i="1"/>
  <c r="L497" i="1"/>
  <c r="L496" i="1"/>
  <c r="R491" i="1"/>
  <c r="R487" i="1"/>
  <c r="U487" i="1" s="1"/>
  <c r="O487" i="1" s="1"/>
  <c r="R494" i="1"/>
  <c r="U494" i="1" s="1"/>
  <c r="O494" i="1" s="1"/>
  <c r="R485" i="1"/>
  <c r="R486" i="1"/>
  <c r="R479" i="1"/>
  <c r="U479" i="1" s="1"/>
  <c r="O479" i="1" s="1"/>
  <c r="R482" i="1"/>
  <c r="R495" i="1"/>
  <c r="R489" i="1"/>
  <c r="R480" i="1"/>
  <c r="U480" i="1" s="1"/>
  <c r="O480" i="1" s="1"/>
  <c r="R488" i="1"/>
  <c r="U488" i="1" s="1"/>
  <c r="O488" i="1" s="1"/>
  <c r="R478" i="1"/>
  <c r="U478" i="1" s="1"/>
  <c r="O478" i="1" s="1"/>
  <c r="R481" i="1"/>
  <c r="R490" i="1"/>
  <c r="U490" i="1" s="1"/>
  <c r="O490" i="1" s="1"/>
  <c r="R493" i="1"/>
  <c r="R483" i="1"/>
  <c r="R492" i="1"/>
  <c r="U492" i="1" s="1"/>
  <c r="O492" i="1" s="1"/>
  <c r="L495" i="1"/>
  <c r="L494" i="1"/>
  <c r="L493" i="1"/>
  <c r="L492" i="1"/>
  <c r="L491" i="1"/>
  <c r="L490" i="1"/>
  <c r="L489" i="1"/>
  <c r="L488" i="1"/>
  <c r="L487" i="1"/>
  <c r="L486" i="1"/>
  <c r="L485" i="1"/>
  <c r="L484" i="1"/>
  <c r="R477" i="1"/>
  <c r="L483" i="1"/>
  <c r="L482" i="1"/>
  <c r="L481" i="1"/>
  <c r="L480" i="1"/>
  <c r="L479" i="1"/>
  <c r="L478" i="1"/>
  <c r="R472" i="1"/>
  <c r="U472" i="1" s="1"/>
  <c r="O472" i="1" s="1"/>
  <c r="R474" i="1"/>
  <c r="R476" i="1"/>
  <c r="R473" i="1"/>
  <c r="R475" i="1"/>
  <c r="L477" i="1"/>
  <c r="L476" i="1"/>
  <c r="L475" i="1"/>
  <c r="L474" i="1"/>
  <c r="L473" i="1"/>
  <c r="L472" i="1"/>
  <c r="R471" i="1"/>
  <c r="L471" i="1"/>
  <c r="R469" i="1"/>
  <c r="R465" i="1"/>
  <c r="R464" i="1"/>
  <c r="R463" i="1"/>
  <c r="R466" i="1"/>
  <c r="R468" i="1"/>
  <c r="R470" i="1"/>
  <c r="U470" i="1" s="1"/>
  <c r="O470" i="1" s="1"/>
  <c r="R467" i="1"/>
  <c r="L470" i="1"/>
  <c r="L469" i="1"/>
  <c r="L468" i="1"/>
  <c r="L467" i="1"/>
  <c r="L466" i="1"/>
  <c r="L465" i="1"/>
  <c r="L464" i="1"/>
  <c r="L463" i="1"/>
  <c r="R446" i="1"/>
  <c r="U446" i="1" s="1"/>
  <c r="R451" i="1"/>
  <c r="T451" i="1" s="1"/>
  <c r="R442" i="1"/>
  <c r="U442" i="1" s="1"/>
  <c r="O442" i="1" s="1"/>
  <c r="R444" i="1"/>
  <c r="R452" i="1"/>
  <c r="T452" i="1" s="1"/>
  <c r="R450" i="1"/>
  <c r="U450" i="1" s="1"/>
  <c r="O450" i="1" s="1"/>
  <c r="R461" i="1"/>
  <c r="U461" i="1" s="1"/>
  <c r="O461" i="1" s="1"/>
  <c r="R445" i="1"/>
  <c r="R453" i="1"/>
  <c r="U453" i="1" s="1"/>
  <c r="O453" i="1" s="1"/>
  <c r="R448" i="1"/>
  <c r="U448" i="1" s="1"/>
  <c r="O448" i="1" s="1"/>
  <c r="R456" i="1"/>
  <c r="U456" i="1" s="1"/>
  <c r="O456" i="1" s="1"/>
  <c r="R455" i="1"/>
  <c r="U455" i="1" s="1"/>
  <c r="O455" i="1" s="1"/>
  <c r="R457" i="1"/>
  <c r="U457" i="1" s="1"/>
  <c r="O457" i="1" s="1"/>
  <c r="R459" i="1"/>
  <c r="U459" i="1" s="1"/>
  <c r="O459" i="1" s="1"/>
  <c r="R439" i="1"/>
  <c r="U439" i="1" s="1"/>
  <c r="O439" i="1" s="1"/>
  <c r="R462" i="1"/>
  <c r="U462" i="1" s="1"/>
  <c r="O462" i="1" s="1"/>
  <c r="R454" i="1"/>
  <c r="U454" i="1" s="1"/>
  <c r="O454" i="1" s="1"/>
  <c r="R438" i="1"/>
  <c r="U438" i="1" s="1"/>
  <c r="O438" i="1" s="1"/>
  <c r="R441" i="1"/>
  <c r="U441" i="1" s="1"/>
  <c r="O441" i="1" s="1"/>
  <c r="R460" i="1"/>
  <c r="R449" i="1"/>
  <c r="U449" i="1" s="1"/>
  <c r="O449" i="1" s="1"/>
  <c r="R440" i="1"/>
  <c r="U440" i="1" s="1"/>
  <c r="O440" i="1" s="1"/>
  <c r="R458" i="1"/>
  <c r="U458" i="1" s="1"/>
  <c r="O458" i="1" s="1"/>
  <c r="R447" i="1"/>
  <c r="U447" i="1" s="1"/>
  <c r="O447" i="1" s="1"/>
  <c r="R443" i="1"/>
  <c r="U443" i="1" s="1"/>
  <c r="O443" i="1" s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R437" i="1"/>
  <c r="L438" i="1"/>
  <c r="L437" i="1"/>
  <c r="R435" i="1"/>
  <c r="U435" i="1" s="1"/>
  <c r="O435" i="1" s="1"/>
  <c r="U436" i="1"/>
  <c r="O436" i="1" s="1"/>
  <c r="R436" i="1"/>
  <c r="L436" i="1"/>
  <c r="L435" i="1"/>
  <c r="R410" i="1"/>
  <c r="U410" i="1" s="1"/>
  <c r="O410" i="1" s="1"/>
  <c r="R407" i="1"/>
  <c r="U407" i="1" s="1"/>
  <c r="O407" i="1" s="1"/>
  <c r="R427" i="1"/>
  <c r="U427" i="1" s="1"/>
  <c r="O427" i="1" s="1"/>
  <c r="R401" i="1"/>
  <c r="U401" i="1" s="1"/>
  <c r="O401" i="1" s="1"/>
  <c r="R402" i="1"/>
  <c r="U402" i="1" s="1"/>
  <c r="O402" i="1" s="1"/>
  <c r="R417" i="1"/>
  <c r="U417" i="1" s="1"/>
  <c r="O417" i="1" s="1"/>
  <c r="R421" i="1"/>
  <c r="U421" i="1" s="1"/>
  <c r="O421" i="1" s="1"/>
  <c r="R428" i="1"/>
  <c r="U428" i="1" s="1"/>
  <c r="O428" i="1" s="1"/>
  <c r="R434" i="1"/>
  <c r="U434" i="1" s="1"/>
  <c r="O434" i="1" s="1"/>
  <c r="R422" i="1"/>
  <c r="U422" i="1" s="1"/>
  <c r="O422" i="1" s="1"/>
  <c r="R423" i="1"/>
  <c r="U423" i="1" s="1"/>
  <c r="O423" i="1" s="1"/>
  <c r="R431" i="1"/>
  <c r="U431" i="1" s="1"/>
  <c r="O431" i="1" s="1"/>
  <c r="R413" i="1"/>
  <c r="U413" i="1" s="1"/>
  <c r="O413" i="1" s="1"/>
  <c r="R426" i="1"/>
  <c r="U426" i="1" s="1"/>
  <c r="O426" i="1" s="1"/>
  <c r="R424" i="1"/>
  <c r="U424" i="1" s="1"/>
  <c r="O424" i="1" s="1"/>
  <c r="R404" i="1"/>
  <c r="U404" i="1" s="1"/>
  <c r="O404" i="1" s="1"/>
  <c r="R430" i="1"/>
  <c r="U430" i="1" s="1"/>
  <c r="O430" i="1" s="1"/>
  <c r="R425" i="1"/>
  <c r="U425" i="1" s="1"/>
  <c r="O425" i="1" s="1"/>
  <c r="R420" i="1"/>
  <c r="U420" i="1" s="1"/>
  <c r="O420" i="1" s="1"/>
  <c r="R415" i="1"/>
  <c r="U415" i="1" s="1"/>
  <c r="O415" i="1" s="1"/>
  <c r="R418" i="1"/>
  <c r="U418" i="1" s="1"/>
  <c r="O418" i="1" s="1"/>
  <c r="R412" i="1"/>
  <c r="U412" i="1" s="1"/>
  <c r="O412" i="1" s="1"/>
  <c r="R414" i="1"/>
  <c r="U414" i="1" s="1"/>
  <c r="O414" i="1" s="1"/>
  <c r="R433" i="1"/>
  <c r="U433" i="1" s="1"/>
  <c r="O433" i="1" s="1"/>
  <c r="R408" i="1"/>
  <c r="U408" i="1" s="1"/>
  <c r="O408" i="1" s="1"/>
  <c r="R429" i="1"/>
  <c r="U429" i="1" s="1"/>
  <c r="O429" i="1" s="1"/>
  <c r="R411" i="1"/>
  <c r="U411" i="1" s="1"/>
  <c r="O411" i="1" s="1"/>
  <c r="R406" i="1"/>
  <c r="U406" i="1" s="1"/>
  <c r="O406" i="1" s="1"/>
  <c r="R409" i="1"/>
  <c r="U409" i="1" s="1"/>
  <c r="O409" i="1" s="1"/>
  <c r="R403" i="1"/>
  <c r="U403" i="1" s="1"/>
  <c r="O403" i="1" s="1"/>
  <c r="R405" i="1"/>
  <c r="U405" i="1" s="1"/>
  <c r="O405" i="1" s="1"/>
  <c r="R416" i="1"/>
  <c r="U416" i="1" s="1"/>
  <c r="O416" i="1" s="1"/>
  <c r="R419" i="1"/>
  <c r="U419" i="1" s="1"/>
  <c r="O419" i="1" s="1"/>
  <c r="R432" i="1"/>
  <c r="U432" i="1" s="1"/>
  <c r="O432" i="1" s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R400" i="1"/>
  <c r="U400" i="1" s="1"/>
  <c r="O400" i="1" s="1"/>
  <c r="R397" i="1"/>
  <c r="U397" i="1" s="1"/>
  <c r="O397" i="1" s="1"/>
  <c r="R396" i="1"/>
  <c r="U396" i="1" s="1"/>
  <c r="O396" i="1" s="1"/>
  <c r="R398" i="1"/>
  <c r="U398" i="1" s="1"/>
  <c r="O398" i="1" s="1"/>
  <c r="R399" i="1"/>
  <c r="U399" i="1" s="1"/>
  <c r="O399" i="1" s="1"/>
  <c r="L400" i="1"/>
  <c r="L399" i="1"/>
  <c r="L398" i="1"/>
  <c r="L397" i="1"/>
  <c r="R395" i="1"/>
  <c r="L396" i="1"/>
  <c r="L395" i="1"/>
  <c r="R392" i="1"/>
  <c r="U392" i="1" s="1"/>
  <c r="O392" i="1" s="1"/>
  <c r="R391" i="1"/>
  <c r="U391" i="1" s="1"/>
  <c r="O391" i="1" s="1"/>
  <c r="R393" i="1"/>
  <c r="U393" i="1" s="1"/>
  <c r="O393" i="1" s="1"/>
  <c r="R389" i="1"/>
  <c r="U389" i="1" s="1"/>
  <c r="O389" i="1" s="1"/>
  <c r="R390" i="1"/>
  <c r="U390" i="1" s="1"/>
  <c r="O390" i="1" s="1"/>
  <c r="R388" i="1"/>
  <c r="R394" i="1"/>
  <c r="U394" i="1" s="1"/>
  <c r="O394" i="1" s="1"/>
  <c r="R387" i="1"/>
  <c r="U387" i="1" s="1"/>
  <c r="O387" i="1" s="1"/>
  <c r="L394" i="1"/>
  <c r="L393" i="1"/>
  <c r="L392" i="1"/>
  <c r="L391" i="1"/>
  <c r="L390" i="1"/>
  <c r="L389" i="1"/>
  <c r="L388" i="1"/>
  <c r="R386" i="1"/>
  <c r="U386" i="1" s="1"/>
  <c r="O386" i="1" s="1"/>
  <c r="L387" i="1"/>
  <c r="L386" i="1"/>
  <c r="R362" i="1"/>
  <c r="R385" i="1"/>
  <c r="U385" i="1" s="1"/>
  <c r="O385" i="1" s="1"/>
  <c r="L385" i="1"/>
  <c r="R384" i="1"/>
  <c r="U384" i="1" s="1"/>
  <c r="O384" i="1" s="1"/>
  <c r="L384" i="1"/>
  <c r="R382" i="1"/>
  <c r="U382" i="1" s="1"/>
  <c r="O382" i="1" s="1"/>
  <c r="R383" i="1"/>
  <c r="U383" i="1" s="1"/>
  <c r="O383" i="1" s="1"/>
  <c r="R380" i="1"/>
  <c r="U380" i="1" s="1"/>
  <c r="O380" i="1" s="1"/>
  <c r="R381" i="1"/>
  <c r="U381" i="1" s="1"/>
  <c r="O381" i="1" s="1"/>
  <c r="L383" i="1"/>
  <c r="L382" i="1"/>
  <c r="L381" i="1"/>
  <c r="R363" i="1"/>
  <c r="L380" i="1"/>
  <c r="R377" i="1"/>
  <c r="U377" i="1" s="1"/>
  <c r="O377" i="1" s="1"/>
  <c r="R379" i="1"/>
  <c r="U379" i="1" s="1"/>
  <c r="O379" i="1" s="1"/>
  <c r="R376" i="1"/>
  <c r="U376" i="1" s="1"/>
  <c r="O376" i="1" s="1"/>
  <c r="R378" i="1"/>
  <c r="U378" i="1" s="1"/>
  <c r="O378" i="1" s="1"/>
  <c r="R375" i="1"/>
  <c r="U375" i="1" s="1"/>
  <c r="O375" i="1" s="1"/>
  <c r="L379" i="1"/>
  <c r="L378" i="1"/>
  <c r="L377" i="1"/>
  <c r="L376" i="1"/>
  <c r="L375" i="1"/>
  <c r="R372" i="1"/>
  <c r="U372" i="1" s="1"/>
  <c r="O372" i="1" s="1"/>
  <c r="R366" i="1"/>
  <c r="U366" i="1" s="1"/>
  <c r="O366" i="1" s="1"/>
  <c r="R370" i="1"/>
  <c r="U370" i="1" s="1"/>
  <c r="O370" i="1" s="1"/>
  <c r="R371" i="1"/>
  <c r="U371" i="1" s="1"/>
  <c r="O371" i="1" s="1"/>
  <c r="R365" i="1"/>
  <c r="U365" i="1" s="1"/>
  <c r="O365" i="1" s="1"/>
  <c r="R369" i="1"/>
  <c r="U369" i="1" s="1"/>
  <c r="O369" i="1" s="1"/>
  <c r="R368" i="1"/>
  <c r="U368" i="1" s="1"/>
  <c r="O368" i="1" s="1"/>
  <c r="R364" i="1"/>
  <c r="U364" i="1" s="1"/>
  <c r="O364" i="1" s="1"/>
  <c r="R374" i="1"/>
  <c r="U374" i="1" s="1"/>
  <c r="O374" i="1" s="1"/>
  <c r="R367" i="1"/>
  <c r="U367" i="1" s="1"/>
  <c r="O367" i="1" s="1"/>
  <c r="R373" i="1"/>
  <c r="U373" i="1" s="1"/>
  <c r="O373" i="1" s="1"/>
  <c r="L374" i="1"/>
  <c r="L373" i="1"/>
  <c r="L372" i="1"/>
  <c r="L371" i="1"/>
  <c r="L370" i="1"/>
  <c r="L369" i="1"/>
  <c r="L368" i="1"/>
  <c r="L367" i="1"/>
  <c r="L366" i="1"/>
  <c r="L365" i="1"/>
  <c r="L364" i="1"/>
  <c r="L363" i="1"/>
  <c r="U362" i="1"/>
  <c r="L362" i="1"/>
  <c r="P358" i="1"/>
  <c r="Q358" i="1" s="1"/>
  <c r="P357" i="1"/>
  <c r="Q357" i="1" s="1"/>
  <c r="R360" i="1"/>
  <c r="R359" i="1"/>
  <c r="R355" i="1"/>
  <c r="R356" i="1"/>
  <c r="R361" i="1"/>
  <c r="L361" i="1"/>
  <c r="L360" i="1"/>
  <c r="L359" i="1"/>
  <c r="L358" i="1"/>
  <c r="L357" i="1"/>
  <c r="L356" i="1"/>
  <c r="L355" i="1"/>
  <c r="P354" i="1"/>
  <c r="Q354" i="1" s="1"/>
  <c r="L354" i="1"/>
  <c r="R329" i="1"/>
  <c r="R340" i="1"/>
  <c r="R343" i="1"/>
  <c r="R345" i="1"/>
  <c r="R341" i="1"/>
  <c r="R344" i="1"/>
  <c r="R342" i="1"/>
  <c r="R331" i="1"/>
  <c r="R351" i="1"/>
  <c r="R332" i="1"/>
  <c r="R353" i="1"/>
  <c r="R350" i="1"/>
  <c r="R337" i="1"/>
  <c r="R348" i="1"/>
  <c r="R338" i="1"/>
  <c r="R333" i="1"/>
  <c r="R352" i="1"/>
  <c r="R349" i="1"/>
  <c r="R346" i="1"/>
  <c r="R339" i="1"/>
  <c r="R335" i="1"/>
  <c r="R347" i="1"/>
  <c r="R330" i="1"/>
  <c r="R336" i="1"/>
  <c r="R33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S332" i="1" s="1"/>
  <c r="L331" i="1"/>
  <c r="L330" i="1"/>
  <c r="L329" i="1"/>
  <c r="R328" i="1"/>
  <c r="L328" i="1"/>
  <c r="R324" i="1"/>
  <c r="R326" i="1"/>
  <c r="R320" i="1"/>
  <c r="R323" i="1"/>
  <c r="R322" i="1"/>
  <c r="T322" i="1" s="1"/>
  <c r="U322" i="1" s="1"/>
  <c r="R321" i="1"/>
  <c r="R325" i="1"/>
  <c r="R327" i="1"/>
  <c r="T327" i="1" s="1"/>
  <c r="U327" i="1" s="1"/>
  <c r="L327" i="1"/>
  <c r="L326" i="1"/>
  <c r="L325" i="1"/>
  <c r="L324" i="1"/>
  <c r="L323" i="1"/>
  <c r="L322" i="1"/>
  <c r="L321" i="1"/>
  <c r="L320" i="1"/>
  <c r="R318" i="1"/>
  <c r="R319" i="1"/>
  <c r="L319" i="1"/>
  <c r="L318" i="1"/>
  <c r="R306" i="1"/>
  <c r="R303" i="1"/>
  <c r="R307" i="1"/>
  <c r="R312" i="1"/>
  <c r="R305" i="1"/>
  <c r="R316" i="1"/>
  <c r="R313" i="1"/>
  <c r="R315" i="1"/>
  <c r="R304" i="1"/>
  <c r="R308" i="1"/>
  <c r="R310" i="1"/>
  <c r="R311" i="1"/>
  <c r="R309" i="1"/>
  <c r="R302" i="1"/>
  <c r="R314" i="1"/>
  <c r="R317" i="1"/>
  <c r="T317" i="1" s="1"/>
  <c r="U317" i="1" s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R301" i="1"/>
  <c r="M62" i="1"/>
  <c r="L300" i="1"/>
  <c r="L297" i="1"/>
  <c r="L299" i="1"/>
  <c r="L298" i="1"/>
  <c r="L296" i="1"/>
  <c r="L294" i="1"/>
  <c r="L295" i="1"/>
  <c r="L292" i="1"/>
  <c r="L293" i="1"/>
  <c r="L289" i="1"/>
  <c r="L291" i="1"/>
  <c r="L290" i="1"/>
  <c r="L288" i="1"/>
  <c r="L285" i="1"/>
  <c r="L287" i="1"/>
  <c r="S287" i="1" s="1"/>
  <c r="L286" i="1"/>
  <c r="L281" i="1"/>
  <c r="L284" i="1"/>
  <c r="L283" i="1"/>
  <c r="L282" i="1"/>
  <c r="L279" i="1"/>
  <c r="L280" i="1"/>
  <c r="L276" i="1"/>
  <c r="L278" i="1"/>
  <c r="L277" i="1"/>
  <c r="L275" i="1"/>
  <c r="L274" i="1"/>
  <c r="S274" i="1" s="1"/>
  <c r="L272" i="1"/>
  <c r="L273" i="1"/>
  <c r="L271" i="1"/>
  <c r="L269" i="1"/>
  <c r="L270" i="1"/>
  <c r="L268" i="1"/>
  <c r="S268" i="1" s="1"/>
  <c r="L267" i="1"/>
  <c r="L263" i="1"/>
  <c r="L266" i="1"/>
  <c r="S266" i="1" s="1"/>
  <c r="L265" i="1"/>
  <c r="L264" i="1"/>
  <c r="L260" i="1"/>
  <c r="L262" i="1"/>
  <c r="L261" i="1"/>
  <c r="L252" i="1"/>
  <c r="L259" i="1"/>
  <c r="L258" i="1"/>
  <c r="L257" i="1"/>
  <c r="L256" i="1"/>
  <c r="L255" i="1"/>
  <c r="L254" i="1"/>
  <c r="L253" i="1"/>
  <c r="L250" i="1"/>
  <c r="L251" i="1"/>
  <c r="L249" i="1"/>
  <c r="L245" i="1"/>
  <c r="L248" i="1"/>
  <c r="L247" i="1"/>
  <c r="L246" i="1"/>
  <c r="L244" i="1"/>
  <c r="L243" i="1"/>
  <c r="L237" i="1"/>
  <c r="L242" i="1"/>
  <c r="L241" i="1"/>
  <c r="L240" i="1"/>
  <c r="L239" i="1"/>
  <c r="L238" i="1"/>
  <c r="L236" i="1"/>
  <c r="L235" i="1"/>
  <c r="L234" i="1"/>
  <c r="L233" i="1"/>
  <c r="L232" i="1"/>
  <c r="S232" i="1" s="1"/>
  <c r="L231" i="1"/>
  <c r="L230" i="1"/>
  <c r="L190" i="1"/>
  <c r="L229" i="1"/>
  <c r="L227" i="1"/>
  <c r="S227" i="1" s="1"/>
  <c r="L228" i="1"/>
  <c r="L226" i="1"/>
  <c r="L225" i="1"/>
  <c r="L223" i="1"/>
  <c r="L224" i="1"/>
  <c r="L222" i="1"/>
  <c r="L221" i="1"/>
  <c r="L220" i="1"/>
  <c r="L219" i="1"/>
  <c r="L218" i="1"/>
  <c r="L217" i="1"/>
  <c r="L214" i="1"/>
  <c r="L216" i="1"/>
  <c r="L215" i="1"/>
  <c r="L213" i="1"/>
  <c r="L212" i="1"/>
  <c r="L209" i="1"/>
  <c r="L211" i="1"/>
  <c r="L210" i="1"/>
  <c r="L208" i="1"/>
  <c r="L205" i="1"/>
  <c r="L207" i="1"/>
  <c r="L206" i="1"/>
  <c r="L201" i="1"/>
  <c r="L204" i="1"/>
  <c r="L203" i="1"/>
  <c r="L202" i="1"/>
  <c r="L193" i="1"/>
  <c r="L200" i="1"/>
  <c r="L199" i="1"/>
  <c r="L198" i="1"/>
  <c r="L197" i="1"/>
  <c r="L196" i="1"/>
  <c r="L195" i="1"/>
  <c r="L194" i="1"/>
  <c r="L189" i="1"/>
  <c r="L192" i="1"/>
  <c r="L191" i="1"/>
  <c r="L187" i="1"/>
  <c r="L188" i="1"/>
  <c r="L186" i="1"/>
  <c r="L184" i="1"/>
  <c r="L185" i="1"/>
  <c r="L183" i="1"/>
  <c r="L180" i="1"/>
  <c r="L182" i="1"/>
  <c r="L181" i="1"/>
  <c r="L179" i="1"/>
  <c r="L176" i="1"/>
  <c r="L178" i="1"/>
  <c r="L177" i="1"/>
  <c r="L172" i="1"/>
  <c r="L175" i="1"/>
  <c r="L174" i="1"/>
  <c r="L173" i="1"/>
  <c r="L171" i="1"/>
  <c r="L170" i="1"/>
  <c r="L169" i="1"/>
  <c r="L166" i="1"/>
  <c r="L168" i="1"/>
  <c r="L167" i="1"/>
  <c r="L165" i="1"/>
  <c r="L164" i="1"/>
  <c r="L163" i="1"/>
  <c r="L162" i="1"/>
  <c r="L161" i="1"/>
  <c r="L159" i="1"/>
  <c r="L160" i="1"/>
  <c r="L156" i="1"/>
  <c r="L158" i="1"/>
  <c r="L157" i="1"/>
  <c r="L155" i="1"/>
  <c r="S155" i="1" s="1"/>
  <c r="L154" i="1"/>
  <c r="L150" i="1"/>
  <c r="L153" i="1"/>
  <c r="L152" i="1"/>
  <c r="L151" i="1"/>
  <c r="L149" i="1"/>
  <c r="L148" i="1"/>
  <c r="L147" i="1"/>
  <c r="L146" i="1"/>
  <c r="L145" i="1"/>
  <c r="L144" i="1"/>
  <c r="L143" i="1"/>
  <c r="L141" i="1"/>
  <c r="L142" i="1"/>
  <c r="L140" i="1"/>
  <c r="L138" i="1"/>
  <c r="L139" i="1"/>
  <c r="S139" i="1" s="1"/>
  <c r="L135" i="1"/>
  <c r="L137" i="1"/>
  <c r="L136" i="1"/>
  <c r="L134" i="1"/>
  <c r="S134" i="1" s="1"/>
  <c r="L133" i="1"/>
  <c r="L125" i="1"/>
  <c r="L132" i="1"/>
  <c r="L131" i="1"/>
  <c r="L130" i="1"/>
  <c r="L129" i="1"/>
  <c r="L128" i="1"/>
  <c r="L127" i="1"/>
  <c r="L126" i="1"/>
  <c r="L124" i="1"/>
  <c r="L123" i="1"/>
  <c r="L120" i="1"/>
  <c r="L122" i="1"/>
  <c r="L121" i="1"/>
  <c r="L119" i="1"/>
  <c r="O64" i="6"/>
  <c r="P28" i="1" s="1"/>
  <c r="Q28" i="1" s="1"/>
  <c r="L118" i="1"/>
  <c r="L17" i="1"/>
  <c r="L64" i="1"/>
  <c r="L97" i="1"/>
  <c r="L39" i="1"/>
  <c r="L18" i="1"/>
  <c r="L68" i="1"/>
  <c r="P90" i="1"/>
  <c r="Q90" i="1" s="1"/>
  <c r="L109" i="1"/>
  <c r="L67" i="1"/>
  <c r="L76" i="1"/>
  <c r="L63" i="1"/>
  <c r="L112" i="1"/>
  <c r="L40" i="1"/>
  <c r="L57" i="1"/>
  <c r="L115" i="1"/>
  <c r="L117" i="1"/>
  <c r="L66" i="1"/>
  <c r="L42" i="1"/>
  <c r="L59" i="1"/>
  <c r="L116" i="1"/>
  <c r="L4" i="1"/>
  <c r="L15" i="1"/>
  <c r="L102" i="1"/>
  <c r="L80" i="1"/>
  <c r="L32" i="1"/>
  <c r="L73" i="1"/>
  <c r="L83" i="1"/>
  <c r="L7" i="1"/>
  <c r="L26" i="1"/>
  <c r="L82" i="1"/>
  <c r="L12" i="1"/>
  <c r="L70" i="1"/>
  <c r="L8" i="1"/>
  <c r="L41" i="1"/>
  <c r="L20" i="1"/>
  <c r="L105" i="1"/>
  <c r="L44" i="1"/>
  <c r="L77" i="1"/>
  <c r="L88" i="1"/>
  <c r="L79" i="1"/>
  <c r="L19" i="1"/>
  <c r="L69" i="1"/>
  <c r="L58" i="1"/>
  <c r="L50" i="1"/>
  <c r="L96" i="1"/>
  <c r="L14" i="1"/>
  <c r="L43" i="1"/>
  <c r="L35" i="1"/>
  <c r="L108" i="1"/>
  <c r="L5" i="1"/>
  <c r="L92" i="1"/>
  <c r="L22" i="1"/>
  <c r="L87" i="1"/>
  <c r="L52" i="1"/>
  <c r="L51" i="1"/>
  <c r="L75" i="1"/>
  <c r="L90" i="1"/>
  <c r="L100" i="1"/>
  <c r="L60" i="1"/>
  <c r="L110" i="1"/>
  <c r="L10" i="1"/>
  <c r="L113" i="1"/>
  <c r="L23" i="1"/>
  <c r="L78" i="1"/>
  <c r="L48" i="1"/>
  <c r="L114" i="1"/>
  <c r="L93" i="1"/>
  <c r="L86" i="1"/>
  <c r="L71" i="1"/>
  <c r="L29" i="1"/>
  <c r="L101" i="1"/>
  <c r="L89" i="1"/>
  <c r="L6" i="1"/>
  <c r="L38" i="1"/>
  <c r="L61" i="1"/>
  <c r="L55" i="1"/>
  <c r="L54" i="1"/>
  <c r="L34" i="1"/>
  <c r="L28" i="1"/>
  <c r="L45" i="1"/>
  <c r="L103" i="1"/>
  <c r="L11" i="1"/>
  <c r="L25" i="1"/>
  <c r="L84" i="1"/>
  <c r="L104" i="1"/>
  <c r="L31" i="1"/>
  <c r="L21" i="1"/>
  <c r="L56" i="1"/>
  <c r="L65" i="1"/>
  <c r="L9" i="1"/>
  <c r="L37" i="1"/>
  <c r="L46" i="1"/>
  <c r="L36" i="1"/>
  <c r="L24" i="1"/>
  <c r="L106" i="1"/>
  <c r="L81" i="1"/>
  <c r="L2" i="1"/>
  <c r="L107" i="1"/>
  <c r="L85" i="1"/>
  <c r="L13" i="1"/>
  <c r="L95" i="1"/>
  <c r="L33" i="1"/>
  <c r="L47" i="1"/>
  <c r="L30" i="1"/>
  <c r="L3" i="1"/>
  <c r="L27" i="1"/>
  <c r="L72" i="1"/>
  <c r="L111" i="1"/>
  <c r="L91" i="1"/>
  <c r="L62" i="1"/>
  <c r="L49" i="1"/>
  <c r="L74" i="1"/>
  <c r="L94" i="1"/>
  <c r="L98" i="1"/>
  <c r="L16" i="1"/>
  <c r="L53" i="1"/>
  <c r="L99" i="1"/>
  <c r="U665" i="1" l="1"/>
  <c r="O665" i="1" s="1"/>
  <c r="U646" i="1"/>
  <c r="O646" i="1" s="1"/>
  <c r="U654" i="1"/>
  <c r="O654" i="1" s="1"/>
  <c r="U637" i="1"/>
  <c r="O637" i="1" s="1"/>
  <c r="U638" i="1"/>
  <c r="O638" i="1" s="1"/>
  <c r="U649" i="1"/>
  <c r="O649" i="1" s="1"/>
  <c r="U630" i="1"/>
  <c r="O630" i="1" s="1"/>
  <c r="U644" i="1"/>
  <c r="O644" i="1" s="1"/>
  <c r="U655" i="1"/>
  <c r="O655" i="1" s="1"/>
  <c r="U585" i="1"/>
  <c r="O585" i="1" s="1"/>
  <c r="U614" i="1"/>
  <c r="O614" i="1" s="1"/>
  <c r="U628" i="1"/>
  <c r="O628" i="1" s="1"/>
  <c r="U645" i="1"/>
  <c r="O645" i="1" s="1"/>
  <c r="U639" i="1"/>
  <c r="O639" i="1" s="1"/>
  <c r="U617" i="1"/>
  <c r="O617" i="1" s="1"/>
  <c r="U602" i="1"/>
  <c r="O602" i="1" s="1"/>
  <c r="U626" i="1"/>
  <c r="O626" i="1" s="1"/>
  <c r="U608" i="1"/>
  <c r="O608" i="1" s="1"/>
  <c r="U629" i="1"/>
  <c r="O629" i="1" s="1"/>
  <c r="U618" i="1"/>
  <c r="O618" i="1" s="1"/>
  <c r="U632" i="1"/>
  <c r="O632" i="1" s="1"/>
  <c r="U623" i="1"/>
  <c r="O623" i="1" s="1"/>
  <c r="U603" i="1"/>
  <c r="O603" i="1" s="1"/>
  <c r="U615" i="1"/>
  <c r="O615" i="1" s="1"/>
  <c r="U631" i="1"/>
  <c r="O631" i="1" s="1"/>
  <c r="U620" i="1"/>
  <c r="O620" i="1" s="1"/>
  <c r="U621" i="1"/>
  <c r="O621" i="1" s="1"/>
  <c r="U599" i="1"/>
  <c r="O599" i="1" s="1"/>
  <c r="U587" i="1"/>
  <c r="O587" i="1" s="1"/>
  <c r="U613" i="1"/>
  <c r="O613" i="1" s="1"/>
  <c r="U594" i="1"/>
  <c r="O594" i="1" s="1"/>
  <c r="U592" i="1"/>
  <c r="O592" i="1" s="1"/>
  <c r="U622" i="1"/>
  <c r="O622" i="1" s="1"/>
  <c r="U627" i="1"/>
  <c r="O627" i="1" s="1"/>
  <c r="Q624" i="1"/>
  <c r="U624" i="1" s="1"/>
  <c r="O624" i="1" s="1"/>
  <c r="U625" i="1"/>
  <c r="O625" i="1" s="1"/>
  <c r="U612" i="1"/>
  <c r="O612" i="1" s="1"/>
  <c r="U572" i="1"/>
  <c r="O572" i="1" s="1"/>
  <c r="U611" i="1"/>
  <c r="O611" i="1" s="1"/>
  <c r="U604" i="1"/>
  <c r="O604" i="1" s="1"/>
  <c r="U595" i="1"/>
  <c r="O595" i="1" s="1"/>
  <c r="U597" i="1"/>
  <c r="O597" i="1" s="1"/>
  <c r="U600" i="1"/>
  <c r="O600" i="1" s="1"/>
  <c r="U589" i="1"/>
  <c r="O589" i="1" s="1"/>
  <c r="U598" i="1"/>
  <c r="O598" i="1" s="1"/>
  <c r="U607" i="1"/>
  <c r="O607" i="1" s="1"/>
  <c r="U578" i="1"/>
  <c r="O578" i="1" s="1"/>
  <c r="U601" i="1"/>
  <c r="O601" i="1" s="1"/>
  <c r="U593" i="1"/>
  <c r="O593" i="1" s="1"/>
  <c r="U583" i="1"/>
  <c r="U526" i="1"/>
  <c r="O526" i="1" s="1"/>
  <c r="U558" i="1"/>
  <c r="O558" i="1" s="1"/>
  <c r="U590" i="1"/>
  <c r="O590" i="1" s="1"/>
  <c r="U588" i="1"/>
  <c r="O588" i="1" s="1"/>
  <c r="U586" i="1"/>
  <c r="O586" i="1" s="1"/>
  <c r="U584" i="1"/>
  <c r="O584" i="1" s="1"/>
  <c r="U569" i="1"/>
  <c r="O569" i="1" s="1"/>
  <c r="U580" i="1"/>
  <c r="O580" i="1" s="1"/>
  <c r="U579" i="1"/>
  <c r="O579" i="1" s="1"/>
  <c r="U591" i="1"/>
  <c r="O591" i="1" s="1"/>
  <c r="U573" i="1"/>
  <c r="O573" i="1" s="1"/>
  <c r="U561" i="1"/>
  <c r="O561" i="1" s="1"/>
  <c r="U562" i="1"/>
  <c r="O562" i="1" s="1"/>
  <c r="U576" i="1"/>
  <c r="O576" i="1" s="1"/>
  <c r="U560" i="1"/>
  <c r="O560" i="1" s="1"/>
  <c r="U541" i="1"/>
  <c r="O541" i="1" s="1"/>
  <c r="U563" i="1"/>
  <c r="O563" i="1" s="1"/>
  <c r="U566" i="1"/>
  <c r="O566" i="1" s="1"/>
  <c r="U564" i="1"/>
  <c r="O564" i="1" s="1"/>
  <c r="U559" i="1"/>
  <c r="O559" i="1" s="1"/>
  <c r="U565" i="1"/>
  <c r="O565" i="1" s="1"/>
  <c r="U555" i="1"/>
  <c r="O555" i="1" s="1"/>
  <c r="U556" i="1"/>
  <c r="O556" i="1" s="1"/>
  <c r="U529" i="1"/>
  <c r="O529" i="1" s="1"/>
  <c r="U528" i="1"/>
  <c r="O528" i="1" s="1"/>
  <c r="U530" i="1"/>
  <c r="O530" i="1" s="1"/>
  <c r="U527" i="1"/>
  <c r="O527" i="1" s="1"/>
  <c r="U539" i="1"/>
  <c r="O539" i="1" s="1"/>
  <c r="U540" i="1"/>
  <c r="O540" i="1" s="1"/>
  <c r="U522" i="1"/>
  <c r="O522" i="1" s="1"/>
  <c r="U533" i="1"/>
  <c r="O533" i="1" s="1"/>
  <c r="U537" i="1"/>
  <c r="U518" i="1"/>
  <c r="O518" i="1" s="1"/>
  <c r="U535" i="1"/>
  <c r="O535" i="1" s="1"/>
  <c r="U531" i="1"/>
  <c r="O531" i="1" s="1"/>
  <c r="U534" i="1"/>
  <c r="O534" i="1" s="1"/>
  <c r="U515" i="1"/>
  <c r="O515" i="1" s="1"/>
  <c r="U517" i="1"/>
  <c r="O517" i="1" s="1"/>
  <c r="U536" i="1"/>
  <c r="O536" i="1" s="1"/>
  <c r="U519" i="1"/>
  <c r="O519" i="1" s="1"/>
  <c r="U521" i="1"/>
  <c r="O521" i="1" s="1"/>
  <c r="U524" i="1"/>
  <c r="O524" i="1" s="1"/>
  <c r="U523" i="1"/>
  <c r="O523" i="1" s="1"/>
  <c r="U525" i="1"/>
  <c r="O525" i="1" s="1"/>
  <c r="U516" i="1"/>
  <c r="O516" i="1" s="1"/>
  <c r="U452" i="1"/>
  <c r="O452" i="1" s="1"/>
  <c r="U451" i="1"/>
  <c r="O451" i="1" s="1"/>
  <c r="U489" i="1"/>
  <c r="O489" i="1" s="1"/>
  <c r="U471" i="1"/>
  <c r="O471" i="1" s="1"/>
  <c r="U467" i="1"/>
  <c r="O467" i="1" s="1"/>
  <c r="U464" i="1"/>
  <c r="O464" i="1" s="1"/>
  <c r="U486" i="1"/>
  <c r="O486" i="1" s="1"/>
  <c r="U491" i="1"/>
  <c r="O491" i="1" s="1"/>
  <c r="U475" i="1"/>
  <c r="O475" i="1" s="1"/>
  <c r="U473" i="1"/>
  <c r="O473" i="1" s="1"/>
  <c r="U482" i="1"/>
  <c r="U498" i="1"/>
  <c r="O498" i="1" s="1"/>
  <c r="U476" i="1"/>
  <c r="O476" i="1" s="1"/>
  <c r="U493" i="1"/>
  <c r="O493" i="1" s="1"/>
  <c r="U474" i="1"/>
  <c r="O474" i="1" s="1"/>
  <c r="U463" i="1"/>
  <c r="O463" i="1" s="1"/>
  <c r="U468" i="1"/>
  <c r="O468" i="1" s="1"/>
  <c r="U466" i="1"/>
  <c r="O466" i="1" s="1"/>
  <c r="U465" i="1"/>
  <c r="O465" i="1" s="1"/>
  <c r="U495" i="1"/>
  <c r="O495" i="1" s="1"/>
  <c r="U445" i="1"/>
  <c r="O445" i="1" s="1"/>
  <c r="T363" i="1"/>
  <c r="T437" i="1"/>
  <c r="U437" i="1" s="1"/>
  <c r="O437" i="1" s="1"/>
  <c r="T436" i="1"/>
  <c r="T360" i="1"/>
  <c r="U360" i="1" s="1"/>
  <c r="O360" i="1" s="1"/>
  <c r="T356" i="1"/>
  <c r="U356" i="1" s="1"/>
  <c r="O356" i="1" s="1"/>
  <c r="T355" i="1"/>
  <c r="U355" i="1" s="1"/>
  <c r="O355" i="1" s="1"/>
  <c r="T359" i="1"/>
  <c r="U359" i="1" s="1"/>
  <c r="O359" i="1" s="1"/>
  <c r="T361" i="1"/>
  <c r="U361" i="1" s="1"/>
  <c r="O361" i="1" s="1"/>
  <c r="R358" i="1"/>
  <c r="T301" i="1"/>
  <c r="U301" i="1" s="1"/>
  <c r="R357" i="1"/>
  <c r="T303" i="1"/>
  <c r="U303" i="1" s="1"/>
  <c r="O303" i="1" s="1"/>
  <c r="T304" i="1"/>
  <c r="U304" i="1" s="1"/>
  <c r="O304" i="1" s="1"/>
  <c r="R354" i="1"/>
  <c r="T310" i="1"/>
  <c r="U310" i="1" s="1"/>
  <c r="O310" i="1" s="1"/>
  <c r="T321" i="1"/>
  <c r="U321" i="1" s="1"/>
  <c r="O321" i="1" s="1"/>
  <c r="T324" i="1"/>
  <c r="U324" i="1" s="1"/>
  <c r="O324" i="1" s="1"/>
  <c r="T340" i="1"/>
  <c r="U340" i="1" s="1"/>
  <c r="O340" i="1" s="1"/>
  <c r="T318" i="1"/>
  <c r="U318" i="1" s="1"/>
  <c r="O318" i="1" s="1"/>
  <c r="T330" i="1"/>
  <c r="U330" i="1" s="1"/>
  <c r="O330" i="1" s="1"/>
  <c r="T320" i="1"/>
  <c r="U320" i="1" s="1"/>
  <c r="O320" i="1" s="1"/>
  <c r="T338" i="1"/>
  <c r="U338" i="1" s="1"/>
  <c r="O338" i="1" s="1"/>
  <c r="T337" i="1"/>
  <c r="U337" i="1" s="1"/>
  <c r="O337" i="1" s="1"/>
  <c r="T346" i="1"/>
  <c r="U346" i="1" s="1"/>
  <c r="O346" i="1" s="1"/>
  <c r="T350" i="1"/>
  <c r="U350" i="1" s="1"/>
  <c r="O350" i="1" s="1"/>
  <c r="T326" i="1"/>
  <c r="U326" i="1" s="1"/>
  <c r="O326" i="1" s="1"/>
  <c r="T348" i="1"/>
  <c r="U348" i="1" s="1"/>
  <c r="O348" i="1" s="1"/>
  <c r="T332" i="1"/>
  <c r="U332" i="1" s="1"/>
  <c r="O332" i="1" s="1"/>
  <c r="T328" i="1"/>
  <c r="U328" i="1" s="1"/>
  <c r="O328" i="1" s="1"/>
  <c r="T349" i="1"/>
  <c r="U349" i="1" s="1"/>
  <c r="O349" i="1" s="1"/>
  <c r="T311" i="1"/>
  <c r="U311" i="1" s="1"/>
  <c r="O311" i="1" s="1"/>
  <c r="T342" i="1"/>
  <c r="U342" i="1" s="1"/>
  <c r="O342" i="1" s="1"/>
  <c r="T333" i="1"/>
  <c r="U333" i="1" s="1"/>
  <c r="O333" i="1" s="1"/>
  <c r="T319" i="1"/>
  <c r="U319" i="1" s="1"/>
  <c r="O319" i="1" s="1"/>
  <c r="T314" i="1"/>
  <c r="U314" i="1" s="1"/>
  <c r="O314" i="1" s="1"/>
  <c r="T308" i="1"/>
  <c r="U308" i="1" s="1"/>
  <c r="O308" i="1" s="1"/>
  <c r="T341" i="1"/>
  <c r="U341" i="1" s="1"/>
  <c r="O341" i="1" s="1"/>
  <c r="T347" i="1"/>
  <c r="U347" i="1" s="1"/>
  <c r="O347" i="1" s="1"/>
  <c r="T331" i="1"/>
  <c r="U331" i="1" s="1"/>
  <c r="O331" i="1" s="1"/>
  <c r="T352" i="1"/>
  <c r="U352" i="1" s="1"/>
  <c r="O352" i="1" s="1"/>
  <c r="T329" i="1"/>
  <c r="U329" i="1" s="1"/>
  <c r="O329" i="1" s="1"/>
  <c r="T343" i="1"/>
  <c r="U343" i="1" s="1"/>
  <c r="O343" i="1" s="1"/>
  <c r="T335" i="1"/>
  <c r="U335" i="1" s="1"/>
  <c r="O335" i="1" s="1"/>
  <c r="T325" i="1"/>
  <c r="U325" i="1" s="1"/>
  <c r="O325" i="1" s="1"/>
  <c r="T336" i="1"/>
  <c r="U336" i="1" s="1"/>
  <c r="O336" i="1" s="1"/>
  <c r="T315" i="1"/>
  <c r="U315" i="1" s="1"/>
  <c r="O315" i="1" s="1"/>
  <c r="T313" i="1"/>
  <c r="U313" i="1" s="1"/>
  <c r="O313" i="1" s="1"/>
  <c r="T323" i="1"/>
  <c r="U323" i="1" s="1"/>
  <c r="O323" i="1" s="1"/>
  <c r="T305" i="1"/>
  <c r="U305" i="1" s="1"/>
  <c r="O305" i="1" s="1"/>
  <c r="T312" i="1"/>
  <c r="U312" i="1" s="1"/>
  <c r="O312" i="1" s="1"/>
  <c r="T353" i="1"/>
  <c r="U353" i="1" s="1"/>
  <c r="O353" i="1" s="1"/>
  <c r="T302" i="1"/>
  <c r="U302" i="1" s="1"/>
  <c r="O302" i="1" s="1"/>
  <c r="T307" i="1"/>
  <c r="U307" i="1" s="1"/>
  <c r="O307" i="1" s="1"/>
  <c r="T309" i="1"/>
  <c r="U309" i="1" s="1"/>
  <c r="O309" i="1" s="1"/>
  <c r="T351" i="1"/>
  <c r="U351" i="1" s="1"/>
  <c r="O351" i="1" s="1"/>
  <c r="T306" i="1"/>
  <c r="U306" i="1" s="1"/>
  <c r="O306" i="1" s="1"/>
  <c r="T334" i="1"/>
  <c r="T344" i="1"/>
  <c r="U344" i="1" s="1"/>
  <c r="O344" i="1" s="1"/>
  <c r="T316" i="1"/>
  <c r="U316" i="1" s="1"/>
  <c r="O316" i="1" s="1"/>
  <c r="T339" i="1"/>
  <c r="U339" i="1" s="1"/>
  <c r="O339" i="1" s="1"/>
  <c r="T345" i="1"/>
  <c r="U345" i="1" s="1"/>
  <c r="O345" i="1" s="1"/>
  <c r="R90" i="1"/>
  <c r="O327" i="1"/>
  <c r="O322" i="1"/>
  <c r="O317" i="1"/>
  <c r="M54" i="1"/>
  <c r="P288" i="1"/>
  <c r="Q288" i="1" s="1"/>
  <c r="P274" i="1"/>
  <c r="Q274" i="1" s="1"/>
  <c r="P190" i="1"/>
  <c r="Q190" i="1" s="1"/>
  <c r="P226" i="1"/>
  <c r="Q226" i="1" s="1"/>
  <c r="P215" i="1"/>
  <c r="Q215" i="1" s="1"/>
  <c r="P206" i="1"/>
  <c r="Q206" i="1" s="1"/>
  <c r="P203" i="1"/>
  <c r="Q203" i="1" s="1"/>
  <c r="P201" i="1"/>
  <c r="Q201" i="1" s="1"/>
  <c r="P199" i="1"/>
  <c r="Q199" i="1" s="1"/>
  <c r="P197" i="1"/>
  <c r="Q197" i="1" s="1"/>
  <c r="P195" i="1"/>
  <c r="Q195" i="1" s="1"/>
  <c r="P193" i="1"/>
  <c r="Q193" i="1" s="1"/>
  <c r="P187" i="1"/>
  <c r="Q187" i="1" s="1"/>
  <c r="P102" i="1"/>
  <c r="Q102" i="1" s="1"/>
  <c r="P109" i="1"/>
  <c r="Q109" i="1" s="1"/>
  <c r="P64" i="1"/>
  <c r="Q64" i="1" s="1"/>
  <c r="P94" i="1"/>
  <c r="Q94" i="1" s="1"/>
  <c r="P74" i="1"/>
  <c r="Q74" i="1" s="1"/>
  <c r="P101" i="1"/>
  <c r="Q101" i="1" s="1"/>
  <c r="P108" i="1"/>
  <c r="Q108" i="1" s="1"/>
  <c r="P41" i="1"/>
  <c r="Q41" i="1" s="1"/>
  <c r="P19" i="1"/>
  <c r="Q19" i="1" s="1"/>
  <c r="P23" i="1"/>
  <c r="Q23" i="1" s="1"/>
  <c r="P56" i="1"/>
  <c r="Q56" i="1" s="1"/>
  <c r="P50" i="1"/>
  <c r="Q50" i="1" s="1"/>
  <c r="P16" i="1"/>
  <c r="Q16" i="1" s="1"/>
  <c r="P48" i="1"/>
  <c r="Q48" i="1" s="1"/>
  <c r="P59" i="1"/>
  <c r="Q59" i="1" s="1"/>
  <c r="P82" i="1"/>
  <c r="Q82" i="1" s="1"/>
  <c r="P65" i="1"/>
  <c r="Q65" i="1" s="1"/>
  <c r="P73" i="1"/>
  <c r="Q73" i="1" s="1"/>
  <c r="P30" i="1"/>
  <c r="Q30" i="1" s="1"/>
  <c r="P42" i="1"/>
  <c r="Q42" i="1" s="1"/>
  <c r="P107" i="1"/>
  <c r="Q107" i="1" s="1"/>
  <c r="P60" i="1"/>
  <c r="Q60" i="1" s="1"/>
  <c r="P40" i="1"/>
  <c r="Q40" i="1" s="1"/>
  <c r="P5" i="1"/>
  <c r="Q5" i="1" s="1"/>
  <c r="P58" i="1"/>
  <c r="Q58" i="1" s="1"/>
  <c r="P67" i="1"/>
  <c r="Q67" i="1" s="1"/>
  <c r="P61" i="1"/>
  <c r="Q61" i="1" s="1"/>
  <c r="P57" i="1"/>
  <c r="Q57" i="1" s="1"/>
  <c r="P10" i="1"/>
  <c r="Q10" i="1" s="1"/>
  <c r="P69" i="1"/>
  <c r="Q69" i="1" s="1"/>
  <c r="P18" i="1"/>
  <c r="Q18" i="1" s="1"/>
  <c r="P13" i="1"/>
  <c r="Q13" i="1" s="1"/>
  <c r="P124" i="1"/>
  <c r="Q124" i="1" s="1"/>
  <c r="P116" i="1"/>
  <c r="Q116" i="1" s="1"/>
  <c r="P71" i="1"/>
  <c r="Q71" i="1" s="1"/>
  <c r="P115" i="1"/>
  <c r="Q115" i="1" s="1"/>
  <c r="P85" i="1"/>
  <c r="Q85" i="1" s="1"/>
  <c r="P14" i="1"/>
  <c r="Q14" i="1" s="1"/>
  <c r="P49" i="1"/>
  <c r="Q49" i="1" s="1"/>
  <c r="P100" i="1"/>
  <c r="Q100" i="1" s="1"/>
  <c r="P20" i="1"/>
  <c r="Q20" i="1" s="1"/>
  <c r="P99" i="1"/>
  <c r="Q99" i="1" s="1"/>
  <c r="P4" i="1"/>
  <c r="Q4" i="1" s="1"/>
  <c r="P114" i="1"/>
  <c r="Q114" i="1" s="1"/>
  <c r="P15" i="1"/>
  <c r="Q15" i="1" s="1"/>
  <c r="P11" i="1"/>
  <c r="Q11" i="1" s="1"/>
  <c r="P80" i="1"/>
  <c r="Q80" i="1" s="1"/>
  <c r="P25" i="1"/>
  <c r="Q25" i="1" s="1"/>
  <c r="P106" i="1"/>
  <c r="Q106" i="1" s="1"/>
  <c r="P52" i="1"/>
  <c r="Q52" i="1" s="1"/>
  <c r="P7" i="1"/>
  <c r="Q7" i="1" s="1"/>
  <c r="P6" i="1"/>
  <c r="Q6" i="1" s="1"/>
  <c r="P39" i="1"/>
  <c r="Q39" i="1" s="1"/>
  <c r="P98" i="1"/>
  <c r="Q98" i="1" s="1"/>
  <c r="P37" i="1"/>
  <c r="Q37" i="1" s="1"/>
  <c r="P113" i="1"/>
  <c r="Q113" i="1" s="1"/>
  <c r="P27" i="1"/>
  <c r="Q27" i="1" s="1"/>
  <c r="P31" i="1"/>
  <c r="Q31" i="1" s="1"/>
  <c r="P46" i="1"/>
  <c r="Q46" i="1" s="1"/>
  <c r="P63" i="1"/>
  <c r="Q63" i="1" s="1"/>
  <c r="P105" i="1"/>
  <c r="Q105" i="1" s="1"/>
  <c r="P32" i="1"/>
  <c r="Q32" i="1" s="1"/>
  <c r="P92" i="1"/>
  <c r="Q92" i="1" s="1"/>
  <c r="P53" i="1"/>
  <c r="Q53" i="1" s="1"/>
  <c r="P97" i="1"/>
  <c r="Q97" i="1" s="1"/>
  <c r="P3" i="1"/>
  <c r="Q3" i="1" s="1"/>
  <c r="P89" i="1"/>
  <c r="Q89" i="1" s="1"/>
  <c r="P33" i="1"/>
  <c r="Q33" i="1" s="1"/>
  <c r="P68" i="1"/>
  <c r="Q68" i="1" s="1"/>
  <c r="P44" i="1"/>
  <c r="Q44" i="1" s="1"/>
  <c r="P2" i="1"/>
  <c r="Q2" i="1" s="1"/>
  <c r="P96" i="1"/>
  <c r="Q96" i="1" s="1"/>
  <c r="P83" i="1"/>
  <c r="Q83" i="1" s="1"/>
  <c r="P51" i="1"/>
  <c r="Q51" i="1" s="1"/>
  <c r="P12" i="1"/>
  <c r="Q12" i="1" s="1"/>
  <c r="P77" i="1"/>
  <c r="Q77" i="1" s="1"/>
  <c r="P93" i="1"/>
  <c r="Q93" i="1" s="1"/>
  <c r="P62" i="1"/>
  <c r="Q62" i="1" s="1"/>
  <c r="P76" i="1"/>
  <c r="Q76" i="1" s="1"/>
  <c r="P55" i="1"/>
  <c r="Q55" i="1" s="1"/>
  <c r="P66" i="1"/>
  <c r="Q66" i="1" s="1"/>
  <c r="P79" i="1"/>
  <c r="Q79" i="1" s="1"/>
  <c r="P38" i="1"/>
  <c r="Q38" i="1" s="1"/>
  <c r="P88" i="1"/>
  <c r="Q88" i="1" s="1"/>
  <c r="P21" i="1"/>
  <c r="Q21" i="1" s="1"/>
  <c r="P110" i="1"/>
  <c r="Q110" i="1" s="1"/>
  <c r="P121" i="1"/>
  <c r="Q121" i="1" s="1"/>
  <c r="P112" i="1"/>
  <c r="Q112" i="1" s="1"/>
  <c r="P29" i="1"/>
  <c r="Q29" i="1" s="1"/>
  <c r="P26" i="1"/>
  <c r="Q26" i="1" s="1"/>
  <c r="P104" i="1"/>
  <c r="Q104" i="1" s="1"/>
  <c r="P91" i="1"/>
  <c r="Q91" i="1" s="1"/>
  <c r="P95" i="1"/>
  <c r="Q95" i="1" s="1"/>
  <c r="P81" i="1"/>
  <c r="Q81" i="1" s="1"/>
  <c r="P34" i="1"/>
  <c r="Q34" i="1" s="1"/>
  <c r="P122" i="1"/>
  <c r="Q122" i="1" s="1"/>
  <c r="P9" i="1"/>
  <c r="Q9" i="1" s="1"/>
  <c r="P47" i="1"/>
  <c r="Q47" i="1" s="1"/>
  <c r="P111" i="1"/>
  <c r="Q111" i="1" s="1"/>
  <c r="P87" i="1"/>
  <c r="Q87" i="1" s="1"/>
  <c r="P70" i="1"/>
  <c r="Q70" i="1" s="1"/>
  <c r="P36" i="1"/>
  <c r="Q36" i="1" s="1"/>
  <c r="P35" i="1"/>
  <c r="Q35" i="1" s="1"/>
  <c r="P119" i="1"/>
  <c r="Q119" i="1" s="1"/>
  <c r="P45" i="1"/>
  <c r="Q45" i="1" s="1"/>
  <c r="P118" i="1"/>
  <c r="Q118" i="1" s="1"/>
  <c r="P8" i="1"/>
  <c r="Q8" i="1" s="1"/>
  <c r="P103" i="1"/>
  <c r="Q103" i="1" s="1"/>
  <c r="P117" i="1"/>
  <c r="Q117" i="1" s="1"/>
  <c r="P43" i="1"/>
  <c r="Q43" i="1" s="1"/>
  <c r="P17" i="1"/>
  <c r="Q17" i="1" s="1"/>
  <c r="P72" i="1"/>
  <c r="Q72" i="1" s="1"/>
  <c r="P24" i="1"/>
  <c r="Q24" i="1" s="1"/>
  <c r="R28" i="1"/>
  <c r="P84" i="1"/>
  <c r="Q84" i="1" s="1"/>
  <c r="T354" i="1" l="1"/>
  <c r="U354" i="1" s="1"/>
  <c r="O354" i="1" s="1"/>
  <c r="T358" i="1"/>
  <c r="U358" i="1" s="1"/>
  <c r="O358" i="1" s="1"/>
  <c r="T357" i="1"/>
  <c r="U357" i="1" s="1"/>
  <c r="O357" i="1" s="1"/>
  <c r="T90" i="1"/>
  <c r="U90" i="1" s="1"/>
  <c r="O90" i="1" s="1"/>
  <c r="T28" i="1"/>
  <c r="U28" i="1" s="1"/>
  <c r="O28" i="1" s="1"/>
  <c r="T100" i="1"/>
  <c r="R91" i="1"/>
  <c r="R103" i="1"/>
  <c r="R84" i="1"/>
  <c r="R38" i="1"/>
  <c r="R12" i="1"/>
  <c r="R89" i="1"/>
  <c r="R6" i="1"/>
  <c r="R114" i="1"/>
  <c r="R42" i="1"/>
  <c r="R15" i="1"/>
  <c r="R79" i="1"/>
  <c r="R51" i="1"/>
  <c r="R46" i="1"/>
  <c r="R7" i="1"/>
  <c r="R71" i="1"/>
  <c r="R30" i="1"/>
  <c r="R16" i="1"/>
  <c r="R66" i="1"/>
  <c r="R52" i="1"/>
  <c r="R72" i="1"/>
  <c r="R53" i="1"/>
  <c r="R33" i="1"/>
  <c r="R10" i="1"/>
  <c r="R45" i="1"/>
  <c r="R23" i="1"/>
  <c r="R109" i="1"/>
  <c r="R124" i="1"/>
  <c r="R58" i="1"/>
  <c r="R65" i="1"/>
  <c r="R19" i="1"/>
  <c r="R35" i="1"/>
  <c r="R34" i="1"/>
  <c r="R82" i="1"/>
  <c r="R41" i="1"/>
  <c r="R39" i="1"/>
  <c r="R74" i="1"/>
  <c r="R31" i="1"/>
  <c r="R43" i="1"/>
  <c r="R36" i="1"/>
  <c r="R110" i="1"/>
  <c r="R62" i="1"/>
  <c r="R37" i="1"/>
  <c r="R59" i="1"/>
  <c r="R108" i="1"/>
  <c r="R70" i="1"/>
  <c r="R95" i="1"/>
  <c r="R21" i="1"/>
  <c r="R93" i="1"/>
  <c r="R32" i="1"/>
  <c r="R14" i="1"/>
  <c r="R48" i="1"/>
  <c r="R101" i="1"/>
  <c r="P54" i="1"/>
  <c r="Q54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R288" i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R274" i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R190" i="1"/>
  <c r="P230" i="1"/>
  <c r="Q230" i="1" s="1"/>
  <c r="P229" i="1"/>
  <c r="Q229" i="1" s="1"/>
  <c r="P228" i="1"/>
  <c r="Q228" i="1" s="1"/>
  <c r="P227" i="1"/>
  <c r="Q227" i="1" s="1"/>
  <c r="R226" i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09" i="1"/>
  <c r="Q209" i="1" s="1"/>
  <c r="P210" i="1"/>
  <c r="Q210" i="1" s="1"/>
  <c r="P211" i="1"/>
  <c r="Q211" i="1" s="1"/>
  <c r="P216" i="1"/>
  <c r="Q216" i="1" s="1"/>
  <c r="R215" i="1"/>
  <c r="P214" i="1"/>
  <c r="Q214" i="1" s="1"/>
  <c r="Q213" i="1"/>
  <c r="P212" i="1"/>
  <c r="Q212" i="1" s="1"/>
  <c r="P208" i="1"/>
  <c r="Q208" i="1" s="1"/>
  <c r="P207" i="1"/>
  <c r="Q207" i="1" s="1"/>
  <c r="R206" i="1"/>
  <c r="P205" i="1"/>
  <c r="Q205" i="1" s="1"/>
  <c r="P204" i="1"/>
  <c r="Q204" i="1" s="1"/>
  <c r="R203" i="1"/>
  <c r="P202" i="1"/>
  <c r="Q202" i="1" s="1"/>
  <c r="R201" i="1"/>
  <c r="P200" i="1"/>
  <c r="Q200" i="1" s="1"/>
  <c r="R199" i="1"/>
  <c r="P198" i="1"/>
  <c r="Q198" i="1" s="1"/>
  <c r="R197" i="1"/>
  <c r="P196" i="1"/>
  <c r="Q196" i="1" s="1"/>
  <c r="R195" i="1"/>
  <c r="P194" i="1"/>
  <c r="Q194" i="1" s="1"/>
  <c r="R193" i="1"/>
  <c r="P192" i="1"/>
  <c r="Q192" i="1" s="1"/>
  <c r="P191" i="1"/>
  <c r="Q191" i="1" s="1"/>
  <c r="P189" i="1"/>
  <c r="Q189" i="1" s="1"/>
  <c r="P188" i="1"/>
  <c r="Q188" i="1" s="1"/>
  <c r="R187" i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R85" i="1"/>
  <c r="R104" i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R116" i="1"/>
  <c r="R73" i="1"/>
  <c r="R56" i="1"/>
  <c r="R67" i="1"/>
  <c r="P129" i="1"/>
  <c r="Q129" i="1" s="1"/>
  <c r="R40" i="1"/>
  <c r="R102" i="1"/>
  <c r="R18" i="1"/>
  <c r="R57" i="1"/>
  <c r="R64" i="1"/>
  <c r="P128" i="1"/>
  <c r="Q128" i="1" s="1"/>
  <c r="P127" i="1"/>
  <c r="Q127" i="1" s="1"/>
  <c r="P126" i="1"/>
  <c r="Q126" i="1" s="1"/>
  <c r="R27" i="1"/>
  <c r="R99" i="1"/>
  <c r="R2" i="1"/>
  <c r="P22" i="1"/>
  <c r="Q22" i="1" s="1"/>
  <c r="R107" i="1"/>
  <c r="R94" i="1"/>
  <c r="R61" i="1"/>
  <c r="R60" i="1"/>
  <c r="R50" i="1"/>
  <c r="R96" i="1"/>
  <c r="R115" i="1"/>
  <c r="P125" i="1"/>
  <c r="Q125" i="1" s="1"/>
  <c r="R69" i="1"/>
  <c r="R11" i="1"/>
  <c r="R5" i="1"/>
  <c r="R13" i="1"/>
  <c r="P78" i="1"/>
  <c r="Q78" i="1" s="1"/>
  <c r="R97" i="1"/>
  <c r="R76" i="1"/>
  <c r="P86" i="1"/>
  <c r="Q86" i="1" s="1"/>
  <c r="R4" i="1"/>
  <c r="R98" i="1"/>
  <c r="P75" i="1"/>
  <c r="Q75" i="1" s="1"/>
  <c r="R80" i="1"/>
  <c r="R3" i="1"/>
  <c r="R63" i="1"/>
  <c r="R105" i="1"/>
  <c r="R26" i="1"/>
  <c r="R83" i="1"/>
  <c r="R112" i="1"/>
  <c r="R106" i="1"/>
  <c r="R20" i="1"/>
  <c r="R44" i="1"/>
  <c r="R88" i="1"/>
  <c r="R68" i="1"/>
  <c r="R25" i="1"/>
  <c r="R113" i="1"/>
  <c r="R92" i="1"/>
  <c r="R77" i="1"/>
  <c r="P123" i="1"/>
  <c r="Q123" i="1" s="1"/>
  <c r="R49" i="1"/>
  <c r="R29" i="1"/>
  <c r="R55" i="1"/>
  <c r="R122" i="1"/>
  <c r="R81" i="1"/>
  <c r="R47" i="1"/>
  <c r="R121" i="1"/>
  <c r="R111" i="1"/>
  <c r="R9" i="1"/>
  <c r="P120" i="1"/>
  <c r="Q120" i="1" s="1"/>
  <c r="R87" i="1"/>
  <c r="R8" i="1"/>
  <c r="R117" i="1"/>
  <c r="R119" i="1"/>
  <c r="R17" i="1"/>
  <c r="R24" i="1"/>
  <c r="R118" i="1"/>
  <c r="T47" i="1" l="1"/>
  <c r="U47" i="1" s="1"/>
  <c r="O47" i="1" s="1"/>
  <c r="T25" i="1"/>
  <c r="U25" i="1" s="1"/>
  <c r="O25" i="1" s="1"/>
  <c r="T8" i="1"/>
  <c r="U8" i="1" s="1"/>
  <c r="O8" i="1" s="1"/>
  <c r="T9" i="1"/>
  <c r="U9" i="1" s="1"/>
  <c r="O9" i="1" s="1"/>
  <c r="T98" i="1"/>
  <c r="U98" i="1" s="1"/>
  <c r="O98" i="1" s="1"/>
  <c r="T64" i="1"/>
  <c r="U64" i="1" s="1"/>
  <c r="O64" i="1" s="1"/>
  <c r="T99" i="1"/>
  <c r="U99" i="1" s="1"/>
  <c r="O99" i="1" s="1"/>
  <c r="T68" i="1"/>
  <c r="U68" i="1" s="1"/>
  <c r="O68" i="1" s="1"/>
  <c r="T80" i="1"/>
  <c r="U80" i="1" s="1"/>
  <c r="O80" i="1" s="1"/>
  <c r="T55" i="1"/>
  <c r="U55" i="1" s="1"/>
  <c r="O55" i="1" s="1"/>
  <c r="T193" i="1"/>
  <c r="T61" i="1"/>
  <c r="U61" i="1" s="1"/>
  <c r="O61" i="1" s="1"/>
  <c r="T101" i="1"/>
  <c r="U101" i="1" s="1"/>
  <c r="O101" i="1" s="1"/>
  <c r="T93" i="1"/>
  <c r="U93" i="1" s="1"/>
  <c r="O93" i="1" s="1"/>
  <c r="T108" i="1"/>
  <c r="T30" i="1"/>
  <c r="U30" i="1" s="1"/>
  <c r="O30" i="1" s="1"/>
  <c r="T122" i="1"/>
  <c r="U122" i="1" s="1"/>
  <c r="O122" i="1" s="1"/>
  <c r="T46" i="1"/>
  <c r="U46" i="1" s="1"/>
  <c r="O46" i="1" s="1"/>
  <c r="T12" i="1"/>
  <c r="U12" i="1" s="1"/>
  <c r="O12" i="1" s="1"/>
  <c r="T91" i="1"/>
  <c r="U91" i="1" s="1"/>
  <c r="O91" i="1" s="1"/>
  <c r="T81" i="1"/>
  <c r="U81" i="1" s="1"/>
  <c r="O81" i="1" s="1"/>
  <c r="T15" i="1"/>
  <c r="U15" i="1" s="1"/>
  <c r="O15" i="1" s="1"/>
  <c r="T89" i="1"/>
  <c r="U89" i="1" s="1"/>
  <c r="O89" i="1" s="1"/>
  <c r="T103" i="1"/>
  <c r="T16" i="1"/>
  <c r="U16" i="1" s="1"/>
  <c r="T29" i="1"/>
  <c r="T35" i="1"/>
  <c r="U35" i="1" s="1"/>
  <c r="O35" i="1" s="1"/>
  <c r="T115" i="1"/>
  <c r="T32" i="1"/>
  <c r="U32" i="1" s="1"/>
  <c r="O32" i="1" s="1"/>
  <c r="T70" i="1"/>
  <c r="U70" i="1" s="1"/>
  <c r="T62" i="1"/>
  <c r="U62" i="1" s="1"/>
  <c r="O62" i="1" s="1"/>
  <c r="T31" i="1"/>
  <c r="U31" i="1" s="1"/>
  <c r="O31" i="1" s="1"/>
  <c r="T82" i="1"/>
  <c r="U82" i="1" s="1"/>
  <c r="O82" i="1" s="1"/>
  <c r="T105" i="1"/>
  <c r="U105" i="1" s="1"/>
  <c r="O105" i="1" s="1"/>
  <c r="T190" i="1"/>
  <c r="T17" i="1"/>
  <c r="U17" i="1" s="1"/>
  <c r="O17" i="1" s="1"/>
  <c r="T79" i="1"/>
  <c r="U79" i="1" s="1"/>
  <c r="O79" i="1" s="1"/>
  <c r="T6" i="1"/>
  <c r="U6" i="1" s="1"/>
  <c r="O6" i="1" s="1"/>
  <c r="T84" i="1"/>
  <c r="U84" i="1" s="1"/>
  <c r="O84" i="1" s="1"/>
  <c r="T197" i="1"/>
  <c r="T106" i="1"/>
  <c r="T187" i="1"/>
  <c r="T94" i="1"/>
  <c r="U94" i="1" s="1"/>
  <c r="O94" i="1" s="1"/>
  <c r="T39" i="1"/>
  <c r="U39" i="1" s="1"/>
  <c r="O39" i="1" s="1"/>
  <c r="T26" i="1"/>
  <c r="U26" i="1" s="1"/>
  <c r="O26" i="1" s="1"/>
  <c r="T107" i="1"/>
  <c r="T14" i="1"/>
  <c r="U14" i="1" s="1"/>
  <c r="O14" i="1" s="1"/>
  <c r="T95" i="1"/>
  <c r="U95" i="1" s="1"/>
  <c r="O95" i="1" s="1"/>
  <c r="T37" i="1"/>
  <c r="U37" i="1" s="1"/>
  <c r="O37" i="1" s="1"/>
  <c r="T43" i="1"/>
  <c r="U43" i="1" s="1"/>
  <c r="O43" i="1" s="1"/>
  <c r="T41" i="1"/>
  <c r="U41" i="1" s="1"/>
  <c r="O41" i="1" s="1"/>
  <c r="T19" i="1"/>
  <c r="T109" i="1"/>
  <c r="U109" i="1" s="1"/>
  <c r="O109" i="1" s="1"/>
  <c r="T33" i="1"/>
  <c r="U33" i="1" s="1"/>
  <c r="O33" i="1" s="1"/>
  <c r="T66" i="1"/>
  <c r="U66" i="1" s="1"/>
  <c r="O66" i="1" s="1"/>
  <c r="T87" i="1"/>
  <c r="U87" i="1" s="1"/>
  <c r="O87" i="1" s="1"/>
  <c r="T3" i="1"/>
  <c r="U100" i="1"/>
  <c r="O100" i="1" s="1"/>
  <c r="T69" i="1"/>
  <c r="T274" i="1"/>
  <c r="T226" i="1"/>
  <c r="T7" i="1"/>
  <c r="U7" i="1" s="1"/>
  <c r="O7" i="1" s="1"/>
  <c r="T11" i="1"/>
  <c r="U11" i="1" s="1"/>
  <c r="O11" i="1" s="1"/>
  <c r="T215" i="1"/>
  <c r="T113" i="1"/>
  <c r="U113" i="1" s="1"/>
  <c r="O113" i="1" s="1"/>
  <c r="T104" i="1"/>
  <c r="U104" i="1" s="1"/>
  <c r="O104" i="1" s="1"/>
  <c r="T83" i="1"/>
  <c r="U83" i="1" s="1"/>
  <c r="O83" i="1" s="1"/>
  <c r="T65" i="1"/>
  <c r="U65" i="1" s="1"/>
  <c r="O65" i="1" s="1"/>
  <c r="T23" i="1"/>
  <c r="U23" i="1" s="1"/>
  <c r="O23" i="1" s="1"/>
  <c r="T53" i="1"/>
  <c r="U53" i="1" s="1"/>
  <c r="O53" i="1" s="1"/>
  <c r="T42" i="1"/>
  <c r="U42" i="1" s="1"/>
  <c r="O42" i="1" s="1"/>
  <c r="T50" i="1"/>
  <c r="U50" i="1" s="1"/>
  <c r="O50" i="1" s="1"/>
  <c r="T85" i="1"/>
  <c r="T44" i="1"/>
  <c r="U44" i="1" s="1"/>
  <c r="O44" i="1" s="1"/>
  <c r="T2" i="1"/>
  <c r="U2" i="1" s="1"/>
  <c r="O2" i="1" s="1"/>
  <c r="T18" i="1"/>
  <c r="U18" i="1" s="1"/>
  <c r="O18" i="1" s="1"/>
  <c r="T96" i="1"/>
  <c r="U96" i="1" s="1"/>
  <c r="O96" i="1" s="1"/>
  <c r="T118" i="1"/>
  <c r="U118" i="1" s="1"/>
  <c r="O118" i="1" s="1"/>
  <c r="T111" i="1"/>
  <c r="U111" i="1" s="1"/>
  <c r="O111" i="1" s="1"/>
  <c r="T51" i="1"/>
  <c r="U51" i="1" s="1"/>
  <c r="O51" i="1" s="1"/>
  <c r="T114" i="1"/>
  <c r="U114" i="1" s="1"/>
  <c r="O114" i="1" s="1"/>
  <c r="T38" i="1"/>
  <c r="U38" i="1" s="1"/>
  <c r="O38" i="1" s="1"/>
  <c r="T57" i="1"/>
  <c r="U57" i="1" s="1"/>
  <c r="O57" i="1" s="1"/>
  <c r="T288" i="1"/>
  <c r="T121" i="1"/>
  <c r="U121" i="1" s="1"/>
  <c r="O121" i="1" s="1"/>
  <c r="T76" i="1"/>
  <c r="U76" i="1" s="1"/>
  <c r="O76" i="1" s="1"/>
  <c r="T73" i="1"/>
  <c r="U73" i="1" s="1"/>
  <c r="O73" i="1" s="1"/>
  <c r="T56" i="1"/>
  <c r="U56" i="1" s="1"/>
  <c r="O56" i="1" s="1"/>
  <c r="T88" i="1"/>
  <c r="U88" i="1" s="1"/>
  <c r="O88" i="1" s="1"/>
  <c r="T24" i="1"/>
  <c r="U24" i="1" s="1"/>
  <c r="O24" i="1" s="1"/>
  <c r="T203" i="1"/>
  <c r="T110" i="1"/>
  <c r="U110" i="1" s="1"/>
  <c r="O110" i="1" s="1"/>
  <c r="T74" i="1"/>
  <c r="U74" i="1" s="1"/>
  <c r="O74" i="1" s="1"/>
  <c r="T34" i="1"/>
  <c r="U34" i="1" s="1"/>
  <c r="O34" i="1" s="1"/>
  <c r="T58" i="1"/>
  <c r="U58" i="1" s="1"/>
  <c r="O58" i="1" s="1"/>
  <c r="T45" i="1"/>
  <c r="U45" i="1" s="1"/>
  <c r="O45" i="1" s="1"/>
  <c r="T72" i="1"/>
  <c r="U72" i="1" s="1"/>
  <c r="O72" i="1" s="1"/>
  <c r="T195" i="1"/>
  <c r="T20" i="1"/>
  <c r="U20" i="1" s="1"/>
  <c r="O20" i="1" s="1"/>
  <c r="T5" i="1"/>
  <c r="U5" i="1" s="1"/>
  <c r="O5" i="1" s="1"/>
  <c r="T112" i="1"/>
  <c r="U112" i="1" s="1"/>
  <c r="O112" i="1" s="1"/>
  <c r="T67" i="1"/>
  <c r="U67" i="1" s="1"/>
  <c r="O67" i="1" s="1"/>
  <c r="T117" i="1"/>
  <c r="U117" i="1" s="1"/>
  <c r="O117" i="1" s="1"/>
  <c r="T63" i="1"/>
  <c r="T40" i="1"/>
  <c r="U40" i="1" s="1"/>
  <c r="O40" i="1" s="1"/>
  <c r="T27" i="1"/>
  <c r="U27" i="1" s="1"/>
  <c r="O27" i="1" s="1"/>
  <c r="T13" i="1"/>
  <c r="T116" i="1"/>
  <c r="T199" i="1"/>
  <c r="T48" i="1"/>
  <c r="U48" i="1" s="1"/>
  <c r="O48" i="1" s="1"/>
  <c r="T21" i="1"/>
  <c r="U21" i="1" s="1"/>
  <c r="O21" i="1" s="1"/>
  <c r="T59" i="1"/>
  <c r="U59" i="1" s="1"/>
  <c r="O59" i="1" s="1"/>
  <c r="T36" i="1"/>
  <c r="U36" i="1" s="1"/>
  <c r="O36" i="1" s="1"/>
  <c r="T124" i="1"/>
  <c r="U124" i="1" s="1"/>
  <c r="O124" i="1" s="1"/>
  <c r="T10" i="1"/>
  <c r="U10" i="1" s="1"/>
  <c r="O10" i="1" s="1"/>
  <c r="T52" i="1"/>
  <c r="U52" i="1" s="1"/>
  <c r="O52" i="1" s="1"/>
  <c r="T71" i="1"/>
  <c r="U71" i="1" s="1"/>
  <c r="O71" i="1" s="1"/>
  <c r="T201" i="1"/>
  <c r="T77" i="1"/>
  <c r="U77" i="1" s="1"/>
  <c r="O77" i="1" s="1"/>
  <c r="T49" i="1"/>
  <c r="U49" i="1" s="1"/>
  <c r="O49" i="1" s="1"/>
  <c r="T206" i="1"/>
  <c r="T119" i="1"/>
  <c r="U119" i="1" s="1"/>
  <c r="O119" i="1" s="1"/>
  <c r="T4" i="1"/>
  <c r="T60" i="1"/>
  <c r="U60" i="1" s="1"/>
  <c r="O60" i="1" s="1"/>
  <c r="T92" i="1"/>
  <c r="T102" i="1"/>
  <c r="T97" i="1"/>
  <c r="R232" i="1"/>
  <c r="R290" i="1"/>
  <c r="R54" i="1"/>
  <c r="R146" i="1"/>
  <c r="R188" i="1"/>
  <c r="R217" i="1"/>
  <c r="R272" i="1"/>
  <c r="R133" i="1"/>
  <c r="R155" i="1"/>
  <c r="R143" i="1"/>
  <c r="R165" i="1"/>
  <c r="R173" i="1"/>
  <c r="R189" i="1"/>
  <c r="R198" i="1"/>
  <c r="R218" i="1"/>
  <c r="R257" i="1"/>
  <c r="R273" i="1"/>
  <c r="R127" i="1"/>
  <c r="R158" i="1"/>
  <c r="R207" i="1"/>
  <c r="R227" i="1"/>
  <c r="R258" i="1"/>
  <c r="R282" i="1"/>
  <c r="R224" i="1"/>
  <c r="R128" i="1"/>
  <c r="R228" i="1"/>
  <c r="R147" i="1"/>
  <c r="R221" i="1"/>
  <c r="R236" i="1"/>
  <c r="R252" i="1"/>
  <c r="R161" i="1"/>
  <c r="R213" i="1"/>
  <c r="R245" i="1"/>
  <c r="R253" i="1"/>
  <c r="R293" i="1"/>
  <c r="R233" i="1"/>
  <c r="R156" i="1"/>
  <c r="R300" i="1"/>
  <c r="R299" i="1"/>
  <c r="R298" i="1"/>
  <c r="R297" i="1"/>
  <c r="R296" i="1"/>
  <c r="R295" i="1"/>
  <c r="R294" i="1"/>
  <c r="R292" i="1"/>
  <c r="R291" i="1"/>
  <c r="R289" i="1"/>
  <c r="R287" i="1"/>
  <c r="R286" i="1"/>
  <c r="R285" i="1"/>
  <c r="R284" i="1"/>
  <c r="R283" i="1"/>
  <c r="R281" i="1"/>
  <c r="R280" i="1"/>
  <c r="R279" i="1"/>
  <c r="R278" i="1"/>
  <c r="R277" i="1"/>
  <c r="R276" i="1"/>
  <c r="R275" i="1"/>
  <c r="R248" i="1"/>
  <c r="R240" i="1"/>
  <c r="R256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5" i="1"/>
  <c r="R254" i="1"/>
  <c r="R251" i="1"/>
  <c r="R250" i="1"/>
  <c r="R249" i="1"/>
  <c r="R247" i="1"/>
  <c r="R246" i="1"/>
  <c r="R244" i="1"/>
  <c r="R243" i="1"/>
  <c r="R242" i="1"/>
  <c r="R241" i="1"/>
  <c r="R239" i="1"/>
  <c r="R238" i="1"/>
  <c r="R237" i="1"/>
  <c r="R235" i="1"/>
  <c r="R234" i="1"/>
  <c r="R134" i="1"/>
  <c r="R172" i="1"/>
  <c r="R145" i="1"/>
  <c r="R216" i="1"/>
  <c r="R231" i="1"/>
  <c r="R230" i="1"/>
  <c r="R229" i="1"/>
  <c r="R225" i="1"/>
  <c r="R223" i="1"/>
  <c r="R222" i="1"/>
  <c r="R220" i="1"/>
  <c r="R219" i="1"/>
  <c r="R210" i="1"/>
  <c r="R209" i="1"/>
  <c r="R211" i="1"/>
  <c r="R214" i="1"/>
  <c r="R212" i="1"/>
  <c r="R208" i="1"/>
  <c r="R205" i="1"/>
  <c r="R204" i="1"/>
  <c r="R202" i="1"/>
  <c r="R200" i="1"/>
  <c r="R196" i="1"/>
  <c r="R194" i="1"/>
  <c r="R192" i="1"/>
  <c r="R191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1" i="1"/>
  <c r="R170" i="1"/>
  <c r="R169" i="1"/>
  <c r="R168" i="1"/>
  <c r="R167" i="1"/>
  <c r="R166" i="1"/>
  <c r="R164" i="1"/>
  <c r="R163" i="1"/>
  <c r="R162" i="1"/>
  <c r="R160" i="1"/>
  <c r="R159" i="1"/>
  <c r="R157" i="1"/>
  <c r="R154" i="1"/>
  <c r="R153" i="1"/>
  <c r="R152" i="1"/>
  <c r="R151" i="1"/>
  <c r="R150" i="1"/>
  <c r="R149" i="1"/>
  <c r="R148" i="1"/>
  <c r="R135" i="1"/>
  <c r="R144" i="1"/>
  <c r="R126" i="1"/>
  <c r="R142" i="1"/>
  <c r="R141" i="1"/>
  <c r="R140" i="1"/>
  <c r="R139" i="1"/>
  <c r="R138" i="1"/>
  <c r="R137" i="1"/>
  <c r="R136" i="1"/>
  <c r="R132" i="1"/>
  <c r="R131" i="1"/>
  <c r="R130" i="1"/>
  <c r="R129" i="1"/>
  <c r="R22" i="1"/>
  <c r="R125" i="1"/>
  <c r="R86" i="1"/>
  <c r="R78" i="1"/>
  <c r="R75" i="1"/>
  <c r="R123" i="1"/>
  <c r="R120" i="1"/>
  <c r="T230" i="1" l="1"/>
  <c r="U230" i="1" s="1"/>
  <c r="O230" i="1" s="1"/>
  <c r="T239" i="1"/>
  <c r="U239" i="1" s="1"/>
  <c r="O239" i="1" s="1"/>
  <c r="T200" i="1"/>
  <c r="T186" i="1"/>
  <c r="T278" i="1"/>
  <c r="U278" i="1" s="1"/>
  <c r="O278" i="1" s="1"/>
  <c r="T211" i="1"/>
  <c r="T284" i="1"/>
  <c r="U284" i="1" s="1"/>
  <c r="O284" i="1" s="1"/>
  <c r="T164" i="1"/>
  <c r="U164" i="1" s="1"/>
  <c r="O164" i="1" s="1"/>
  <c r="T270" i="1"/>
  <c r="T216" i="1"/>
  <c r="U216" i="1" s="1"/>
  <c r="O216" i="1" s="1"/>
  <c r="T169" i="1"/>
  <c r="U169" i="1" s="1"/>
  <c r="O169" i="1" s="1"/>
  <c r="T175" i="1"/>
  <c r="U175" i="1" s="1"/>
  <c r="O175" i="1" s="1"/>
  <c r="T276" i="1"/>
  <c r="U276" i="1" s="1"/>
  <c r="O276" i="1" s="1"/>
  <c r="T120" i="1"/>
  <c r="U120" i="1" s="1"/>
  <c r="O120" i="1" s="1"/>
  <c r="T141" i="1"/>
  <c r="U141" i="1" s="1"/>
  <c r="O141" i="1" s="1"/>
  <c r="T237" i="1"/>
  <c r="U237" i="1" s="1"/>
  <c r="O237" i="1" s="1"/>
  <c r="T154" i="1"/>
  <c r="U154" i="1" s="1"/>
  <c r="O154" i="1" s="1"/>
  <c r="T238" i="1"/>
  <c r="U238" i="1" s="1"/>
  <c r="O238" i="1" s="1"/>
  <c r="T162" i="1"/>
  <c r="U162" i="1" s="1"/>
  <c r="O162" i="1" s="1"/>
  <c r="T181" i="1"/>
  <c r="U181" i="1" s="1"/>
  <c r="O181" i="1" s="1"/>
  <c r="T295" i="1"/>
  <c r="U295" i="1" s="1"/>
  <c r="O295" i="1" s="1"/>
  <c r="T231" i="1"/>
  <c r="U231" i="1" s="1"/>
  <c r="O231" i="1" s="1"/>
  <c r="T246" i="1"/>
  <c r="U246" i="1" s="1"/>
  <c r="O246" i="1" s="1"/>
  <c r="T296" i="1"/>
  <c r="U296" i="1" s="1"/>
  <c r="O296" i="1" s="1"/>
  <c r="T287" i="1"/>
  <c r="U287" i="1" s="1"/>
  <c r="O287" i="1" s="1"/>
  <c r="T180" i="1"/>
  <c r="U180" i="1" s="1"/>
  <c r="O180" i="1" s="1"/>
  <c r="T191" i="1"/>
  <c r="U191" i="1" s="1"/>
  <c r="O191" i="1" s="1"/>
  <c r="T251" i="1"/>
  <c r="U251" i="1" s="1"/>
  <c r="O251" i="1" s="1"/>
  <c r="T264" i="1"/>
  <c r="U264" i="1" s="1"/>
  <c r="O264" i="1" s="1"/>
  <c r="T271" i="1"/>
  <c r="T240" i="1"/>
  <c r="U240" i="1" s="1"/>
  <c r="O240" i="1" s="1"/>
  <c r="T214" i="1"/>
  <c r="T202" i="1"/>
  <c r="T258" i="1"/>
  <c r="U258" i="1" s="1"/>
  <c r="O258" i="1" s="1"/>
  <c r="T291" i="1"/>
  <c r="U291" i="1" s="1"/>
  <c r="O291" i="1" s="1"/>
  <c r="T285" i="1"/>
  <c r="U285" i="1" s="1"/>
  <c r="O285" i="1" s="1"/>
  <c r="T259" i="1"/>
  <c r="U259" i="1" s="1"/>
  <c r="O259" i="1" s="1"/>
  <c r="T160" i="1"/>
  <c r="U160" i="1" s="1"/>
  <c r="O160" i="1" s="1"/>
  <c r="T126" i="1"/>
  <c r="U126" i="1" s="1"/>
  <c r="O126" i="1" s="1"/>
  <c r="T297" i="1"/>
  <c r="U297" i="1" s="1"/>
  <c r="O297" i="1" s="1"/>
  <c r="T263" i="1"/>
  <c r="U263" i="1" s="1"/>
  <c r="O263" i="1" s="1"/>
  <c r="T148" i="1"/>
  <c r="U148" i="1" s="1"/>
  <c r="T179" i="1"/>
  <c r="U179" i="1" s="1"/>
  <c r="O179" i="1" s="1"/>
  <c r="T156" i="1"/>
  <c r="U156" i="1" s="1"/>
  <c r="O156" i="1" s="1"/>
  <c r="T283" i="1"/>
  <c r="U283" i="1" s="1"/>
  <c r="O283" i="1" s="1"/>
  <c r="T185" i="1"/>
  <c r="T277" i="1"/>
  <c r="U277" i="1" s="1"/>
  <c r="O277" i="1" s="1"/>
  <c r="T137" i="1"/>
  <c r="U137" i="1" s="1"/>
  <c r="O137" i="1" s="1"/>
  <c r="T135" i="1"/>
  <c r="U135" i="1" s="1"/>
  <c r="O135" i="1" s="1"/>
  <c r="T250" i="1"/>
  <c r="U250" i="1" s="1"/>
  <c r="O250" i="1" s="1"/>
  <c r="T279" i="1"/>
  <c r="U279" i="1" s="1"/>
  <c r="O279" i="1" s="1"/>
  <c r="T228" i="1"/>
  <c r="U228" i="1" s="1"/>
  <c r="O228" i="1" s="1"/>
  <c r="T127" i="1"/>
  <c r="U127" i="1" s="1"/>
  <c r="O127" i="1" s="1"/>
  <c r="T143" i="1"/>
  <c r="U143" i="1" s="1"/>
  <c r="O143" i="1" s="1"/>
  <c r="T217" i="1"/>
  <c r="U217" i="1" s="1"/>
  <c r="O217" i="1" s="1"/>
  <c r="T267" i="1"/>
  <c r="U267" i="1" s="1"/>
  <c r="O267" i="1" s="1"/>
  <c r="T280" i="1"/>
  <c r="U280" i="1" s="1"/>
  <c r="O280" i="1" s="1"/>
  <c r="T189" i="1"/>
  <c r="T188" i="1"/>
  <c r="T86" i="1"/>
  <c r="T152" i="1"/>
  <c r="U152" i="1" s="1"/>
  <c r="O152" i="1" s="1"/>
  <c r="T132" i="1"/>
  <c r="U132" i="1" s="1"/>
  <c r="O132" i="1" s="1"/>
  <c r="T212" i="1"/>
  <c r="T255" i="1"/>
  <c r="U255" i="1" s="1"/>
  <c r="O255" i="1" s="1"/>
  <c r="T167" i="1"/>
  <c r="U167" i="1" s="1"/>
  <c r="O167" i="1" s="1"/>
  <c r="T123" i="1"/>
  <c r="U123" i="1" s="1"/>
  <c r="O123" i="1" s="1"/>
  <c r="T299" i="1"/>
  <c r="U299" i="1" s="1"/>
  <c r="O299" i="1" s="1"/>
  <c r="T248" i="1"/>
  <c r="U248" i="1" s="1"/>
  <c r="O248" i="1" s="1"/>
  <c r="T75" i="1"/>
  <c r="T293" i="1"/>
  <c r="U293" i="1" s="1"/>
  <c r="O293" i="1" s="1"/>
  <c r="T161" i="1"/>
  <c r="U161" i="1" s="1"/>
  <c r="T147" i="1"/>
  <c r="U147" i="1" s="1"/>
  <c r="O147" i="1" s="1"/>
  <c r="T282" i="1"/>
  <c r="U282" i="1" s="1"/>
  <c r="O282" i="1" s="1"/>
  <c r="T158" i="1"/>
  <c r="U158" i="1" s="1"/>
  <c r="O158" i="1" s="1"/>
  <c r="T218" i="1"/>
  <c r="U218" i="1" s="1"/>
  <c r="O218" i="1" s="1"/>
  <c r="T165" i="1"/>
  <c r="U165" i="1" s="1"/>
  <c r="O165" i="1" s="1"/>
  <c r="T272" i="1"/>
  <c r="T166" i="1"/>
  <c r="U166" i="1" s="1"/>
  <c r="O166" i="1" s="1"/>
  <c r="T289" i="1"/>
  <c r="T78" i="1"/>
  <c r="U78" i="1" s="1"/>
  <c r="O78" i="1" s="1"/>
  <c r="T219" i="1"/>
  <c r="U219" i="1" s="1"/>
  <c r="O219" i="1" s="1"/>
  <c r="T235" i="1"/>
  <c r="U235" i="1" s="1"/>
  <c r="O235" i="1" s="1"/>
  <c r="T177" i="1"/>
  <c r="U177" i="1" s="1"/>
  <c r="O177" i="1" s="1"/>
  <c r="U102" i="1"/>
  <c r="O102" i="1" s="1"/>
  <c r="T209" i="1"/>
  <c r="U209" i="1" s="1"/>
  <c r="O209" i="1" s="1"/>
  <c r="T286" i="1"/>
  <c r="U286" i="1" s="1"/>
  <c r="O286" i="1" s="1"/>
  <c r="T210" i="1"/>
  <c r="U210" i="1" s="1"/>
  <c r="O210" i="1" s="1"/>
  <c r="T144" i="1"/>
  <c r="U144" i="1" s="1"/>
  <c r="O144" i="1" s="1"/>
  <c r="T208" i="1"/>
  <c r="U208" i="1" s="1"/>
  <c r="O208" i="1" s="1"/>
  <c r="T245" i="1"/>
  <c r="U245" i="1" s="1"/>
  <c r="O245" i="1" s="1"/>
  <c r="T236" i="1"/>
  <c r="U236" i="1" s="1"/>
  <c r="O236" i="1" s="1"/>
  <c r="T128" i="1"/>
  <c r="U128" i="1" s="1"/>
  <c r="O128" i="1" s="1"/>
  <c r="T227" i="1"/>
  <c r="U227" i="1" s="1"/>
  <c r="O227" i="1" s="1"/>
  <c r="T273" i="1"/>
  <c r="T155" i="1"/>
  <c r="U155" i="1" s="1"/>
  <c r="O155" i="1" s="1"/>
  <c r="T275" i="1"/>
  <c r="U275" i="1" s="1"/>
  <c r="O275" i="1" s="1"/>
  <c r="T220" i="1"/>
  <c r="U220" i="1" s="1"/>
  <c r="O220" i="1" s="1"/>
  <c r="T131" i="1"/>
  <c r="U131" i="1" s="1"/>
  <c r="O131" i="1" s="1"/>
  <c r="T136" i="1"/>
  <c r="U136" i="1" s="1"/>
  <c r="O136" i="1" s="1"/>
  <c r="T139" i="1"/>
  <c r="U139" i="1" s="1"/>
  <c r="O139" i="1" s="1"/>
  <c r="T157" i="1"/>
  <c r="U157" i="1" s="1"/>
  <c r="O157" i="1" s="1"/>
  <c r="T145" i="1"/>
  <c r="U145" i="1" s="1"/>
  <c r="O145" i="1" s="1"/>
  <c r="T172" i="1"/>
  <c r="U172" i="1" s="1"/>
  <c r="O172" i="1" s="1"/>
  <c r="T204" i="1"/>
  <c r="T194" i="1"/>
  <c r="T268" i="1"/>
  <c r="T281" i="1"/>
  <c r="U281" i="1" s="1"/>
  <c r="O281" i="1" s="1"/>
  <c r="T149" i="1"/>
  <c r="U149" i="1" s="1"/>
  <c r="O149" i="1" s="1"/>
  <c r="T196" i="1"/>
  <c r="T153" i="1"/>
  <c r="U153" i="1" s="1"/>
  <c r="O153" i="1" s="1"/>
  <c r="T222" i="1"/>
  <c r="U222" i="1" s="1"/>
  <c r="O222" i="1" s="1"/>
  <c r="T260" i="1"/>
  <c r="U260" i="1" s="1"/>
  <c r="O260" i="1" s="1"/>
  <c r="T159" i="1"/>
  <c r="U159" i="1" s="1"/>
  <c r="O159" i="1" s="1"/>
  <c r="T213" i="1"/>
  <c r="U213" i="1" s="1"/>
  <c r="O213" i="1" s="1"/>
  <c r="T221" i="1"/>
  <c r="U221" i="1" s="1"/>
  <c r="O221" i="1" s="1"/>
  <c r="T224" i="1"/>
  <c r="U224" i="1" s="1"/>
  <c r="O224" i="1" s="1"/>
  <c r="T207" i="1"/>
  <c r="U207" i="1" s="1"/>
  <c r="O207" i="1" s="1"/>
  <c r="T257" i="1"/>
  <c r="U257" i="1" s="1"/>
  <c r="O257" i="1" s="1"/>
  <c r="T173" i="1"/>
  <c r="U173" i="1" s="1"/>
  <c r="O173" i="1" s="1"/>
  <c r="T133" i="1"/>
  <c r="U133" i="1" s="1"/>
  <c r="O133" i="1" s="1"/>
  <c r="T146" i="1"/>
  <c r="U146" i="1" s="1"/>
  <c r="O146" i="1" s="1"/>
  <c r="T232" i="1"/>
  <c r="T151" i="1"/>
  <c r="U151" i="1" s="1"/>
  <c r="O151" i="1" s="1"/>
  <c r="T234" i="1"/>
  <c r="U234" i="1" s="1"/>
  <c r="O234" i="1" s="1"/>
  <c r="T265" i="1"/>
  <c r="U265" i="1" s="1"/>
  <c r="O265" i="1" s="1"/>
  <c r="T54" i="1"/>
  <c r="U54" i="1" s="1"/>
  <c r="O54" i="1" s="1"/>
  <c r="T256" i="1"/>
  <c r="U256" i="1" s="1"/>
  <c r="O256" i="1" s="1"/>
  <c r="U92" i="1"/>
  <c r="O92" i="1" s="1"/>
  <c r="T262" i="1"/>
  <c r="U262" i="1" s="1"/>
  <c r="O262" i="1" s="1"/>
  <c r="T178" i="1"/>
  <c r="U178" i="1" s="1"/>
  <c r="O178" i="1" s="1"/>
  <c r="T229" i="1"/>
  <c r="U229" i="1" s="1"/>
  <c r="O229" i="1" s="1"/>
  <c r="T192" i="1"/>
  <c r="T171" i="1"/>
  <c r="U171" i="1" s="1"/>
  <c r="O171" i="1" s="1"/>
  <c r="T290" i="1"/>
  <c r="U290" i="1" s="1"/>
  <c r="O290" i="1" s="1"/>
  <c r="T183" i="1"/>
  <c r="U183" i="1" s="1"/>
  <c r="O183" i="1" s="1"/>
  <c r="T261" i="1"/>
  <c r="U261" i="1" s="1"/>
  <c r="O261" i="1" s="1"/>
  <c r="T138" i="1"/>
  <c r="U138" i="1" s="1"/>
  <c r="O138" i="1" s="1"/>
  <c r="T241" i="1"/>
  <c r="U241" i="1" s="1"/>
  <c r="O241" i="1" s="1"/>
  <c r="T163" i="1"/>
  <c r="T300" i="1"/>
  <c r="U300" i="1" s="1"/>
  <c r="O300" i="1" s="1"/>
  <c r="T254" i="1"/>
  <c r="U254" i="1" s="1"/>
  <c r="O254" i="1" s="1"/>
  <c r="T22" i="1"/>
  <c r="T298" i="1"/>
  <c r="U298" i="1" s="1"/>
  <c r="O298" i="1" s="1"/>
  <c r="T182" i="1"/>
  <c r="U182" i="1" s="1"/>
  <c r="O182" i="1" s="1"/>
  <c r="T233" i="1"/>
  <c r="U233" i="1" s="1"/>
  <c r="O233" i="1" s="1"/>
  <c r="T225" i="1"/>
  <c r="T142" i="1"/>
  <c r="U142" i="1" s="1"/>
  <c r="O142" i="1" s="1"/>
  <c r="T292" i="1"/>
  <c r="U292" i="1" s="1"/>
  <c r="O292" i="1" s="1"/>
  <c r="U97" i="1"/>
  <c r="O97" i="1" s="1"/>
  <c r="T170" i="1"/>
  <c r="T249" i="1"/>
  <c r="U249" i="1" s="1"/>
  <c r="O249" i="1" s="1"/>
  <c r="T253" i="1"/>
  <c r="T252" i="1"/>
  <c r="U252" i="1" s="1"/>
  <c r="O252" i="1" s="1"/>
  <c r="T198" i="1"/>
  <c r="T243" i="1"/>
  <c r="U243" i="1" s="1"/>
  <c r="O243" i="1" s="1"/>
  <c r="T174" i="1"/>
  <c r="U174" i="1" s="1"/>
  <c r="O174" i="1" s="1"/>
  <c r="T205" i="1"/>
  <c r="U205" i="1" s="1"/>
  <c r="O205" i="1" s="1"/>
  <c r="T269" i="1"/>
  <c r="T294" i="1"/>
  <c r="U294" i="1" s="1"/>
  <c r="O294" i="1" s="1"/>
  <c r="T223" i="1"/>
  <c r="U223" i="1" s="1"/>
  <c r="O223" i="1" s="1"/>
  <c r="T184" i="1"/>
  <c r="U184" i="1" s="1"/>
  <c r="O184" i="1" s="1"/>
  <c r="T130" i="1"/>
  <c r="T244" i="1"/>
  <c r="T168" i="1"/>
  <c r="U168" i="1" s="1"/>
  <c r="O168" i="1" s="1"/>
  <c r="T242" i="1"/>
  <c r="T247" i="1"/>
  <c r="U247" i="1" s="1"/>
  <c r="O247" i="1" s="1"/>
  <c r="T129" i="1"/>
  <c r="T266" i="1"/>
  <c r="U266" i="1" s="1"/>
  <c r="O266" i="1" s="1"/>
  <c r="T140" i="1"/>
  <c r="U140" i="1" s="1"/>
  <c r="O140" i="1" s="1"/>
  <c r="T176" i="1"/>
  <c r="T125" i="1"/>
  <c r="T150" i="1"/>
  <c r="T134" i="1"/>
  <c r="U150" i="1" l="1"/>
  <c r="O150" i="1" s="1"/>
  <c r="U242" i="1"/>
  <c r="O242" i="1" s="1"/>
  <c r="U125" i="1"/>
  <c r="O125" i="1" s="1"/>
  <c r="U134" i="1"/>
  <c r="O134" i="1" s="1"/>
  <c r="U129" i="1"/>
  <c r="O129" i="1" s="1"/>
  <c r="U244" i="1"/>
  <c r="O244" i="1" s="1"/>
  <c r="U130" i="1"/>
  <c r="O130" i="1" s="1"/>
  <c r="U232" i="1"/>
  <c r="O232" i="1" s="1"/>
  <c r="U176" i="1"/>
  <c r="O17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5EB423-3863-4AC6-B6CA-BE61972FD791}" keepAlive="1" name="Consulta - Articulos" description="Conexión a la consulta 'Articulos' en el libro." type="5" refreshedVersion="0" background="1">
    <dbPr connection="Provider=Microsoft.Mashup.OleDb.1;Data Source=$Workbook$;Location=Articulos;Extended Properties=&quot;&quot;" command="SELECT * FROM [Articulos]"/>
  </connection>
  <connection id="2" xr16:uid="{95F791BD-7BDF-4AD0-844E-2175A26DD6CD}" keepAlive="1" name="Consulta - Cartera" description="Conexión a la consulta 'Cartera' en el libro." type="5" refreshedVersion="0" background="1">
    <dbPr connection="Provider=Microsoft.Mashup.OleDb.1;Data Source=$Workbook$;Location=Cartera;Extended Properties=&quot;&quot;" command="SELECT * FROM [Cartera]"/>
  </connection>
  <connection id="3" xr16:uid="{CD08F30A-85F8-4E55-A3EF-2DFD7853FFC2}" keepAlive="1" name="Consulta - Factura" description="Conexión a la consulta 'Factura' en el libro." type="5" refreshedVersion="0" background="1">
    <dbPr connection="Provider=Microsoft.Mashup.OleDb.1;Data Source=$Workbook$;Location=Factura;Extended Properties=&quot;&quot;" command="SELECT * FROM [Factura]"/>
  </connection>
  <connection id="4" xr16:uid="{B27CA668-B70D-4CA8-A31D-AAFC19BDE773}" keepAlive="1" name="Consulta - Pago" description="Conexión a la consulta 'Pago' en el libro." type="5" refreshedVersion="0" background="1">
    <dbPr connection="Provider=Microsoft.Mashup.OleDb.1;Data Source=$Workbook$;Location=Pago;Extended Properties=&quot;&quot;" command="SELECT * FROM [Pago]"/>
  </connection>
</connections>
</file>

<file path=xl/sharedStrings.xml><?xml version="1.0" encoding="utf-8"?>
<sst xmlns="http://schemas.openxmlformats.org/spreadsheetml/2006/main" count="6126" uniqueCount="2574">
  <si>
    <t>Total Con Factura Electrónica</t>
  </si>
  <si>
    <t>Total Con Proforma</t>
  </si>
  <si>
    <t>Estado</t>
  </si>
  <si>
    <t>ok</t>
  </si>
  <si>
    <t>año FE</t>
  </si>
  <si>
    <t>Año proforma</t>
  </si>
  <si>
    <t>Mes</t>
  </si>
  <si>
    <t>Suma de SUBTOTAL</t>
  </si>
  <si>
    <t>ene</t>
  </si>
  <si>
    <t>Cuenta de IVA</t>
  </si>
  <si>
    <t>feb</t>
  </si>
  <si>
    <t>mar</t>
  </si>
  <si>
    <t>Total general</t>
  </si>
  <si>
    <t>Estado de la Cartera</t>
  </si>
  <si>
    <t>Costo google ADS por cliente</t>
  </si>
  <si>
    <t>Artículo</t>
  </si>
  <si>
    <t>Batería de Riesgo Psicosocial</t>
  </si>
  <si>
    <t>Cliente</t>
  </si>
  <si>
    <t>valor</t>
  </si>
  <si>
    <t>Cuenta de Proforma</t>
  </si>
  <si>
    <t>Suma de Sub Total</t>
  </si>
  <si>
    <t>Conversiones</t>
  </si>
  <si>
    <t>Costo mes</t>
  </si>
  <si>
    <t>Costo unitario</t>
  </si>
  <si>
    <t>ROI</t>
  </si>
  <si>
    <t>Meses</t>
  </si>
  <si>
    <t>Suma de Cartera</t>
  </si>
  <si>
    <t>FIDEICOMISOS SOCIEDAD FIDUCIARIA DE OCCIDENTE SA</t>
  </si>
  <si>
    <t>STAFF SEGUROS AGENCIA LTDA</t>
  </si>
  <si>
    <t>abr</t>
  </si>
  <si>
    <t>CUATRECASAS GONALVES PEREIRA SAS</t>
  </si>
  <si>
    <t>may</t>
  </si>
  <si>
    <t>MARCEGAGLIA COLOMBIA SAS</t>
  </si>
  <si>
    <t>nov</t>
  </si>
  <si>
    <t>ALVEAR ESCOBAR ASOCIADOS S.A.S</t>
  </si>
  <si>
    <t>dic</t>
  </si>
  <si>
    <t>STT Group sucursal colombia SA</t>
  </si>
  <si>
    <t>(Todas)</t>
  </si>
  <si>
    <t>mediciones</t>
  </si>
  <si>
    <t>SST</t>
  </si>
  <si>
    <t>profesiograma</t>
  </si>
  <si>
    <t>capacitacion</t>
  </si>
  <si>
    <t>AVAL VALOR COMPARTIDO S.A.S.</t>
  </si>
  <si>
    <t>CONTROLAR SALUD INTEGRAL SAS</t>
  </si>
  <si>
    <t>ATECNO S.A.S</t>
  </si>
  <si>
    <t>Inversiones Sajamib SAS</t>
  </si>
  <si>
    <t>CONSTRUCCIONES CIVILES JMR S.A.S</t>
  </si>
  <si>
    <t>AND TOPOGRAFIA E INGENIERIA SAS</t>
  </si>
  <si>
    <t>CAVACOR S.A.S</t>
  </si>
  <si>
    <t>SOLUCIONES CREATIVAS Y TURÍSTICAS</t>
  </si>
  <si>
    <t>TEXTRON S.A</t>
  </si>
  <si>
    <t>FET GROUP SAS</t>
  </si>
  <si>
    <t>PURICOL LTDA</t>
  </si>
  <si>
    <t>ROYCO SOLUCIONES SAS</t>
  </si>
  <si>
    <t>PRODUCTORA INTERAMERICANA DE PLASTICOS S.A.S.</t>
  </si>
  <si>
    <t>CENTRO DE ATENCION E INVESTIGACION MEDICA S.A.S.</t>
  </si>
  <si>
    <t>JIREH SHAMMAH SAS</t>
  </si>
  <si>
    <t>Colombiana de Envases Industriales S. A.</t>
  </si>
  <si>
    <t>CONPORTUARIO LTDA</t>
  </si>
  <si>
    <t>SOLDMANT LTDA</t>
  </si>
  <si>
    <t>INSUMOS VETERINARIOS Y FARMACEUTICOS DE COLOMBIA SAS</t>
  </si>
  <si>
    <t>COEL INGENIERIA LTDA</t>
  </si>
  <si>
    <t>SUPPLYTEC SAS</t>
  </si>
  <si>
    <t>William Hurtado</t>
  </si>
  <si>
    <t>Comercializadora ERZ SAS</t>
  </si>
  <si>
    <t>DIGITAL MEDIA TECHNOLOGIES COLOMBIA SAS</t>
  </si>
  <si>
    <t>Consorcio Sistem IM3</t>
  </si>
  <si>
    <t>TISANAS ORQUIDEAS S.A.S.</t>
  </si>
  <si>
    <t>AXIOMATICA SOLUCIONES TECNOLOGICAS SAS</t>
  </si>
  <si>
    <t>Universidad Santo tomas</t>
  </si>
  <si>
    <t>PASTRY CHEF PASTELERIA Y COCINA GOURMET SAS</t>
  </si>
  <si>
    <t xml:space="preserve">Grupo consultor Andino </t>
  </si>
  <si>
    <t xml:space="preserve">BOCCHERINI S A </t>
  </si>
  <si>
    <t>Megalinea S.A.</t>
  </si>
  <si>
    <t>ETRA INTERANDINA SA</t>
  </si>
  <si>
    <t>ANKER CONSULTORIA Y CONSTRUCCION S A S</t>
  </si>
  <si>
    <t>EVAL.COM CONSULTING SAS</t>
  </si>
  <si>
    <t>NAVAR CATERING SERVICES S.A.S ZOMAC</t>
  </si>
  <si>
    <t>CONSTRUCCIONES MONTAJES Y PARTES Electricas SAS</t>
  </si>
  <si>
    <t>NAVAR SOLUCIONES S.A.S</t>
  </si>
  <si>
    <t>JALO HASHTAG 98 SAS</t>
  </si>
  <si>
    <t>Organizaciones Oliver SAS</t>
  </si>
  <si>
    <t>SEGUROS CUBEROS LTDA</t>
  </si>
  <si>
    <t>IPROMEGA S.A.S.</t>
  </si>
  <si>
    <t>ASEO MOVIL URBANO SAS</t>
  </si>
  <si>
    <t>PILYQ COLOMBIA S.A.S.</t>
  </si>
  <si>
    <t>EXPRESS CLEAN LAVANDERIA</t>
  </si>
  <si>
    <t>Pro service Call center</t>
  </si>
  <si>
    <t>CORPORACION CLUB PAYANDÉ</t>
  </si>
  <si>
    <t>Procesos 2000 S.A.S.</t>
  </si>
  <si>
    <t>INDUSTRIA COLOMBIANA DE PERFILES METALICOS S.A.</t>
  </si>
  <si>
    <t>Aviatek SAS</t>
  </si>
  <si>
    <t>FUNDACION FERNANDO BORRERO CAICEDO</t>
  </si>
  <si>
    <t>PROYECTO COLOMBIA DIVERSA</t>
  </si>
  <si>
    <t>INVERSIONES FRANQUIHER S A S</t>
  </si>
  <si>
    <t>RENAL MEDICAL MARKETING LIMITADA</t>
  </si>
  <si>
    <t>INSTITUCION EDUCATIVA LICEO LOS ANGELES</t>
  </si>
  <si>
    <t xml:space="preserve">SBS SEGUROS COLOMBIA S A </t>
  </si>
  <si>
    <t>FORMADERAS Y CASETONES WP SAS</t>
  </si>
  <si>
    <t>SEQ CONSULTORES LTDA</t>
  </si>
  <si>
    <t>MICROSITIOS SAS</t>
  </si>
  <si>
    <t>SERVIPETROLEOS S.A.S</t>
  </si>
  <si>
    <t>LUCTA GRANCOLOMBIA SAS</t>
  </si>
  <si>
    <t xml:space="preserve">SOFTESTING SAS </t>
  </si>
  <si>
    <t xml:space="preserve">JALO RENT SAS </t>
  </si>
  <si>
    <t>BETA LOGISTIC SERVICES SAS</t>
  </si>
  <si>
    <t xml:space="preserve">VENTAS Y MARCAS SAS </t>
  </si>
  <si>
    <t>TECNOLOGIA DE OFICINA S.A.S.</t>
  </si>
  <si>
    <t>Walsom SAS</t>
  </si>
  <si>
    <t>BIOMETROMED SAS</t>
  </si>
  <si>
    <t>LOGROS FACTORY COLOMBIA S.A</t>
  </si>
  <si>
    <t>WOLTA SAS</t>
  </si>
  <si>
    <t>Ladrillos Ochoa Limitada</t>
  </si>
  <si>
    <t>ww pack SAS</t>
  </si>
  <si>
    <t>Liz Adriana Granados</t>
  </si>
  <si>
    <t>Yuri Katerine Moya Castañeda</t>
  </si>
  <si>
    <t>hilverda Florist</t>
  </si>
  <si>
    <t>ENERGINN S.A.S</t>
  </si>
  <si>
    <t>INVERSIONES MEDICAS DE ANTIOQUIA S.A</t>
  </si>
  <si>
    <t>VUELTACANELA S.A.S</t>
  </si>
  <si>
    <t>Arrigui Asociados SAS</t>
  </si>
  <si>
    <t>Fonseca Abogados Asesoria Empresarial SAS</t>
  </si>
  <si>
    <t>LILIANA MERCEDES ANDRADE SERRANO</t>
  </si>
  <si>
    <t>ROCKETFY S.A.S.</t>
  </si>
  <si>
    <t>CONCESIONARIA DEL DESARROLLO VIAL DE LA SABANA</t>
  </si>
  <si>
    <t>BARRO BLANCO FARMS SAS</t>
  </si>
  <si>
    <t>V2S COLOMBIA SAS</t>
  </si>
  <si>
    <t>LABORATORIOS VIDA STEVIA SA</t>
  </si>
  <si>
    <t>MCCANN ERICKSON CORPORATION S A</t>
  </si>
  <si>
    <t>Maria del Pilar Alvarado Joya</t>
  </si>
  <si>
    <t>CLEAN MAX SAS</t>
  </si>
  <si>
    <t>CONSTRUCCIONES Y SERVICIOS HERMAQUINAS LTDA</t>
  </si>
  <si>
    <t>Claudia Vargas</t>
  </si>
  <si>
    <t>SOLUCIONES INDUSTRIALES MONTERREY SAS</t>
  </si>
  <si>
    <t>K-2 INGENIERIA S.A.S.</t>
  </si>
  <si>
    <t>CHILLER PLANT SERVICES SAS</t>
  </si>
  <si>
    <t>LACTEOS APPENZELL S.A.S</t>
  </si>
  <si>
    <t>Constructora Conconcreto S.A.</t>
  </si>
  <si>
    <t>AUTOMOTORES LLANO GRANDE S. A.</t>
  </si>
  <si>
    <t xml:space="preserve">CONSTRUCTORA DE MARCAS S. A. S. </t>
  </si>
  <si>
    <t>DIPREM CO S.A.S.</t>
  </si>
  <si>
    <t>BBC HOLDING SAS</t>
  </si>
  <si>
    <t>Colegio Integrado Nacional Oriente de Caldas</t>
  </si>
  <si>
    <t>ALFONSO URIBE S &amp; CIA SA</t>
  </si>
  <si>
    <t>LABORATORIO MAXPROTEC S.A.S.</t>
  </si>
  <si>
    <t>RADIOLOGICAL PROTECTION SERVICES SAS</t>
  </si>
  <si>
    <t>Coljuegos</t>
  </si>
  <si>
    <t xml:space="preserve">GENERAL RIKS SERVICES SAS </t>
  </si>
  <si>
    <t>CARNES FRIAS ITALIA SAS</t>
  </si>
  <si>
    <t>Diana Sirley Torres Escalona</t>
  </si>
  <si>
    <t>QUICK HELP S.A.S</t>
  </si>
  <si>
    <t xml:space="preserve">EUROMETRIC COLOMBIA LTDA </t>
  </si>
  <si>
    <t>D&amp;G ASESORES LTDA</t>
  </si>
  <si>
    <t xml:space="preserve">BP CAPITAL SAS </t>
  </si>
  <si>
    <t>EZGO S A</t>
  </si>
  <si>
    <t xml:space="preserve">DEVISAB SAS </t>
  </si>
  <si>
    <t>GB BARRETO Y CIA LTDA - ASESORES DE SEGUROS</t>
  </si>
  <si>
    <t>ELKIN EDUARDO ORTIZ ORTIZ</t>
  </si>
  <si>
    <t>Inversiones Londoño Sepulveda S.A.S</t>
  </si>
  <si>
    <t>ANTIADHERENTES Y MAQUINADOS ARIZAS SAS</t>
  </si>
  <si>
    <t>GRUPO S I E SAS</t>
  </si>
  <si>
    <t>INDUSTRIAS Y SOLUCIONES METALMECANICAS COLOMBIA SAS</t>
  </si>
  <si>
    <t>INSTRUMENTACION Y SOLUCIONES PARA LABORATORIO S A S</t>
  </si>
  <si>
    <t>MAKRO RECICLAJES SAS</t>
  </si>
  <si>
    <t>PACKVISION SAS</t>
  </si>
  <si>
    <t>HACIK SOLUCIONES INTEGRALES DE INGENIERIA SAS</t>
  </si>
  <si>
    <t>PATRIMONIOS AUTONOMOS FIDUCIARIA BANCOLOMBIA S A SOCIEDAD FIDUCIARIA</t>
  </si>
  <si>
    <t>SIMTEC LB S.A.S.</t>
  </si>
  <si>
    <t>Antonio Cely SAS</t>
  </si>
  <si>
    <t>INDU B SAS</t>
  </si>
  <si>
    <t>Terminales Automotrices SA</t>
  </si>
  <si>
    <t>BIENESTAR SEGUROS &amp; CIA LTDA</t>
  </si>
  <si>
    <t>NATALIA GUARNIZO VARON</t>
  </si>
  <si>
    <t xml:space="preserve">ASOCIACION RED DE DEFENSORES Y DEFENSORAS DE DERECHOS HUMANOS </t>
  </si>
  <si>
    <t>MEMCO SAS</t>
  </si>
  <si>
    <t>LC TALLER DE ESCULTURAS SAS</t>
  </si>
  <si>
    <t>CONSTRUCCIONES Y AMBIENTE - CONAMBIENTE - S.A.S</t>
  </si>
  <si>
    <t>HIPRA COLOMBIA SAS</t>
  </si>
  <si>
    <t>BETA SERVICIOS TEMPORALES S A S</t>
  </si>
  <si>
    <t>ECO DESIGN SERVICES SAS</t>
  </si>
  <si>
    <t>VORTICE S.A.S.</t>
  </si>
  <si>
    <t>FEDERACION NACIONAL DE COMERCIANTES FENALCO SECCIONAL BOGOTA CUNDINAMARCA</t>
  </si>
  <si>
    <t>CHOHO COLOMBIA SAS</t>
  </si>
  <si>
    <t>GEARFORM S.A.S.</t>
  </si>
  <si>
    <t>SUPPLYING TOTAL TALENT SAS</t>
  </si>
  <si>
    <t>BLISTECO S.A.S.</t>
  </si>
  <si>
    <t>CAVELIER ABOGADOS S.A.S.</t>
  </si>
  <si>
    <t>BTG DE ANTIOQUIA</t>
  </si>
  <si>
    <t>FUNDACION DE EDUCACION SUPERIOR SAN JOSE FESSANJOSE</t>
  </si>
  <si>
    <t>COMERCIALIZADORA HERREROS SAS</t>
  </si>
  <si>
    <t>H &amp; S FRANQUICIAS SAS</t>
  </si>
  <si>
    <t>PROASCOL S.A.</t>
  </si>
  <si>
    <t>HUTERCOL S.A.S.</t>
  </si>
  <si>
    <t>TBTB GLOBAL LAB SAS</t>
  </si>
  <si>
    <t>BIO ENDOSCOPE LTDA</t>
  </si>
  <si>
    <t>TKARGA SAS</t>
  </si>
  <si>
    <t>GREEN OAK SAS.</t>
  </si>
  <si>
    <t>MELOS Y MELOS SAS</t>
  </si>
  <si>
    <t>COMERCIALIZADORA INTERNACIONAL DYNAMIC TRADING CORPORATION S.A.S</t>
  </si>
  <si>
    <t>CHECOREPUESTOS S A S</t>
  </si>
  <si>
    <t>HERRAMIENTAS UNIDAS S.A.S.</t>
  </si>
  <si>
    <t>COMPAÑIA DE SEGUROS BOLIVAR S A</t>
  </si>
  <si>
    <t>GENUINE LAB S.A.S.</t>
  </si>
  <si>
    <t>AEQUALES SAS</t>
  </si>
  <si>
    <t>HF DOTACIONES SAS</t>
  </si>
  <si>
    <t>EPITHINK HEALTH CONSULTING S.A.S.</t>
  </si>
  <si>
    <t>FRIGOTAURUS SAS</t>
  </si>
  <si>
    <t>GAMBLER GROUP S.A.S.</t>
  </si>
  <si>
    <t>MASTERLINE COLOMBIA SOCIEDAD POR ACCIONES SIMPLIFICADA</t>
  </si>
  <si>
    <t>VALGASIN SAS ESP</t>
  </si>
  <si>
    <t>SMART ENERGY SOLUTIONS SAS</t>
  </si>
  <si>
    <t>B2B TAX LEGAL S.A.S. BIC</t>
  </si>
  <si>
    <t>MARKET TEAM S.A.S.</t>
  </si>
  <si>
    <t>INSTITUTO DISTRITAL DE CIENCIA, BIOTECNOLOGIA E INNOVACION EN SALUD</t>
  </si>
  <si>
    <t>Soluciones Avanzadas de Ingeniería SAS</t>
  </si>
  <si>
    <t>QUALITY WATER SERVICE COLOMBIA SAS</t>
  </si>
  <si>
    <t>GENUINE TECH SAS</t>
  </si>
  <si>
    <t>TRANSPORTES ESPECIALES ALIADOS S.A.S</t>
  </si>
  <si>
    <t>ACTIVOS SAS</t>
  </si>
  <si>
    <t>JUNTA NACIONAL DE CALIFICACION DE INVALIDEZ</t>
  </si>
  <si>
    <t>Banco de Bogota S.A.</t>
  </si>
  <si>
    <t>#N/D</t>
  </si>
  <si>
    <t>Crear - Actualizar Proformas</t>
  </si>
  <si>
    <t>Factura Proforma de Venta</t>
  </si>
  <si>
    <t>Factura Electrónica</t>
  </si>
  <si>
    <t># Proforma:</t>
  </si>
  <si>
    <t># Factura:</t>
  </si>
  <si>
    <t>TIS-1566</t>
  </si>
  <si>
    <t>Fecha:</t>
  </si>
  <si>
    <t>Código</t>
  </si>
  <si>
    <t>Estado:</t>
  </si>
  <si>
    <t>OK</t>
  </si>
  <si>
    <t>INFORMACIÓN DEL CLIENTE</t>
  </si>
  <si>
    <t>Numero id:</t>
  </si>
  <si>
    <t>Nuevo:</t>
  </si>
  <si>
    <t>Tipo Id:</t>
  </si>
  <si>
    <t>Tipo persona:</t>
  </si>
  <si>
    <t>Sr. (es):</t>
  </si>
  <si>
    <t>Nombre comercial:</t>
  </si>
  <si>
    <t>Direccion</t>
  </si>
  <si>
    <t>Email:</t>
  </si>
  <si>
    <t>Municipio:</t>
  </si>
  <si>
    <t>Tel</t>
  </si>
  <si>
    <t>INFORMACIÓN DE LOS ARTÍCULOS</t>
  </si>
  <si>
    <t>Observaciones</t>
  </si>
  <si>
    <t>Cantidad</t>
  </si>
  <si>
    <t>Precio</t>
  </si>
  <si>
    <t>Dto ($)</t>
  </si>
  <si>
    <t>Total ($)</t>
  </si>
  <si>
    <t>IVA ($)</t>
  </si>
  <si>
    <t>Este documento equivalente se asimila en todos sus efectos a una letra de cambio de conformidad con el art. 3, de la Ley 1231 de 2008. Autorizo que en caso de incumplimiento de esta obligación sea reportado a las centrales de riesgo, se cobraran intereses por mora.</t>
  </si>
  <si>
    <t xml:space="preserve">Subtotal precios (=) </t>
  </si>
  <si>
    <t xml:space="preserve">Descuento (-) </t>
  </si>
  <si>
    <t xml:space="preserve">Recargos (+) </t>
  </si>
  <si>
    <t>Subtotal Base gravable (=)</t>
  </si>
  <si>
    <t xml:space="preserve">Observaciones: </t>
  </si>
  <si>
    <t xml:space="preserve">Total IVA (+) </t>
  </si>
  <si>
    <t xml:space="preserve">Total Otros Impuestos (+) </t>
  </si>
  <si>
    <t>Total Mas impuestos (=)</t>
  </si>
  <si>
    <t>Valor Total a Pagar:</t>
  </si>
  <si>
    <t>Razón Social:</t>
  </si>
  <si>
    <t>Tecnología de Innovación y Software SAS BIC</t>
  </si>
  <si>
    <t>Actividad Económica:</t>
  </si>
  <si>
    <t>Identificación:</t>
  </si>
  <si>
    <t>900935453-0</t>
  </si>
  <si>
    <t>Número:</t>
  </si>
  <si>
    <t>P-1060</t>
  </si>
  <si>
    <t>7020- ACTIVIDADES DE CONSULTORIA DE GESTION (6.90/1000)</t>
  </si>
  <si>
    <t>Teléfono:</t>
  </si>
  <si>
    <t>Dirección:</t>
  </si>
  <si>
    <t>Calle 73 A #68 G-33 of 204 Bogotá D.C. Colombia</t>
  </si>
  <si>
    <t xml:space="preserve">Forma de pago y plazo: </t>
  </si>
  <si>
    <t>Según Cotización</t>
  </si>
  <si>
    <t>Régimen Común</t>
  </si>
  <si>
    <t xml:space="preserve">NIT:  </t>
  </si>
  <si>
    <t>CR 7 # 180–75 M1- L2 - Centro Empresarial Codabas</t>
  </si>
  <si>
    <t>Tel:</t>
  </si>
  <si>
    <t>Bogotá</t>
  </si>
  <si>
    <t>administracion@wolta.com.co</t>
  </si>
  <si>
    <r>
      <t>Cód</t>
    </r>
    <r>
      <rPr>
        <b/>
        <sz val="10"/>
        <color rgb="FF000000"/>
        <rFont val="Arial"/>
        <family val="2"/>
      </rPr>
      <t>.</t>
    </r>
  </si>
  <si>
    <t>% Dto</t>
  </si>
  <si>
    <t>Total</t>
  </si>
  <si>
    <t>01</t>
  </si>
  <si>
    <t>Asignación de profesional, Papeleria y documentación necesaria. Formas A y B de acuerdo con la normatividad y perfil del colaborador. Entrega de informe final.</t>
  </si>
  <si>
    <r>
      <rPr>
        <sz val="8"/>
        <color theme="1"/>
        <rFont val="Calibri"/>
        <family val="2"/>
        <scheme val="minor"/>
      </rPr>
      <t xml:space="preserve">Por favor realizar Consignación a la cuenta de </t>
    </r>
    <r>
      <rPr>
        <b/>
        <sz val="8"/>
        <color theme="1"/>
        <rFont val="Calibri"/>
        <family val="2"/>
        <scheme val="minor"/>
      </rPr>
      <t>ahorros</t>
    </r>
    <r>
      <rPr>
        <sz val="8"/>
        <color theme="1"/>
        <rFont val="Calibri"/>
        <family val="2"/>
        <scheme val="minor"/>
      </rPr>
      <t xml:space="preserve"> Bancolombia No </t>
    </r>
    <r>
      <rPr>
        <b/>
        <sz val="8"/>
        <color theme="1"/>
        <rFont val="Calibri"/>
        <family val="2"/>
        <scheme val="minor"/>
      </rPr>
      <t>62755413009</t>
    </r>
    <r>
      <rPr>
        <sz val="8"/>
        <color theme="1"/>
        <rFont val="Calibri"/>
        <family val="2"/>
        <scheme val="minor"/>
      </rPr>
      <t xml:space="preserve"> a Nombre de </t>
    </r>
    <r>
      <rPr>
        <b/>
        <sz val="8"/>
        <color theme="1"/>
        <rFont val="Calibri"/>
        <family val="2"/>
        <scheme val="minor"/>
      </rPr>
      <t xml:space="preserve">TECNOINNSOFT SAS. </t>
    </r>
  </si>
  <si>
    <t>TECNOLOGIA DE INNOVACION Y SOFTWARE SAS</t>
  </si>
  <si>
    <t>NIT: 900.935.453-0</t>
  </si>
  <si>
    <t>Codigo</t>
  </si>
  <si>
    <t>Fecha</t>
  </si>
  <si>
    <t>Valor</t>
  </si>
  <si>
    <t>Proforma</t>
  </si>
  <si>
    <t>Electronica</t>
  </si>
  <si>
    <t>Nombre</t>
  </si>
  <si>
    <t>observaciones</t>
  </si>
  <si>
    <t>Año</t>
  </si>
  <si>
    <t>Reintegro</t>
  </si>
  <si>
    <t>Efectivo</t>
  </si>
  <si>
    <t>Pagado por Maria del Pilar Alvarado</t>
  </si>
  <si>
    <t>Margarita</t>
  </si>
  <si>
    <t>V2S Margarita</t>
  </si>
  <si>
    <t>carnes frias Italy Margarita</t>
  </si>
  <si>
    <t>coel ingenieria - Margarita</t>
  </si>
  <si>
    <t>Tis-1157</t>
  </si>
  <si>
    <t>Tis-1156</t>
  </si>
  <si>
    <t>consignacion en efectivo- Margarita</t>
  </si>
  <si>
    <t>Staff Seguros julio</t>
  </si>
  <si>
    <t>Packvision - Margarita</t>
  </si>
  <si>
    <t>Procesos 2000</t>
  </si>
  <si>
    <t>Hutercol</t>
  </si>
  <si>
    <t>Memco - Margarita</t>
  </si>
  <si>
    <t>Banco de Bogota</t>
  </si>
  <si>
    <t>Fenalco - Margarita</t>
  </si>
  <si>
    <t>Laboratorio vida estebia Margarita</t>
  </si>
  <si>
    <t>coel ingenieria</t>
  </si>
  <si>
    <t>renalmedical</t>
  </si>
  <si>
    <t>Staff seguros</t>
  </si>
  <si>
    <t>Polinter</t>
  </si>
  <si>
    <t>15474425565 grupo sie - Margarita</t>
  </si>
  <si>
    <t>Natalia Guarnizo Tis-1174 SIARL</t>
  </si>
  <si>
    <t>inversiones londono- Margarita</t>
  </si>
  <si>
    <t>Insolab - Margarita</t>
  </si>
  <si>
    <t>BdB - Margarita</t>
  </si>
  <si>
    <t>TEA - Margarita</t>
  </si>
  <si>
    <t>Hipra colombia - Margarita</t>
  </si>
  <si>
    <t>Pastrychef</t>
  </si>
  <si>
    <t>52328513 Leidy Alexandra staff</t>
  </si>
  <si>
    <t>Supplytec sas</t>
  </si>
  <si>
    <t>DYCSA</t>
  </si>
  <si>
    <t>ERZ</t>
  </si>
  <si>
    <t>TNK 860079174</t>
  </si>
  <si>
    <t>Megalinea Margarita</t>
  </si>
  <si>
    <t>staff seguros</t>
  </si>
  <si>
    <t>beta servicios</t>
  </si>
  <si>
    <t>Express and clean Margarita</t>
  </si>
  <si>
    <t>liceo los angeles</t>
  </si>
  <si>
    <t>Fiduciaria</t>
  </si>
  <si>
    <t>Formaderas factura 1197</t>
  </si>
  <si>
    <t>formaderas</t>
  </si>
  <si>
    <t>DEVISAB</t>
  </si>
  <si>
    <t>Staff</t>
  </si>
  <si>
    <t>DYCSA - Margarita</t>
  </si>
  <si>
    <t>Mcann</t>
  </si>
  <si>
    <t>Conportuario</t>
  </si>
  <si>
    <t>Laboratorios VI - Margarita</t>
  </si>
  <si>
    <t>Jalo rent SAS</t>
  </si>
  <si>
    <t>Royco Soluciones</t>
  </si>
  <si>
    <t>IDCBIS - Margarita</t>
  </si>
  <si>
    <t>Clean Max - Margarita</t>
  </si>
  <si>
    <t>Megalinea - Margarita</t>
  </si>
  <si>
    <t>Inv Sajamib</t>
  </si>
  <si>
    <t>Tecnoficinas</t>
  </si>
  <si>
    <t>SST Group SUC C</t>
  </si>
  <si>
    <t>CPS SAS</t>
  </si>
  <si>
    <t>cavacor</t>
  </si>
  <si>
    <t>Atecno sas</t>
  </si>
  <si>
    <t>inversiones sajamib</t>
  </si>
  <si>
    <t>bbc holding sas</t>
  </si>
  <si>
    <t>Alfonso uribe</t>
  </si>
  <si>
    <t>ventas y marcas</t>
  </si>
  <si>
    <t>RP services TIS1246</t>
  </si>
  <si>
    <t>sajamib</t>
  </si>
  <si>
    <t>digital media tecnology</t>
  </si>
  <si>
    <t>soluciones Indu</t>
  </si>
  <si>
    <t>activos SAS</t>
  </si>
  <si>
    <t>Fideicomisos</t>
  </si>
  <si>
    <t>Credicorp</t>
  </si>
  <si>
    <t>GRS TIS1257</t>
  </si>
  <si>
    <t>INV Franquiher</t>
  </si>
  <si>
    <t>H &amp; S FRANQUICIAS</t>
  </si>
  <si>
    <t>walsom sas</t>
  </si>
  <si>
    <t>Express &amp; Clean</t>
  </si>
  <si>
    <t>Icoperfiles SA</t>
  </si>
  <si>
    <t>Sajamib</t>
  </si>
  <si>
    <t>Suplytec</t>
  </si>
  <si>
    <t>Digital Media T</t>
  </si>
  <si>
    <t>polinter</t>
  </si>
  <si>
    <t>Expres &amp; Clean</t>
  </si>
  <si>
    <t>Transportes Especiales TEA</t>
  </si>
  <si>
    <t>B Y P capital</t>
  </si>
  <si>
    <t>Alvear 2 escoba</t>
  </si>
  <si>
    <t>BackBone Ltda (factura Tis152 de 2020)</t>
  </si>
  <si>
    <t>federacion Nacional</t>
  </si>
  <si>
    <t>Insolab sas</t>
  </si>
  <si>
    <t>Genuine Tech SA</t>
  </si>
  <si>
    <t>fideicomisos (aeropuertos de oriente)</t>
  </si>
  <si>
    <t>Global lab (sin factura)</t>
  </si>
  <si>
    <t>Construcciones</t>
  </si>
  <si>
    <t>Puricol</t>
  </si>
  <si>
    <t>Alvear 2 escoba (900694193)</t>
  </si>
  <si>
    <t>Logros Factoring</t>
  </si>
  <si>
    <t>Indu B SAS</t>
  </si>
  <si>
    <t>Marcegaglia</t>
  </si>
  <si>
    <t>Pago factura no creada</t>
  </si>
  <si>
    <t>P-1410</t>
  </si>
  <si>
    <t>P-1515</t>
  </si>
  <si>
    <t>Devolución</t>
  </si>
  <si>
    <t>TIS-1541</t>
  </si>
  <si>
    <t xml:space="preserve">Compañía Minera y </t>
  </si>
  <si>
    <t>Compañía Minera</t>
  </si>
  <si>
    <t>Finantodo S.A.S. Nit.900401023</t>
  </si>
  <si>
    <t>Pexto Colombia-Smart Energy -semana de la salud y capacitación Sergio $1.100.000</t>
  </si>
  <si>
    <t>TIS-1597</t>
  </si>
  <si>
    <t>Diprem Co SAS</t>
  </si>
  <si>
    <t>Proteccion aseg nit 830013802- Proascol</t>
  </si>
  <si>
    <t>anticipo BRP Walsom sas</t>
  </si>
  <si>
    <t>???</t>
  </si>
  <si>
    <t>proforma</t>
  </si>
  <si>
    <t>No</t>
  </si>
  <si>
    <t>Observación</t>
  </si>
  <si>
    <t>Dto</t>
  </si>
  <si>
    <t>Sub Total</t>
  </si>
  <si>
    <t>IVA</t>
  </si>
  <si>
    <t>04</t>
  </si>
  <si>
    <t>02</t>
  </si>
  <si>
    <t>08</t>
  </si>
  <si>
    <t>05</t>
  </si>
  <si>
    <t>06</t>
  </si>
  <si>
    <t>07</t>
  </si>
  <si>
    <t xml:space="preserve">CAPACITACIONES Y
ACOMPAÑAMIENTO VIRTUAL SOBRE
SST PARA CLIENTES (Marzo) </t>
  </si>
  <si>
    <t xml:space="preserve">CAPACITACIONES Y
ACOMPAÑAMIENTO VIRTUAL SOBRE
SST PARA CLIENTES (Abril y Mayo) </t>
  </si>
  <si>
    <t>09</t>
  </si>
  <si>
    <t>Método de estudio para determinar las exigencias del trabajo y las aptitudes mínimas para su desempeño</t>
  </si>
  <si>
    <t>Perdida14 kits Indemnisable todo
Riesgo Clausulada</t>
  </si>
  <si>
    <t xml:space="preserve">CAPACITACIONES Y
ACOMPAÑAMIENTO VIRTUAL SOBRE
SST PARA CLIENTES (Junio) </t>
  </si>
  <si>
    <t xml:space="preserve">Visita técnica, Asignación de profesional especialista SST. Firma y aprobación de documentación relacionada. Entrega de informe técnico. </t>
  </si>
  <si>
    <t>2 meses de Diseño y capacitación Virtual del curso 50 horas Responsable SG SST</t>
  </si>
  <si>
    <t>2 meses de diseño y actualización de documentación de la empresa y 10 meses de acompañzamiento</t>
  </si>
  <si>
    <t>Anticipo del 50% por aplicación de las Baterias de Riesgo Psicosocial</t>
  </si>
  <si>
    <t xml:space="preserve">CAPACITACIONES Y
ACOMPAÑAMIENTO VIRTUAL SOBRE
SST PARA CLIENTES (JULIO) </t>
  </si>
  <si>
    <t>acompañamiento en actividades de implementación del SG SST</t>
  </si>
  <si>
    <t>Asignación de profesional, Papelería y documentación necesaria. equipos de medición, trabajo en campo, entrega de informe final.</t>
  </si>
  <si>
    <t>StandBy por aislamiento de profesional de acuerdo con
protocolo de bioseguridad</t>
  </si>
  <si>
    <t>Asignación de profesional, Papelería y documentación necesaria. . equipos de medición, trabajo en campo, entrega de informe final.</t>
  </si>
  <si>
    <t>10</t>
  </si>
  <si>
    <t>Semaforo indicador Niveles de Ruido con instalación en punto del cliente</t>
  </si>
  <si>
    <t>Medición de ruido industrial por sonometría: Asignación de profesional, Papelería y documentación necesaria. equipos de medición, trabajo en campo, entrega de informe final.</t>
  </si>
  <si>
    <t xml:space="preserve">CAPACITACIONES Y
ACOMPAÑAMIENTO VIRTUAL SOBRE
SST PARA CLIENTES (AGOSTO) </t>
  </si>
  <si>
    <t xml:space="preserve">Acompañamiento virtual técnica Hilverdaflorist, Asignación de profesional especialista SST. Firma y aprobación de documentación relacionada. Entrega de informe técnico. </t>
  </si>
  <si>
    <t>MEDICION DE ILUMINACION POR LUXÓMETRIA y entrega de informe Final</t>
  </si>
  <si>
    <t>Anticipo por el Acompañamiento para la implementación del SG-SST (10 meses) incluye informe y certificacion mensual</t>
  </si>
  <si>
    <t>Mensualidades por
implementación del sistema
de Septiembre 2021</t>
  </si>
  <si>
    <t xml:space="preserve">CAPACITACIONES Y
ACOMPAÑAMIENTO VIRTUAL SOBRE
SST PARA CLIENTES (septiembre) </t>
  </si>
  <si>
    <t>ACOMPAÑAMIENTO EN OCTUBRE</t>
  </si>
  <si>
    <t>Asignación de profesional para entrevista por cargo, Papeleria y documentación necesaria.</t>
  </si>
  <si>
    <t>Anticipo por el Acompañamiento para la implementación del SG-SST del 22 de septiembre al 21 de octubre</t>
  </si>
  <si>
    <t>Asignación de profesional para realizar evaluación por cargo, Papeleria y documentación necesaria.
Entrega de informe final.</t>
  </si>
  <si>
    <t>Diseño del Sistema de Vigilancia Epidemiológica
(SVE), Asignación de profesional, Papeleria y documentación
necesaria</t>
  </si>
  <si>
    <t>ACOMPAÑAMIENTO EN NOVIEMBRE</t>
  </si>
  <si>
    <t>Mensualidades por
implementación del sistema
de OCTUBRE 2021</t>
  </si>
  <si>
    <t xml:space="preserve">CAPACITACIONES Y
ACOMPAÑAMIENTO VIRTUAL SOBRE
SST PARA CLIENTES (OCTUBRE) </t>
  </si>
  <si>
    <t>Medición de ruido por sonometría e informe final</t>
  </si>
  <si>
    <t>Medición de iluminación por luxometría e informe final</t>
  </si>
  <si>
    <t>Anticipo por el Acompañamiento para la implementación del SG-SST del 22 de octubre al 21 de Noviembre</t>
  </si>
  <si>
    <t>Capacitación en primeros auxilios</t>
  </si>
  <si>
    <t>Mensualidades por
implementación del sistema
de Noviembre 2021</t>
  </si>
  <si>
    <t xml:space="preserve">CAPACITACIONES Y
ACOMPAÑAMIENTO VIRTUAL SOBRE
SST PARA CLIENTES (NOVIEMBRE) </t>
  </si>
  <si>
    <t>Análisis de Puesto de Trabajo o evaluación del puesto de trabajo</t>
  </si>
  <si>
    <t>Visitas programadas para crear o actualizar la documentación
y manual del SG-SST de la empresa. De acuerdo con DUR 1072/2015
y Resolución 0312/2019</t>
  </si>
  <si>
    <t>Acompañamiento por (4) Cuatro horas mensuales de equipo
profesional para diseño e implementación de actividades de SGSST
(Psicólogo, Ingeniero SST, Fisioterapeuta).</t>
  </si>
  <si>
    <t>Asignación de profesional, Papeleria y 
documentación necesaria. Formas A y B de
acuerdo con la normatividad y perfil del
colaborador. Entrega de informe final.</t>
  </si>
  <si>
    <t>Acompañamiento mensuales de equipo
profesional para diseño e implementación de actividades de SGSST
(22 nov - 21 dic).</t>
  </si>
  <si>
    <t>Medición de Iluminación por luxometría: Asignación de profesional, Papelería y documentación necesaria. equipos de medición, trabajo en campo, entrega de informe final.</t>
  </si>
  <si>
    <t>Medición de Temperatura y humedad: Asignación de profesional, Papelería y documentación necesaria. equipos de medición, trabajo en campo, entrega de informe final.</t>
  </si>
  <si>
    <t>Medición de COV: Asignación de profesional, Papelería y documentación necesaria. equipos de medición, trabajo en campo, entrega de informe final.</t>
  </si>
  <si>
    <t>ACOMPAÑAMIENTO EN DICIEMBRE</t>
  </si>
  <si>
    <t>Asesoría en SG SST en Enero 2022</t>
  </si>
  <si>
    <t>Anticipo 30% por diseño e implementación del sistema de seguridad y salud en el trabajo</t>
  </si>
  <si>
    <t>Actividades Enero 2022</t>
  </si>
  <si>
    <t>Acompañamiento mensuales de equipo
profesional para diseño e implementación de actividades de SGSST
(22 dic - 21 ene).</t>
  </si>
  <si>
    <t xml:space="preserve">Aplicación BRP presencial </t>
  </si>
  <si>
    <t>Informe resultados, conclusiones y recomendaciones</t>
  </si>
  <si>
    <t>Entrega Certificado de Custodia</t>
  </si>
  <si>
    <t>Anticipo 30% Diseño e implementación del SG-SST</t>
  </si>
  <si>
    <t>Mes de enero, febrero y marzo 2022</t>
  </si>
  <si>
    <t>cancelacion servicio Tis-1079</t>
  </si>
  <si>
    <t>Asesoría por implementación del 2021</t>
  </si>
  <si>
    <t>FACTURA PERSONAL DEL PROYECTO CAR 2740046 EN LA CIUDAD DE BOGOTÁ</t>
  </si>
  <si>
    <t>80% BRP</t>
  </si>
  <si>
    <t>Anulacion Factura TIS-1092 por el 80%</t>
  </si>
  <si>
    <t>anulacion TIS-1079 por desesitimiento del cliente</t>
  </si>
  <si>
    <t xml:space="preserve">Curso BPM </t>
  </si>
  <si>
    <t>Luxometria:  Asignación de profesional, Papelería y documentación necesaria. equipos de medición, trabajo en campo, entrega de informe final.</t>
  </si>
  <si>
    <t>Sonometria: Asignación de profesional, Papelería y documentación necesaria. equipos de medición, trabajo en campo, entrega de informe final.</t>
  </si>
  <si>
    <t>Acompañamiento mes de Diciembre 2022</t>
  </si>
  <si>
    <t>Actividades del mes de Febrero 2022</t>
  </si>
  <si>
    <t>Actividades mes de Enero 2022</t>
  </si>
  <si>
    <t>Actividades mes de Febrero 2022</t>
  </si>
  <si>
    <t>Actividades mes de Marzo 2022</t>
  </si>
  <si>
    <t>Actividades mes de Abril 2022</t>
  </si>
  <si>
    <t>Acompañamiento mensuales de equipo
profesional para diseño e implementación de actividades de SGSST
(22 ene  2022- 21 feb 2022).</t>
  </si>
  <si>
    <t>Diseño Sistema</t>
  </si>
  <si>
    <t>Actividades de acompañamiento mensual para la implementación del sistema</t>
  </si>
  <si>
    <t>Diseño del SGSST</t>
  </si>
  <si>
    <t>Actividade sde implementación mensual</t>
  </si>
  <si>
    <t>Aplicación</t>
  </si>
  <si>
    <t>Luxometria</t>
  </si>
  <si>
    <t>Diseño 70% restante</t>
  </si>
  <si>
    <t>Servicio de Implementación de todo el Año 70% restante</t>
  </si>
  <si>
    <t>Acompañamiento mensuales de equipo
profesional para diseño e implementación de actividades de SGSST
(22 feb  2022- 21 mar 2022).</t>
  </si>
  <si>
    <t>BRP</t>
  </si>
  <si>
    <t>FINALIZACIÓN DE EVALUACIONES, BATERÍA RIESGO PSICOSOCIAL PARA EL PERSONAL DEL PROYECTO CAR 2740046 EN LA CIUDAD DE BOGOTÁ</t>
  </si>
  <si>
    <t>ENTREGA DE INFORME FINAL, BATERÍA RIESGO PSICOSOCIAL PARA EL PERSONAL DEL PROYECTO CAR 2740046 EN LA CIUDAD DE BOGOTÁ</t>
  </si>
  <si>
    <t>BRP Prescenciales</t>
  </si>
  <si>
    <t>Asignación de profesional especialista SST. Firma y aprobación de documentación relacionada. Entrega del
profesiograma</t>
  </si>
  <si>
    <t>Asignación de profesional, Papeleria y
documentación necesaria. Formas A y B de acuerdo con la normatividad y perfil del colaborador. Entrega de informe
final.</t>
  </si>
  <si>
    <t>Asignación de profesional, Papelería y
documentación y equipos de medición necesarios.</t>
  </si>
  <si>
    <t>Acompañamiento en la implementación por el mes de marzo 2022</t>
  </si>
  <si>
    <t>Actividades del mes de Marzo 2022</t>
  </si>
  <si>
    <t>50% del servicio de acompañamiento para la implementacion del SG-SST</t>
  </si>
  <si>
    <t>Acompañamiento mensuales de equipo
profesional para diseño e implementación de actividades de SGSST
(22 mar  2022- 21 abr 2022).</t>
  </si>
  <si>
    <t>Acompañamiento mes de marzo 2022</t>
  </si>
  <si>
    <t>Acompañamiento para registrar información de autoevaluación de estándares mínimos ante ARL. Entrega de carpeta magnetica con documentos diseñados.
Curso virtual de 50 horas sobre SG-SST</t>
  </si>
  <si>
    <t>Actividades del mes de abril 2022</t>
  </si>
  <si>
    <t>Anticipo Contrato 1-912</t>
  </si>
  <si>
    <t>Acompañamiento Abril y mayo 2022</t>
  </si>
  <si>
    <t>Servicio de acompañamiento Dinamizador Físico a clientes</t>
  </si>
  <si>
    <t>Acompañamiento Abril 2022</t>
  </si>
  <si>
    <t>Mediciones Higienicas</t>
  </si>
  <si>
    <t>Sonometria</t>
  </si>
  <si>
    <t>Consultoría Implementacion SG-SST</t>
  </si>
  <si>
    <t>Acompañamiento mensuales de equipo
profesional para diseño e implementación de actividades de SGSST
(22 abr  2022- 21 may 2022)</t>
  </si>
  <si>
    <t>Ruido ambiental dosimetria</t>
  </si>
  <si>
    <t>Medición de
material
particulado (gases
y vapores</t>
  </si>
  <si>
    <t>Medición de ruidambiental por
sonometría</t>
  </si>
  <si>
    <t>Acompañamiento mayo 2022</t>
  </si>
  <si>
    <t>Capacitación acompañamiento Virtual SST</t>
  </si>
  <si>
    <t>Acompañamiento por el mes de mayo</t>
  </si>
  <si>
    <t>implementacion mayo</t>
  </si>
  <si>
    <t>brp</t>
  </si>
  <si>
    <t>Acompañamiento Mayo</t>
  </si>
  <si>
    <t>Implementacion abril, mayo y junio de 2022</t>
  </si>
  <si>
    <t>Capacitaciones dinamizador Fisico (mateo)</t>
  </si>
  <si>
    <t>mes de junio</t>
  </si>
  <si>
    <t>VOCS</t>
  </si>
  <si>
    <t>Dosimetría</t>
  </si>
  <si>
    <t>Transporte Barranquilla Bogotá</t>
  </si>
  <si>
    <t>Luxometría</t>
  </si>
  <si>
    <t>Sonometria ambiental</t>
  </si>
  <si>
    <t>Material particulado</t>
  </si>
  <si>
    <t>Acompañamiento mes de Junio</t>
  </si>
  <si>
    <t>Acompañamiento mes de Julio</t>
  </si>
  <si>
    <t>Acompañamiento mes de Agosto</t>
  </si>
  <si>
    <t>Aplicación encuesta de Riesgo Psicosocial, papeleria e informe final</t>
  </si>
  <si>
    <t xml:space="preserve">Año 2019 </t>
  </si>
  <si>
    <t>Año 2020</t>
  </si>
  <si>
    <t>Año 2021</t>
  </si>
  <si>
    <t>Asignación de profesional en ciudades
principales, Papeleria y documentación necesaria.
Formas A y B de acuerdo con la normatividad y perfil
del colaborador.</t>
  </si>
  <si>
    <t>Vibraciones Ocupacionales</t>
  </si>
  <si>
    <t>Confort térmico</t>
  </si>
  <si>
    <t>BRP para colaboradores de la empresa</t>
  </si>
  <si>
    <t>Saldo consultoria SST</t>
  </si>
  <si>
    <t>Análisis Puesto trabajo</t>
  </si>
  <si>
    <t>Analisis con enfasis Químico</t>
  </si>
  <si>
    <t>Investigación Accidente de trabajo</t>
  </si>
  <si>
    <t>Acompañamiento Mes de julio</t>
  </si>
  <si>
    <t>Acompañamiento Mes de Agosto</t>
  </si>
  <si>
    <t>Acompañamiento Mes de Septiembre</t>
  </si>
  <si>
    <t>Acompañamiento Mes de Octubre</t>
  </si>
  <si>
    <t>Anticipo 50% 
Incluye: Asignación de profesional, Papeleria y documentación necesaria.
Formas A y B de acuerdo con la normatividad y perfil del colaborador. 
Entrega de informe final.</t>
  </si>
  <si>
    <t>FACTURA MES AGOSTO 2022</t>
  </si>
  <si>
    <t>FACTRUA MES SEPTIEMBRE 2022</t>
  </si>
  <si>
    <t>FACTURA MES Julio y Agosto</t>
  </si>
  <si>
    <t>FACTRUAS MES SEPTIEMBRE 2022</t>
  </si>
  <si>
    <t>FACTURA MES SEPTIEMBRE</t>
  </si>
  <si>
    <t>FACTURA MES SEPTIEMBRE 2022</t>
  </si>
  <si>
    <t>FACTURA MES DE SEPTIEMBRE 2022</t>
  </si>
  <si>
    <t>03</t>
  </si>
  <si>
    <t>Desarrollo o licencias de Software</t>
  </si>
  <si>
    <t>FACTURA MES OCTUBRE 2022</t>
  </si>
  <si>
    <t>FACTURA MES NOVIEMBRE 2022</t>
  </si>
  <si>
    <t>FACTURA MES ABRIL 2022</t>
  </si>
  <si>
    <t>FACTURA MES MAYO 2022</t>
  </si>
  <si>
    <t>FACTURA MES DE FEBRERO 2022</t>
  </si>
  <si>
    <t>FACTURA MES FEBRERO 2022</t>
  </si>
  <si>
    <t>18</t>
  </si>
  <si>
    <t>FACTURA MES NOVIEMNBRE 2022</t>
  </si>
  <si>
    <t>sonometria</t>
  </si>
  <si>
    <t>FACTURA ANULADA MES MAYO 2022</t>
  </si>
  <si>
    <t>FACTURA MES JUNIO 2022</t>
  </si>
  <si>
    <t>FACTURA ANULADA MES JUNIO 2022</t>
  </si>
  <si>
    <t>FACTURA MES JULIO 2022</t>
  </si>
  <si>
    <t>FACTURA ANULADA MES JULIO 2022</t>
  </si>
  <si>
    <t>FACTURA ANULADA MES AGOSTO 2022</t>
  </si>
  <si>
    <t>Elementos proteccion Personal</t>
  </si>
  <si>
    <t>FACTURA ANULADA MES AGOSTO</t>
  </si>
  <si>
    <t>FACTURA MES AGOSTO</t>
  </si>
  <si>
    <t>FACTURA ANULADA MES OCTUBRE 2022</t>
  </si>
  <si>
    <t>mes de julio</t>
  </si>
  <si>
    <t>ACOMPAÑAMIENTO MES SEPT-OCT-NOV 2022</t>
  </si>
  <si>
    <t>ACOMPAÑAMIENTO MES SEPT.OCT.NOV.2022</t>
  </si>
  <si>
    <t>ACOMPAÑAMIENTO MES AGO.SEPT.OCT.NOV. 2022</t>
  </si>
  <si>
    <t>Asignación de profesional para Batería de riesgo psicosocial</t>
  </si>
  <si>
    <t>FACTURA MES Noviembre 2022</t>
  </si>
  <si>
    <t>Material Particulado</t>
  </si>
  <si>
    <t>Profesiograma</t>
  </si>
  <si>
    <t>Sonometía</t>
  </si>
  <si>
    <t>Diseño y actualización SG SST</t>
  </si>
  <si>
    <t>Consultoría para diseño del SG-SST
Linea de negocio: DeSeguridad</t>
  </si>
  <si>
    <t>17</t>
  </si>
  <si>
    <t>Mediciones Higienicas sin iva</t>
  </si>
  <si>
    <t>luxometria</t>
  </si>
  <si>
    <t>Dosimetria</t>
  </si>
  <si>
    <t>Diseño y actualización SG SST SIN IVA</t>
  </si>
  <si>
    <t>Batería de Riesgo Psicosocial sin iva</t>
  </si>
  <si>
    <t>Análisis Puesto trabajo sin iva</t>
  </si>
  <si>
    <t xml:space="preserve">Capacitacion riesgo laboral </t>
  </si>
  <si>
    <t xml:space="preserve">Asignación de personal para aplicación de BRP </t>
  </si>
  <si>
    <t>Capacitacion virtual SARLAFT</t>
  </si>
  <si>
    <t>Otros servicios exentos</t>
  </si>
  <si>
    <t>asignacion profesional para aplicación Bateria Riesgo Psicosocial</t>
  </si>
  <si>
    <t>Asignación de profesional para aplicación bateria de Risgo Psicosocial</t>
  </si>
  <si>
    <t>Asignación profesional para mediciones higienicas especializadas
Medición de ruido por Sonometría
Linea de negocio: Consultoría Riesgos Laborales</t>
  </si>
  <si>
    <t>Acompañamiento SG-SST correspondiente al periodo Enero 2024</t>
  </si>
  <si>
    <t>Se ajusta el valor de descuento para formalizar como anticipo solicitado en negociación con cliente</t>
  </si>
  <si>
    <t>Anticipo servicios Diseño y/o actualziación del SGSST 2024</t>
  </si>
  <si>
    <t>Mediciones higiénicas iluminación y ruido</t>
  </si>
  <si>
    <t>Implementación actividades SGSST 2024
Corresponde al anticipo del 50% por el servicio inidcado en la cotización</t>
  </si>
  <si>
    <t>Asignación profesional para mediciones higienicas especializadas
Medición de niveles de exposoción a quimicos
Análisis de puesto de trabajo con enfasis en exposición a químicos</t>
  </si>
  <si>
    <t>Acompañamiento SG-SST correspondiente al periodo Febrero 2024</t>
  </si>
  <si>
    <t>Autoevaluación EEMM 2023 Implementación SGSST 2024</t>
  </si>
  <si>
    <t>medición higienica de NIVELES DE EXPOSICIÓN A OTROS POLVOS QUE CONTIENEN SILICE</t>
  </si>
  <si>
    <t>Acompañamiento Virtual SG-SST correspondiente al periodo Marzo 2024</t>
  </si>
  <si>
    <t>Asignación profesional para mediciones higienicas Luxometría</t>
  </si>
  <si>
    <t>Acompañamiento SG-SST correspondiente al periodo Abril 2024</t>
  </si>
  <si>
    <t>Acompañamiento Virtual SG-SST correspondiente al periodo Abril 2024</t>
  </si>
  <si>
    <t>Acompañamiento SG-SST correspondiente al periodo Abril 2024
Se adiciona saldo de $2.850 pendiente factura TIS1318</t>
  </si>
  <si>
    <t>Saldo pendiente por servicio de diseño del SG-SST 2024</t>
  </si>
  <si>
    <t>Evaluación de riesgo psicosocial</t>
  </si>
  <si>
    <t>Acompañamiento SG-SST correspondiente al periodo Mayo 2024</t>
  </si>
  <si>
    <t>Talleres para intervención del riesgo psicosocial Junio 2024
Conciliación del equilibrio vida laboral y personal</t>
  </si>
  <si>
    <t>Asignación profesional Inspección / Análisis puesto de trabajo
Riesgo Biomecánico</t>
  </si>
  <si>
    <t>Intervención Riesgo psicosocial</t>
  </si>
  <si>
    <t>Desarrollo de actividades intervención riesgo psicosocial
Servicios prestados desde enero a junio de 2024
Aeropuertos de Oriente</t>
  </si>
  <si>
    <t>DIAGNÓSTICO DE HIGIENE OCUPACIONAL</t>
  </si>
  <si>
    <t>Investigación Accidente de Trabajo Grave</t>
  </si>
  <si>
    <t>Acompañamiento SG-SST correspondiente al periodo Junio 2024</t>
  </si>
  <si>
    <t>Acompañamiento SG-SST correspondiente al periodo Junio 2024.</t>
  </si>
  <si>
    <t>Acompañamiento SGSST Clientes 2do trimestre 2024</t>
  </si>
  <si>
    <t>Acompañamiento SG-SST correspondiente al 2do trimestre 2024</t>
  </si>
  <si>
    <t>Reporte Autoevaluación EEMM 2023</t>
  </si>
  <si>
    <t>Comprende 4 capacitaciones sobre EQUILIBRIO LABORAL Y PERSONAL</t>
  </si>
  <si>
    <t>Asignación profesional Bateria Psicosocia</t>
  </si>
  <si>
    <t>Anticipo servicio de mediciones higiénicas ocupacionales
Cotización GC-01-2024-309</t>
  </si>
  <si>
    <t>Acompañamiento SG-SST correspondiente al periodo Julio 2024</t>
  </si>
  <si>
    <t>Acompañamiento SG-SST correspondiente al periodo 2 2024</t>
  </si>
  <si>
    <t>Asignación profesional Bateria Psicosocial</t>
  </si>
  <si>
    <t>Asignación profesional Mediciones higienicas
Medición higiénica de ruido por Sonometría</t>
  </si>
  <si>
    <t>Acompañamiento SG-SST correspondiente al periodo Agosto 2024</t>
  </si>
  <si>
    <t>Acompañamiento Virtual SG-SST correspondiente al periodo Agosto 2024</t>
  </si>
  <si>
    <t>Pago del 30% del valor del servicio de mediciones de acuerdo con términos de cotización y orden de compra</t>
  </si>
  <si>
    <t>Nro Valor Fecha recibido
1 $ 514.080,00 30/08/2024
2 $ 308.488,00 05/09/2024
3 $ 205.632,00 16/09/2024</t>
  </si>
  <si>
    <t>Asignación profesional Bateria Psicosocial
Esta factura anula la T-1417 y complementa la Nota crédito NC39 emitida.</t>
  </si>
  <si>
    <t>Corresponde a item relacionado con Profesiograma en la cotización de referencia GC-02-2024-403 v1</t>
  </si>
  <si>
    <t>Acompañamiento SG-SST correspondiente al periodo Septiembre 2024</t>
  </si>
  <si>
    <t>Acompañamiento Cliente SG-SST correspondiente al 3er trimestre 2024</t>
  </si>
  <si>
    <t>Asignación equipo profesional para dictar capacitaciones</t>
  </si>
  <si>
    <t>Asignación equipo profesional servicios de consultoría</t>
  </si>
  <si>
    <t>Acompañamiento Virtual SG-SST correspondiente al periodo Septiembre 2024.</t>
  </si>
  <si>
    <t>Corresponde al saldo del 20% por el total de los servicios prestados Factura Anticipo TIS1397 06/08/2024
Factura Avance 30% TIS1416 10/09/2024</t>
  </si>
  <si>
    <t>Asignación profesionales para análisis de puesto de trabajo
Análisis de puesto de trabajo con énfasis Biomecánico
Estudio de vibraciones cuerpo entero</t>
  </si>
  <si>
    <t>Desarrollo de actividades intervención riesgo psicosocial Servicios prestados desde julio a Diciembre de 2024 Aeropuertos de Oriente</t>
  </si>
  <si>
    <t>Auditoría de matrices legales en empresas</t>
  </si>
  <si>
    <t>Talleres para intervención del riesgo psicosocial Julio y Agosto 2024 Conciliación del equilibrio vida laboral y personal</t>
  </si>
  <si>
    <t>Corresponde al anticipo del 50% por el servicio indicado en la cotización de referencia</t>
  </si>
  <si>
    <t>Corresponde al saldo del 50% del valor total del servicio indicado en la cotización relacionada
Cotización GC-02-2024-395 14/08/2024
Factura TIS-1419 24/09/2024</t>
  </si>
  <si>
    <t>Acompañamiento SG-SST correspondiente al periodo Octubre 2024</t>
  </si>
  <si>
    <t>Acompañamiento SG-SST correspondiente al periodo 3 2024</t>
  </si>
  <si>
    <t>Asignación profesionales actividades de Bienestar Empresarial BS</t>
  </si>
  <si>
    <t>Asignación profesionales actividades de Bienestar Empresarial BV</t>
  </si>
  <si>
    <t>Acompañamiento SG-SST correspondiente al periodo Noviembre 2024</t>
  </si>
  <si>
    <t>Acompañamiento SG-SST Virtual correspondiente al periodo Noviembre 2024</t>
  </si>
  <si>
    <t>Se realizan 2 mediciones de iluminación en lugar de 3 que eran las que estaban contratadas
Factura Electrónica TIS1408</t>
  </si>
  <si>
    <t>Asignación profesionales Medición higiénica - Profesiograma</t>
  </si>
  <si>
    <t>ANULACION FE TIS 1408 ERROR EN LOS VALORES</t>
  </si>
  <si>
    <t>ANULACION NC 40 ERROR EN LOS VALORES</t>
  </si>
  <si>
    <t>Acompañamiento SG-SST correspondiente al periodo Diciembre 2024</t>
  </si>
  <si>
    <t>Acompañamiento SGSST empresas Oct- Dic 2024</t>
  </si>
  <si>
    <t>Asignación profesional para mediciones higienicas básicas - Iluminación</t>
  </si>
  <si>
    <t>De la cotización indicada solamente se aprueba el item relacionado con el servicio de auditoria</t>
  </si>
  <si>
    <t>Asignación profesional Bateria Psicosocial 2024</t>
  </si>
  <si>
    <t>Act Bienestar Empresarial
BS</t>
  </si>
  <si>
    <t>BATERIAS DE RIESGO PSI
COSOCIAL</t>
  </si>
  <si>
    <t>Acompañamiento SG-SST correspondiente al periodo Enero 2025</t>
  </si>
  <si>
    <t>Disponibilidad actividades SGSST y Curso Virtual BPM</t>
  </si>
  <si>
    <t>Análisis puesto de trabajo</t>
  </si>
  <si>
    <t>PROFESIOGRAMA</t>
  </si>
  <si>
    <t>Acompañamiento SG-SST correspondiente al periodo Febrero 2025</t>
  </si>
  <si>
    <t>Formación virtual SGSST</t>
  </si>
  <si>
    <t>Formación virtual SGSST Febrero 2025</t>
  </si>
  <si>
    <t>Comprende anticipo por servicio de medición de material particulado</t>
  </si>
  <si>
    <t>Asignación profesional para inspección de puesto de trabajo</t>
  </si>
  <si>
    <t>Asignación profesional Bateria Psicosocial 2025</t>
  </si>
  <si>
    <t>Acompañamiento SG-SST correspondiente al periodo Marzo 2025</t>
  </si>
  <si>
    <t>Formación virtual SGSST Marzo 2025</t>
  </si>
  <si>
    <t>Avance ejecución BRP</t>
  </si>
  <si>
    <t>Elaboración RT y proceso de implementación</t>
  </si>
  <si>
    <t>Anticipo por servicio de consultoría SG SST del año 2025</t>
  </si>
  <si>
    <t>Capacitación acompañamiento virtual SST</t>
  </si>
  <si>
    <t>Apoyo virtual ofertas comerciales</t>
  </si>
  <si>
    <t>Acompañamiento SG-SST correspondiente al mes abril de 2025</t>
  </si>
  <si>
    <t>Formación virtual SGSST correspondiente al mes de abril de 2025</t>
  </si>
  <si>
    <t>Capacitación P y P</t>
  </si>
  <si>
    <t>Anticipo aplicación bateria psicosocial</t>
  </si>
  <si>
    <t>Implementación mayo 2025</t>
  </si>
  <si>
    <t>Acompañamiento SG-SST correspondiente al mes mayo de 2025</t>
  </si>
  <si>
    <t>Formación virtual SGSST correspondiente al mes de mayo de 2025</t>
  </si>
  <si>
    <t xml:space="preserve">Formación virtual SGSST correspondiente al mes de mayo de 2025
</t>
  </si>
  <si>
    <t>Acompañamiento SG-SST correspondiente al mes junio de 2025</t>
  </si>
  <si>
    <t>Formación virtual SGSST correspondiente al mes de junio de 2025</t>
  </si>
  <si>
    <t>Diseño SG SST y acompañamiento virtual junio de 2025</t>
  </si>
  <si>
    <t>Apoyo virtual ofertas com
erciales</t>
  </si>
  <si>
    <t>Asignación profesional evaluación psicosocial</t>
  </si>
  <si>
    <t>BATERIAS DE RIESGO PS
ICOSOCIAL</t>
  </si>
  <si>
    <t>Implementacion SGSST</t>
  </si>
  <si>
    <t>Capacitaciones y acompañ
amiento Virtual SST</t>
  </si>
  <si>
    <t>MEDICIONES HIGIENICAS</t>
  </si>
  <si>
    <t>Anulado</t>
  </si>
  <si>
    <t>Avance ejecución BRP
REQUISITOS CAMBIARON</t>
  </si>
  <si>
    <t>BATERIAS DE RIESGO PS
ICOSOCIAL
ERROR VALOR ANTICIPO</t>
  </si>
  <si>
    <t>Implementación SG SST agosto/2025</t>
  </si>
  <si>
    <t>Acompañamiento SG-SST correspondiente al mes de agosto de 2025</t>
  </si>
  <si>
    <t>Capacitaciones y acompañ
amiento Virtual SST agosto/2025</t>
  </si>
  <si>
    <t>Implementacion SGSST agosto/2025</t>
  </si>
  <si>
    <t>Capacitaciones y acompañ
amiento Virtual SS</t>
  </si>
  <si>
    <t>Implementacion SGSST mes agosto/2025</t>
  </si>
  <si>
    <t>Anticipo SGSST Anual</t>
  </si>
  <si>
    <t>Análisis de puesto de trabajo</t>
  </si>
  <si>
    <t>Asignación profesional</t>
  </si>
  <si>
    <t>TIS-1555</t>
  </si>
  <si>
    <t>Asignación profesional sonometría</t>
  </si>
  <si>
    <t>Asignación profesional batería psicosocial</t>
  </si>
  <si>
    <t>Acompañamiento SG-SST correspondiente al mes septiembre de 2025</t>
  </si>
  <si>
    <t>Acompañamiento SG-SST correspondiente al mes SEPTIEMBRE de 2025</t>
  </si>
  <si>
    <t>Saldo implementación SG-SST año 2025</t>
  </si>
  <si>
    <t>Capacitaciones y acompañ
amiento Virtual SST septiembre 2025</t>
  </si>
  <si>
    <t>Talleres intervención riesgo psicosocial</t>
  </si>
  <si>
    <t>Auditoría legal</t>
  </si>
  <si>
    <t>AuditoríaSST</t>
  </si>
  <si>
    <t>Acompañamiento SG-SST correspondiente al mes octubre de 2025</t>
  </si>
  <si>
    <t>Capacitaciones y acompañ
amiento Virtual SST octubre 2025</t>
  </si>
  <si>
    <t>Implementación SGSST m
ensual</t>
  </si>
  <si>
    <t>Acompañamiento virtual SG-SST correspondiente al mes octubre de 2025</t>
  </si>
  <si>
    <t>aplicación batería psicosocial</t>
  </si>
  <si>
    <t>Sonometría</t>
  </si>
  <si>
    <t>ACTIVIDADES PARA FOM
ENTAR SALUD MEDICION
DE BATERIA DE RIESGO
PSICOSOCIAL</t>
  </si>
  <si>
    <t>Mediciones de Sonometria</t>
  </si>
  <si>
    <t>Asignación profesional simulacro vial</t>
  </si>
  <si>
    <t>Acompañamiento SG-SST correspondiente al mes noviembre de 2025</t>
  </si>
  <si>
    <t>Acompañamiento SG-SST correspondiente al mes de noviembre de 2025</t>
  </si>
  <si>
    <t>Acompañamiento virtual SG-SST correspondiente al mes noviembre de 2025</t>
  </si>
  <si>
    <t>Formación Talleres</t>
  </si>
  <si>
    <t>Diseño SG SST y acompañamiento durante el año 2025</t>
  </si>
  <si>
    <t>Acompañamiento SG-SST correspondiente al año 2025</t>
  </si>
  <si>
    <t>Asignación profesional mediciones higiénicas luxometría y sonometría</t>
  </si>
  <si>
    <t>Asignación profesional de mediciones higiénicas sonometría, material particulado y luxometría</t>
  </si>
  <si>
    <t>Consultoría especializada y otros servicios</t>
  </si>
  <si>
    <t>Visita técnica diagnóstico GTH</t>
  </si>
  <si>
    <t>Auditoría SST</t>
  </si>
  <si>
    <t>Acompañamiento SG SST correspondiente al periodo diciembre de 2025</t>
  </si>
  <si>
    <t>Asignación profesional para mediciones higienicas Luxometría
Cobro de saldo total de cotización. En factura TIS-1593 solamente se cobro una parte</t>
  </si>
  <si>
    <t>Talleres de intervención Riesgo Psicosocial</t>
  </si>
  <si>
    <t>Acompañamiento virtual SG-SST correspondiente al mes de septiembre de 2025</t>
  </si>
  <si>
    <t>Acompañamiento SG-SST correspondiente al mes diciembre de 2025</t>
  </si>
  <si>
    <t>Acompañamiento virtual SG-SST correspondiente al mes diciembre de 2025</t>
  </si>
  <si>
    <t>Acompañamiento SG-SST correspondiente al mes diciembre de 2025
Linea de</t>
  </si>
  <si>
    <t>Acompañamiento SG-SST correspondiente al mes enero de 2026</t>
  </si>
  <si>
    <t>Acompañamiento SG-SST virtual correspondiente al mes de enero de 2026</t>
  </si>
  <si>
    <t>Evaluación estándares mínimos 2025</t>
  </si>
  <si>
    <t>Asignación profesional capacitación American Tennis</t>
  </si>
  <si>
    <t>Diseño SG SST</t>
  </si>
  <si>
    <t>Asignación profesional para análisis de puesto de trabajo</t>
  </si>
  <si>
    <t>Acompañamiento SG-SST correspondiente al mes febrero de 2026</t>
  </si>
  <si>
    <t>Asignación profesional Análisis de Puesto de Trabajo</t>
  </si>
  <si>
    <t>Corresponde a: pausas dinámicas, capacitación Cosmoelec, auditoría ATAL, acompañamiento SST planes de trabajo.</t>
  </si>
  <si>
    <t>Cod</t>
  </si>
  <si>
    <t># Factura</t>
  </si>
  <si>
    <t>Fecha F.E.</t>
  </si>
  <si>
    <t>NIT</t>
  </si>
  <si>
    <t xml:space="preserve">Nombre </t>
  </si>
  <si>
    <t>Tipo cliente</t>
  </si>
  <si>
    <t>Retiene IVA</t>
  </si>
  <si>
    <t>SUBTOTAL</t>
  </si>
  <si>
    <t>TOTAL</t>
  </si>
  <si>
    <t>Valor pago</t>
  </si>
  <si>
    <t>Cartera</t>
  </si>
  <si>
    <t>Saldo</t>
  </si>
  <si>
    <t>Rete fte</t>
  </si>
  <si>
    <t>rete ica</t>
  </si>
  <si>
    <t>Rete IVA</t>
  </si>
  <si>
    <t>Saldo Final</t>
  </si>
  <si>
    <t>pagado</t>
  </si>
  <si>
    <t>OBSERVACIONES</t>
  </si>
  <si>
    <t>TIS-1008</t>
  </si>
  <si>
    <t>TIS-1010</t>
  </si>
  <si>
    <t>N</t>
  </si>
  <si>
    <t>NC1</t>
  </si>
  <si>
    <t>anulado</t>
  </si>
  <si>
    <t>TIS-1007</t>
  </si>
  <si>
    <t>TIS-1009</t>
  </si>
  <si>
    <t>TIS-1024</t>
  </si>
  <si>
    <t>TIS-1011</t>
  </si>
  <si>
    <t>TIS-1012</t>
  </si>
  <si>
    <t>TIS-1016</t>
  </si>
  <si>
    <t>TIS-1013</t>
  </si>
  <si>
    <t>P-1019</t>
  </si>
  <si>
    <t>TIS-1014</t>
  </si>
  <si>
    <t>TIS-1019</t>
  </si>
  <si>
    <t>TIS-1015</t>
  </si>
  <si>
    <t>TIS-1018</t>
  </si>
  <si>
    <t>NC2</t>
  </si>
  <si>
    <t>TIS-1017</t>
  </si>
  <si>
    <t>Tis-1020</t>
  </si>
  <si>
    <t>P-1018</t>
  </si>
  <si>
    <t>P-1017</t>
  </si>
  <si>
    <t>Marzo 20 a Marzo 21</t>
  </si>
  <si>
    <t>NC3</t>
  </si>
  <si>
    <t>TIS-1022</t>
  </si>
  <si>
    <t>P-1016</t>
  </si>
  <si>
    <t>NC4</t>
  </si>
  <si>
    <t>P-1020</t>
  </si>
  <si>
    <t>TIS-1026</t>
  </si>
  <si>
    <t>P-1021</t>
  </si>
  <si>
    <t>Tis-1030</t>
  </si>
  <si>
    <t>P-1022</t>
  </si>
  <si>
    <t>Tis-1056</t>
  </si>
  <si>
    <t>P-1015</t>
  </si>
  <si>
    <t>Tis-1021</t>
  </si>
  <si>
    <t>Acompañamiento abril 2021</t>
  </si>
  <si>
    <t>P-1023</t>
  </si>
  <si>
    <t>TIS-1006</t>
  </si>
  <si>
    <t>P-1024</t>
  </si>
  <si>
    <t>TIS-1025</t>
  </si>
  <si>
    <t>NC5</t>
  </si>
  <si>
    <t>P-1043</t>
  </si>
  <si>
    <t>Tis-1052</t>
  </si>
  <si>
    <t>P-1014</t>
  </si>
  <si>
    <t>TIS-1027</t>
  </si>
  <si>
    <t>P-1013</t>
  </si>
  <si>
    <t>TIS-1028</t>
  </si>
  <si>
    <t>P-1025</t>
  </si>
  <si>
    <t>TIS-1029</t>
  </si>
  <si>
    <t>P-1026</t>
  </si>
  <si>
    <t>TIS-1051</t>
  </si>
  <si>
    <t>P-1027</t>
  </si>
  <si>
    <t>TIS-1036</t>
  </si>
  <si>
    <t>P-1028</t>
  </si>
  <si>
    <t>TIS-1037</t>
  </si>
  <si>
    <t>P-1029</t>
  </si>
  <si>
    <t>Tis-1040</t>
  </si>
  <si>
    <t>Acompañamiento Mayo y Junio 2021</t>
  </si>
  <si>
    <t>P-1039</t>
  </si>
  <si>
    <t>Tis-1042</t>
  </si>
  <si>
    <t>Acompañamiento Julio y Agosto 2021</t>
  </si>
  <si>
    <t>P-1030</t>
  </si>
  <si>
    <t>Tis-1031</t>
  </si>
  <si>
    <t>P-1058</t>
  </si>
  <si>
    <t>Tis-1060</t>
  </si>
  <si>
    <t>P-1031</t>
  </si>
  <si>
    <t>Tis-1061</t>
  </si>
  <si>
    <t>P-1033</t>
  </si>
  <si>
    <t>Tis-1043</t>
  </si>
  <si>
    <t>P-1032</t>
  </si>
  <si>
    <t>TIS-1033</t>
  </si>
  <si>
    <t>TIS-1032</t>
  </si>
  <si>
    <t>P-1034</t>
  </si>
  <si>
    <t>TIS-1035</t>
  </si>
  <si>
    <t>P-1011</t>
  </si>
  <si>
    <t>TIS-1034</t>
  </si>
  <si>
    <t>P-1035</t>
  </si>
  <si>
    <t>TIS-1062</t>
  </si>
  <si>
    <t>P-1036</t>
  </si>
  <si>
    <t>Tis-1084</t>
  </si>
  <si>
    <t>P-1037</t>
  </si>
  <si>
    <t>Tis-1053</t>
  </si>
  <si>
    <t>TIS-1038</t>
  </si>
  <si>
    <t>P-1038</t>
  </si>
  <si>
    <t>Tis-1050</t>
  </si>
  <si>
    <t>P-1040</t>
  </si>
  <si>
    <t>Tis-1041</t>
  </si>
  <si>
    <t>P-1010</t>
  </si>
  <si>
    <t>Tis-1039</t>
  </si>
  <si>
    <t>P-1041</t>
  </si>
  <si>
    <t>Tis-1044</t>
  </si>
  <si>
    <t>P-1042</t>
  </si>
  <si>
    <t>Tis-1045</t>
  </si>
  <si>
    <t>P-1044</t>
  </si>
  <si>
    <t>TIS-1047</t>
  </si>
  <si>
    <t>P-1045</t>
  </si>
  <si>
    <t>TIS-1048</t>
  </si>
  <si>
    <t>P-1046</t>
  </si>
  <si>
    <t>Tis-1055</t>
  </si>
  <si>
    <t>P-1047</t>
  </si>
  <si>
    <t>Tis-1046</t>
  </si>
  <si>
    <t>P-1048</t>
  </si>
  <si>
    <t>Tis-1058</t>
  </si>
  <si>
    <t>P-1049</t>
  </si>
  <si>
    <t>Tis-1059</t>
  </si>
  <si>
    <t>P-1050</t>
  </si>
  <si>
    <t>Tis-1066</t>
  </si>
  <si>
    <t>P-1051</t>
  </si>
  <si>
    <t>P-1052</t>
  </si>
  <si>
    <t>TIS-1049</t>
  </si>
  <si>
    <t>Acompañamiento Septiembre 2021</t>
  </si>
  <si>
    <t>P-1053</t>
  </si>
  <si>
    <t>TIS-1067</t>
  </si>
  <si>
    <t>P-1054</t>
  </si>
  <si>
    <t>TIS-1071</t>
  </si>
  <si>
    <t>P-1055</t>
  </si>
  <si>
    <t>TIS-1075</t>
  </si>
  <si>
    <t>P-1056</t>
  </si>
  <si>
    <t>Tis-1057</t>
  </si>
  <si>
    <t>P-1057</t>
  </si>
  <si>
    <t>T-147</t>
  </si>
  <si>
    <t>P-1059</t>
  </si>
  <si>
    <t>Tis-1073</t>
  </si>
  <si>
    <t>TIS-1063</t>
  </si>
  <si>
    <t>P-1061</t>
  </si>
  <si>
    <t>Tis-1083</t>
  </si>
  <si>
    <t>P-1062</t>
  </si>
  <si>
    <t>TIS-1077</t>
  </si>
  <si>
    <t>P-1063</t>
  </si>
  <si>
    <t>P-1064</t>
  </si>
  <si>
    <t>TIS-1068</t>
  </si>
  <si>
    <t>P-1065</t>
  </si>
  <si>
    <t>TIS-1090</t>
  </si>
  <si>
    <t>P-1066</t>
  </si>
  <si>
    <t>Tis-1069</t>
  </si>
  <si>
    <t>Acompañamiento Octubre 2021</t>
  </si>
  <si>
    <t>P-1067</t>
  </si>
  <si>
    <t>Tis-1086</t>
  </si>
  <si>
    <t>P-1068</t>
  </si>
  <si>
    <t>TIS-1070</t>
  </si>
  <si>
    <t>P-1069</t>
  </si>
  <si>
    <t>TIS-1074</t>
  </si>
  <si>
    <t>P-1070</t>
  </si>
  <si>
    <t>TIS-1072</t>
  </si>
  <si>
    <t>P-1071</t>
  </si>
  <si>
    <t>TIS-1065</t>
  </si>
  <si>
    <t>P-1072</t>
  </si>
  <si>
    <t>TIS-1122</t>
  </si>
  <si>
    <t>P-1073</t>
  </si>
  <si>
    <t>Tis-1076</t>
  </si>
  <si>
    <t>Acompañamiento Noviembre 2021</t>
  </si>
  <si>
    <t>P-1074</t>
  </si>
  <si>
    <t>Tis-1079</t>
  </si>
  <si>
    <t>P-1075</t>
  </si>
  <si>
    <t>TIS-1102</t>
  </si>
  <si>
    <t>P-1076</t>
  </si>
  <si>
    <t>Tis-1078</t>
  </si>
  <si>
    <t>P-1078</t>
  </si>
  <si>
    <t>Tis-1082</t>
  </si>
  <si>
    <t>P-1077</t>
  </si>
  <si>
    <t>TIS1101</t>
  </si>
  <si>
    <t>P-1079</t>
  </si>
  <si>
    <t>Tis-1080</t>
  </si>
  <si>
    <t>P-1080</t>
  </si>
  <si>
    <t>Tis-1081</t>
  </si>
  <si>
    <t>P-1081</t>
  </si>
  <si>
    <t>Tis-1127</t>
  </si>
  <si>
    <t>P-1082</t>
  </si>
  <si>
    <t>TIS-1093</t>
  </si>
  <si>
    <t>se actualiza proforma con fecha del 20dic21</t>
  </si>
  <si>
    <t>P-1083</t>
  </si>
  <si>
    <t>P-1084</t>
  </si>
  <si>
    <t>Tis-1085</t>
  </si>
  <si>
    <t>P-1085</t>
  </si>
  <si>
    <t>TIS-1095</t>
  </si>
  <si>
    <t>P-1086</t>
  </si>
  <si>
    <t>TIS-1116</t>
  </si>
  <si>
    <t>P-1087</t>
  </si>
  <si>
    <t>TIS-1087</t>
  </si>
  <si>
    <t>P-1088</t>
  </si>
  <si>
    <t>TIS-1089</t>
  </si>
  <si>
    <t>P-1089</t>
  </si>
  <si>
    <t>TIS-1094</t>
  </si>
  <si>
    <t>P-1090</t>
  </si>
  <si>
    <t>P-1091</t>
  </si>
  <si>
    <t>NC10</t>
  </si>
  <si>
    <t>P-1092</t>
  </si>
  <si>
    <t>TIS-1142</t>
  </si>
  <si>
    <t>P-1093</t>
  </si>
  <si>
    <t>Tis-1091</t>
  </si>
  <si>
    <t>P-1094</t>
  </si>
  <si>
    <t>TIS-1092</t>
  </si>
  <si>
    <t>P-1095</t>
  </si>
  <si>
    <t>NC-11</t>
  </si>
  <si>
    <t>P-1096</t>
  </si>
  <si>
    <t>NC-10</t>
  </si>
  <si>
    <t>P-1097</t>
  </si>
  <si>
    <t>TIS-1107</t>
  </si>
  <si>
    <t>P-1098</t>
  </si>
  <si>
    <t>TIS-1098</t>
  </si>
  <si>
    <t>P-1099</t>
  </si>
  <si>
    <t>TIS-1100</t>
  </si>
  <si>
    <t>P-1100</t>
  </si>
  <si>
    <t>TIS-1117</t>
  </si>
  <si>
    <t>P-1101</t>
  </si>
  <si>
    <t>TIS-1120</t>
  </si>
  <si>
    <t>Acompañamiento Enero a abril 2022</t>
  </si>
  <si>
    <t>P-1102</t>
  </si>
  <si>
    <t>TIS-1103</t>
  </si>
  <si>
    <t>P-1103</t>
  </si>
  <si>
    <t>Tis-1097</t>
  </si>
  <si>
    <t>P-1104</t>
  </si>
  <si>
    <t>NC13</t>
  </si>
  <si>
    <t>P-1105</t>
  </si>
  <si>
    <t>TIS-1099</t>
  </si>
  <si>
    <t>P-1106</t>
  </si>
  <si>
    <t>TIS-1096</t>
  </si>
  <si>
    <t>P-1107</t>
  </si>
  <si>
    <t>P-1108</t>
  </si>
  <si>
    <t>Tis-1104</t>
  </si>
  <si>
    <t>P-1109</t>
  </si>
  <si>
    <t>TIS-1105</t>
  </si>
  <si>
    <t>P-1110</t>
  </si>
  <si>
    <t>TIS-1106</t>
  </si>
  <si>
    <t>P-1111</t>
  </si>
  <si>
    <t>TIS-1108</t>
  </si>
  <si>
    <t>P-1112</t>
  </si>
  <si>
    <t>TIS-1109</t>
  </si>
  <si>
    <t>P-1113</t>
  </si>
  <si>
    <t>TIS-1111</t>
  </si>
  <si>
    <t>P-1114</t>
  </si>
  <si>
    <t>Tis-1140</t>
  </si>
  <si>
    <t>P-1115</t>
  </si>
  <si>
    <t>TIS-1119</t>
  </si>
  <si>
    <t>P-1116</t>
  </si>
  <si>
    <t>Tis-1118</t>
  </si>
  <si>
    <t>P-1117</t>
  </si>
  <si>
    <t>TIS-1113</t>
  </si>
  <si>
    <t>P-1118</t>
  </si>
  <si>
    <t>TIS-1114</t>
  </si>
  <si>
    <t>P-1119</t>
  </si>
  <si>
    <t>TIS-1115</t>
  </si>
  <si>
    <t>P-1120</t>
  </si>
  <si>
    <t>TIS-1208</t>
  </si>
  <si>
    <t>P-1121</t>
  </si>
  <si>
    <t>Tis-1125</t>
  </si>
  <si>
    <t>P-1122</t>
  </si>
  <si>
    <t>TIS-1121</t>
  </si>
  <si>
    <t>S</t>
  </si>
  <si>
    <t>P-1123</t>
  </si>
  <si>
    <t>TIS-1134</t>
  </si>
  <si>
    <t>P-1124</t>
  </si>
  <si>
    <t>TIS-1149</t>
  </si>
  <si>
    <t>P-1125</t>
  </si>
  <si>
    <t>Tis-1124</t>
  </si>
  <si>
    <t>P-1126</t>
  </si>
  <si>
    <t>Tis-1129</t>
  </si>
  <si>
    <t>P-1127</t>
  </si>
  <si>
    <t>Tis-1155</t>
  </si>
  <si>
    <t>s</t>
  </si>
  <si>
    <t>P-1128</t>
  </si>
  <si>
    <t>TIS-1133</t>
  </si>
  <si>
    <t>P-1129</t>
  </si>
  <si>
    <t>Tis-1135</t>
  </si>
  <si>
    <t>P-1130</t>
  </si>
  <si>
    <t>Tis-1136</t>
  </si>
  <si>
    <t>P-1131</t>
  </si>
  <si>
    <t>Tis-1137</t>
  </si>
  <si>
    <t>P-1132</t>
  </si>
  <si>
    <t>Tis-1138</t>
  </si>
  <si>
    <t>P-1133</t>
  </si>
  <si>
    <t>TIS-1131</t>
  </si>
  <si>
    <t>P-1134</t>
  </si>
  <si>
    <t>Tis-1132</t>
  </si>
  <si>
    <t>P-1135</t>
  </si>
  <si>
    <t>TIS-1139</t>
  </si>
  <si>
    <t>P-1136</t>
  </si>
  <si>
    <t>P-1137</t>
  </si>
  <si>
    <t>TIS-1150</t>
  </si>
  <si>
    <t>P-1138</t>
  </si>
  <si>
    <t>TIS-1144</t>
  </si>
  <si>
    <t>P-1139</t>
  </si>
  <si>
    <t>TIS-1145</t>
  </si>
  <si>
    <t>P-1140</t>
  </si>
  <si>
    <t>TIS-1146</t>
  </si>
  <si>
    <t>P-1141</t>
  </si>
  <si>
    <t>TIS-1147</t>
  </si>
  <si>
    <t>P-1142</t>
  </si>
  <si>
    <t>TIS-1148</t>
  </si>
  <si>
    <t>P-1143</t>
  </si>
  <si>
    <t>P-1144</t>
  </si>
  <si>
    <t>Tis-1165</t>
  </si>
  <si>
    <t>P-1145</t>
  </si>
  <si>
    <t>P-1146</t>
  </si>
  <si>
    <t>Tis-1166</t>
  </si>
  <si>
    <t>P-1147</t>
  </si>
  <si>
    <t>Tis-1161</t>
  </si>
  <si>
    <t>P-1148</t>
  </si>
  <si>
    <t>TIS-1164</t>
  </si>
  <si>
    <t>P-1149</t>
  </si>
  <si>
    <t>P-1150</t>
  </si>
  <si>
    <t>TIS-1153</t>
  </si>
  <si>
    <t>P-1151</t>
  </si>
  <si>
    <t>Tis-1181</t>
  </si>
  <si>
    <t>P-1152</t>
  </si>
  <si>
    <t>TIS-1176</t>
  </si>
  <si>
    <t>P-1153</t>
  </si>
  <si>
    <t>Tis-1180</t>
  </si>
  <si>
    <t>P-1154</t>
  </si>
  <si>
    <t>Tis-1162</t>
  </si>
  <si>
    <t>P-1155</t>
  </si>
  <si>
    <t>TIS-1160</t>
  </si>
  <si>
    <t>P-1156</t>
  </si>
  <si>
    <t>TIS-1159</t>
  </si>
  <si>
    <t>P-1157</t>
  </si>
  <si>
    <t>TIS-1183</t>
  </si>
  <si>
    <t>P-1158</t>
  </si>
  <si>
    <t>Anticipo 50%</t>
  </si>
  <si>
    <t>P-1159</t>
  </si>
  <si>
    <t>TIS-1158</t>
  </si>
  <si>
    <t>P-1160</t>
  </si>
  <si>
    <t>TIS-1163</t>
  </si>
  <si>
    <t>P-1161</t>
  </si>
  <si>
    <t>TIS-1168</t>
  </si>
  <si>
    <t>P-1162</t>
  </si>
  <si>
    <t>TIS-1169</t>
  </si>
  <si>
    <t>P-1163</t>
  </si>
  <si>
    <t>TIS-1170</t>
  </si>
  <si>
    <t>P-1164</t>
  </si>
  <si>
    <t>TIS-1171</t>
  </si>
  <si>
    <t>P-1165</t>
  </si>
  <si>
    <t>TIS-1172</t>
  </si>
  <si>
    <t>P-1166</t>
  </si>
  <si>
    <t>TIS-1173</t>
  </si>
  <si>
    <t>P-1167</t>
  </si>
  <si>
    <t>TIS-1174</t>
  </si>
  <si>
    <t>P-1168</t>
  </si>
  <si>
    <t>TIS-1175</t>
  </si>
  <si>
    <t>P-1169</t>
  </si>
  <si>
    <t>TIS-1178</t>
  </si>
  <si>
    <t>P-1170</t>
  </si>
  <si>
    <t>TIS-1182</t>
  </si>
  <si>
    <t>P-1171</t>
  </si>
  <si>
    <t>TIS-1185</t>
  </si>
  <si>
    <t>P-1172</t>
  </si>
  <si>
    <t>TIS-1110</t>
  </si>
  <si>
    <t>P-1173</t>
  </si>
  <si>
    <t>TIS-1112</t>
  </si>
  <si>
    <t>P-1174</t>
  </si>
  <si>
    <t>TIS-1123</t>
  </si>
  <si>
    <t>P-1175</t>
  </si>
  <si>
    <t>NC9</t>
  </si>
  <si>
    <t>P-1176</t>
  </si>
  <si>
    <t>TIS-1088</t>
  </si>
  <si>
    <t>P-1177</t>
  </si>
  <si>
    <t>TIS-1186</t>
  </si>
  <si>
    <t>P-1218</t>
  </si>
  <si>
    <t>NC31</t>
  </si>
  <si>
    <t>P-1178</t>
  </si>
  <si>
    <t>TIS-1184</t>
  </si>
  <si>
    <t>P-1179</t>
  </si>
  <si>
    <t>TIS-1126</t>
  </si>
  <si>
    <t>P-1180</t>
  </si>
  <si>
    <t>NC15</t>
  </si>
  <si>
    <t>P-1181</t>
  </si>
  <si>
    <t>TIS-1128</t>
  </si>
  <si>
    <t>P-1182</t>
  </si>
  <si>
    <t>NC16</t>
  </si>
  <si>
    <t>P-1183</t>
  </si>
  <si>
    <t>TIS-1141</t>
  </si>
  <si>
    <t>P-1184</t>
  </si>
  <si>
    <t>NC18</t>
  </si>
  <si>
    <t>P-1185</t>
  </si>
  <si>
    <t>TIS-1143</t>
  </si>
  <si>
    <t>P-1186</t>
  </si>
  <si>
    <t>NC19</t>
  </si>
  <si>
    <t>P-1187</t>
  </si>
  <si>
    <t>TIS-1151</t>
  </si>
  <si>
    <t>NC22</t>
  </si>
  <si>
    <t>P-1188</t>
  </si>
  <si>
    <t>Tis-1151</t>
  </si>
  <si>
    <t>P-1189</t>
  </si>
  <si>
    <t>TIS-1152</t>
  </si>
  <si>
    <t>P-1190</t>
  </si>
  <si>
    <t>NC20</t>
  </si>
  <si>
    <t>P-1191</t>
  </si>
  <si>
    <t>TIS-1154</t>
  </si>
  <si>
    <t>P-1192</t>
  </si>
  <si>
    <t>TIS-1179</t>
  </si>
  <si>
    <t>P-1193</t>
  </si>
  <si>
    <t>NC25</t>
  </si>
  <si>
    <t>P-1194</t>
  </si>
  <si>
    <t>TIS-1177</t>
  </si>
  <si>
    <t>P-1195</t>
  </si>
  <si>
    <t>TIS-1167</t>
  </si>
  <si>
    <t>P-1196</t>
  </si>
  <si>
    <t>Tis-1189</t>
  </si>
  <si>
    <t>P-1197</t>
  </si>
  <si>
    <t>Tis-1188</t>
  </si>
  <si>
    <t>P-1198</t>
  </si>
  <si>
    <t>Tis-1190</t>
  </si>
  <si>
    <t>P-1199</t>
  </si>
  <si>
    <t>Tis-1187</t>
  </si>
  <si>
    <t>P-1200</t>
  </si>
  <si>
    <t>Tis-1192</t>
  </si>
  <si>
    <t>P-1201</t>
  </si>
  <si>
    <t>Tis-1191</t>
  </si>
  <si>
    <t>P-1202</t>
  </si>
  <si>
    <t>NC27</t>
  </si>
  <si>
    <t>P-1203</t>
  </si>
  <si>
    <t>Tis-1196</t>
  </si>
  <si>
    <t>P-1204</t>
  </si>
  <si>
    <t>TIS-1193</t>
  </si>
  <si>
    <t>P-1205</t>
  </si>
  <si>
    <t>TIS-1194</t>
  </si>
  <si>
    <t>P-1206</t>
  </si>
  <si>
    <t>TIS-1195</t>
  </si>
  <si>
    <t>P-1207</t>
  </si>
  <si>
    <t>TIS-1197</t>
  </si>
  <si>
    <t>P-1208</t>
  </si>
  <si>
    <t>TIS-1198</t>
  </si>
  <si>
    <t>P-1209</t>
  </si>
  <si>
    <t>TIS-1199</t>
  </si>
  <si>
    <t>P-1210</t>
  </si>
  <si>
    <t>TIS-1204</t>
  </si>
  <si>
    <t>P-1211</t>
  </si>
  <si>
    <t>TIS-1200</t>
  </si>
  <si>
    <t>P-1212</t>
  </si>
  <si>
    <t>TIS-1201</t>
  </si>
  <si>
    <t>P-1213</t>
  </si>
  <si>
    <t>NC32</t>
  </si>
  <si>
    <t>P-1214</t>
  </si>
  <si>
    <t>TIS-1205</t>
  </si>
  <si>
    <t>P-1215</t>
  </si>
  <si>
    <t>TIS-1202</t>
  </si>
  <si>
    <t>P-1216</t>
  </si>
  <si>
    <t>TIS-1203</t>
  </si>
  <si>
    <t>P-1217</t>
  </si>
  <si>
    <t>TIS-1206</t>
  </si>
  <si>
    <t>P-1219</t>
  </si>
  <si>
    <t>TIS-1207</t>
  </si>
  <si>
    <t>P-1220</t>
  </si>
  <si>
    <t>TIS-1213</t>
  </si>
  <si>
    <t>P-1221</t>
  </si>
  <si>
    <t>TIS-1209</t>
  </si>
  <si>
    <t>P-1222</t>
  </si>
  <si>
    <t>TIS-1210</t>
  </si>
  <si>
    <t>P-1223</t>
  </si>
  <si>
    <t>TIS-1211</t>
  </si>
  <si>
    <t>P-1224</t>
  </si>
  <si>
    <t>TIS-1212</t>
  </si>
  <si>
    <t>P-1225</t>
  </si>
  <si>
    <t>TIS-1214</t>
  </si>
  <si>
    <t>HP</t>
  </si>
  <si>
    <t>P-1226</t>
  </si>
  <si>
    <t>TIS-1215</t>
  </si>
  <si>
    <t>P-1227</t>
  </si>
  <si>
    <t>TIS-1216</t>
  </si>
  <si>
    <t>P-1228</t>
  </si>
  <si>
    <t>TIS-1218</t>
  </si>
  <si>
    <t>P-1229</t>
  </si>
  <si>
    <t>TIS-1219</t>
  </si>
  <si>
    <t>P-1230</t>
  </si>
  <si>
    <t>TIS-1220</t>
  </si>
  <si>
    <t>P-1231</t>
  </si>
  <si>
    <t>TIS-1221</t>
  </si>
  <si>
    <t>P-1232</t>
  </si>
  <si>
    <t>TIS-1222</t>
  </si>
  <si>
    <t>P-1233</t>
  </si>
  <si>
    <t>TIS-1223</t>
  </si>
  <si>
    <t>P-1234</t>
  </si>
  <si>
    <t xml:space="preserve">TIS-1224 </t>
  </si>
  <si>
    <t>P-1235</t>
  </si>
  <si>
    <t>TIS-1225</t>
  </si>
  <si>
    <t>P-1236</t>
  </si>
  <si>
    <t xml:space="preserve">TIS-1226 </t>
  </si>
  <si>
    <t>P-1237</t>
  </si>
  <si>
    <t>TIS-1227</t>
  </si>
  <si>
    <t>P-1238</t>
  </si>
  <si>
    <t>TIS-1228</t>
  </si>
  <si>
    <t>P-1239</t>
  </si>
  <si>
    <t>TIS-1229</t>
  </si>
  <si>
    <t>P-1240</t>
  </si>
  <si>
    <t>TIS-1230</t>
  </si>
  <si>
    <t>P-1241</t>
  </si>
  <si>
    <t>TIS-1231</t>
  </si>
  <si>
    <t>P-1242</t>
  </si>
  <si>
    <t>TIS-1232</t>
  </si>
  <si>
    <t>P-1243</t>
  </si>
  <si>
    <t>TIS-1234</t>
  </si>
  <si>
    <t>P-1244</t>
  </si>
  <si>
    <t>TIS-1235</t>
  </si>
  <si>
    <t>P-1245</t>
  </si>
  <si>
    <t>TIS-1236</t>
  </si>
  <si>
    <t>P-1246</t>
  </si>
  <si>
    <t>TIS-1237</t>
  </si>
  <si>
    <t>P-1247</t>
  </si>
  <si>
    <t>TIS-1238</t>
  </si>
  <si>
    <t>P-1248</t>
  </si>
  <si>
    <t>TIS-1239</t>
  </si>
  <si>
    <t>P-1249</t>
  </si>
  <si>
    <t>TIS-1240</t>
  </si>
  <si>
    <t>P-1250</t>
  </si>
  <si>
    <t>TIS-1241</t>
  </si>
  <si>
    <t>P-1251</t>
  </si>
  <si>
    <t>TIS-1243</t>
  </si>
  <si>
    <t>P-1252</t>
  </si>
  <si>
    <t>TIS-1217</t>
  </si>
  <si>
    <t>P-1253</t>
  </si>
  <si>
    <t>TIS-1233</t>
  </si>
  <si>
    <t>P-1254</t>
  </si>
  <si>
    <t>TIS-1245</t>
  </si>
  <si>
    <t>P-1255</t>
  </si>
  <si>
    <t>TIS-1242</t>
  </si>
  <si>
    <t>MSD</t>
  </si>
  <si>
    <t>P-1256</t>
  </si>
  <si>
    <t>TIS-1244</t>
  </si>
  <si>
    <t>P-1257</t>
  </si>
  <si>
    <t>P-1258</t>
  </si>
  <si>
    <t>P-1259</t>
  </si>
  <si>
    <t>NC-28</t>
  </si>
  <si>
    <t>TIS-1190</t>
  </si>
  <si>
    <t>P-1260</t>
  </si>
  <si>
    <t>NC-29</t>
  </si>
  <si>
    <t>TIS-1187</t>
  </si>
  <si>
    <t>P-1261</t>
  </si>
  <si>
    <t>NC-30</t>
  </si>
  <si>
    <t>P-1262</t>
  </si>
  <si>
    <t>NC-33</t>
  </si>
  <si>
    <t>P-1263</t>
  </si>
  <si>
    <t>TIS-1246</t>
  </si>
  <si>
    <t>P-1264</t>
  </si>
  <si>
    <t>TIS-1247</t>
  </si>
  <si>
    <t>P-1265</t>
  </si>
  <si>
    <t>TIS-1248</t>
  </si>
  <si>
    <t>P-1266</t>
  </si>
  <si>
    <t>TIS-1249</t>
  </si>
  <si>
    <t>P-1267</t>
  </si>
  <si>
    <t>TIS-1250</t>
  </si>
  <si>
    <t>P-1268</t>
  </si>
  <si>
    <t>TIS-1251</t>
  </si>
  <si>
    <t>P-1269</t>
  </si>
  <si>
    <t>TIS-1252</t>
  </si>
  <si>
    <t>P-1270</t>
  </si>
  <si>
    <t>TIS-1253</t>
  </si>
  <si>
    <t>P-1271</t>
  </si>
  <si>
    <t>TIS-1254</t>
  </si>
  <si>
    <t>P-1272</t>
  </si>
  <si>
    <t>TIS-1255</t>
  </si>
  <si>
    <t>P-1273</t>
  </si>
  <si>
    <t>TIS-1257</t>
  </si>
  <si>
    <t>P-1274</t>
  </si>
  <si>
    <t>TIS-1258</t>
  </si>
  <si>
    <t>P-1275</t>
  </si>
  <si>
    <t>TIS-1256</t>
  </si>
  <si>
    <t>P-1276</t>
  </si>
  <si>
    <t>NC-34</t>
  </si>
  <si>
    <t>P-1277</t>
  </si>
  <si>
    <t>P-1278</t>
  </si>
  <si>
    <t>TIS-1259</t>
  </si>
  <si>
    <t>P-1279</t>
  </si>
  <si>
    <t>TIS-1260</t>
  </si>
  <si>
    <t>P-1280</t>
  </si>
  <si>
    <t>TIS-1261</t>
  </si>
  <si>
    <t>P-1281</t>
  </si>
  <si>
    <t>TIS-1262</t>
  </si>
  <si>
    <t>P-1282</t>
  </si>
  <si>
    <t>TIS-1263</t>
  </si>
  <si>
    <t>P-1283</t>
  </si>
  <si>
    <t>TIS-1264</t>
  </si>
  <si>
    <t>P-1284</t>
  </si>
  <si>
    <t>TIS-1265</t>
  </si>
  <si>
    <t>P-1285</t>
  </si>
  <si>
    <t>TIS-1266</t>
  </si>
  <si>
    <t>P-1286</t>
  </si>
  <si>
    <t>TIS-1267</t>
  </si>
  <si>
    <t>P-1287</t>
  </si>
  <si>
    <t>TIS-1268</t>
  </si>
  <si>
    <t>P-1288</t>
  </si>
  <si>
    <t>TIS-1269</t>
  </si>
  <si>
    <t>P-1289</t>
  </si>
  <si>
    <t>TIS-1330</t>
  </si>
  <si>
    <t>P-1290</t>
  </si>
  <si>
    <t>TIS-1270</t>
  </si>
  <si>
    <t>P-1291</t>
  </si>
  <si>
    <t>TIS-1271</t>
  </si>
  <si>
    <t>P-1292</t>
  </si>
  <si>
    <t>TIS-1272</t>
  </si>
  <si>
    <t>P-1293</t>
  </si>
  <si>
    <t>TIS-1273</t>
  </si>
  <si>
    <t>P-1294</t>
  </si>
  <si>
    <t>TIS-1274</t>
  </si>
  <si>
    <t>P-1295</t>
  </si>
  <si>
    <t>TIS-1275</t>
  </si>
  <si>
    <t>P-1296</t>
  </si>
  <si>
    <t>TIS-1276</t>
  </si>
  <si>
    <t>P-1297</t>
  </si>
  <si>
    <t>TIS-1278</t>
  </si>
  <si>
    <t>P-1298</t>
  </si>
  <si>
    <t>TIS-1279</t>
  </si>
  <si>
    <t>P-1299</t>
  </si>
  <si>
    <t>TIS-1280</t>
  </si>
  <si>
    <t>P-1300</t>
  </si>
  <si>
    <t>TIS-1281</t>
  </si>
  <si>
    <t>P-1301</t>
  </si>
  <si>
    <t>TIS-1282</t>
  </si>
  <si>
    <t>P-1302</t>
  </si>
  <si>
    <t>TIS-1283</t>
  </si>
  <si>
    <t>P-1303</t>
  </si>
  <si>
    <t>TIS-1284</t>
  </si>
  <si>
    <t>P-1304</t>
  </si>
  <si>
    <t>TIS-1285</t>
  </si>
  <si>
    <t>P-1305</t>
  </si>
  <si>
    <t>TIS-1286</t>
  </si>
  <si>
    <t>P-1306</t>
  </si>
  <si>
    <t>TIS-1287</t>
  </si>
  <si>
    <t>P-1307</t>
  </si>
  <si>
    <t>TIS-1288</t>
  </si>
  <si>
    <t>P-1308</t>
  </si>
  <si>
    <t>TIS-1289</t>
  </si>
  <si>
    <t>P-1309</t>
  </si>
  <si>
    <t>TIS-1290</t>
  </si>
  <si>
    <t>P-1310</t>
  </si>
  <si>
    <t>TIS-1291</t>
  </si>
  <si>
    <t>P-1311</t>
  </si>
  <si>
    <t>TIS-1292</t>
  </si>
  <si>
    <t>P-1312</t>
  </si>
  <si>
    <t>TIS-1293</t>
  </si>
  <si>
    <t>P-1313</t>
  </si>
  <si>
    <t>TIS-1294</t>
  </si>
  <si>
    <t>P-1314</t>
  </si>
  <si>
    <t>TIS-1295</t>
  </si>
  <si>
    <t>P-1315</t>
  </si>
  <si>
    <t>TIS-1296</t>
  </si>
  <si>
    <t>P-1316</t>
  </si>
  <si>
    <t>P-1317</t>
  </si>
  <si>
    <t>TIS-1297</t>
  </si>
  <si>
    <t>P-1318</t>
  </si>
  <si>
    <t>TIS-1298</t>
  </si>
  <si>
    <t>P-1319</t>
  </si>
  <si>
    <t>TIS-1299</t>
  </si>
  <si>
    <t>P-1320</t>
  </si>
  <si>
    <t>TIS-1300</t>
  </si>
  <si>
    <t>P-1321</t>
  </si>
  <si>
    <t>TIS-1277</t>
  </si>
  <si>
    <t>P-1322</t>
  </si>
  <si>
    <t>TIS-1302</t>
  </si>
  <si>
    <t>P-1323</t>
  </si>
  <si>
    <t>TIS-1303</t>
  </si>
  <si>
    <t>P-1324</t>
  </si>
  <si>
    <t>TIS-1304</t>
  </si>
  <si>
    <t>P-1325</t>
  </si>
  <si>
    <t>TIS-1305</t>
  </si>
  <si>
    <t>P-1326</t>
  </si>
  <si>
    <t>TIS-1306</t>
  </si>
  <si>
    <t>P-1327</t>
  </si>
  <si>
    <t>TIS-1307</t>
  </si>
  <si>
    <t>P-1328</t>
  </si>
  <si>
    <t>TIS-1308</t>
  </si>
  <si>
    <t>P-1329</t>
  </si>
  <si>
    <t>TIS-1309</t>
  </si>
  <si>
    <t>P-1330</t>
  </si>
  <si>
    <t>TIS-1310</t>
  </si>
  <si>
    <t>P-1331</t>
  </si>
  <si>
    <t>TIS-1311</t>
  </si>
  <si>
    <t>P-1332</t>
  </si>
  <si>
    <t>TIS-1312</t>
  </si>
  <si>
    <t>P-1333</t>
  </si>
  <si>
    <t>TIS-1313</t>
  </si>
  <si>
    <t>P-1334</t>
  </si>
  <si>
    <t>TIS-1314</t>
  </si>
  <si>
    <t>P-1335</t>
  </si>
  <si>
    <t>TIS-1315</t>
  </si>
  <si>
    <t>P-1336</t>
  </si>
  <si>
    <t>TIS-1316</t>
  </si>
  <si>
    <t>P-1337</t>
  </si>
  <si>
    <t>TIS-1317</t>
  </si>
  <si>
    <t>P-1338</t>
  </si>
  <si>
    <t>TIS-1318</t>
  </si>
  <si>
    <t>P-1339</t>
  </si>
  <si>
    <t>TIS-1319</t>
  </si>
  <si>
    <t>P-1340</t>
  </si>
  <si>
    <t>TIS-1320</t>
  </si>
  <si>
    <t>P-1341</t>
  </si>
  <si>
    <t>TIS-1321</t>
  </si>
  <si>
    <t>P-1342</t>
  </si>
  <si>
    <t>TIS-1322</t>
  </si>
  <si>
    <t>P-1343</t>
  </si>
  <si>
    <t>TIS-1323</t>
  </si>
  <si>
    <t>P-1344</t>
  </si>
  <si>
    <t>TIS-1324</t>
  </si>
  <si>
    <t>P-1345</t>
  </si>
  <si>
    <t>TIS-1325</t>
  </si>
  <si>
    <t>P-1346</t>
  </si>
  <si>
    <t>TIS-1326</t>
  </si>
  <si>
    <t>P-1347</t>
  </si>
  <si>
    <t>TIS-1327</t>
  </si>
  <si>
    <t>P-1348</t>
  </si>
  <si>
    <t>TIS-1328</t>
  </si>
  <si>
    <t>P-1349</t>
  </si>
  <si>
    <t>TIS-1329</t>
  </si>
  <si>
    <t>P-1350</t>
  </si>
  <si>
    <t>NC37</t>
  </si>
  <si>
    <t>Anula Tis 1365</t>
  </si>
  <si>
    <t>P-1351</t>
  </si>
  <si>
    <t>NC39</t>
  </si>
  <si>
    <t>Anula Tis 1417</t>
  </si>
  <si>
    <t>P-1352</t>
  </si>
  <si>
    <t>TIS-1332</t>
  </si>
  <si>
    <t>P-1353</t>
  </si>
  <si>
    <t>TIS-1334</t>
  </si>
  <si>
    <t>P-1354</t>
  </si>
  <si>
    <t>TIS-1335</t>
  </si>
  <si>
    <t>P-1355</t>
  </si>
  <si>
    <t>TIS-1336</t>
  </si>
  <si>
    <t>P-1356</t>
  </si>
  <si>
    <t>TIS-1337</t>
  </si>
  <si>
    <t>P-1357</t>
  </si>
  <si>
    <t>TIS-1338</t>
  </si>
  <si>
    <t>P-1358</t>
  </si>
  <si>
    <t>TIS-1339</t>
  </si>
  <si>
    <t>P-1359</t>
  </si>
  <si>
    <t>TIS-1340</t>
  </si>
  <si>
    <t>P-1360</t>
  </si>
  <si>
    <t>TIS-1341</t>
  </si>
  <si>
    <t>P-1361</t>
  </si>
  <si>
    <t>TIS-1342</t>
  </si>
  <si>
    <t>P-1362</t>
  </si>
  <si>
    <t>TIS-1343</t>
  </si>
  <si>
    <t>P-1363</t>
  </si>
  <si>
    <t>TIS-1344</t>
  </si>
  <si>
    <t>P-1364</t>
  </si>
  <si>
    <t>TIS-1353</t>
  </si>
  <si>
    <t>P-1365</t>
  </si>
  <si>
    <t>TIS-1354</t>
  </si>
  <si>
    <t>P-1366</t>
  </si>
  <si>
    <t>TIS-1350</t>
  </si>
  <si>
    <t>P-1367</t>
  </si>
  <si>
    <t>TIS-1345</t>
  </si>
  <si>
    <t>P-1368</t>
  </si>
  <si>
    <t>TIS-1346</t>
  </si>
  <si>
    <t>P-1369</t>
  </si>
  <si>
    <t>TIS-1347</t>
  </si>
  <si>
    <t>P-1370</t>
  </si>
  <si>
    <t>TIS-1348</t>
  </si>
  <si>
    <t>P-1371</t>
  </si>
  <si>
    <t>TIS-1349</t>
  </si>
  <si>
    <t>P-1372</t>
  </si>
  <si>
    <t>TIS-1351</t>
  </si>
  <si>
    <t>P-1373</t>
  </si>
  <si>
    <t>TIS-1352</t>
  </si>
  <si>
    <t>P-1374</t>
  </si>
  <si>
    <t>TIS-1363</t>
  </si>
  <si>
    <t>P-1375</t>
  </si>
  <si>
    <t>TIS-1364</t>
  </si>
  <si>
    <t>P-1376</t>
  </si>
  <si>
    <t>TIS-1365</t>
  </si>
  <si>
    <t>P-1377</t>
  </si>
  <si>
    <t>TIS-1366</t>
  </si>
  <si>
    <t>P-1378</t>
  </si>
  <si>
    <t>TIS-1367</t>
  </si>
  <si>
    <t>P-1379</t>
  </si>
  <si>
    <t>TIS-1368</t>
  </si>
  <si>
    <t>P-1380</t>
  </si>
  <si>
    <t>TIS-1369</t>
  </si>
  <si>
    <t>P-1381</t>
  </si>
  <si>
    <t>TIS-1370</t>
  </si>
  <si>
    <t>P-1382</t>
  </si>
  <si>
    <t>TIS-1371</t>
  </si>
  <si>
    <t>P-1383</t>
  </si>
  <si>
    <t>TIS-1372</t>
  </si>
  <si>
    <t>P-1384</t>
  </si>
  <si>
    <t>TIS-1373</t>
  </si>
  <si>
    <t>P-1385</t>
  </si>
  <si>
    <t>TIS-1374</t>
  </si>
  <si>
    <t>P-1387</t>
  </si>
  <si>
    <t>TIS-1375</t>
  </si>
  <si>
    <t>P-1388</t>
  </si>
  <si>
    <t>TIS-1376</t>
  </si>
  <si>
    <t>P-1389</t>
  </si>
  <si>
    <t>TIS-1377</t>
  </si>
  <si>
    <t>P-1391</t>
  </si>
  <si>
    <t>TIS-1379</t>
  </si>
  <si>
    <t>P-1392</t>
  </si>
  <si>
    <t>TIS-1380</t>
  </si>
  <si>
    <t>P-1393</t>
  </si>
  <si>
    <t>TIS-1381</t>
  </si>
  <si>
    <t>P-1394</t>
  </si>
  <si>
    <t>TIS-1382</t>
  </si>
  <si>
    <t>P-1395</t>
  </si>
  <si>
    <t>TIS-1383</t>
  </si>
  <si>
    <t>P-1396</t>
  </si>
  <si>
    <t>TIS-1384</t>
  </si>
  <si>
    <t>P-1397</t>
  </si>
  <si>
    <t>TIS-1386</t>
  </si>
  <si>
    <t>P-1398</t>
  </si>
  <si>
    <t>TIS-1387</t>
  </si>
  <si>
    <t>P-1399</t>
  </si>
  <si>
    <t>TIS-1388</t>
  </si>
  <si>
    <t>P-1400</t>
  </si>
  <si>
    <t>TIS-1389</t>
  </si>
  <si>
    <t>P-1401</t>
  </si>
  <si>
    <t>TIS-1390</t>
  </si>
  <si>
    <t>P-1402</t>
  </si>
  <si>
    <t>TIS-1391</t>
  </si>
  <si>
    <t>P-1403</t>
  </si>
  <si>
    <t>TIS-1392</t>
  </si>
  <si>
    <t>P-1404</t>
  </si>
  <si>
    <t>TIS-1393</t>
  </si>
  <si>
    <t>P-1405</t>
  </si>
  <si>
    <t>TIS-1394</t>
  </si>
  <si>
    <t>P-1406</t>
  </si>
  <si>
    <t>TIS-1395</t>
  </si>
  <si>
    <t>P-1407</t>
  </si>
  <si>
    <t>TIS-1396</t>
  </si>
  <si>
    <t>P-1408</t>
  </si>
  <si>
    <t>TIS-1397</t>
  </si>
  <si>
    <t>P-1409</t>
  </si>
  <si>
    <t>TIS-1398</t>
  </si>
  <si>
    <t>TIS-1399</t>
  </si>
  <si>
    <t>P-1411</t>
  </si>
  <si>
    <t>TIS-1400</t>
  </si>
  <si>
    <t>P-1412</t>
  </si>
  <si>
    <t>TIS-1401</t>
  </si>
  <si>
    <t>P-1413</t>
  </si>
  <si>
    <t>TIS-1402</t>
  </si>
  <si>
    <t>P-1414</t>
  </si>
  <si>
    <t>TIS-1403</t>
  </si>
  <si>
    <t>P-1415</t>
  </si>
  <si>
    <t>TIS-1404</t>
  </si>
  <si>
    <t>P-1416</t>
  </si>
  <si>
    <t>TIS-1405</t>
  </si>
  <si>
    <t>P-1417</t>
  </si>
  <si>
    <t>TIS-1406</t>
  </si>
  <si>
    <t>P-1418</t>
  </si>
  <si>
    <t>TIS-1409</t>
  </si>
  <si>
    <t>P-1419</t>
  </si>
  <si>
    <t>TIS-1410</t>
  </si>
  <si>
    <t>P-1420</t>
  </si>
  <si>
    <t>TIS-1411</t>
  </si>
  <si>
    <t>P-1421</t>
  </si>
  <si>
    <t>TIS-1412</t>
  </si>
  <si>
    <t>P-1422</t>
  </si>
  <si>
    <t>TIS-1413</t>
  </si>
  <si>
    <t>P-1423</t>
  </si>
  <si>
    <t>TIS-1414</t>
  </si>
  <si>
    <t>P-1424</t>
  </si>
  <si>
    <t>TIS-1415</t>
  </si>
  <si>
    <t>P-1425</t>
  </si>
  <si>
    <t>TIS-1416</t>
  </si>
  <si>
    <t>P-1426</t>
  </si>
  <si>
    <t>TIS-1417</t>
  </si>
  <si>
    <t>P-1427</t>
  </si>
  <si>
    <t>TIS-1418</t>
  </si>
  <si>
    <t>P-1428</t>
  </si>
  <si>
    <t>TIS-1420</t>
  </si>
  <si>
    <t>P-1429</t>
  </si>
  <si>
    <t>TIS-1421</t>
  </si>
  <si>
    <t>P-1430</t>
  </si>
  <si>
    <t>TIS-1422</t>
  </si>
  <si>
    <t>P-1431</t>
  </si>
  <si>
    <t>TIS-1423</t>
  </si>
  <si>
    <t>P-1432</t>
  </si>
  <si>
    <t>TIS-1424</t>
  </si>
  <si>
    <t>P-1433</t>
  </si>
  <si>
    <t>TIS-1425</t>
  </si>
  <si>
    <t>P-1434</t>
  </si>
  <si>
    <t>TIS-1385</t>
  </si>
  <si>
    <t>P-1435</t>
  </si>
  <si>
    <t>TIS-1407</t>
  </si>
  <si>
    <t>P-1436</t>
  </si>
  <si>
    <t>TIS-1408</t>
  </si>
  <si>
    <t>P-1437</t>
  </si>
  <si>
    <t>TIS-1426</t>
  </si>
  <si>
    <t>P-1438</t>
  </si>
  <si>
    <t>TIS-1427</t>
  </si>
  <si>
    <t>P-1439</t>
  </si>
  <si>
    <t>TIS-1428</t>
  </si>
  <si>
    <t>OC: STT558</t>
  </si>
  <si>
    <t>P-1440</t>
  </si>
  <si>
    <t>TIS-1429</t>
  </si>
  <si>
    <t>P-1441</t>
  </si>
  <si>
    <t>TIS-1430</t>
  </si>
  <si>
    <t>P-1442</t>
  </si>
  <si>
    <t>TIS-1431</t>
  </si>
  <si>
    <t>P-1443</t>
  </si>
  <si>
    <t>TIS-1432</t>
  </si>
  <si>
    <t>P-1444</t>
  </si>
  <si>
    <t>TIS-1433</t>
  </si>
  <si>
    <t>P-1445</t>
  </si>
  <si>
    <t>TIS-1434</t>
  </si>
  <si>
    <t>P-1446</t>
  </si>
  <si>
    <t>TIS-1435</t>
  </si>
  <si>
    <t>P-1447</t>
  </si>
  <si>
    <t>TIS-1436</t>
  </si>
  <si>
    <t>P-1448</t>
  </si>
  <si>
    <t>TIS-1437</t>
  </si>
  <si>
    <t>P-1449</t>
  </si>
  <si>
    <t>TIS-1419</t>
  </si>
  <si>
    <t>P-1450</t>
  </si>
  <si>
    <t>TIS-1438</t>
  </si>
  <si>
    <t>P-1451</t>
  </si>
  <si>
    <t>TIS-1439</t>
  </si>
  <si>
    <t>P-1452</t>
  </si>
  <si>
    <t>TIS-1440</t>
  </si>
  <si>
    <t>P-1453</t>
  </si>
  <si>
    <t>TIS-1441</t>
  </si>
  <si>
    <t>P-1454</t>
  </si>
  <si>
    <t>TIS-1442</t>
  </si>
  <si>
    <t>P-1455</t>
  </si>
  <si>
    <t>TIS-1443</t>
  </si>
  <si>
    <t>P-1456</t>
  </si>
  <si>
    <t>TIS-1444</t>
  </si>
  <si>
    <t>P-1457</t>
  </si>
  <si>
    <t>TIS-1445</t>
  </si>
  <si>
    <t>P-1458</t>
  </si>
  <si>
    <t>TIS-1446</t>
  </si>
  <si>
    <t>P-1459</t>
  </si>
  <si>
    <t>TIS-1447</t>
  </si>
  <si>
    <t>P-1460</t>
  </si>
  <si>
    <t>TIS-1448</t>
  </si>
  <si>
    <t>P-1461</t>
  </si>
  <si>
    <t>TIS-1449</t>
  </si>
  <si>
    <t>P-1462</t>
  </si>
  <si>
    <t>TIS-1450</t>
  </si>
  <si>
    <t>P-1463</t>
  </si>
  <si>
    <t>TIS-1451</t>
  </si>
  <si>
    <t>P-1464</t>
  </si>
  <si>
    <t>TIS-1452</t>
  </si>
  <si>
    <t>P-1465</t>
  </si>
  <si>
    <t>TIS-1453</t>
  </si>
  <si>
    <t>P-1466</t>
  </si>
  <si>
    <t>TIS-1454</t>
  </si>
  <si>
    <t>P-1467</t>
  </si>
  <si>
    <t>NC-40</t>
  </si>
  <si>
    <t>P-1468</t>
  </si>
  <si>
    <t>TIS-1455</t>
  </si>
  <si>
    <t>P-1469</t>
  </si>
  <si>
    <t>TIS-1456</t>
  </si>
  <si>
    <t>P-1470</t>
  </si>
  <si>
    <t>TIS-1457</t>
  </si>
  <si>
    <t>P-1471</t>
  </si>
  <si>
    <t>NC-41</t>
  </si>
  <si>
    <t>P-1472</t>
  </si>
  <si>
    <t>ND1</t>
  </si>
  <si>
    <t>P-1473</t>
  </si>
  <si>
    <t>NC42</t>
  </si>
  <si>
    <t>P-1474</t>
  </si>
  <si>
    <t>NC44</t>
  </si>
  <si>
    <t>P-1475</t>
  </si>
  <si>
    <t>NC45</t>
  </si>
  <si>
    <t>P-1476</t>
  </si>
  <si>
    <t>TIS-1458</t>
  </si>
  <si>
    <t>P-1477</t>
  </si>
  <si>
    <t>TIS-1459</t>
  </si>
  <si>
    <t>P-1478</t>
  </si>
  <si>
    <t>TIS-1460</t>
  </si>
  <si>
    <t>P-1479</t>
  </si>
  <si>
    <t>TIS-1461</t>
  </si>
  <si>
    <t>P-1480</t>
  </si>
  <si>
    <t>TIS-1462</t>
  </si>
  <si>
    <t>P-1481</t>
  </si>
  <si>
    <t>TIS-1463</t>
  </si>
  <si>
    <t>P-1482</t>
  </si>
  <si>
    <t>TIS-1464</t>
  </si>
  <si>
    <t>P-1483</t>
  </si>
  <si>
    <t>TIS-1465</t>
  </si>
  <si>
    <t>P-1484</t>
  </si>
  <si>
    <t>TIS-1466</t>
  </si>
  <si>
    <t>P-1485</t>
  </si>
  <si>
    <t>TIS-1467</t>
  </si>
  <si>
    <t>P-1486</t>
  </si>
  <si>
    <t>TIS-1468</t>
  </si>
  <si>
    <t>P-1487</t>
  </si>
  <si>
    <t>TIS-1469</t>
  </si>
  <si>
    <t>P-1488</t>
  </si>
  <si>
    <t>TIS-1470</t>
  </si>
  <si>
    <t>P-1489</t>
  </si>
  <si>
    <t>TIS-1471</t>
  </si>
  <si>
    <t>P-1490</t>
  </si>
  <si>
    <t>TIS-1472</t>
  </si>
  <si>
    <t>P-1491</t>
  </si>
  <si>
    <t>TIS-1473</t>
  </si>
  <si>
    <t>P-1492</t>
  </si>
  <si>
    <t>TIS-1474</t>
  </si>
  <si>
    <t>P-1493</t>
  </si>
  <si>
    <t>TIS-1475</t>
  </si>
  <si>
    <t>P-1494</t>
  </si>
  <si>
    <t>TIS-1476</t>
  </si>
  <si>
    <t>P-1495</t>
  </si>
  <si>
    <t>TIS-1477</t>
  </si>
  <si>
    <t>P-1496</t>
  </si>
  <si>
    <t>TIS-1478</t>
  </si>
  <si>
    <t>P-1497</t>
  </si>
  <si>
    <t>TIS-1479</t>
  </si>
  <si>
    <t>P-1498</t>
  </si>
  <si>
    <t>TIS-1480</t>
  </si>
  <si>
    <t>P-1499</t>
  </si>
  <si>
    <t>TIS-1481</t>
  </si>
  <si>
    <t>P-1500</t>
  </si>
  <si>
    <t>TIS-1482</t>
  </si>
  <si>
    <t>P-1501</t>
  </si>
  <si>
    <t>TIS-1483</t>
  </si>
  <si>
    <t>P-1502</t>
  </si>
  <si>
    <t>TIS-1484</t>
  </si>
  <si>
    <t>P-1503</t>
  </si>
  <si>
    <t>NC-43</t>
  </si>
  <si>
    <t>P-1504</t>
  </si>
  <si>
    <t>TIS-1360</t>
  </si>
  <si>
    <t>P-1505</t>
  </si>
  <si>
    <t>TIS-1485</t>
  </si>
  <si>
    <t>P-1506</t>
  </si>
  <si>
    <t>TIS-1486</t>
  </si>
  <si>
    <t>P-1507</t>
  </si>
  <si>
    <t>TIS-1487</t>
  </si>
  <si>
    <t>P-1508</t>
  </si>
  <si>
    <t>TIS-1488</t>
  </si>
  <si>
    <t>P-1509</t>
  </si>
  <si>
    <t>TIS-1489</t>
  </si>
  <si>
    <t>P-1510</t>
  </si>
  <si>
    <t>TIS-1490</t>
  </si>
  <si>
    <t>P-1511</t>
  </si>
  <si>
    <t>TIS-1492</t>
  </si>
  <si>
    <t>OC: STT841</t>
  </si>
  <si>
    <t>P-1512</t>
  </si>
  <si>
    <t>TIS-1493</t>
  </si>
  <si>
    <t>P-1513</t>
  </si>
  <si>
    <t>TIS-1491</t>
  </si>
  <si>
    <t>P-1514</t>
  </si>
  <si>
    <t>TIS-1494</t>
  </si>
  <si>
    <t>P-1516</t>
  </si>
  <si>
    <t>TIS-1495</t>
  </si>
  <si>
    <t>P-1517</t>
  </si>
  <si>
    <t>TIS-1496</t>
  </si>
  <si>
    <t>P-1518</t>
  </si>
  <si>
    <t>TIS-1500</t>
  </si>
  <si>
    <t>P-1519</t>
  </si>
  <si>
    <t>TIS-1498</t>
  </si>
  <si>
    <t>P-1520</t>
  </si>
  <si>
    <t>TIS-1499</t>
  </si>
  <si>
    <t>P-1521</t>
  </si>
  <si>
    <t>TIS-1501</t>
  </si>
  <si>
    <t>P-1522</t>
  </si>
  <si>
    <t>TIS-1502</t>
  </si>
  <si>
    <t>P-1523</t>
  </si>
  <si>
    <t>TIS-1503</t>
  </si>
  <si>
    <t>P-1524</t>
  </si>
  <si>
    <t>TIS-1504</t>
  </si>
  <si>
    <t>P-1525</t>
  </si>
  <si>
    <t>TIS-1505</t>
  </si>
  <si>
    <t>P-1526</t>
  </si>
  <si>
    <t>TIS-1506</t>
  </si>
  <si>
    <t>P-1527</t>
  </si>
  <si>
    <t>P-1528</t>
  </si>
  <si>
    <t>TIS-1509</t>
  </si>
  <si>
    <t>P-1529</t>
  </si>
  <si>
    <t>TIS-1508</t>
  </si>
  <si>
    <t>P-1530</t>
  </si>
  <si>
    <t>TIS-1510</t>
  </si>
  <si>
    <t>P-1531</t>
  </si>
  <si>
    <t>TIS-1511</t>
  </si>
  <si>
    <t>P-1532</t>
  </si>
  <si>
    <t>TIS-1512</t>
  </si>
  <si>
    <t>P-1533</t>
  </si>
  <si>
    <t>TIS- 1513</t>
  </si>
  <si>
    <t>P-1534</t>
  </si>
  <si>
    <t>TIS-1514</t>
  </si>
  <si>
    <t>P-1535</t>
  </si>
  <si>
    <t>TIS-1515</t>
  </si>
  <si>
    <t>P-1536</t>
  </si>
  <si>
    <t>TIS- 1516</t>
  </si>
  <si>
    <t>P-1537</t>
  </si>
  <si>
    <t>TIS-1517</t>
  </si>
  <si>
    <t>P-1538</t>
  </si>
  <si>
    <t>TIS.1518</t>
  </si>
  <si>
    <t>P-1539</t>
  </si>
  <si>
    <t>TIS-1519</t>
  </si>
  <si>
    <t>P-1540</t>
  </si>
  <si>
    <t>TIS-1520</t>
  </si>
  <si>
    <t>P-1541</t>
  </si>
  <si>
    <t>TIS-1521</t>
  </si>
  <si>
    <t>P-1542</t>
  </si>
  <si>
    <t>TIS-1522</t>
  </si>
  <si>
    <t>P-1543</t>
  </si>
  <si>
    <t>TIS-1523</t>
  </si>
  <si>
    <t>P-1544</t>
  </si>
  <si>
    <t>TIS-1524</t>
  </si>
  <si>
    <t>P-1545</t>
  </si>
  <si>
    <t>TIS-1525</t>
  </si>
  <si>
    <t>P-1546</t>
  </si>
  <si>
    <t>TIS-1526</t>
  </si>
  <si>
    <t>P-1547</t>
  </si>
  <si>
    <t>P-1548</t>
  </si>
  <si>
    <t>TIS-1527</t>
  </si>
  <si>
    <t>P-1549</t>
  </si>
  <si>
    <t>TIS-1528</t>
  </si>
  <si>
    <t>P-1550</t>
  </si>
  <si>
    <t>TIS-1529</t>
  </si>
  <si>
    <t>P-1551</t>
  </si>
  <si>
    <t>TIS-1530</t>
  </si>
  <si>
    <t>P-1552</t>
  </si>
  <si>
    <t>TIS-1531</t>
  </si>
  <si>
    <t>P-1553</t>
  </si>
  <si>
    <t>TIS-1532</t>
  </si>
  <si>
    <t>P-1554</t>
  </si>
  <si>
    <t>TIS-1533</t>
  </si>
  <si>
    <t>P-1555</t>
  </si>
  <si>
    <t>TIS-1536</t>
  </si>
  <si>
    <t>P-1556</t>
  </si>
  <si>
    <t>TIS-1537</t>
  </si>
  <si>
    <t>P-1557</t>
  </si>
  <si>
    <t>TIS-1538</t>
  </si>
  <si>
    <t>P-1558</t>
  </si>
  <si>
    <t>NC-47</t>
  </si>
  <si>
    <t>P-1559</t>
  </si>
  <si>
    <t>TIS-1539</t>
  </si>
  <si>
    <t>P-1560</t>
  </si>
  <si>
    <t>TIS-1535</t>
  </si>
  <si>
    <t>P-1561</t>
  </si>
  <si>
    <t>NC46</t>
  </si>
  <si>
    <t>P-1562</t>
  </si>
  <si>
    <t>TIS-1542</t>
  </si>
  <si>
    <t>P-1563</t>
  </si>
  <si>
    <t>TIS-1543</t>
  </si>
  <si>
    <t>P-1564</t>
  </si>
  <si>
    <t>TIS-1544</t>
  </si>
  <si>
    <t>P-1565</t>
  </si>
  <si>
    <t>TIS-1545</t>
  </si>
  <si>
    <t>P-1566</t>
  </si>
  <si>
    <t>TIS-1546</t>
  </si>
  <si>
    <t>P-1567</t>
  </si>
  <si>
    <t>TIS-1547</t>
  </si>
  <si>
    <t>P-1568</t>
  </si>
  <si>
    <t>TIS-1548</t>
  </si>
  <si>
    <t>P-1569</t>
  </si>
  <si>
    <t>P-1570</t>
  </si>
  <si>
    <t>TIS-1540</t>
  </si>
  <si>
    <t>P-1571</t>
  </si>
  <si>
    <t>TIS-1559</t>
  </si>
  <si>
    <t>P-1572</t>
  </si>
  <si>
    <t>TIS-1497</t>
  </si>
  <si>
    <t>P-1573</t>
  </si>
  <si>
    <t>P-1574</t>
  </si>
  <si>
    <t>TIS-1550</t>
  </si>
  <si>
    <t>P-1575</t>
  </si>
  <si>
    <t>TIS-1551</t>
  </si>
  <si>
    <t>P-1576</t>
  </si>
  <si>
    <t>TIS-1552</t>
  </si>
  <si>
    <t>P-1577</t>
  </si>
  <si>
    <t>TIS-1553</t>
  </si>
  <si>
    <t>P-1578</t>
  </si>
  <si>
    <t>TIS-1554</t>
  </si>
  <si>
    <t>P-1579</t>
  </si>
  <si>
    <t>TIS-1556</t>
  </si>
  <si>
    <t>P-1580</t>
  </si>
  <si>
    <t>TIS-1557</t>
  </si>
  <si>
    <t>P-1581</t>
  </si>
  <si>
    <t>TIS-1558</t>
  </si>
  <si>
    <t>P-1582</t>
  </si>
  <si>
    <t>TIS-1561</t>
  </si>
  <si>
    <t>P-1583</t>
  </si>
  <si>
    <t>TIS-1549</t>
  </si>
  <si>
    <t>P-1584</t>
  </si>
  <si>
    <t>TIS-1562</t>
  </si>
  <si>
    <t>P-1585</t>
  </si>
  <si>
    <t>TIS-1563</t>
  </si>
  <si>
    <t>P-1586</t>
  </si>
  <si>
    <t>TIS-1564</t>
  </si>
  <si>
    <t>PJ</t>
  </si>
  <si>
    <t>P-1587</t>
  </si>
  <si>
    <t>TIS-1565</t>
  </si>
  <si>
    <t>P-1588</t>
  </si>
  <si>
    <t>TIS-1567</t>
  </si>
  <si>
    <t>P-1589</t>
  </si>
  <si>
    <t>TIS-1568</t>
  </si>
  <si>
    <t>P-1590</t>
  </si>
  <si>
    <t>TIS-1569</t>
  </si>
  <si>
    <t>P-1591</t>
  </si>
  <si>
    <t>TIS-1570</t>
  </si>
  <si>
    <t>P-1592</t>
  </si>
  <si>
    <t>TIS-1571</t>
  </si>
  <si>
    <t>P-1593</t>
  </si>
  <si>
    <t>TIS-1572</t>
  </si>
  <si>
    <t>P-1594</t>
  </si>
  <si>
    <t>TIS-1573</t>
  </si>
  <si>
    <t>P-1595</t>
  </si>
  <si>
    <t>TIS-1574</t>
  </si>
  <si>
    <t>P-1596</t>
  </si>
  <si>
    <t>Tis-1592</t>
  </si>
  <si>
    <t>901307114-9</t>
  </si>
  <si>
    <t>P-1597</t>
  </si>
  <si>
    <t>TIS-1590</t>
  </si>
  <si>
    <t>P-1598</t>
  </si>
  <si>
    <t>TIS-1575</t>
  </si>
  <si>
    <t>P-1600</t>
  </si>
  <si>
    <t>TIS-1507</t>
  </si>
  <si>
    <t>P-1601</t>
  </si>
  <si>
    <t>TIS-1534</t>
  </si>
  <si>
    <t>P-1602</t>
  </si>
  <si>
    <t>TIS-1577</t>
  </si>
  <si>
    <t>P-1603</t>
  </si>
  <si>
    <t>TIS-1576</t>
  </si>
  <si>
    <t>P-1604</t>
  </si>
  <si>
    <t>TIS-1578</t>
  </si>
  <si>
    <t>P-1605</t>
  </si>
  <si>
    <t>TIS-1579</t>
  </si>
  <si>
    <t>P-1606</t>
  </si>
  <si>
    <t>TIS-1581</t>
  </si>
  <si>
    <t>P-1607</t>
  </si>
  <si>
    <t>TIS-1583</t>
  </si>
  <si>
    <t>P-1608</t>
  </si>
  <si>
    <t>TIS-1584</t>
  </si>
  <si>
    <t>P-1609</t>
  </si>
  <si>
    <t>TIS-1582</t>
  </si>
  <si>
    <t>P-1610</t>
  </si>
  <si>
    <t>TIS-1585</t>
  </si>
  <si>
    <t>P-1611</t>
  </si>
  <si>
    <t>TIS-1586</t>
  </si>
  <si>
    <t>P-1612</t>
  </si>
  <si>
    <t>TIS-1580</t>
  </si>
  <si>
    <t>P-1613</t>
  </si>
  <si>
    <t>TIS-1594</t>
  </si>
  <si>
    <t>P-1614</t>
  </si>
  <si>
    <t>TIS-1593</t>
  </si>
  <si>
    <t>830.013.802-8</t>
  </si>
  <si>
    <t>TIS-1587</t>
  </si>
  <si>
    <t>TIS-1588</t>
  </si>
  <si>
    <t>TIS-1589</t>
  </si>
  <si>
    <t>TIS-1591</t>
  </si>
  <si>
    <t>TIS-1596</t>
  </si>
  <si>
    <t>TIS-1598</t>
  </si>
  <si>
    <t>TIS-1599</t>
  </si>
  <si>
    <t>TIS-1595</t>
  </si>
  <si>
    <t>TIS-1560</t>
  </si>
  <si>
    <t>TIS-1601</t>
  </si>
  <si>
    <t>TIS-1602</t>
  </si>
  <si>
    <t>TIS-1603</t>
  </si>
  <si>
    <t>TIS-1604</t>
  </si>
  <si>
    <t>TIS-1605</t>
  </si>
  <si>
    <t>TIS-1606</t>
  </si>
  <si>
    <t>TIS-1607</t>
  </si>
  <si>
    <t>TIS-1608</t>
  </si>
  <si>
    <t>TIS-1609</t>
  </si>
  <si>
    <t>TIS-1610</t>
  </si>
  <si>
    <t>TIS-1611</t>
  </si>
  <si>
    <t>TIS-1612</t>
  </si>
  <si>
    <t>TIS-1613</t>
  </si>
  <si>
    <t>TIS-1614</t>
  </si>
  <si>
    <t>TIS-1615</t>
  </si>
  <si>
    <t>TIS-1616</t>
  </si>
  <si>
    <t>TIS-1617</t>
  </si>
  <si>
    <t>TIS-1618</t>
  </si>
  <si>
    <t>NCTS100</t>
  </si>
  <si>
    <t>TIS-1619</t>
  </si>
  <si>
    <t>TIS-1628</t>
  </si>
  <si>
    <t>TIS-1629</t>
  </si>
  <si>
    <t>TIS-1620</t>
  </si>
  <si>
    <t>TIS-1621</t>
  </si>
  <si>
    <t>TIS-1622</t>
  </si>
  <si>
    <t>TIS-1623</t>
  </si>
  <si>
    <t>TIS-1624</t>
  </si>
  <si>
    <t>TIS-1625</t>
  </si>
  <si>
    <t>TIS-1626</t>
  </si>
  <si>
    <t>TIS-1627</t>
  </si>
  <si>
    <t>P-1390</t>
  </si>
  <si>
    <t>TIS-1378</t>
  </si>
  <si>
    <t xml:space="preserve"> $           175.000</t>
  </si>
  <si>
    <t xml:space="preserve"> $            33.250</t>
  </si>
  <si>
    <t xml:space="preserve"> $            208.250</t>
  </si>
  <si>
    <t xml:space="preserve"> $            565.250</t>
  </si>
  <si>
    <t xml:space="preserve"> $            -377.941</t>
  </si>
  <si>
    <t xml:space="preserve"> $          -357.000</t>
  </si>
  <si>
    <t xml:space="preserve"> $          19.250</t>
  </si>
  <si>
    <t xml:space="preserve"> $            1.691</t>
  </si>
  <si>
    <t xml:space="preserve"> $                 -  </t>
  </si>
  <si>
    <t xml:space="preserve"> $            586.191</t>
  </si>
  <si>
    <t xml:space="preserve">Dirección </t>
  </si>
  <si>
    <t>Nombre Comercial</t>
  </si>
  <si>
    <t xml:space="preserve">Departamento </t>
  </si>
  <si>
    <t xml:space="preserve">Correo </t>
  </si>
  <si>
    <t xml:space="preserve">Teléfono </t>
  </si>
  <si>
    <t>Tipo Identificacion</t>
  </si>
  <si>
    <t>Nombre del contacto</t>
  </si>
  <si>
    <t>Número</t>
  </si>
  <si>
    <t>Correo</t>
  </si>
  <si>
    <t>I</t>
  </si>
  <si>
    <t>Call 82 15 14</t>
  </si>
  <si>
    <t>katherinem94@gmail.com</t>
  </si>
  <si>
    <t>CC</t>
  </si>
  <si>
    <t>Liseth Andrea Taborda</t>
  </si>
  <si>
    <t>ltaborda.confe@conconcreto.com</t>
  </si>
  <si>
    <t xml:space="preserve"> CL 31 7 12 BRR SANTA ISABEL I Y II </t>
  </si>
  <si>
    <t>wwpack@hotmail.com</t>
  </si>
  <si>
    <t>312 704 4597</t>
  </si>
  <si>
    <t>PN</t>
  </si>
  <si>
    <t>Cll 25 D 99 - 31</t>
  </si>
  <si>
    <t>williamlhr2010@gmail.com</t>
  </si>
  <si>
    <t>CRA 72 A 66 22</t>
  </si>
  <si>
    <t>CONTADOR@WALSOM.COM.CO</t>
  </si>
  <si>
    <t>CR 11 B BIS A 127 77</t>
  </si>
  <si>
    <t>Bogotá DC</t>
  </si>
  <si>
    <t>administracion@vueltacanela.com</t>
  </si>
  <si>
    <t>CALLE 98 A 51 72 ED ARIMETRIA OF 502</t>
  </si>
  <si>
    <t>info@vorticestore.com</t>
  </si>
  <si>
    <t>CR 68 64 50 P 5</t>
  </si>
  <si>
    <t>nelson.botia@grupotropi.com</t>
  </si>
  <si>
    <t>Carrera 2 #56-66</t>
  </si>
  <si>
    <t>Soacha</t>
  </si>
  <si>
    <t>info@valgasin.com.co</t>
  </si>
  <si>
    <t>CL 118 N 14 B 56 OF 303</t>
  </si>
  <si>
    <t xml:space="preserve"> adminops-co@V2s.us</t>
  </si>
  <si>
    <t>Universidad Santo Tomas</t>
  </si>
  <si>
    <t>Cr 9 51 23</t>
  </si>
  <si>
    <t>Bogota</t>
  </si>
  <si>
    <t>contabilidadbogota@usantotomas.edu.co</t>
  </si>
  <si>
    <t>CL 52 A 85 22</t>
  </si>
  <si>
    <t xml:space="preserve">Bogotá D.C. </t>
  </si>
  <si>
    <t>gerencia@trasnsportesaliados.com.co</t>
  </si>
  <si>
    <t>AVENIDA BOYACA 21 19 CENTRO EMPRESARIAL
MONTEVIDEO LOCAL 25</t>
  </si>
  <si>
    <t>recepcion.facturacion@tkarga.com.co</t>
  </si>
  <si>
    <t>CL 17 A 42 B 59</t>
  </si>
  <si>
    <t xml:space="preserve">Bogotá D.C </t>
  </si>
  <si>
    <t>directora.contable@villaromana.com.co</t>
  </si>
  <si>
    <t>BG 4 MZ F PAR INDUSTRIAL SAN DIEGO</t>
  </si>
  <si>
    <t>Funza</t>
  </si>
  <si>
    <t>mnope@k-automotivecorp.com</t>
  </si>
  <si>
    <t>CALLE 56 13 28 OF 207</t>
  </si>
  <si>
    <t>GERENCIA@TECNOLOGIADEOFICINA.COM</t>
  </si>
  <si>
    <t>AV CL 116 9 72 CS 402</t>
  </si>
  <si>
    <t>francisco@tbtbglobal.com</t>
  </si>
  <si>
    <t>Carrera 30 15 74</t>
  </si>
  <si>
    <t>SUPPLYTEC</t>
  </si>
  <si>
    <t>contabilidad@supplytec.com.co</t>
  </si>
  <si>
    <t>Calle 106 #22-21 Ap 507</t>
  </si>
  <si>
    <t>cxp.cosupplying@grupostt.com</t>
  </si>
  <si>
    <t>Cll 100 No 8 a 49 piso 5 torre A of 1</t>
  </si>
  <si>
    <t>cxp.co@gruposst.com</t>
  </si>
  <si>
    <t>CR 9 NO. 13 96 CA 3 A</t>
  </si>
  <si>
    <t>Cota, Cundinamarca</t>
  </si>
  <si>
    <t>aramirez@staffseguros.co</t>
  </si>
  <si>
    <t>Calle 73A #63-72</t>
  </si>
  <si>
    <t>solucionesmonterreysas@gmail.com</t>
  </si>
  <si>
    <t>Avenida Duarte blum sec new town</t>
  </si>
  <si>
    <t>San Andres</t>
  </si>
  <si>
    <t>sctcompras2021@gmail.com</t>
  </si>
  <si>
    <t>CL 74 15 80 INT 1 OF 707</t>
  </si>
  <si>
    <t>gerencia@solaing.com</t>
  </si>
  <si>
    <t>CR 4 # 7 - 57</t>
  </si>
  <si>
    <t>Santa María, Boyacá</t>
  </si>
  <si>
    <t>helber.bueno@soldmant.com</t>
  </si>
  <si>
    <t>CL  150   16   56 OF 4002 CC CEDRITOS</t>
  </si>
  <si>
    <t>ingrid.garzon@softesting.com</t>
  </si>
  <si>
    <t>312 480 8548</t>
  </si>
  <si>
    <t>Carrera 14 #81-19 ofocina 301</t>
  </si>
  <si>
    <t>info@senergysol.com.co</t>
  </si>
  <si>
    <t>CR 3 A ESTE 31 C 20 SUR</t>
  </si>
  <si>
    <t>luis.simtec@gmail.com</t>
  </si>
  <si>
    <t>3 1 7 4 5 4 5 5 9 2</t>
  </si>
  <si>
    <t>FCA TRES RIOS KM 1  VIA CASTILLA SAN LORENZO VDA CENTRO</t>
  </si>
  <si>
    <t>Castilla la Nueva, Meta</t>
  </si>
  <si>
    <t>servipetroleosltda@hotmail.com</t>
  </si>
  <si>
    <t>3132832458 -3115076729</t>
  </si>
  <si>
    <t>CL 98   70   91 OF 906</t>
  </si>
  <si>
    <t>SEQCONSULTORES@YAHOO.ES</t>
  </si>
  <si>
    <t>Carrera 50 106 18</t>
  </si>
  <si>
    <t>fernandacuberos@seguroscuberos.com</t>
  </si>
  <si>
    <t>AV CARRERA 9 101 67 P 6 7</t>
  </si>
  <si>
    <t>impuestos@sbseguros.co</t>
  </si>
  <si>
    <t>CL 19# 22- 55</t>
  </si>
  <si>
    <t>mariac.pulido@erzsas.com</t>
  </si>
  <si>
    <t>CR 52 C N 7761 P 2</t>
  </si>
  <si>
    <t>Itagui, Antioquia</t>
  </si>
  <si>
    <t>AUT MEDELLIN KM 7 8 BG 146 PAR IND CELTA TRADE PARK</t>
  </si>
  <si>
    <t>Funza, Cundinamarca</t>
  </si>
  <si>
    <t>a.compras@renal-medical.com
informacion@renal-medical.com
auxg.humana@renal-medical.com</t>
  </si>
  <si>
    <t>CL 23 104 A 36 IN 15</t>
  </si>
  <si>
    <t>Bogotá D.C</t>
  </si>
  <si>
    <t>contabilidad@rpservices.com.co</t>
  </si>
  <si>
    <t>TV 93 51 98 UN 24 Y 25 UN PRIVADA 63</t>
  </si>
  <si>
    <t>juridico@grupoquick.com</t>
  </si>
  <si>
    <t>AV CL 72 7 64 OF 501</t>
  </si>
  <si>
    <t>notificaciones@culligan.com</t>
  </si>
  <si>
    <t>CALLE 61 #7-44 AP 404</t>
  </si>
  <si>
    <t>puricol@hotmail.cpm</t>
  </si>
  <si>
    <t>CL 30 A 6 22 OF 1102</t>
  </si>
  <si>
    <t>administracion@colombiadiversa.org, aramirez@colombiadiversa.org</t>
  </si>
  <si>
    <t>300 88 97 896</t>
  </si>
  <si>
    <t>CR 90 A 64 C 10</t>
  </si>
  <si>
    <t>contabilidad@polinter.com.co</t>
  </si>
  <si>
    <t>KM 7 VIA BOG MED PQ IND CELTA BOD 144 A</t>
  </si>
  <si>
    <t>felectronica@procesos2000.com</t>
  </si>
  <si>
    <t>Carrera 45 A # 91 - 77</t>
  </si>
  <si>
    <t>Bogotá, DC</t>
  </si>
  <si>
    <t>cristianbarreto@proascol.com</t>
  </si>
  <si>
    <t>(601) 6167626 - 3163978112</t>
  </si>
  <si>
    <t>CL 57 06 35 OF 701</t>
  </si>
  <si>
    <t>m.v.kostan@me.com</t>
  </si>
  <si>
    <t>CR 51   1 SUR 35 LC 401</t>
  </si>
  <si>
    <t>Medellin, Antioquia</t>
  </si>
  <si>
    <t>camilo@pilyq.com</t>
  </si>
  <si>
    <t>CR 48     26   85 TO NORTE P 1</t>
  </si>
  <si>
    <t>Medellin,  Antioquia</t>
  </si>
  <si>
    <t>impuestosproductosfb@bancolombia.com.co</t>
  </si>
  <si>
    <t>CR 90 A 64 C 47</t>
  </si>
  <si>
    <t>administrativo@pastrychef.com.co</t>
  </si>
  <si>
    <t>Cll 74 20 B 43</t>
  </si>
  <si>
    <t>contabilidad@organizacionoliver.com</t>
  </si>
  <si>
    <t>KM 109 VIA RUBIALES ZONA RURAL DE PT GAITAN</t>
  </si>
  <si>
    <t>HOTEL SAN DIEGO RESORT</t>
  </si>
  <si>
    <t>Puerto Gaitán, Meta</t>
  </si>
  <si>
    <t>navarsolucionessas.ge@gmail.com</t>
  </si>
  <si>
    <t>CL 13 B 11 06 BRR MANACACIAS</t>
  </si>
  <si>
    <t>FILETO PARRILLA</t>
  </si>
  <si>
    <t>gerencia.cateringnavar@gmail.com</t>
  </si>
  <si>
    <t>Calle 33 A #38-23</t>
  </si>
  <si>
    <t>Villavicencio</t>
  </si>
  <si>
    <t>nataliaguarnizovaron08@gmail.com</t>
  </si>
  <si>
    <t>CR 46   93   45</t>
  </si>
  <si>
    <t xml:space="preserve">facturacion@micrositios.net </t>
  </si>
  <si>
    <t>Cra. 70 #12 a -16</t>
  </si>
  <si>
    <t>Bogotá, D.C.</t>
  </si>
  <si>
    <t>contabilidad@memcosas.com</t>
  </si>
  <si>
    <t>Carrera 23 #137-96</t>
  </si>
  <si>
    <t>melos@melos.com.co</t>
  </si>
  <si>
    <t>Cra 33 12 81 P4</t>
  </si>
  <si>
    <t>factmega@megalinea.com.co</t>
  </si>
  <si>
    <t>CL 96 13 A 21</t>
  </si>
  <si>
    <t>McCANN</t>
  </si>
  <si>
    <t xml:space="preserve"> lina.rengifo@mccann.com.co</t>
  </si>
  <si>
    <t>Av. Calle 26 #69-76 Torre 1 Aire Of. 1005</t>
  </si>
  <si>
    <t>MASTERLINE COLOMBIA S A S</t>
  </si>
  <si>
    <t>Bogotá D.C.</t>
  </si>
  <si>
    <t>finanzas@masterline-logistics.com.co</t>
  </si>
  <si>
    <t>Calle 66 9 31 P2</t>
  </si>
  <si>
    <t>Bogotá, D.c.</t>
  </si>
  <si>
    <t>BUZON@MKTTEAM.COM</t>
  </si>
  <si>
    <t>Cll 152 54 -39 torre 1 apto 1501</t>
  </si>
  <si>
    <t>paj@agenteseguros.com.co</t>
  </si>
  <si>
    <t>316 4938363</t>
  </si>
  <si>
    <t>KM 1 5 VIA FUNZA SIBERIA PAR INDUSTRIAL
SAN DIEGO BG 1 H</t>
  </si>
  <si>
    <t>Funza, cundinamarca</t>
  </si>
  <si>
    <t>yuliette.betancourt@marcegaglia.com</t>
  </si>
  <si>
    <t>Calle 1 #1-39</t>
  </si>
  <si>
    <t>Zipaquirá, cundinamarca</t>
  </si>
  <si>
    <t>flormakro@hotmail.com</t>
  </si>
  <si>
    <t>Via autodromo Km. 2</t>
  </si>
  <si>
    <t>Tocancipá</t>
  </si>
  <si>
    <t>proveedor.facturae@lucta.com</t>
  </si>
  <si>
    <t>CL 123 7 51 OF 1001</t>
  </si>
  <si>
    <t>jarjona@logrosfactoring.com.co</t>
  </si>
  <si>
    <t>Cl 137 57 28</t>
  </si>
  <si>
    <t>Restaurante Vegano Cardamomo</t>
  </si>
  <si>
    <t>Bogota, D.C.</t>
  </si>
  <si>
    <t>lizaldanag22@hotmail.com</t>
  </si>
  <si>
    <t>CALLE 10 #5-60 BARRIO EL CENTRO</t>
  </si>
  <si>
    <t>Neiva</t>
  </si>
  <si>
    <t>lilianaandrade70@hotmail.com</t>
  </si>
  <si>
    <t>C L 31 A SUR 24 B   39</t>
  </si>
  <si>
    <t>bogotá</t>
  </si>
  <si>
    <t>info@lcesculturas.com</t>
  </si>
  <si>
    <t>KM 2 VIA MOCHUELO</t>
  </si>
  <si>
    <t>ladrillosochoa1@hotmail.com</t>
  </si>
  <si>
    <t>KM 7 AUT MEDELLIN LT 159 BG 1 A   1 B</t>
  </si>
  <si>
    <t>diana.bonilla@lacteosappenzell.com; sgsst.appenzell@gmail.com</t>
  </si>
  <si>
    <t>42 B #13-94</t>
  </si>
  <si>
    <t>VIDA STEVIA</t>
  </si>
  <si>
    <t>administracion@vidastevia.com.co</t>
  </si>
  <si>
    <t>CL 50   64 B 99</t>
  </si>
  <si>
    <t>MAXPORTEC</t>
  </si>
  <si>
    <t>laboratoriomaxprotec@hotmail.com</t>
  </si>
  <si>
    <t>CR  36   36    26 BRR EL PRADO</t>
  </si>
  <si>
    <t>Bucarmanga, Santander</t>
  </si>
  <si>
    <t>RADICACION@K2INGENIERIA.COM</t>
  </si>
  <si>
    <t>Carrera 2 #56-66 Cazuca</t>
  </si>
  <si>
    <t>info@jirehshammahsas.com.co</t>
  </si>
  <si>
    <t>Carrera 26 #71B 30 ap 614</t>
  </si>
  <si>
    <t xml:space="preserve">Bogotá DC </t>
  </si>
  <si>
    <t>NICOLASULLOA@JALO.COM.CO</t>
  </si>
  <si>
    <t xml:space="preserve">CR 41 10 37 </t>
  </si>
  <si>
    <t>Medellin</t>
  </si>
  <si>
    <t>contabilidad@hashtag98.com</t>
  </si>
  <si>
    <t>CL 94 72 A 92 CA 49 CON TORROJA BARRIO Lagartos</t>
  </si>
  <si>
    <t>contabilidad@ipromega.com</t>
  </si>
  <si>
    <t>CRA 78 7D 12</t>
  </si>
  <si>
    <t>sandrocelq@gmail.com
facturacionsajamib@gmail.com</t>
  </si>
  <si>
    <t>CL 2 SUR 46 55</t>
  </si>
  <si>
    <t>INVERSIONES MEDICAS DE ANTIOQUIA</t>
  </si>
  <si>
    <t>Medellín, antioquia</t>
  </si>
  <si>
    <t>facturaelectronica@clinicalasvegas.com</t>
  </si>
  <si>
    <t>Cr 50 A 43 13 BG 123</t>
  </si>
  <si>
    <t>El Fogoncito del sur</t>
  </si>
  <si>
    <t>Itagúi, Antioquia</t>
  </si>
  <si>
    <t>arelose@hotmail.com</t>
  </si>
  <si>
    <t>AV PASEO LOS ZIPAS KM 1   5 ED OXUS OF 305 VIA
CHIA - CAJICA COSTADO OCCIDENTAL</t>
  </si>
  <si>
    <t>INVFRANQUIHER@GMAIL.COM</t>
  </si>
  <si>
    <t>310 341 0438</t>
  </si>
  <si>
    <t>CR 27 24 B 25</t>
  </si>
  <si>
    <t>IVF COLOMBIA SAS</t>
  </si>
  <si>
    <t>gloria.fino@ivfdecolombia.com</t>
  </si>
  <si>
    <t>TV 53 A   136   50</t>
  </si>
  <si>
    <t>Boogtá DC</t>
  </si>
  <si>
    <t>info@insolab.com</t>
  </si>
  <si>
    <t>CR 32 12 81</t>
  </si>
  <si>
    <t>IDCBIS</t>
  </si>
  <si>
    <t>radicacionvirtual@idcbis.org.co</t>
  </si>
  <si>
    <t>Carrera 6f este No. 31A-05</t>
  </si>
  <si>
    <t>ieliceolosangeles@yahoo.es</t>
  </si>
  <si>
    <t>KM 23 AUT NORTE VIA TOCANCIPA ANTIGUO
MANTESA BG B 1</t>
  </si>
  <si>
    <t>Tocancipá, cundinamarca</t>
  </si>
  <si>
    <t>feismetsas@gmail.com</t>
  </si>
  <si>
    <t>AUT MEDELLIN KM UNO PUNTO DOS COSTADO SUR</t>
  </si>
  <si>
    <t>Cota</t>
  </si>
  <si>
    <t>icoperfiles@hotmail.com</t>
  </si>
  <si>
    <t>CL 37G SUR 72J 06</t>
  </si>
  <si>
    <t>andrea.santiago@indu-b.com</t>
  </si>
  <si>
    <t>Cra. 36 # 8-442 Bodega 7</t>
  </si>
  <si>
    <t>Zipaquira, Cundinamarca</t>
  </si>
  <si>
    <t>luishernando@hutercol.com</t>
  </si>
  <si>
    <t>AV CL 120 A 7 36 OF 701</t>
  </si>
  <si>
    <t>natalia.aldana@hipra.com</t>
  </si>
  <si>
    <t>HILVERDAFLORIST COLOMBIA S.A.S</t>
  </si>
  <si>
    <t>VIA EL ROSAL SUBACHOQUE VDA LA PORQUERA CAMINO DE LA CUESTA 2 3 K M</t>
  </si>
  <si>
    <t>El Rosal, Cundinamarca</t>
  </si>
  <si>
    <t>facturas@hilverdaflorist.co</t>
  </si>
  <si>
    <t>Carrera 69 a #7-22</t>
  </si>
  <si>
    <t>informacion@hfdotaciones.com</t>
  </si>
  <si>
    <t>CL 39 16 25 OF 201</t>
  </si>
  <si>
    <t>hacikltda@gmail.com</t>
  </si>
  <si>
    <t>AV PASEO LOS ZIPAS KM 1 5 ED OXUS OF 305</t>
  </si>
  <si>
    <t>hysfranquicias@gmail.com</t>
  </si>
  <si>
    <t>Cll 121 # 6 46 of 133</t>
  </si>
  <si>
    <t>Bogota D. C</t>
  </si>
  <si>
    <t>grupo.sie.sas@gmail.com,
gerenciacomercial@gruposie.com.co</t>
  </si>
  <si>
    <t>CL 30 A 6 22 OF 1903 BRR SAN MARTIN CENTRO INTERNACIONAL</t>
  </si>
  <si>
    <t>g.gral@grupoconsultorandino.com</t>
  </si>
  <si>
    <t>310 819 5058</t>
  </si>
  <si>
    <t>CL 98 21 50 OF 902</t>
  </si>
  <si>
    <t>BOGOTÁ D.C</t>
  </si>
  <si>
    <t>accounting@alma education.co</t>
  </si>
  <si>
    <t>CDA LLANO GRANDE CA 26 01</t>
  </si>
  <si>
    <t>BOGOTA</t>
  </si>
  <si>
    <t>ACCOUNTING@GENUINELAB.US</t>
  </si>
  <si>
    <t>VIA SIBERIA BOGOTA CL 80 VIA PARQUE LA FLORIDA KM 1 BG 26</t>
  </si>
  <si>
    <t>facturaelectronica@grssa.com</t>
  </si>
  <si>
    <t>Cra 8a #27B-29</t>
  </si>
  <si>
    <t>seguridadysalud@gearform.com.co</t>
  </si>
  <si>
    <t>CL 77 13 47 OF 205 BRR EL LAGO</t>
  </si>
  <si>
    <t>barreto@barretoseguros.</t>
  </si>
  <si>
    <t>Calle 52 B #72B-21</t>
  </si>
  <si>
    <t>gamblerltda@hotmail.com</t>
  </si>
  <si>
    <t>VDA EL CORZO VIA A BOJACA KM 2 FCA LA TALANQUERA LT 1</t>
  </si>
  <si>
    <t>Facatativa, cundinamarca</t>
  </si>
  <si>
    <t>fundacionfbc@gmail.com</t>
  </si>
  <si>
    <t>CL 67 14 A 29 BRR CHAPINERO</t>
  </si>
  <si>
    <t>dptocontabilidad@fessnjose.edu.co</t>
  </si>
  <si>
    <t>MCP COTA KM 2 5 VIA SIBERIA PORTOS SABANA 80 BG 122</t>
  </si>
  <si>
    <t>COTA, CUNDINAMARCA</t>
  </si>
  <si>
    <t>frigotaurus2014@gmail.com</t>
  </si>
  <si>
    <t>Calle 78 Sur #88C - 75</t>
  </si>
  <si>
    <t>FORMADERAS</t>
  </si>
  <si>
    <t>formaderaswp@hotmail.com</t>
  </si>
  <si>
    <t>Cra7 # 13 01 of 435</t>
  </si>
  <si>
    <t>Bogota DC</t>
  </si>
  <si>
    <t>Fonsecabogados@hotmail.com</t>
  </si>
  <si>
    <t>2865449 - 3214300654</t>
  </si>
  <si>
    <t>Carrera 13 #26A -47 Piso 9</t>
  </si>
  <si>
    <t>areadeimpuestos@fiduoccidente.com.co</t>
  </si>
  <si>
    <t>CL 4 G   81 A 105 AP 1103</t>
  </si>
  <si>
    <t>fetgroupsas@hotmail.com</t>
  </si>
  <si>
    <t>CR 4   19   85</t>
  </si>
  <si>
    <t>Bogota D. C.</t>
  </si>
  <si>
    <t>jefaturacontable@fenalcobogota.com.co</t>
  </si>
  <si>
    <t>CR 5 67 12</t>
  </si>
  <si>
    <t>recepcionproveedores@ezgosa.com</t>
  </si>
  <si>
    <t>Calle 73 A #68 G-33</t>
  </si>
  <si>
    <t>EXPRESS CLEAN-LAVANDERIAS SAS</t>
  </si>
  <si>
    <t>expressandclean@gmail.com</t>
  </si>
  <si>
    <t>CL 26 92 32 ED GOLD II OF 3 101</t>
  </si>
  <si>
    <t>EVAL.COM</t>
  </si>
  <si>
    <t>andrea.rincon@evalconsulting.com.co</t>
  </si>
  <si>
    <t>CALLE 22 G # 98 A - 56</t>
  </si>
  <si>
    <t>gerenciatecnica@eurometriccolombia.com</t>
  </si>
  <si>
    <t>CL 94 A 13 08 OF 403 BRR CHICO</t>
  </si>
  <si>
    <t>etra.interandina@grupoetra.com</t>
  </si>
  <si>
    <t>AC 26 69 76 TO 3 OF 1501</t>
  </si>
  <si>
    <t>mmch111@gmail.com</t>
  </si>
  <si>
    <t>Enel codensa</t>
  </si>
  <si>
    <t>CARRERA 11 82 76</t>
  </si>
  <si>
    <t>mauricio.villegas@enel.com</t>
  </si>
  <si>
    <t>SEC EL LLANO - SEC LA QUEBRADA LA ERMITA</t>
  </si>
  <si>
    <t>Marmato, caldas</t>
  </si>
  <si>
    <t>eledor21@gmail.com</t>
  </si>
  <si>
    <t>Carrera 9 Calle 79 A 35 Oficina 201</t>
  </si>
  <si>
    <t>gestioncontable.eds@gmail.com</t>
  </si>
  <si>
    <t>CALL 98 A 51 72</t>
  </si>
  <si>
    <t>JVEGA@DIPREM.COM</t>
  </si>
  <si>
    <t>CALLE 5A #39-194 OFICINA 701</t>
  </si>
  <si>
    <t>Medellín</t>
  </si>
  <si>
    <t>hub@hubempresarial.com</t>
  </si>
  <si>
    <t>DICSON S.A.</t>
  </si>
  <si>
    <t>CR 27 15 74</t>
  </si>
  <si>
    <t>ana@dicson.com.co</t>
  </si>
  <si>
    <t>Autopista norte 146 48 local 105 centro ccial Granada hills</t>
  </si>
  <si>
    <t xml:space="preserve">diasyrley@hotmail.com </t>
  </si>
  <si>
    <t>Calle 100 #8a - 49 TO B OF 919</t>
  </si>
  <si>
    <t>Bogotá D.c</t>
  </si>
  <si>
    <t>Ifreyes@devisab.com</t>
  </si>
  <si>
    <t>Calle 59 No 13 – 52 OF. 204</t>
  </si>
  <si>
    <t>dyga@hotmail.e</t>
  </si>
  <si>
    <t>Carrera 11 #79-35 oficina 701</t>
  </si>
  <si>
    <t>bogota@cuatrecasas.com</t>
  </si>
  <si>
    <t>VDA PILONES - VIA BOGOTA-VILLETA KM 75</t>
  </si>
  <si>
    <t>contabilidad@clubpayande.com</t>
  </si>
  <si>
    <t>350 665 6878</t>
  </si>
  <si>
    <t>Carrera 45 A #94-91</t>
  </si>
  <si>
    <t>contador@controlarsalud.com</t>
  </si>
  <si>
    <t>CL 94 A   13   11 OF 202</t>
  </si>
  <si>
    <t>martha.eugenia@thebrandcg.com</t>
  </si>
  <si>
    <t>Cll 59 C sur # 51 21</t>
  </si>
  <si>
    <t>conconcretoc@conconcreto.com</t>
  </si>
  <si>
    <t>CR 7 14 53</t>
  </si>
  <si>
    <t>hermaquinasgestionhumana@hotmail.com</t>
  </si>
  <si>
    <t>CL 25 D 81 A 90</t>
  </si>
  <si>
    <t>ADMINISTRACION@CONAMBIENTE.COM</t>
  </si>
  <si>
    <t>CL 16 SUR 22 42</t>
  </si>
  <si>
    <t>mary232008@hotmail.com</t>
  </si>
  <si>
    <t>311 882 2727</t>
  </si>
  <si>
    <t>Calle 19 A Sur No 11A-27 este</t>
  </si>
  <si>
    <t>dianamireya88@hotmail.com</t>
  </si>
  <si>
    <t>311 5060432</t>
  </si>
  <si>
    <t>Calle 93B # 13-91 Piso 3,</t>
  </si>
  <si>
    <t>glopez@sistemgroup.es</t>
  </si>
  <si>
    <t>CONSORCIO IM3 COLOMBIA S.A.S-SISTEM MELESUR COLOMBIA S.A.S</t>
  </si>
  <si>
    <t>CL 90 19 41 OF 603</t>
  </si>
  <si>
    <t>Calle 59 #13-52 oficina 203</t>
  </si>
  <si>
    <t>esarpardo@conportuario.com.co</t>
  </si>
  <si>
    <t>KM 9 VIA MOSQUERA - SIBERIA</t>
  </si>
  <si>
    <t>lfreyes@devisab.com</t>
  </si>
  <si>
    <t>AV EL DORADO 68 B 31</t>
  </si>
  <si>
    <t>seguros.bolivar@segurosbolivar.com</t>
  </si>
  <si>
    <t xml:space="preserve"> AV CUIDAD DE QUITO 15 66</t>
  </si>
  <si>
    <t>contabilidad@dycsa.com.co</t>
  </si>
  <si>
    <t>CL 17 SUR 24 B 36</t>
  </si>
  <si>
    <t>facturacion.herreros2022@gmail.com</t>
  </si>
  <si>
    <t>cll 18 No 22 26</t>
  </si>
  <si>
    <t>Calle 2 No 18-93 Parque Industrial San Jorge Bodega: 101-102 T-5</t>
  </si>
  <si>
    <t>Mosquera, Cundinamarca</t>
  </si>
  <si>
    <t>planeacion@colvinsa.com</t>
  </si>
  <si>
    <t>Cr 11 93 a 85</t>
  </si>
  <si>
    <t>contabilidad@coljuegos.gov.co</t>
  </si>
  <si>
    <t>cr 5 6 30</t>
  </si>
  <si>
    <t>Pensilvania, Caldas</t>
  </si>
  <si>
    <t>rectoria@iescinoc.edu.co</t>
  </si>
  <si>
    <t>CR 26 5 A 48</t>
  </si>
  <si>
    <t>contabilidad@coelingenieria.com</t>
  </si>
  <si>
    <t>Calle 25 G #100-93</t>
  </si>
  <si>
    <t xml:space="preserve">CLEAN MAX SAS </t>
  </si>
  <si>
    <t>cleanmaxsas@hotmail.com</t>
  </si>
  <si>
    <t>CL 65 BIS 85 50 IN 29 AP 503</t>
  </si>
  <si>
    <t>cpvargaso@hotmail.com</t>
  </si>
  <si>
    <t>300 322 1931</t>
  </si>
  <si>
    <t>Carrera 63 #18a-80</t>
  </si>
  <si>
    <t>contabilidad@chococolombia.com</t>
  </si>
  <si>
    <t>CL 95 71 31 TO 3 AP 1201</t>
  </si>
  <si>
    <t>Bogotá Dc</t>
  </si>
  <si>
    <t>facturacioncps@cpser.com.co</t>
  </si>
  <si>
    <t>UT MEDELLIN KM7 BG 16 LT 155 PAR CELTA
TRADE PARK</t>
  </si>
  <si>
    <t xml:space="preserve">Funza </t>
  </si>
  <si>
    <t>checogerencia@checorepuestos.com</t>
  </si>
  <si>
    <t>Carrera 42 A 17 50</t>
  </si>
  <si>
    <t>CAIMED</t>
  </si>
  <si>
    <t>contabilidad@caimed.com</t>
  </si>
  <si>
    <t>Carrera 4 72 a 35</t>
  </si>
  <si>
    <t>cavelier@cavelier.com</t>
  </si>
  <si>
    <t>601 3473611</t>
  </si>
  <si>
    <t>CL 98 70 C 79</t>
  </si>
  <si>
    <t>cavacor9@gmail.com</t>
  </si>
  <si>
    <t>AUT MEDELLIN KM 12 VIA LA VEGA LA PUNTA TENJO</t>
  </si>
  <si>
    <t>Tenjo, cundinamarca</t>
  </si>
  <si>
    <t>andrea.carvajal@carnesfriasitalia.com</t>
  </si>
  <si>
    <t>Carrera 42 #24-100</t>
  </si>
  <si>
    <t>Antioquia, Itagui</t>
  </si>
  <si>
    <t>btg.tesoreria@gmail.com</t>
  </si>
  <si>
    <t>CL 120 A 7 36 OF 706</t>
  </si>
  <si>
    <t>Bogotá D,C</t>
  </si>
  <si>
    <t>gerencia@bpcapital.com.co</t>
  </si>
  <si>
    <t>AV BOYACA 19 46 BRR ZONA INDUSTRIAL MONTEVIDEO</t>
  </si>
  <si>
    <t>compras@boccherini.com.co</t>
  </si>
  <si>
    <t>Tv 20 A #4A-81</t>
  </si>
  <si>
    <t>jcontabilidad@viteco,com.co</t>
  </si>
  <si>
    <t>CR 57 C 128 B 21</t>
  </si>
  <si>
    <t>GERENCIA@BIOMETROMED.COM</t>
  </si>
  <si>
    <t>Calle 59 #13-52 oficina 202</t>
  </si>
  <si>
    <t>bioendoscope@yahoo.com</t>
  </si>
  <si>
    <t>CARRERA 51 96 06</t>
  </si>
  <si>
    <t xml:space="preserve">Bogotá </t>
  </si>
  <si>
    <t>contabilidad2@etsg.com.co</t>
  </si>
  <si>
    <t xml:space="preserve"> Calle 106#22-21 Edificio Vidasoa 106, Piso 5, Apartamento 507</t>
  </si>
  <si>
    <t>cxp.beta@grupostt.com</t>
  </si>
  <si>
    <t>CL 163 15 82</t>
  </si>
  <si>
    <t>contabilidadbetals@gmail.com</t>
  </si>
  <si>
    <t xml:space="preserve">Carrera 31A # 15-36 Barrio San Ignacio </t>
  </si>
  <si>
    <t>bbcholding@gmail.com</t>
  </si>
  <si>
    <t xml:space="preserve"> VDA SAN JOSE FINCA BARRO BLANCO</t>
  </si>
  <si>
    <t>Gachancipa, Cundinamarca</t>
  </si>
  <si>
    <t>BARROBLANCOFARMS@GMAIL.COM</t>
  </si>
  <si>
    <t>Calle 36 #7-47</t>
  </si>
  <si>
    <t>fraelectbb@bancodebogota.com.co</t>
  </si>
  <si>
    <t>CR 13 A 98 21 OF 201</t>
  </si>
  <si>
    <t>b2babogados@gmail.com</t>
  </si>
  <si>
    <t>CR 41 B   10   45   BRR LOS EJIDOS</t>
  </si>
  <si>
    <t>contabilidad@axiomatica.com.co</t>
  </si>
  <si>
    <t>cll 24A # 59 42 office 201</t>
  </si>
  <si>
    <t>asistentehseq@aviateksas.com</t>
  </si>
  <si>
    <t>CR   57  45 A 08 SUR IN 1</t>
  </si>
  <si>
    <t>notificaciones@llanogrande.com.co</t>
  </si>
  <si>
    <t>Calle 70A #9-39</t>
  </si>
  <si>
    <t>atecno@activos.com.co</t>
  </si>
  <si>
    <t>CL 19   4    20 OF 405</t>
  </si>
  <si>
    <t>dhcolombiaadmon@gmail.com</t>
  </si>
  <si>
    <t>CR 19 B  83   02 OF 703</t>
  </si>
  <si>
    <t xml:space="preserve">planeacion@ecoaseo.com.co - cablemovilecuacion@gmail.com </t>
  </si>
  <si>
    <t>313 422 2750</t>
  </si>
  <si>
    <t xml:space="preserve">Cll </t>
  </si>
  <si>
    <t>Contabilidad@Arrigui.com</t>
  </si>
  <si>
    <t>Cl 49 b sur 9A 94 To 3 Ap 101</t>
  </si>
  <si>
    <t>acelyp@hotmail.com</t>
  </si>
  <si>
    <t>CR 24 B 32 36 SUR BRR QUIROGA</t>
  </si>
  <si>
    <t>Bogotá, cundinamarca</t>
  </si>
  <si>
    <t>rodillos.arizas@gmail.com</t>
  </si>
  <si>
    <t>CL 29 # 6 14 CA 11</t>
  </si>
  <si>
    <t>gerencia@anker.com.co</t>
  </si>
  <si>
    <t>Calle 74 #15-80</t>
  </si>
  <si>
    <t>andtopografiaeingenieria@gmail.com</t>
  </si>
  <si>
    <t xml:space="preserve">CL 42 C BIS SUR 17 A 77 ESTE </t>
  </si>
  <si>
    <t>Bogotá D.Cc</t>
  </si>
  <si>
    <t>alvearyescobar@hotmail.com</t>
  </si>
  <si>
    <t>CR 16 93A 36 OF 301</t>
  </si>
  <si>
    <t>auribe@alfonsouribesuelos.com</t>
  </si>
  <si>
    <t>Carrera 9 #94A-27</t>
  </si>
  <si>
    <t>fernando.cuellar@aequales.com</t>
  </si>
  <si>
    <t>Calle 70 #9-32 Barrio Quinta Camacho</t>
  </si>
  <si>
    <t>activos@activos.com.co</t>
  </si>
  <si>
    <t>CR 72 I 37 D 53 SUR BRR CARVAJAL</t>
  </si>
  <si>
    <t>notificacionestisanas22@gmail.com</t>
  </si>
  <si>
    <t>601 4513380</t>
  </si>
  <si>
    <t>Carrera 45A 91-77</t>
  </si>
  <si>
    <t>facturacion@proascol.com</t>
  </si>
  <si>
    <t>(601)6167626</t>
  </si>
  <si>
    <t>AK 19 102 53</t>
  </si>
  <si>
    <t>facturacionproveedores@juntanacional.com</t>
  </si>
  <si>
    <t>Calle 72 #3 51 AP 101</t>
  </si>
  <si>
    <t>info@epithink.com</t>
  </si>
  <si>
    <t>Av. carrera 9 #100-07 OFC612</t>
  </si>
  <si>
    <t>facturaciongreenoaksas@gmail.com</t>
  </si>
  <si>
    <t>Calle 21 #18 b 59</t>
  </si>
  <si>
    <t>gerencia@herramientasunidas.com</t>
  </si>
  <si>
    <t>Carrera 11 #87A 51 P .8</t>
  </si>
  <si>
    <t>impuestos@avalvc.com.co</t>
  </si>
  <si>
    <t>601 743 46 46</t>
  </si>
  <si>
    <t>Estado de Cuenta Tercero</t>
  </si>
  <si>
    <t>Cll 59 No 13 52 of 204 Bogotá D.C. Colombia</t>
  </si>
  <si>
    <t>Año Informe:</t>
  </si>
  <si>
    <t>Fecha corte:</t>
  </si>
  <si>
    <t>TOTAL FACTURADO</t>
  </si>
  <si>
    <t>TOTAL PAGADO</t>
  </si>
  <si>
    <t>SALDO</t>
  </si>
  <si>
    <t>Fecha pago</t>
  </si>
  <si>
    <t>Valor Pago</t>
  </si>
  <si>
    <t>Codigo Prod</t>
  </si>
  <si>
    <t>Productos</t>
  </si>
  <si>
    <t>cod_TIPO_id</t>
  </si>
  <si>
    <t>Desc_tipo_id</t>
  </si>
  <si>
    <t>Tipo Persona</t>
  </si>
  <si>
    <t>CE</t>
  </si>
  <si>
    <t>PAS</t>
  </si>
  <si>
    <t>RUT</t>
  </si>
  <si>
    <t>Distribución</t>
  </si>
  <si>
    <t>Evaluación de Carga mental</t>
  </si>
  <si>
    <t>Suma de Valor</t>
  </si>
  <si>
    <t>Meses (Fecha)</t>
  </si>
  <si>
    <t>Total Consignado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</si>
</sst>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&quot;$&quot;\ #,##0;[Red]\-&quot;$&quot;\ #,##0"/>
    <numFmt numFmtId="165" formatCode="&quot;$&quot;\ #,##0.00;[Red]\-&quot;$&quot;\ #,##0.00"/>
    <numFmt numFmtId="166" formatCode="_-&quot;$&quot;\ * #,##0.00_-;\-&quot;$&quot;\ * #,##0.00_-;_-&quot;$&quot;\ * &quot;-&quot;??_-;_-@_-"/>
    <numFmt numFmtId="167" formatCode="_-[$$-240A]\ * #,##0_-;\-[$$-240A]\ * #,##0_-;_-[$$-240A]\ * &quot;-&quot;??_-;_-@_-"/>
    <numFmt numFmtId="168" formatCode="_-* #,##0_-;\-* #,##0_-;_-* &quot;-&quot;??_-;_-@_-"/>
    <numFmt numFmtId="169" formatCode="0.0"/>
    <numFmt numFmtId="170" formatCode="_-[$$-240A]\ * #,##0.00_-;\-[$$-240A]\ * #,##0.00_-;_-[$$-240A]\ * &quot;-&quot;??_-;_-@_-"/>
    <numFmt numFmtId="171" formatCode="_-[$$-409]* #,##0.00_ ;_-[$$-409]* \-#,##0.00\ ;_-[$$-409]* &quot;-&quot;??_ ;_-@_ "/>
    <numFmt numFmtId="172" formatCode="_-[$$-409]* #,##0_ ;_-[$$-409]* \-#,##0\ ;_-[$$-409]* &quot;-&quot;??_ ;_-@_ "/>
    <numFmt numFmtId="173" formatCode="d\-mmm"/>
  </numFmts>
  <fonts count="5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b/>
      <sz val="10"/>
      <color rgb="FF000000"/>
      <name val="Arial"/>
      <family val="2"/>
    </font>
    <font>
      <b/>
      <sz val="12"/>
      <color rgb="FF808080"/>
      <name val="Arial"/>
      <family val="2"/>
    </font>
    <font>
      <sz val="13"/>
      <color theme="1"/>
      <name val="Times New Roman"/>
      <family val="1"/>
    </font>
    <font>
      <b/>
      <sz val="12"/>
      <color theme="1"/>
      <name val="Arial"/>
      <family val="2"/>
    </font>
    <font>
      <sz val="7"/>
      <color theme="1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0"/>
      <name val="Arial"/>
      <family val="2"/>
    </font>
    <font>
      <sz val="9"/>
      <color rgb="FF000000"/>
      <name val="Arial"/>
      <family val="2"/>
    </font>
    <font>
      <sz val="10"/>
      <color rgb="FF444444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3F3F3F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3F3F3F"/>
      <name val="Calibri"/>
      <family val="2"/>
      <scheme val="minor"/>
    </font>
    <font>
      <sz val="10"/>
      <color rgb="FF454545"/>
      <name val="Arial"/>
      <family val="2"/>
    </font>
    <font>
      <sz val="10"/>
      <color rgb="FF000000"/>
      <name val="Roboto"/>
    </font>
    <font>
      <b/>
      <sz val="16"/>
      <color theme="1"/>
      <name val="Arial"/>
      <family val="2"/>
    </font>
    <font>
      <b/>
      <sz val="14"/>
      <color theme="0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color theme="5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000000"/>
      <name val="Arial"/>
    </font>
    <font>
      <sz val="10"/>
      <name val="Arial"/>
    </font>
    <font>
      <sz val="11"/>
      <name val="Arial"/>
    </font>
    <font>
      <sz val="11"/>
      <color rgb="FF9C0006"/>
      <name val="Calibri"/>
      <family val="2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009999"/>
        <bgColor theme="5" tint="-0.249977111117893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C6E0B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DEDED"/>
        <bgColor rgb="FFEDEDED"/>
      </patternFill>
    </fill>
    <fill>
      <patternFill patternType="solid">
        <fgColor theme="7"/>
        <bgColor indexed="64"/>
      </patternFill>
    </fill>
  </fills>
  <borders count="3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/>
      <top style="medium">
        <color indexed="64"/>
      </top>
      <bottom style="thin">
        <color indexed="64"/>
      </bottom>
      <diagonal/>
    </border>
    <border>
      <left/>
      <right style="thin">
        <color rgb="FF3F3F3F"/>
      </right>
      <top style="medium">
        <color indexed="64"/>
      </top>
      <bottom style="thin">
        <color indexed="64"/>
      </bottom>
      <diagonal/>
    </border>
    <border>
      <left style="thin">
        <color rgb="FFC9C9C9"/>
      </left>
      <right/>
      <top style="thin">
        <color rgb="FFC9C9C9"/>
      </top>
      <bottom/>
      <diagonal/>
    </border>
    <border>
      <left/>
      <right/>
      <top style="thin">
        <color rgb="FFC9C9C9"/>
      </top>
      <bottom/>
      <diagonal/>
    </border>
    <border>
      <left/>
      <right style="thin">
        <color rgb="FFC9C9C9"/>
      </right>
      <top style="thin">
        <color rgb="FFC9C9C9"/>
      </top>
      <bottom/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1" fillId="7" borderId="19" applyNumberFormat="0" applyAlignment="0" applyProtection="0"/>
    <xf numFmtId="0" fontId="32" fillId="7" borderId="18" applyNumberFormat="0" applyAlignment="0" applyProtection="0"/>
    <xf numFmtId="0" fontId="24" fillId="8" borderId="20" applyNumberFormat="0" applyAlignment="0" applyProtection="0"/>
    <xf numFmtId="0" fontId="1" fillId="9" borderId="0" applyNumberFormat="0" applyBorder="0" applyAlignment="0" applyProtection="0"/>
  </cellStyleXfs>
  <cellXfs count="487">
    <xf numFmtId="0" fontId="0" fillId="0" borderId="0" xfId="0"/>
    <xf numFmtId="0" fontId="6" fillId="0" borderId="3" xfId="0" applyFont="1" applyBorder="1"/>
    <xf numFmtId="0" fontId="5" fillId="0" borderId="3" xfId="0" applyFont="1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9" fillId="0" borderId="6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 vertical="center" wrapText="1" indent="1"/>
    </xf>
    <xf numFmtId="0" fontId="15" fillId="0" borderId="0" xfId="0" applyFont="1" applyAlignment="1">
      <alignment vertical="top" wrapText="1"/>
    </xf>
    <xf numFmtId="0" fontId="9" fillId="0" borderId="0" xfId="0" applyFont="1" applyAlignment="1">
      <alignment vertical="center" wrapText="1"/>
    </xf>
    <xf numFmtId="0" fontId="12" fillId="0" borderId="9" xfId="0" applyFont="1" applyBorder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49" fontId="0" fillId="0" borderId="3" xfId="1" applyNumberFormat="1" applyFont="1" applyBorder="1" applyAlignment="1">
      <alignment horizontal="center"/>
    </xf>
    <xf numFmtId="0" fontId="0" fillId="0" borderId="0" xfId="0" applyAlignment="1">
      <alignment horizontal="center" wrapText="1"/>
    </xf>
    <xf numFmtId="166" fontId="0" fillId="0" borderId="0" xfId="2" applyFont="1" applyAlignment="1">
      <alignment vertical="center" wrapText="1"/>
    </xf>
    <xf numFmtId="0" fontId="10" fillId="0" borderId="0" xfId="0" applyFont="1" applyAlignment="1">
      <alignment horizontal="left" vertical="center" wrapText="1"/>
    </xf>
    <xf numFmtId="166" fontId="0" fillId="0" borderId="0" xfId="2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12" fillId="0" borderId="0" xfId="0" applyFont="1" applyAlignment="1">
      <alignment horizontal="center" vertical="center" wrapText="1"/>
    </xf>
    <xf numFmtId="166" fontId="0" fillId="0" borderId="0" xfId="2" applyFont="1" applyFill="1" applyAlignment="1">
      <alignment wrapText="1"/>
    </xf>
    <xf numFmtId="166" fontId="12" fillId="0" borderId="0" xfId="2" applyFont="1" applyFill="1" applyAlignment="1">
      <alignment wrapText="1"/>
    </xf>
    <xf numFmtId="0" fontId="9" fillId="0" borderId="10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13" xfId="0" applyFont="1" applyBorder="1" applyAlignment="1">
      <alignment vertical="center" wrapText="1"/>
    </xf>
    <xf numFmtId="0" fontId="9" fillId="0" borderId="8" xfId="0" applyFont="1" applyBorder="1" applyAlignment="1">
      <alignment vertical="center" wrapText="1"/>
    </xf>
    <xf numFmtId="0" fontId="23" fillId="0" borderId="0" xfId="0" applyFont="1" applyAlignment="1">
      <alignment vertical="center" wrapText="1"/>
    </xf>
    <xf numFmtId="14" fontId="10" fillId="0" borderId="0" xfId="0" applyNumberFormat="1" applyFont="1" applyAlignment="1" applyProtection="1">
      <alignment horizontal="center" vertical="center" wrapText="1"/>
      <protection locked="0"/>
    </xf>
    <xf numFmtId="0" fontId="11" fillId="0" borderId="5" xfId="0" applyFont="1" applyBorder="1" applyAlignment="1" applyProtection="1">
      <alignment horizontal="left" vertical="center" wrapText="1" indent="1"/>
      <protection locked="0"/>
    </xf>
    <xf numFmtId="49" fontId="11" fillId="0" borderId="2" xfId="0" applyNumberFormat="1" applyFont="1" applyBorder="1" applyAlignment="1" applyProtection="1">
      <alignment horizontal="left" vertical="center" wrapText="1" indent="1"/>
      <protection locked="0"/>
    </xf>
    <xf numFmtId="49" fontId="11" fillId="0" borderId="8" xfId="0" applyNumberFormat="1" applyFont="1" applyBorder="1" applyAlignment="1" applyProtection="1">
      <alignment horizontal="left" vertical="center" wrapText="1" indent="1"/>
      <protection locked="0"/>
    </xf>
    <xf numFmtId="0" fontId="11" fillId="0" borderId="1" xfId="0" applyFont="1" applyBorder="1" applyAlignment="1" applyProtection="1">
      <alignment horizontal="left" vertical="center" wrapText="1" indent="1"/>
      <protection locked="0"/>
    </xf>
    <xf numFmtId="0" fontId="12" fillId="0" borderId="0" xfId="0" applyFont="1"/>
    <xf numFmtId="0" fontId="12" fillId="0" borderId="0" xfId="0" applyFont="1" applyAlignment="1">
      <alignment wrapText="1"/>
    </xf>
    <xf numFmtId="0" fontId="12" fillId="0" borderId="0" xfId="0" applyFont="1" applyAlignment="1">
      <alignment vertical="center" wrapText="1"/>
    </xf>
    <xf numFmtId="0" fontId="26" fillId="0" borderId="0" xfId="3" applyFont="1" applyFill="1" applyBorder="1" applyAlignment="1">
      <alignment vertical="center" wrapText="1"/>
    </xf>
    <xf numFmtId="0" fontId="26" fillId="0" borderId="0" xfId="3" applyFont="1" applyFill="1" applyAlignment="1">
      <alignment vertical="center" wrapText="1"/>
    </xf>
    <xf numFmtId="0" fontId="26" fillId="0" borderId="0" xfId="3" applyFon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4" fontId="0" fillId="0" borderId="0" xfId="0" applyNumberFormat="1"/>
    <xf numFmtId="0" fontId="25" fillId="4" borderId="0" xfId="0" applyFont="1" applyFill="1"/>
    <xf numFmtId="0" fontId="24" fillId="4" borderId="0" xfId="0" applyFont="1" applyFill="1" applyAlignment="1">
      <alignment horizontal="left"/>
    </xf>
    <xf numFmtId="3" fontId="24" fillId="4" borderId="0" xfId="0" applyNumberFormat="1" applyFont="1" applyFill="1"/>
    <xf numFmtId="164" fontId="0" fillId="0" borderId="0" xfId="0" applyNumberFormat="1"/>
    <xf numFmtId="164" fontId="25" fillId="0" borderId="0" xfId="0" applyNumberFormat="1" applyFont="1"/>
    <xf numFmtId="0" fontId="27" fillId="0" borderId="0" xfId="0" applyFont="1"/>
    <xf numFmtId="14" fontId="0" fillId="0" borderId="0" xfId="0" applyNumberFormat="1" applyAlignment="1">
      <alignment horizontal="center" vertical="center" wrapText="1"/>
    </xf>
    <xf numFmtId="0" fontId="5" fillId="0" borderId="16" xfId="0" applyFont="1" applyBorder="1"/>
    <xf numFmtId="0" fontId="6" fillId="0" borderId="0" xfId="0" applyFont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7" fillId="0" borderId="0" xfId="3" applyFill="1" applyAlignment="1">
      <alignment vertical="center" wrapText="1"/>
    </xf>
    <xf numFmtId="0" fontId="24" fillId="6" borderId="0" xfId="0" applyFont="1" applyFill="1" applyAlignment="1">
      <alignment horizontal="center"/>
    </xf>
    <xf numFmtId="3" fontId="24" fillId="6" borderId="17" xfId="0" applyNumberFormat="1" applyFont="1" applyFill="1" applyBorder="1"/>
    <xf numFmtId="0" fontId="6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12" fillId="0" borderId="3" xfId="0" applyFont="1" applyBorder="1" applyAlignment="1">
      <alignment vertical="center" wrapText="1"/>
    </xf>
    <xf numFmtId="0" fontId="12" fillId="0" borderId="0" xfId="0" applyFont="1" applyAlignment="1">
      <alignment horizontal="right" vertical="center" wrapText="1"/>
    </xf>
    <xf numFmtId="0" fontId="12" fillId="0" borderId="0" xfId="0" applyFont="1" applyAlignment="1">
      <alignment horizontal="right" wrapText="1"/>
    </xf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28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 applyAlignment="1">
      <alignment horizontal="center" vertical="center" wrapText="1"/>
    </xf>
    <xf numFmtId="14" fontId="2" fillId="4" borderId="0" xfId="0" applyNumberFormat="1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0" fontId="3" fillId="0" borderId="0" xfId="0" applyFont="1"/>
    <xf numFmtId="16" fontId="6" fillId="0" borderId="0" xfId="0" applyNumberFormat="1" applyFont="1"/>
    <xf numFmtId="0" fontId="5" fillId="0" borderId="0" xfId="0" applyFont="1"/>
    <xf numFmtId="0" fontId="6" fillId="0" borderId="0" xfId="0" applyFont="1" applyAlignment="1">
      <alignment wrapText="1"/>
    </xf>
    <xf numFmtId="0" fontId="5" fillId="0" borderId="0" xfId="0" applyFont="1" applyAlignment="1">
      <alignment wrapText="1"/>
    </xf>
    <xf numFmtId="16" fontId="6" fillId="0" borderId="0" xfId="0" applyNumberFormat="1" applyFont="1" applyAlignment="1">
      <alignment wrapText="1"/>
    </xf>
    <xf numFmtId="0" fontId="9" fillId="0" borderId="0" xfId="0" applyFont="1" applyAlignment="1">
      <alignment horizontal="right" vertical="center" wrapText="1"/>
    </xf>
    <xf numFmtId="0" fontId="7" fillId="0" borderId="0" xfId="4" applyFill="1" applyAlignment="1">
      <alignment vertical="center" wrapText="1"/>
    </xf>
    <xf numFmtId="0" fontId="29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0" borderId="0" xfId="1" applyNumberFormat="1" applyFont="1" applyFill="1" applyBorder="1" applyAlignment="1">
      <alignment horizontal="right" wrapText="1"/>
    </xf>
    <xf numFmtId="0" fontId="6" fillId="0" borderId="0" xfId="1" applyNumberFormat="1" applyFont="1" applyFill="1" applyAlignment="1">
      <alignment horizontal="right" wrapText="1"/>
    </xf>
    <xf numFmtId="0" fontId="30" fillId="0" borderId="0" xfId="0" applyFont="1"/>
    <xf numFmtId="166" fontId="10" fillId="0" borderId="0" xfId="2" applyFont="1" applyFill="1" applyAlignment="1">
      <alignment horizontal="left" vertical="center" wrapText="1"/>
    </xf>
    <xf numFmtId="0" fontId="28" fillId="4" borderId="1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/>
    </xf>
    <xf numFmtId="9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28" fillId="4" borderId="16" xfId="0" applyFont="1" applyFill="1" applyBorder="1" applyAlignment="1">
      <alignment horizontal="center" wrapText="1"/>
    </xf>
    <xf numFmtId="0" fontId="2" fillId="0" borderId="21" xfId="0" applyFont="1" applyBorder="1" applyAlignment="1">
      <alignment horizontal="center"/>
    </xf>
    <xf numFmtId="0" fontId="31" fillId="7" borderId="19" xfId="6" applyAlignment="1" applyProtection="1">
      <alignment horizontal="center" vertical="center" wrapText="1"/>
      <protection locked="0"/>
    </xf>
    <xf numFmtId="0" fontId="34" fillId="7" borderId="19" xfId="6" applyFont="1" applyAlignment="1" applyProtection="1">
      <alignment horizontal="center" vertical="center" wrapText="1"/>
      <protection locked="0"/>
    </xf>
    <xf numFmtId="0" fontId="34" fillId="7" borderId="19" xfId="6" applyFont="1" applyAlignment="1" applyProtection="1">
      <alignment horizontal="left" vertical="center" wrapText="1" indent="1"/>
      <protection locked="0"/>
    </xf>
    <xf numFmtId="0" fontId="35" fillId="7" borderId="19" xfId="6" applyFont="1" applyAlignment="1" applyProtection="1">
      <alignment horizontal="left" vertical="center" wrapText="1" indent="1"/>
      <protection locked="0"/>
    </xf>
    <xf numFmtId="0" fontId="31" fillId="7" borderId="19" xfId="6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0" fillId="0" borderId="8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13" xfId="0" applyBorder="1" applyProtection="1">
      <protection hidden="1"/>
    </xf>
    <xf numFmtId="0" fontId="16" fillId="0" borderId="0" xfId="0" applyFont="1" applyAlignment="1" applyProtection="1">
      <alignment vertical="center"/>
      <protection hidden="1"/>
    </xf>
    <xf numFmtId="0" fontId="16" fillId="0" borderId="0" xfId="0" applyFont="1" applyAlignment="1" applyProtection="1">
      <alignment vertical="center" wrapText="1"/>
      <protection hidden="1"/>
    </xf>
    <xf numFmtId="0" fontId="0" fillId="0" borderId="14" xfId="0" applyBorder="1" applyProtection="1"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0" fillId="0" borderId="0" xfId="0" applyFont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right"/>
      <protection hidden="1"/>
    </xf>
    <xf numFmtId="0" fontId="10" fillId="0" borderId="0" xfId="0" applyFont="1" applyAlignment="1" applyProtection="1">
      <alignment horizontal="left" vertical="center" wrapText="1"/>
      <protection hidden="1"/>
    </xf>
    <xf numFmtId="14" fontId="10" fillId="0" borderId="0" xfId="0" applyNumberFormat="1" applyFont="1" applyAlignment="1" applyProtection="1">
      <alignment horizontal="center" vertical="center" wrapText="1"/>
      <protection hidden="1"/>
    </xf>
    <xf numFmtId="0" fontId="10" fillId="0" borderId="6" xfId="0" applyFont="1" applyBorder="1" applyAlignment="1" applyProtection="1">
      <alignment horizontal="left" vertical="center" wrapText="1"/>
      <protection hidden="1"/>
    </xf>
    <xf numFmtId="0" fontId="2" fillId="0" borderId="6" xfId="0" applyFont="1" applyBorder="1" applyAlignment="1" applyProtection="1">
      <alignment horizontal="right"/>
      <protection hidden="1"/>
    </xf>
    <xf numFmtId="0" fontId="0" fillId="0" borderId="15" xfId="0" applyBorder="1" applyAlignment="1" applyProtection="1">
      <alignment horizontal="left" wrapText="1"/>
      <protection hidden="1"/>
    </xf>
    <xf numFmtId="0" fontId="17" fillId="0" borderId="0" xfId="0" applyFont="1" applyAlignment="1" applyProtection="1">
      <alignment horizontal="left" vertical="center" wrapText="1"/>
      <protection hidden="1"/>
    </xf>
    <xf numFmtId="0" fontId="8" fillId="0" borderId="0" xfId="0" applyFont="1" applyAlignment="1" applyProtection="1">
      <alignment horizontal="right" vertical="center" wrapText="1"/>
      <protection hidden="1"/>
    </xf>
    <xf numFmtId="0" fontId="0" fillId="0" borderId="0" xfId="0" applyAlignment="1" applyProtection="1">
      <alignment horizontal="left" wrapText="1"/>
      <protection hidden="1"/>
    </xf>
    <xf numFmtId="0" fontId="8" fillId="0" borderId="5" xfId="0" applyFont="1" applyBorder="1" applyAlignment="1" applyProtection="1">
      <alignment horizontal="left" vertical="center" wrapText="1"/>
      <protection hidden="1"/>
    </xf>
    <xf numFmtId="0" fontId="8" fillId="0" borderId="5" xfId="0" applyFont="1" applyBorder="1" applyAlignment="1" applyProtection="1">
      <alignment horizontal="right" vertical="center" wrapText="1"/>
      <protection hidden="1"/>
    </xf>
    <xf numFmtId="0" fontId="10" fillId="0" borderId="5" xfId="0" applyFont="1" applyBorder="1" applyAlignment="1" applyProtection="1">
      <alignment horizontal="left" vertical="center" wrapText="1"/>
      <protection hidden="1"/>
    </xf>
    <xf numFmtId="0" fontId="8" fillId="0" borderId="0" xfId="0" applyFont="1" applyAlignment="1" applyProtection="1">
      <alignment horizontal="left" vertical="center" wrapText="1"/>
      <protection hidden="1"/>
    </xf>
    <xf numFmtId="0" fontId="16" fillId="0" borderId="0" xfId="0" applyFont="1" applyAlignment="1" applyProtection="1">
      <alignment horizontal="left" vertical="center"/>
      <protection hidden="1"/>
    </xf>
    <xf numFmtId="0" fontId="9" fillId="0" borderId="0" xfId="0" applyFont="1" applyAlignment="1" applyProtection="1">
      <alignment vertical="center" wrapText="1"/>
      <protection hidden="1"/>
    </xf>
    <xf numFmtId="0" fontId="31" fillId="0" borderId="0" xfId="6" applyFill="1" applyBorder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vertical="center" wrapText="1"/>
      <protection hidden="1"/>
    </xf>
    <xf numFmtId="0" fontId="32" fillId="0" borderId="0" xfId="7" applyFill="1" applyBorder="1" applyAlignment="1" applyProtection="1">
      <alignment horizontal="center" vertical="center"/>
      <protection hidden="1"/>
    </xf>
    <xf numFmtId="0" fontId="32" fillId="0" borderId="0" xfId="7" applyFill="1" applyBorder="1" applyAlignment="1" applyProtection="1">
      <alignment horizontal="left" vertical="center" wrapText="1"/>
      <protection hidden="1"/>
    </xf>
    <xf numFmtId="0" fontId="9" fillId="0" borderId="6" xfId="0" applyFont="1" applyBorder="1" applyAlignment="1" applyProtection="1">
      <alignment vertical="center" wrapText="1"/>
      <protection hidden="1"/>
    </xf>
    <xf numFmtId="0" fontId="32" fillId="0" borderId="6" xfId="7" applyFill="1" applyBorder="1" applyAlignment="1" applyProtection="1">
      <alignment horizontal="left" vertical="center" wrapText="1"/>
      <protection hidden="1"/>
    </xf>
    <xf numFmtId="0" fontId="9" fillId="0" borderId="6" xfId="0" applyFont="1" applyBorder="1" applyAlignment="1" applyProtection="1">
      <alignment horizontal="right" vertical="center" wrapText="1"/>
      <protection hidden="1"/>
    </xf>
    <xf numFmtId="0" fontId="32" fillId="0" borderId="6" xfId="7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8" fillId="4" borderId="2" xfId="0" applyFont="1" applyFill="1" applyBorder="1" applyAlignment="1" applyProtection="1">
      <alignment horizontal="center" vertical="center" wrapText="1"/>
      <protection hidden="1"/>
    </xf>
    <xf numFmtId="0" fontId="28" fillId="4" borderId="7" xfId="0" applyFont="1" applyFill="1" applyBorder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left" vertical="center" wrapText="1" inden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23" fillId="0" borderId="0" xfId="0" applyFont="1" applyAlignment="1" applyProtection="1">
      <alignment vertical="center" wrapText="1"/>
      <protection hidden="1"/>
    </xf>
    <xf numFmtId="0" fontId="12" fillId="0" borderId="0" xfId="0" applyFont="1" applyAlignment="1" applyProtection="1">
      <alignment vertical="top" wrapText="1"/>
      <protection hidden="1"/>
    </xf>
    <xf numFmtId="0" fontId="12" fillId="0" borderId="13" xfId="0" applyFont="1" applyBorder="1" applyAlignment="1" applyProtection="1">
      <alignment vertical="center" wrapText="1"/>
      <protection hidden="1"/>
    </xf>
    <xf numFmtId="0" fontId="12" fillId="0" borderId="13" xfId="0" applyFont="1" applyBorder="1" applyAlignment="1" applyProtection="1">
      <alignment horizontal="left" vertical="center" wrapText="1"/>
      <protection hidden="1"/>
    </xf>
    <xf numFmtId="0" fontId="10" fillId="0" borderId="13" xfId="0" applyFont="1" applyBorder="1" applyAlignment="1" applyProtection="1">
      <alignment horizontal="left" vertical="center" wrapText="1"/>
      <protection hidden="1"/>
    </xf>
    <xf numFmtId="0" fontId="10" fillId="0" borderId="8" xfId="0" applyFont="1" applyBorder="1" applyAlignment="1" applyProtection="1">
      <alignment horizontal="left" vertical="center" wrapText="1"/>
      <protection hidden="1"/>
    </xf>
    <xf numFmtId="0" fontId="16" fillId="0" borderId="14" xfId="0" applyFont="1" applyBorder="1" applyAlignment="1" applyProtection="1">
      <alignment vertical="center" wrapText="1"/>
      <protection hidden="1"/>
    </xf>
    <xf numFmtId="0" fontId="33" fillId="0" borderId="0" xfId="0" applyFont="1" applyAlignment="1" applyProtection="1">
      <alignment vertical="center"/>
      <protection hidden="1"/>
    </xf>
    <xf numFmtId="10" fontId="0" fillId="0" borderId="0" xfId="5" applyNumberFormat="1" applyFont="1" applyAlignment="1">
      <alignment horizontal="center"/>
    </xf>
    <xf numFmtId="49" fontId="11" fillId="0" borderId="10" xfId="0" applyNumberFormat="1" applyFont="1" applyBorder="1" applyAlignment="1" applyProtection="1">
      <alignment horizontal="center" vertical="center" wrapText="1"/>
      <protection locked="0"/>
    </xf>
    <xf numFmtId="49" fontId="11" fillId="0" borderId="2" xfId="0" applyNumberFormat="1" applyFont="1" applyBorder="1" applyAlignment="1" applyProtection="1">
      <alignment horizontal="center" vertical="center" wrapText="1"/>
      <protection locked="0"/>
    </xf>
    <xf numFmtId="49" fontId="11" fillId="0" borderId="8" xfId="0" applyNumberFormat="1" applyFont="1" applyBorder="1" applyAlignment="1" applyProtection="1">
      <alignment horizontal="center" vertical="center" wrapText="1"/>
      <protection locked="0"/>
    </xf>
    <xf numFmtId="0" fontId="7" fillId="0" borderId="0" xfId="3" applyFill="1" applyBorder="1" applyAlignment="1">
      <alignment vertical="center" wrapText="1"/>
    </xf>
    <xf numFmtId="0" fontId="5" fillId="5" borderId="0" xfId="0" applyFont="1" applyFill="1"/>
    <xf numFmtId="3" fontId="0" fillId="0" borderId="0" xfId="0" applyNumberFormat="1" applyAlignment="1">
      <alignment horizontal="center"/>
    </xf>
    <xf numFmtId="3" fontId="24" fillId="6" borderId="0" xfId="0" applyNumberFormat="1" applyFont="1" applyFill="1" applyAlignment="1">
      <alignment horizontal="center"/>
    </xf>
    <xf numFmtId="43" fontId="0" fillId="0" borderId="0" xfId="1" applyFont="1"/>
    <xf numFmtId="164" fontId="24" fillId="6" borderId="17" xfId="0" applyNumberFormat="1" applyFont="1" applyFill="1" applyBorder="1"/>
    <xf numFmtId="15" fontId="6" fillId="0" borderId="0" xfId="0" applyNumberFormat="1" applyFont="1"/>
    <xf numFmtId="15" fontId="25" fillId="4" borderId="0" xfId="0" applyNumberFormat="1" applyFont="1" applyFill="1"/>
    <xf numFmtId="15" fontId="0" fillId="0" borderId="0" xfId="0" applyNumberFormat="1" applyAlignment="1">
      <alignment wrapText="1"/>
    </xf>
    <xf numFmtId="2" fontId="12" fillId="0" borderId="0" xfId="1" applyNumberFormat="1" applyFont="1" applyFill="1" applyBorder="1" applyAlignment="1">
      <alignment horizontal="center" vertical="center" wrapText="1"/>
    </xf>
    <xf numFmtId="2" fontId="2" fillId="4" borderId="0" xfId="0" applyNumberFormat="1" applyFont="1" applyFill="1" applyAlignment="1">
      <alignment horizontal="center" vertical="center" wrapText="1"/>
    </xf>
    <xf numFmtId="2" fontId="12" fillId="0" borderId="0" xfId="1" applyNumberFormat="1" applyFont="1" applyFill="1" applyAlignment="1">
      <alignment horizontal="center" vertical="center" wrapText="1"/>
    </xf>
    <xf numFmtId="2" fontId="12" fillId="0" borderId="0" xfId="2" applyNumberFormat="1" applyFont="1" applyFill="1" applyAlignment="1">
      <alignment horizontal="center" vertical="center" wrapText="1"/>
    </xf>
    <xf numFmtId="0" fontId="38" fillId="0" borderId="0" xfId="0" applyFont="1"/>
    <xf numFmtId="0" fontId="39" fillId="0" borderId="0" xfId="0" applyFont="1"/>
    <xf numFmtId="3" fontId="25" fillId="0" borderId="0" xfId="0" applyNumberFormat="1" applyFont="1" applyAlignment="1">
      <alignment horizontal="left"/>
    </xf>
    <xf numFmtId="164" fontId="6" fillId="0" borderId="24" xfId="2" applyNumberFormat="1" applyFont="1" applyBorder="1" applyAlignment="1">
      <alignment horizontal="right" vertical="center" wrapText="1"/>
    </xf>
    <xf numFmtId="43" fontId="0" fillId="0" borderId="0" xfId="1" applyFont="1" applyAlignment="1">
      <alignment vertical="center" wrapText="1"/>
    </xf>
    <xf numFmtId="0" fontId="6" fillId="5" borderId="0" xfId="0" applyFont="1" applyFill="1" applyAlignment="1">
      <alignment wrapText="1"/>
    </xf>
    <xf numFmtId="2" fontId="0" fillId="0" borderId="0" xfId="0" applyNumberFormat="1"/>
    <xf numFmtId="15" fontId="6" fillId="0" borderId="0" xfId="0" applyNumberFormat="1" applyFont="1" applyAlignment="1">
      <alignment vertical="center" wrapText="1"/>
    </xf>
    <xf numFmtId="16" fontId="6" fillId="0" borderId="0" xfId="0" applyNumberFormat="1" applyFont="1" applyAlignment="1">
      <alignment vertical="center" wrapText="1"/>
    </xf>
    <xf numFmtId="16" fontId="5" fillId="0" borderId="0" xfId="0" applyNumberFormat="1" applyFont="1" applyAlignment="1">
      <alignment wrapText="1"/>
    </xf>
    <xf numFmtId="0" fontId="7" fillId="0" borderId="0" xfId="4" applyAlignment="1">
      <alignment vertical="center" wrapText="1"/>
    </xf>
    <xf numFmtId="0" fontId="6" fillId="10" borderId="0" xfId="0" applyFont="1" applyFill="1"/>
    <xf numFmtId="0" fontId="5" fillId="10" borderId="0" xfId="0" applyFont="1" applyFill="1" applyAlignment="1">
      <alignment wrapText="1"/>
    </xf>
    <xf numFmtId="0" fontId="5" fillId="10" borderId="0" xfId="0" applyFont="1" applyFill="1" applyAlignment="1">
      <alignment vertical="center" wrapText="1"/>
    </xf>
    <xf numFmtId="0" fontId="5" fillId="10" borderId="0" xfId="1" applyNumberFormat="1" applyFont="1" applyFill="1" applyAlignment="1">
      <alignment wrapText="1"/>
    </xf>
    <xf numFmtId="164" fontId="34" fillId="7" borderId="19" xfId="6" applyNumberFormat="1" applyFont="1" applyAlignment="1" applyProtection="1">
      <alignment horizontal="right" vertical="center" wrapText="1"/>
      <protection locked="0"/>
    </xf>
    <xf numFmtId="164" fontId="34" fillId="7" borderId="19" xfId="6" applyNumberFormat="1" applyFont="1" applyAlignment="1" applyProtection="1">
      <alignment horizontal="center" vertical="center" wrapText="1"/>
      <protection locked="0"/>
    </xf>
    <xf numFmtId="0" fontId="6" fillId="0" borderId="0" xfId="0" applyFont="1"/>
    <xf numFmtId="0" fontId="7" fillId="0" borderId="0" xfId="3"/>
    <xf numFmtId="0" fontId="24" fillId="11" borderId="0" xfId="0" applyFont="1" applyFill="1" applyAlignment="1">
      <alignment horizontal="center"/>
    </xf>
    <xf numFmtId="3" fontId="24" fillId="11" borderId="0" xfId="0" applyNumberFormat="1" applyFont="1" applyFill="1" applyAlignment="1">
      <alignment horizontal="right"/>
    </xf>
    <xf numFmtId="0" fontId="7" fillId="0" borderId="0" xfId="3" applyAlignment="1">
      <alignment vertical="center" wrapText="1"/>
    </xf>
    <xf numFmtId="0" fontId="6" fillId="12" borderId="0" xfId="0" applyFont="1" applyFill="1" applyAlignment="1">
      <alignment wrapText="1"/>
    </xf>
    <xf numFmtId="15" fontId="6" fillId="12" borderId="0" xfId="0" applyNumberFormat="1" applyFont="1" applyFill="1" applyAlignment="1">
      <alignment wrapText="1"/>
    </xf>
    <xf numFmtId="15" fontId="6" fillId="5" borderId="0" xfId="0" applyNumberFormat="1" applyFont="1" applyFill="1"/>
    <xf numFmtId="0" fontId="0" fillId="5" borderId="0" xfId="0" applyFill="1"/>
    <xf numFmtId="164" fontId="12" fillId="0" borderId="0" xfId="0" applyNumberFormat="1" applyFont="1" applyAlignment="1" applyProtection="1">
      <alignment horizontal="right" vertical="center" wrapText="1"/>
      <protection locked="0" hidden="1"/>
    </xf>
    <xf numFmtId="0" fontId="12" fillId="0" borderId="0" xfId="0" applyFont="1" applyAlignment="1">
      <alignment vertical="top" wrapText="1"/>
    </xf>
    <xf numFmtId="0" fontId="0" fillId="0" borderId="10" xfId="0" applyBorder="1"/>
    <xf numFmtId="0" fontId="15" fillId="0" borderId="5" xfId="0" applyFont="1" applyBorder="1" applyAlignment="1">
      <alignment vertical="top" wrapText="1"/>
    </xf>
    <xf numFmtId="0" fontId="0" fillId="0" borderId="13" xfId="0" applyBorder="1"/>
    <xf numFmtId="0" fontId="0" fillId="0" borderId="14" xfId="0" applyBorder="1"/>
    <xf numFmtId="14" fontId="10" fillId="0" borderId="14" xfId="0" applyNumberFormat="1" applyFont="1" applyBorder="1" applyAlignment="1" applyProtection="1">
      <alignment horizontal="center" vertical="center" wrapText="1"/>
      <protection locked="0"/>
    </xf>
    <xf numFmtId="0" fontId="0" fillId="0" borderId="15" xfId="0" applyBorder="1"/>
    <xf numFmtId="0" fontId="12" fillId="0" borderId="5" xfId="0" applyFont="1" applyBorder="1" applyAlignment="1">
      <alignment horizontal="center" vertical="center" wrapText="1"/>
    </xf>
    <xf numFmtId="0" fontId="0" fillId="0" borderId="5" xfId="0" applyBorder="1"/>
    <xf numFmtId="0" fontId="8" fillId="0" borderId="5" xfId="0" applyFont="1" applyBorder="1" applyAlignment="1">
      <alignment horizontal="right" vertical="center" wrapText="1"/>
    </xf>
    <xf numFmtId="0" fontId="10" fillId="0" borderId="5" xfId="0" applyFont="1" applyBorder="1" applyAlignment="1">
      <alignment horizontal="right" vertical="center" wrapText="1"/>
    </xf>
    <xf numFmtId="167" fontId="41" fillId="4" borderId="0" xfId="0" applyNumberFormat="1" applyFont="1" applyFill="1" applyAlignment="1">
      <alignment vertical="center"/>
    </xf>
    <xf numFmtId="0" fontId="0" fillId="0" borderId="11" xfId="0" applyBorder="1"/>
    <xf numFmtId="15" fontId="41" fillId="4" borderId="0" xfId="0" applyNumberFormat="1" applyFont="1" applyFill="1" applyAlignment="1">
      <alignment horizontal="left" vertical="center"/>
    </xf>
    <xf numFmtId="0" fontId="12" fillId="0" borderId="1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4" fillId="4" borderId="26" xfId="0" applyFont="1" applyFill="1" applyBorder="1" applyAlignment="1">
      <alignment horizontal="center" vertical="center"/>
    </xf>
    <xf numFmtId="0" fontId="6" fillId="0" borderId="27" xfId="0" applyFont="1" applyBorder="1" applyAlignment="1">
      <alignment wrapText="1"/>
    </xf>
    <xf numFmtId="15" fontId="6" fillId="0" borderId="27" xfId="0" applyNumberFormat="1" applyFont="1" applyBorder="1" applyAlignment="1">
      <alignment wrapText="1"/>
    </xf>
    <xf numFmtId="164" fontId="6" fillId="0" borderId="27" xfId="0" applyNumberFormat="1" applyFont="1" applyBorder="1" applyAlignment="1">
      <alignment wrapText="1"/>
    </xf>
    <xf numFmtId="164" fontId="4" fillId="0" borderId="27" xfId="0" applyNumberFormat="1" applyFont="1" applyBorder="1" applyAlignment="1">
      <alignment wrapText="1"/>
    </xf>
    <xf numFmtId="0" fontId="12" fillId="0" borderId="27" xfId="0" applyFont="1" applyBorder="1" applyAlignment="1">
      <alignment vertical="center"/>
    </xf>
    <xf numFmtId="164" fontId="12" fillId="0" borderId="27" xfId="0" applyNumberFormat="1" applyFont="1" applyBorder="1" applyAlignment="1" applyProtection="1">
      <alignment horizontal="right" vertical="center" wrapText="1"/>
      <protection locked="0" hidden="1"/>
    </xf>
    <xf numFmtId="0" fontId="10" fillId="0" borderId="0" xfId="0" applyFont="1" applyAlignment="1">
      <alignment horizontal="right" vertical="top" wrapText="1"/>
    </xf>
    <xf numFmtId="0" fontId="10" fillId="0" borderId="0" xfId="0" applyFont="1" applyAlignment="1">
      <alignment vertical="top" wrapText="1"/>
    </xf>
    <xf numFmtId="168" fontId="0" fillId="0" borderId="0" xfId="0" applyNumberFormat="1"/>
    <xf numFmtId="168" fontId="24" fillId="4" borderId="0" xfId="0" applyNumberFormat="1" applyFont="1" applyFill="1"/>
    <xf numFmtId="164" fontId="6" fillId="13" borderId="25" xfId="0" applyNumberFormat="1" applyFont="1" applyFill="1" applyBorder="1"/>
    <xf numFmtId="0" fontId="0" fillId="14" borderId="0" xfId="0" applyFill="1" applyAlignment="1">
      <alignment vertical="center" wrapText="1"/>
    </xf>
    <xf numFmtId="0" fontId="32" fillId="0" borderId="0" xfId="7" applyFill="1" applyBorder="1" applyAlignment="1" applyProtection="1">
      <alignment horizontal="right" vertical="center"/>
      <protection hidden="1"/>
    </xf>
    <xf numFmtId="0" fontId="0" fillId="12" borderId="0" xfId="0" applyFill="1"/>
    <xf numFmtId="164" fontId="6" fillId="0" borderId="25" xfId="0" applyNumberFormat="1" applyFont="1" applyBorder="1"/>
    <xf numFmtId="0" fontId="44" fillId="0" borderId="0" xfId="0" applyFont="1" applyAlignment="1">
      <alignment wrapText="1"/>
    </xf>
    <xf numFmtId="0" fontId="42" fillId="0" borderId="0" xfId="0" applyFont="1" applyAlignment="1">
      <alignment wrapText="1"/>
    </xf>
    <xf numFmtId="0" fontId="5" fillId="5" borderId="0" xfId="0" applyFont="1" applyFill="1" applyAlignment="1">
      <alignment wrapText="1"/>
    </xf>
    <xf numFmtId="0" fontId="43" fillId="0" borderId="0" xfId="0" applyFont="1"/>
    <xf numFmtId="0" fontId="6" fillId="0" borderId="25" xfId="0" applyFont="1" applyBorder="1" applyAlignment="1">
      <alignment vertical="center" wrapText="1"/>
    </xf>
    <xf numFmtId="15" fontId="6" fillId="0" borderId="25" xfId="0" applyNumberFormat="1" applyFont="1" applyBorder="1" applyAlignment="1">
      <alignment vertical="center" wrapText="1"/>
    </xf>
    <xf numFmtId="15" fontId="6" fillId="0" borderId="25" xfId="0" applyNumberFormat="1" applyFont="1" applyBorder="1" applyAlignment="1">
      <alignment wrapText="1"/>
    </xf>
    <xf numFmtId="15" fontId="6" fillId="13" borderId="25" xfId="0" applyNumberFormat="1" applyFont="1" applyFill="1" applyBorder="1" applyAlignment="1">
      <alignment wrapText="1"/>
    </xf>
    <xf numFmtId="164" fontId="6" fillId="0" borderId="25" xfId="0" applyNumberFormat="1" applyFont="1" applyBorder="1" applyAlignment="1">
      <alignment wrapText="1"/>
    </xf>
    <xf numFmtId="164" fontId="4" fillId="0" borderId="25" xfId="0" applyNumberFormat="1" applyFont="1" applyBorder="1" applyAlignment="1">
      <alignment wrapText="1"/>
    </xf>
    <xf numFmtId="0" fontId="6" fillId="0" borderId="25" xfId="0" applyFont="1" applyBorder="1" applyAlignment="1">
      <alignment wrapText="1"/>
    </xf>
    <xf numFmtId="3" fontId="7" fillId="0" borderId="0" xfId="3" applyNumberFormat="1" applyFill="1" applyBorder="1" applyAlignment="1">
      <alignment horizontal="left" vertical="center" wrapText="1"/>
    </xf>
    <xf numFmtId="0" fontId="0" fillId="17" borderId="0" xfId="0" applyFill="1"/>
    <xf numFmtId="169" fontId="34" fillId="7" borderId="19" xfId="6" applyNumberFormat="1" applyFont="1" applyAlignment="1" applyProtection="1">
      <alignment horizontal="center" vertical="center" wrapText="1"/>
      <protection locked="0"/>
    </xf>
    <xf numFmtId="165" fontId="34" fillId="7" borderId="19" xfId="6" applyNumberFormat="1" applyFont="1" applyAlignment="1" applyProtection="1">
      <alignment horizontal="right" vertical="center" wrapText="1"/>
      <protection locked="0"/>
    </xf>
    <xf numFmtId="0" fontId="0" fillId="0" borderId="16" xfId="0" applyBorder="1" applyAlignment="1">
      <alignment horizontal="center"/>
    </xf>
    <xf numFmtId="3" fontId="43" fillId="0" borderId="0" xfId="0" applyNumberFormat="1" applyFont="1"/>
    <xf numFmtId="16" fontId="6" fillId="5" borderId="0" xfId="0" applyNumberFormat="1" applyFont="1" applyFill="1" applyAlignment="1">
      <alignment wrapText="1"/>
    </xf>
    <xf numFmtId="0" fontId="6" fillId="0" borderId="0" xfId="1" applyNumberFormat="1" applyFont="1" applyFill="1" applyAlignment="1">
      <alignment horizontal="right" vertical="center" wrapText="1"/>
    </xf>
    <xf numFmtId="0" fontId="6" fillId="2" borderId="3" xfId="0" applyFont="1" applyFill="1" applyBorder="1"/>
    <xf numFmtId="0" fontId="9" fillId="0" borderId="28" xfId="0" applyFont="1" applyBorder="1" applyAlignment="1">
      <alignment horizontal="center" vertical="center" wrapText="1"/>
    </xf>
    <xf numFmtId="170" fontId="34" fillId="7" borderId="19" xfId="2" applyNumberFormat="1" applyFont="1" applyFill="1" applyBorder="1" applyAlignment="1" applyProtection="1">
      <alignment horizontal="right" vertical="center" wrapText="1"/>
      <protection locked="0"/>
    </xf>
    <xf numFmtId="170" fontId="36" fillId="8" borderId="20" xfId="8" applyNumberFormat="1" applyFont="1" applyAlignment="1" applyProtection="1">
      <alignment horizontal="right" vertical="center" wrapText="1"/>
      <protection hidden="1"/>
    </xf>
    <xf numFmtId="170" fontId="36" fillId="8" borderId="20" xfId="2" applyNumberFormat="1" applyFont="1" applyFill="1" applyBorder="1" applyAlignment="1" applyProtection="1">
      <alignment horizontal="right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70" fontId="6" fillId="0" borderId="0" xfId="2" applyNumberFormat="1" applyFont="1"/>
    <xf numFmtId="170" fontId="4" fillId="0" borderId="0" xfId="2" applyNumberFormat="1" applyFont="1"/>
    <xf numFmtId="170" fontId="3" fillId="0" borderId="0" xfId="2" applyNumberFormat="1" applyFont="1"/>
    <xf numFmtId="170" fontId="5" fillId="0" borderId="0" xfId="2" applyNumberFormat="1" applyFont="1"/>
    <xf numFmtId="170" fontId="6" fillId="5" borderId="0" xfId="2" applyNumberFormat="1" applyFont="1" applyFill="1"/>
    <xf numFmtId="170" fontId="6" fillId="15" borderId="0" xfId="2" applyNumberFormat="1" applyFont="1" applyFill="1"/>
    <xf numFmtId="170" fontId="6" fillId="16" borderId="0" xfId="2" applyNumberFormat="1" applyFont="1" applyFill="1"/>
    <xf numFmtId="170" fontId="0" fillId="0" borderId="0" xfId="2" applyNumberFormat="1" applyFont="1"/>
    <xf numFmtId="171" fontId="4" fillId="0" borderId="0" xfId="0" applyNumberFormat="1" applyFont="1" applyAlignment="1">
      <alignment wrapText="1"/>
    </xf>
    <xf numFmtId="171" fontId="0" fillId="0" borderId="0" xfId="0" applyNumberFormat="1" applyAlignment="1">
      <alignment wrapText="1"/>
    </xf>
    <xf numFmtId="172" fontId="25" fillId="4" borderId="0" xfId="0" applyNumberFormat="1" applyFont="1" applyFill="1"/>
    <xf numFmtId="172" fontId="28" fillId="4" borderId="0" xfId="0" applyNumberFormat="1" applyFont="1" applyFill="1" applyAlignment="1">
      <alignment horizontal="center" wrapText="1"/>
    </xf>
    <xf numFmtId="172" fontId="25" fillId="4" borderId="0" xfId="2" applyNumberFormat="1" applyFont="1" applyFill="1" applyBorder="1"/>
    <xf numFmtId="172" fontId="4" fillId="0" borderId="0" xfId="0" applyNumberFormat="1" applyFont="1" applyAlignment="1">
      <alignment wrapText="1"/>
    </xf>
    <xf numFmtId="172" fontId="1" fillId="0" borderId="0" xfId="9" applyNumberFormat="1" applyFill="1" applyBorder="1" applyAlignment="1">
      <alignment wrapText="1"/>
    </xf>
    <xf numFmtId="172" fontId="5" fillId="0" borderId="0" xfId="0" applyNumberFormat="1" applyFont="1"/>
    <xf numFmtId="172" fontId="5" fillId="0" borderId="0" xfId="2" applyNumberFormat="1" applyFont="1" applyFill="1" applyAlignment="1">
      <alignment wrapText="1"/>
    </xf>
    <xf numFmtId="172" fontId="0" fillId="0" borderId="0" xfId="2" applyNumberFormat="1" applyFont="1" applyFill="1" applyBorder="1"/>
    <xf numFmtId="172" fontId="6" fillId="0" borderId="0" xfId="0" applyNumberFormat="1" applyFont="1" applyAlignment="1">
      <alignment wrapText="1"/>
    </xf>
    <xf numFmtId="172" fontId="5" fillId="0" borderId="0" xfId="2" applyNumberFormat="1" applyFont="1" applyFill="1" applyBorder="1" applyAlignment="1">
      <alignment wrapText="1"/>
    </xf>
    <xf numFmtId="172" fontId="5" fillId="5" borderId="0" xfId="0" applyNumberFormat="1" applyFont="1" applyFill="1"/>
    <xf numFmtId="172" fontId="6" fillId="0" borderId="0" xfId="0" applyNumberFormat="1" applyFont="1" applyAlignment="1">
      <alignment vertical="center" wrapText="1"/>
    </xf>
    <xf numFmtId="172" fontId="4" fillId="0" borderId="0" xfId="0" applyNumberFormat="1" applyFont="1" applyAlignment="1">
      <alignment vertical="center" wrapText="1"/>
    </xf>
    <xf numFmtId="172" fontId="1" fillId="0" borderId="0" xfId="9" applyNumberFormat="1" applyFill="1" applyBorder="1" applyAlignment="1">
      <alignment vertical="center" wrapText="1"/>
    </xf>
    <xf numFmtId="172" fontId="5" fillId="0" borderId="0" xfId="0" applyNumberFormat="1" applyFont="1" applyAlignment="1">
      <alignment vertical="center"/>
    </xf>
    <xf numFmtId="172" fontId="5" fillId="0" borderId="0" xfId="2" applyNumberFormat="1" applyFont="1" applyFill="1" applyBorder="1" applyAlignment="1">
      <alignment vertical="center" wrapText="1"/>
    </xf>
    <xf numFmtId="172" fontId="0" fillId="0" borderId="0" xfId="2" applyNumberFormat="1" applyFont="1" applyFill="1" applyBorder="1" applyAlignment="1">
      <alignment vertical="center" wrapText="1"/>
    </xf>
    <xf numFmtId="172" fontId="5" fillId="0" borderId="0" xfId="0" applyNumberFormat="1" applyFont="1" applyAlignment="1">
      <alignment wrapText="1"/>
    </xf>
    <xf numFmtId="172" fontId="0" fillId="0" borderId="0" xfId="2" applyNumberFormat="1" applyFont="1" applyFill="1" applyBorder="1" applyAlignment="1">
      <alignment wrapText="1"/>
    </xf>
    <xf numFmtId="172" fontId="1" fillId="0" borderId="0" xfId="9" applyNumberFormat="1" applyFill="1" applyAlignment="1">
      <alignment wrapText="1"/>
    </xf>
    <xf numFmtId="172" fontId="0" fillId="0" borderId="0" xfId="2" applyNumberFormat="1" applyFont="1" applyFill="1" applyAlignment="1">
      <alignment wrapText="1"/>
    </xf>
    <xf numFmtId="172" fontId="4" fillId="5" borderId="0" xfId="0" applyNumberFormat="1" applyFont="1" applyFill="1" applyAlignment="1">
      <alignment wrapText="1"/>
    </xf>
    <xf numFmtId="172" fontId="6" fillId="0" borderId="0" xfId="1" applyNumberFormat="1" applyFont="1" applyFill="1" applyAlignment="1">
      <alignment wrapText="1"/>
    </xf>
    <xf numFmtId="172" fontId="1" fillId="0" borderId="0" xfId="9" applyNumberFormat="1" applyFill="1" applyAlignment="1">
      <alignment vertical="center" wrapText="1"/>
    </xf>
    <xf numFmtId="172" fontId="5" fillId="0" borderId="0" xfId="2" applyNumberFormat="1" applyFont="1" applyFill="1" applyAlignment="1">
      <alignment vertical="center" wrapText="1"/>
    </xf>
    <xf numFmtId="172" fontId="5" fillId="0" borderId="0" xfId="0" applyNumberFormat="1" applyFont="1" applyAlignment="1">
      <alignment vertical="center" wrapText="1"/>
    </xf>
    <xf numFmtId="172" fontId="0" fillId="0" borderId="0" xfId="2" applyNumberFormat="1" applyFont="1" applyFill="1" applyAlignment="1">
      <alignment vertical="center" wrapText="1"/>
    </xf>
    <xf numFmtId="172" fontId="0" fillId="0" borderId="0" xfId="0" applyNumberFormat="1" applyAlignment="1">
      <alignment wrapText="1"/>
    </xf>
    <xf numFmtId="172" fontId="0" fillId="0" borderId="0" xfId="0" applyNumberFormat="1"/>
    <xf numFmtId="0" fontId="6" fillId="13" borderId="0" xfId="0" applyFont="1" applyFill="1" applyAlignment="1">
      <alignment horizontal="left" wrapText="1"/>
    </xf>
    <xf numFmtId="0" fontId="0" fillId="0" borderId="25" xfId="0" applyBorder="1" applyAlignment="1">
      <alignment wrapText="1"/>
    </xf>
    <xf numFmtId="171" fontId="2" fillId="4" borderId="0" xfId="2" applyNumberFormat="1" applyFont="1" applyFill="1" applyBorder="1" applyAlignment="1">
      <alignment horizontal="center" vertical="center" wrapText="1"/>
    </xf>
    <xf numFmtId="171" fontId="12" fillId="0" borderId="0" xfId="2" applyNumberFormat="1" applyFont="1" applyFill="1" applyBorder="1" applyAlignment="1">
      <alignment horizontal="right" vertical="center" wrapText="1"/>
    </xf>
    <xf numFmtId="171" fontId="6" fillId="0" borderId="0" xfId="2" applyNumberFormat="1" applyFont="1" applyFill="1" applyAlignment="1">
      <alignment horizontal="right" vertical="center" wrapText="1"/>
    </xf>
    <xf numFmtId="171" fontId="4" fillId="0" borderId="0" xfId="0" applyNumberFormat="1" applyFont="1" applyAlignment="1">
      <alignment vertical="center"/>
    </xf>
    <xf numFmtId="171" fontId="12" fillId="0" borderId="0" xfId="2" applyNumberFormat="1" applyFont="1" applyFill="1" applyAlignment="1">
      <alignment horizontal="right" vertical="center" wrapText="1"/>
    </xf>
    <xf numFmtId="171" fontId="3" fillId="0" borderId="0" xfId="0" applyNumberFormat="1" applyFont="1" applyAlignment="1">
      <alignment horizontal="right" wrapText="1"/>
    </xf>
    <xf numFmtId="171" fontId="12" fillId="0" borderId="0" xfId="2" applyNumberFormat="1" applyFont="1" applyFill="1" applyAlignment="1">
      <alignment vertical="center" wrapText="1"/>
    </xf>
    <xf numFmtId="171" fontId="4" fillId="0" borderId="0" xfId="0" applyNumberFormat="1" applyFont="1"/>
    <xf numFmtId="171" fontId="12" fillId="0" borderId="0" xfId="2" applyNumberFormat="1" applyFont="1" applyFill="1" applyAlignment="1">
      <alignment wrapText="1"/>
    </xf>
    <xf numFmtId="171" fontId="6" fillId="0" borderId="0" xfId="2" applyNumberFormat="1" applyFont="1" applyFill="1" applyBorder="1" applyAlignment="1">
      <alignment horizontal="right" vertical="center" wrapText="1"/>
    </xf>
    <xf numFmtId="171" fontId="18" fillId="0" borderId="0" xfId="2" applyNumberFormat="1" applyFont="1" applyFill="1" applyAlignment="1">
      <alignment horizontal="right" vertical="center" wrapText="1"/>
    </xf>
    <xf numFmtId="171" fontId="0" fillId="0" borderId="0" xfId="2" applyNumberFormat="1" applyFont="1" applyAlignment="1">
      <alignment vertical="center" wrapText="1"/>
    </xf>
    <xf numFmtId="170" fontId="11" fillId="0" borderId="5" xfId="0" applyNumberFormat="1" applyFont="1" applyBorder="1" applyAlignment="1" applyProtection="1">
      <alignment horizontal="center" vertical="center" wrapText="1"/>
      <protection locked="0"/>
    </xf>
    <xf numFmtId="170" fontId="10" fillId="0" borderId="11" xfId="0" applyNumberFormat="1" applyFont="1" applyBorder="1" applyAlignment="1" applyProtection="1">
      <alignment horizontal="right" vertical="center" wrapText="1"/>
      <protection hidden="1"/>
    </xf>
    <xf numFmtId="170" fontId="8" fillId="0" borderId="11" xfId="0" applyNumberFormat="1" applyFont="1" applyBorder="1" applyAlignment="1" applyProtection="1">
      <alignment horizontal="right" vertical="center" wrapText="1"/>
      <protection hidden="1"/>
    </xf>
    <xf numFmtId="170" fontId="11" fillId="0" borderId="1" xfId="0" applyNumberFormat="1" applyFont="1" applyBorder="1" applyAlignment="1" applyProtection="1">
      <alignment horizontal="center" vertical="center" wrapText="1"/>
      <protection locked="0"/>
    </xf>
    <xf numFmtId="170" fontId="11" fillId="0" borderId="6" xfId="0" applyNumberFormat="1" applyFont="1" applyBorder="1" applyAlignment="1" applyProtection="1">
      <alignment horizontal="center" vertical="center" wrapText="1"/>
      <protection locked="0"/>
    </xf>
    <xf numFmtId="170" fontId="8" fillId="0" borderId="7" xfId="0" applyNumberFormat="1" applyFont="1" applyBorder="1" applyAlignment="1" applyProtection="1">
      <alignment horizontal="right" vertical="center" wrapText="1"/>
      <protection hidden="1"/>
    </xf>
    <xf numFmtId="170" fontId="9" fillId="0" borderId="0" xfId="0" applyNumberFormat="1" applyFont="1" applyAlignment="1">
      <alignment horizontal="center" vertical="center" wrapText="1"/>
    </xf>
    <xf numFmtId="168" fontId="11" fillId="0" borderId="5" xfId="1" applyNumberFormat="1" applyFont="1" applyBorder="1" applyAlignment="1" applyProtection="1">
      <alignment horizontal="center" vertical="center" wrapText="1"/>
      <protection locked="0"/>
    </xf>
    <xf numFmtId="2" fontId="34" fillId="7" borderId="19" xfId="6" applyNumberFormat="1" applyFont="1" applyAlignment="1" applyProtection="1">
      <alignment horizontal="center" vertical="center" wrapText="1"/>
      <protection locked="0"/>
    </xf>
    <xf numFmtId="0" fontId="0" fillId="16" borderId="0" xfId="0" applyFill="1"/>
    <xf numFmtId="15" fontId="6" fillId="16" borderId="0" xfId="0" applyNumberFormat="1" applyFont="1" applyFill="1" applyAlignment="1">
      <alignment wrapText="1"/>
    </xf>
    <xf numFmtId="0" fontId="0" fillId="16" borderId="0" xfId="0" applyFill="1" applyAlignment="1">
      <alignment horizontal="center"/>
    </xf>
    <xf numFmtId="0" fontId="6" fillId="18" borderId="0" xfId="1" applyNumberFormat="1" applyFont="1" applyFill="1" applyAlignment="1">
      <alignment horizontal="right" wrapText="1"/>
    </xf>
    <xf numFmtId="0" fontId="5" fillId="18" borderId="0" xfId="0" applyFont="1" applyFill="1" applyAlignment="1">
      <alignment wrapText="1"/>
    </xf>
    <xf numFmtId="170" fontId="6" fillId="0" borderId="0" xfId="2" applyNumberFormat="1" applyFont="1" applyFill="1"/>
    <xf numFmtId="15" fontId="6" fillId="19" borderId="0" xfId="0" applyNumberFormat="1" applyFont="1" applyFill="1" applyAlignment="1">
      <alignment wrapText="1"/>
    </xf>
    <xf numFmtId="0" fontId="0" fillId="19" borderId="0" xfId="0" applyFill="1" applyAlignment="1">
      <alignment horizontal="center"/>
    </xf>
    <xf numFmtId="0" fontId="0" fillId="19" borderId="0" xfId="0" applyFill="1"/>
    <xf numFmtId="170" fontId="6" fillId="19" borderId="0" xfId="2" applyNumberFormat="1" applyFont="1" applyFill="1"/>
    <xf numFmtId="0" fontId="43" fillId="20" borderId="0" xfId="0" applyFont="1" applyFill="1"/>
    <xf numFmtId="3" fontId="43" fillId="20" borderId="0" xfId="0" applyNumberFormat="1" applyFont="1" applyFill="1"/>
    <xf numFmtId="0" fontId="45" fillId="4" borderId="0" xfId="0" applyFont="1" applyFill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0" fillId="5" borderId="0" xfId="0" applyFill="1" applyAlignment="1">
      <alignment horizontal="center"/>
    </xf>
    <xf numFmtId="0" fontId="6" fillId="12" borderId="0" xfId="0" applyFont="1" applyFill="1" applyAlignment="1">
      <alignment vertical="center" wrapText="1"/>
    </xf>
    <xf numFmtId="15" fontId="6" fillId="5" borderId="0" xfId="0" applyNumberFormat="1" applyFont="1" applyFill="1" applyAlignment="1">
      <alignment wrapText="1"/>
    </xf>
    <xf numFmtId="0" fontId="0" fillId="12" borderId="0" xfId="0" applyFill="1" applyAlignment="1">
      <alignment horizontal="center"/>
    </xf>
    <xf numFmtId="0" fontId="6" fillId="5" borderId="0" xfId="1" applyNumberFormat="1" applyFont="1" applyFill="1" applyAlignment="1">
      <alignment horizontal="right" wrapText="1"/>
    </xf>
    <xf numFmtId="172" fontId="6" fillId="5" borderId="0" xfId="0" applyNumberFormat="1" applyFont="1" applyFill="1" applyAlignment="1">
      <alignment wrapText="1"/>
    </xf>
    <xf numFmtId="172" fontId="1" fillId="5" borderId="0" xfId="9" applyNumberFormat="1" applyFill="1" applyAlignment="1">
      <alignment wrapText="1"/>
    </xf>
    <xf numFmtId="172" fontId="5" fillId="5" borderId="0" xfId="2" applyNumberFormat="1" applyFont="1" applyFill="1" applyAlignment="1">
      <alignment wrapText="1"/>
    </xf>
    <xf numFmtId="170" fontId="6" fillId="12" borderId="0" xfId="2" applyNumberFormat="1" applyFont="1" applyFill="1"/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10" fillId="5" borderId="0" xfId="0" applyFont="1" applyFill="1" applyAlignment="1">
      <alignment horizontal="center" vertical="center" wrapText="1"/>
    </xf>
    <xf numFmtId="0" fontId="10" fillId="5" borderId="0" xfId="0" applyFont="1" applyFill="1" applyAlignment="1">
      <alignment horizontal="left" vertical="center" wrapText="1"/>
    </xf>
    <xf numFmtId="2" fontId="12" fillId="5" borderId="0" xfId="1" applyNumberFormat="1" applyFont="1" applyFill="1" applyAlignment="1">
      <alignment horizontal="center" vertical="center" wrapText="1"/>
    </xf>
    <xf numFmtId="171" fontId="12" fillId="5" borderId="0" xfId="2" applyNumberFormat="1" applyFont="1" applyFill="1" applyAlignment="1">
      <alignment horizontal="right" vertical="center" wrapText="1"/>
    </xf>
    <xf numFmtId="171" fontId="12" fillId="5" borderId="0" xfId="2" applyNumberFormat="1" applyFont="1" applyFill="1" applyAlignment="1">
      <alignment wrapText="1"/>
    </xf>
    <xf numFmtId="171" fontId="6" fillId="5" borderId="0" xfId="2" applyNumberFormat="1" applyFont="1" applyFill="1" applyAlignment="1">
      <alignment horizontal="right" vertical="center" wrapText="1"/>
    </xf>
    <xf numFmtId="3" fontId="46" fillId="0" borderId="0" xfId="0" applyNumberFormat="1" applyFont="1"/>
    <xf numFmtId="0" fontId="5" fillId="12" borderId="0" xfId="0" applyFont="1" applyFill="1" applyAlignment="1">
      <alignment wrapText="1"/>
    </xf>
    <xf numFmtId="172" fontId="6" fillId="12" borderId="0" xfId="0" applyNumberFormat="1" applyFont="1" applyFill="1" applyAlignment="1">
      <alignment wrapText="1"/>
    </xf>
    <xf numFmtId="0" fontId="43" fillId="5" borderId="0" xfId="0" applyFont="1" applyFill="1"/>
    <xf numFmtId="16" fontId="0" fillId="0" borderId="0" xfId="0" applyNumberFormat="1" applyAlignment="1">
      <alignment horizontal="left"/>
    </xf>
    <xf numFmtId="16" fontId="24" fillId="6" borderId="0" xfId="0" applyNumberFormat="1" applyFont="1" applyFill="1" applyAlignment="1">
      <alignment horizontal="left"/>
    </xf>
    <xf numFmtId="172" fontId="0" fillId="0" borderId="0" xfId="9" applyNumberFormat="1" applyFont="1" applyFill="1" applyAlignment="1">
      <alignment wrapText="1"/>
    </xf>
    <xf numFmtId="3" fontId="0" fillId="5" borderId="0" xfId="0" applyNumberFormat="1" applyFill="1"/>
    <xf numFmtId="17" fontId="5" fillId="0" borderId="25" xfId="0" applyNumberFormat="1" applyFont="1" applyBorder="1" applyAlignment="1">
      <alignment horizontal="left" wrapText="1"/>
    </xf>
    <xf numFmtId="0" fontId="47" fillId="0" borderId="0" xfId="0" applyFont="1" applyAlignment="1">
      <alignment wrapText="1"/>
    </xf>
    <xf numFmtId="15" fontId="48" fillId="0" borderId="0" xfId="0" applyNumberFormat="1" applyFont="1" applyAlignment="1">
      <alignment wrapText="1"/>
    </xf>
    <xf numFmtId="0" fontId="48" fillId="0" borderId="0" xfId="0" applyFont="1" applyAlignment="1">
      <alignment wrapText="1"/>
    </xf>
    <xf numFmtId="16" fontId="48" fillId="0" borderId="0" xfId="0" applyNumberFormat="1" applyFont="1" applyAlignment="1">
      <alignment wrapText="1"/>
    </xf>
    <xf numFmtId="172" fontId="48" fillId="0" borderId="0" xfId="0" applyNumberFormat="1" applyFont="1" applyAlignment="1">
      <alignment wrapText="1"/>
    </xf>
    <xf numFmtId="172" fontId="49" fillId="0" borderId="0" xfId="0" applyNumberFormat="1" applyFont="1" applyAlignment="1">
      <alignment wrapText="1"/>
    </xf>
    <xf numFmtId="172" fontId="47" fillId="0" borderId="0" xfId="2" applyNumberFormat="1" applyFont="1" applyFill="1" applyAlignment="1">
      <alignment wrapText="1"/>
    </xf>
    <xf numFmtId="172" fontId="47" fillId="0" borderId="0" xfId="0" applyNumberFormat="1" applyFont="1" applyAlignment="1">
      <alignment wrapText="1"/>
    </xf>
    <xf numFmtId="171" fontId="48" fillId="0" borderId="0" xfId="2" applyNumberFormat="1" applyFont="1" applyFill="1" applyAlignment="1">
      <alignment horizontal="right" vertical="center" wrapText="1"/>
    </xf>
    <xf numFmtId="15" fontId="6" fillId="0" borderId="0" xfId="0" applyNumberFormat="1" applyFont="1" applyAlignment="1">
      <alignment wrapText="1"/>
    </xf>
    <xf numFmtId="170" fontId="48" fillId="0" borderId="0" xfId="2" applyNumberFormat="1" applyFont="1" applyFill="1"/>
    <xf numFmtId="3" fontId="0" fillId="12" borderId="0" xfId="0" applyNumberFormat="1" applyFill="1"/>
    <xf numFmtId="0" fontId="46" fillId="0" borderId="0" xfId="0" applyFont="1"/>
    <xf numFmtId="0" fontId="0" fillId="20" borderId="0" xfId="0" applyFill="1"/>
    <xf numFmtId="3" fontId="0" fillId="20" borderId="0" xfId="0" applyNumberFormat="1" applyFill="1"/>
    <xf numFmtId="3" fontId="43" fillId="5" borderId="0" xfId="0" applyNumberFormat="1" applyFont="1" applyFill="1"/>
    <xf numFmtId="0" fontId="43" fillId="16" borderId="0" xfId="0" applyFont="1" applyFill="1"/>
    <xf numFmtId="0" fontId="6" fillId="13" borderId="25" xfId="0" applyFont="1" applyFill="1" applyBorder="1" applyAlignment="1">
      <alignment horizontal="left" wrapText="1"/>
    </xf>
    <xf numFmtId="0" fontId="5" fillId="13" borderId="25" xfId="0" applyFont="1" applyFill="1" applyBorder="1" applyAlignment="1">
      <alignment horizontal="left" vertical="center" wrapText="1"/>
    </xf>
    <xf numFmtId="17" fontId="5" fillId="0" borderId="0" xfId="0" applyNumberFormat="1" applyFont="1" applyAlignment="1">
      <alignment horizontal="left" wrapText="1"/>
    </xf>
    <xf numFmtId="0" fontId="0" fillId="0" borderId="25" xfId="0" applyBorder="1"/>
    <xf numFmtId="172" fontId="0" fillId="5" borderId="0" xfId="9" applyNumberFormat="1" applyFont="1" applyFill="1" applyAlignment="1">
      <alignment wrapText="1"/>
    </xf>
    <xf numFmtId="0" fontId="50" fillId="0" borderId="33" xfId="0" applyFont="1" applyBorder="1" applyAlignment="1">
      <alignment horizontal="center"/>
    </xf>
    <xf numFmtId="0" fontId="47" fillId="0" borderId="34" xfId="0" applyFont="1" applyBorder="1" applyAlignment="1">
      <alignment wrapText="1"/>
    </xf>
    <xf numFmtId="15" fontId="48" fillId="0" borderId="34" xfId="0" applyNumberFormat="1" applyFont="1" applyBorder="1" applyAlignment="1">
      <alignment wrapText="1"/>
    </xf>
    <xf numFmtId="0" fontId="48" fillId="0" borderId="34" xfId="0" applyFont="1" applyBorder="1" applyAlignment="1">
      <alignment wrapText="1"/>
    </xf>
    <xf numFmtId="173" fontId="48" fillId="0" borderId="34" xfId="0" applyNumberFormat="1" applyFont="1" applyBorder="1" applyAlignment="1">
      <alignment wrapText="1"/>
    </xf>
    <xf numFmtId="0" fontId="6" fillId="0" borderId="34" xfId="1" applyNumberFormat="1" applyFont="1" applyFill="1" applyBorder="1" applyAlignment="1">
      <alignment horizontal="right" wrapText="1"/>
    </xf>
    <xf numFmtId="0" fontId="5" fillId="10" borderId="34" xfId="0" applyFont="1" applyFill="1" applyBorder="1" applyAlignment="1">
      <alignment wrapText="1"/>
    </xf>
    <xf numFmtId="0" fontId="47" fillId="21" borderId="34" xfId="0" applyFont="1" applyFill="1" applyBorder="1" applyAlignment="1">
      <alignment wrapText="1"/>
    </xf>
    <xf numFmtId="172" fontId="48" fillId="0" borderId="34" xfId="0" applyNumberFormat="1" applyFont="1" applyBorder="1" applyAlignment="1">
      <alignment wrapText="1"/>
    </xf>
    <xf numFmtId="172" fontId="49" fillId="0" borderId="34" xfId="0" applyNumberFormat="1" applyFont="1" applyBorder="1" applyAlignment="1">
      <alignment wrapText="1"/>
    </xf>
    <xf numFmtId="172" fontId="1" fillId="0" borderId="34" xfId="9" applyNumberFormat="1" applyFill="1" applyBorder="1" applyAlignment="1">
      <alignment wrapText="1"/>
    </xf>
    <xf numFmtId="172" fontId="5" fillId="0" borderId="34" xfId="2" applyNumberFormat="1" applyFont="1" applyFill="1" applyBorder="1" applyAlignment="1">
      <alignment wrapText="1"/>
    </xf>
    <xf numFmtId="172" fontId="47" fillId="0" borderId="34" xfId="0" applyNumberFormat="1" applyFont="1" applyBorder="1" applyAlignment="1">
      <alignment wrapText="1"/>
    </xf>
    <xf numFmtId="172" fontId="47" fillId="21" borderId="34" xfId="0" applyNumberFormat="1" applyFont="1" applyFill="1" applyBorder="1" applyAlignment="1">
      <alignment wrapText="1"/>
    </xf>
    <xf numFmtId="172" fontId="51" fillId="0" borderId="34" xfId="2" applyNumberFormat="1" applyFont="1" applyFill="1" applyBorder="1" applyAlignment="1">
      <alignment wrapText="1"/>
    </xf>
    <xf numFmtId="0" fontId="51" fillId="0" borderId="34" xfId="0" applyFont="1" applyBorder="1" applyAlignment="1">
      <alignment wrapText="1"/>
    </xf>
    <xf numFmtId="0" fontId="51" fillId="0" borderId="35" xfId="0" applyFont="1" applyBorder="1" applyAlignment="1">
      <alignment wrapText="1"/>
    </xf>
    <xf numFmtId="15" fontId="6" fillId="22" borderId="0" xfId="0" applyNumberFormat="1" applyFont="1" applyFill="1" applyAlignment="1">
      <alignment wrapText="1"/>
    </xf>
    <xf numFmtId="0" fontId="0" fillId="22" borderId="0" xfId="0" applyFill="1" applyAlignment="1">
      <alignment horizontal="center"/>
    </xf>
    <xf numFmtId="170" fontId="6" fillId="22" borderId="0" xfId="2" applyNumberFormat="1" applyFont="1" applyFill="1"/>
    <xf numFmtId="0" fontId="0" fillId="22" borderId="0" xfId="0" applyFill="1"/>
    <xf numFmtId="0" fontId="28" fillId="4" borderId="1" xfId="0" applyFont="1" applyFill="1" applyBorder="1" applyAlignment="1" applyProtection="1">
      <alignment horizontal="center" vertical="center" wrapText="1"/>
      <protection hidden="1"/>
    </xf>
    <xf numFmtId="0" fontId="16" fillId="0" borderId="0" xfId="0" applyFont="1" applyAlignment="1" applyProtection="1">
      <alignment horizontal="center" vertical="center" wrapText="1"/>
      <protection hidden="1"/>
    </xf>
    <xf numFmtId="0" fontId="24" fillId="8" borderId="20" xfId="8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right" vertical="center" wrapText="1"/>
      <protection hidden="1"/>
    </xf>
    <xf numFmtId="170" fontId="9" fillId="0" borderId="0" xfId="0" applyNumberFormat="1" applyFont="1" applyAlignment="1" applyProtection="1">
      <alignment horizontal="right" vertical="center" wrapText="1"/>
      <protection hidden="1"/>
    </xf>
    <xf numFmtId="0" fontId="12" fillId="0" borderId="0" xfId="0" applyFont="1" applyAlignment="1" applyProtection="1">
      <alignment vertical="center" wrapText="1"/>
      <protection hidden="1"/>
    </xf>
    <xf numFmtId="170" fontId="9" fillId="0" borderId="0" xfId="0" applyNumberFormat="1" applyFont="1" applyAlignment="1">
      <alignment horizontal="right" vertical="center" wrapText="1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right" vertical="center" wrapText="1"/>
    </xf>
    <xf numFmtId="0" fontId="7" fillId="0" borderId="6" xfId="3" applyBorder="1" applyAlignment="1" applyProtection="1">
      <alignment horizontal="left" vertical="center" wrapText="1"/>
      <protection locked="0"/>
    </xf>
    <xf numFmtId="0" fontId="12" fillId="0" borderId="6" xfId="0" applyFont="1" applyBorder="1" applyAlignment="1" applyProtection="1">
      <alignment horizontal="left" vertical="center" wrapText="1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19" fillId="0" borderId="6" xfId="0" applyFont="1" applyBorder="1" applyAlignment="1" applyProtection="1">
      <alignment horizontal="left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28" fillId="4" borderId="1" xfId="0" applyFont="1" applyFill="1" applyBorder="1" applyAlignment="1" applyProtection="1">
      <alignment horizontal="center" vertical="center" wrapText="1"/>
      <protection hidden="1"/>
    </xf>
    <xf numFmtId="17" fontId="37" fillId="7" borderId="31" xfId="6" applyNumberFormat="1" applyFont="1" applyBorder="1" applyAlignment="1" applyProtection="1">
      <alignment horizontal="center" vertical="center" wrapText="1"/>
      <protection locked="0"/>
    </xf>
    <xf numFmtId="0" fontId="37" fillId="7" borderId="32" xfId="6" applyFont="1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left" wrapText="1"/>
      <protection hidden="1"/>
    </xf>
    <xf numFmtId="0" fontId="16" fillId="0" borderId="0" xfId="0" applyFont="1" applyAlignment="1" applyProtection="1">
      <alignment horizontal="center" vertical="center" wrapText="1"/>
      <protection hidden="1"/>
    </xf>
    <xf numFmtId="0" fontId="24" fillId="8" borderId="20" xfId="8" applyAlignment="1" applyProtection="1">
      <alignment horizontal="center" vertical="center" wrapText="1"/>
      <protection hidden="1"/>
    </xf>
    <xf numFmtId="0" fontId="31" fillId="7" borderId="19" xfId="6" applyAlignment="1" applyProtection="1">
      <alignment horizontal="right" vertical="center"/>
      <protection locked="0"/>
    </xf>
    <xf numFmtId="0" fontId="7" fillId="7" borderId="19" xfId="3" applyFill="1" applyBorder="1" applyAlignment="1" applyProtection="1">
      <alignment horizontal="right" vertical="center" wrapText="1"/>
      <protection locked="0"/>
    </xf>
    <xf numFmtId="0" fontId="31" fillId="7" borderId="19" xfId="6" applyAlignment="1" applyProtection="1">
      <alignment horizontal="right" vertical="center" wrapText="1"/>
      <protection locked="0"/>
    </xf>
    <xf numFmtId="0" fontId="31" fillId="7" borderId="22" xfId="6" applyBorder="1" applyAlignment="1" applyProtection="1">
      <alignment horizontal="center"/>
      <protection locked="0"/>
    </xf>
    <xf numFmtId="0" fontId="31" fillId="7" borderId="23" xfId="6" applyBorder="1" applyAlignment="1" applyProtection="1">
      <alignment horizontal="center"/>
      <protection locked="0"/>
    </xf>
    <xf numFmtId="14" fontId="31" fillId="7" borderId="19" xfId="6" applyNumberFormat="1" applyAlignment="1" applyProtection="1">
      <alignment horizontal="center" vertical="center" wrapText="1"/>
      <protection locked="0"/>
    </xf>
    <xf numFmtId="0" fontId="31" fillId="7" borderId="19" xfId="6" applyAlignment="1" applyProtection="1">
      <alignment horizontal="center"/>
      <protection locked="0"/>
    </xf>
    <xf numFmtId="0" fontId="31" fillId="7" borderId="19" xfId="6" applyAlignment="1" applyProtection="1">
      <alignment horizontal="left" vertical="center" wrapText="1"/>
      <protection locked="0"/>
    </xf>
    <xf numFmtId="14" fontId="24" fillId="8" borderId="20" xfId="8" applyNumberFormat="1" applyAlignment="1" applyProtection="1">
      <alignment horizontal="center" vertical="center" wrapText="1"/>
      <protection hidden="1"/>
    </xf>
    <xf numFmtId="17" fontId="37" fillId="7" borderId="29" xfId="6" applyNumberFormat="1" applyFont="1" applyBorder="1" applyAlignment="1" applyProtection="1">
      <alignment horizontal="center" vertical="center" wrapText="1"/>
      <protection locked="0"/>
    </xf>
    <xf numFmtId="0" fontId="37" fillId="7" borderId="30" xfId="6" applyFont="1" applyBorder="1" applyAlignment="1" applyProtection="1">
      <alignment horizontal="center" vertical="center" wrapText="1"/>
      <protection locked="0"/>
    </xf>
    <xf numFmtId="0" fontId="37" fillId="7" borderId="22" xfId="6" applyFont="1" applyBorder="1" applyAlignment="1" applyProtection="1">
      <alignment horizontal="center" vertical="center" wrapText="1"/>
      <protection locked="0"/>
    </xf>
    <xf numFmtId="0" fontId="37" fillId="7" borderId="23" xfId="6" applyFont="1" applyBorder="1" applyAlignment="1" applyProtection="1">
      <alignment horizontal="center" vertical="center" wrapText="1"/>
      <protection locked="0"/>
    </xf>
    <xf numFmtId="0" fontId="37" fillId="7" borderId="19" xfId="6" applyFont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right" vertical="center" wrapText="1"/>
      <protection hidden="1"/>
    </xf>
    <xf numFmtId="170" fontId="9" fillId="0" borderId="0" xfId="0" applyNumberFormat="1" applyFont="1" applyAlignment="1" applyProtection="1">
      <alignment horizontal="right" vertical="center" wrapText="1"/>
      <protection hidden="1"/>
    </xf>
    <xf numFmtId="0" fontId="13" fillId="3" borderId="0" xfId="0" applyFont="1" applyFill="1" applyAlignment="1" applyProtection="1">
      <alignment horizontal="right" vertical="center" wrapText="1"/>
      <protection hidden="1"/>
    </xf>
    <xf numFmtId="170" fontId="13" fillId="3" borderId="0" xfId="0" applyNumberFormat="1" applyFont="1" applyFill="1" applyAlignment="1" applyProtection="1">
      <alignment horizontal="right" vertical="center" wrapText="1"/>
      <protection hidden="1"/>
    </xf>
    <xf numFmtId="0" fontId="8" fillId="0" borderId="0" xfId="0" applyFont="1" applyAlignment="1" applyProtection="1">
      <alignment vertical="center" wrapText="1"/>
      <protection hidden="1"/>
    </xf>
    <xf numFmtId="0" fontId="10" fillId="0" borderId="0" xfId="0" applyFont="1" applyAlignment="1" applyProtection="1">
      <alignment vertical="center" wrapText="1"/>
      <protection hidden="1"/>
    </xf>
    <xf numFmtId="0" fontId="12" fillId="0" borderId="0" xfId="0" applyFont="1" applyAlignment="1" applyProtection="1">
      <alignment horizontal="right" vertical="center" wrapText="1"/>
      <protection hidden="1"/>
    </xf>
    <xf numFmtId="170" fontId="12" fillId="0" borderId="0" xfId="0" applyNumberFormat="1" applyFont="1" applyAlignment="1" applyProtection="1">
      <alignment horizontal="right" vertical="center" wrapText="1"/>
      <protection hidden="1"/>
    </xf>
    <xf numFmtId="0" fontId="11" fillId="0" borderId="0" xfId="0" applyFont="1" applyAlignment="1" applyProtection="1">
      <alignment horizontal="left" vertical="center" wrapText="1"/>
      <protection hidden="1"/>
    </xf>
    <xf numFmtId="0" fontId="0" fillId="0" borderId="0" xfId="0"/>
    <xf numFmtId="0" fontId="14" fillId="0" borderId="12" xfId="0" applyFont="1" applyBorder="1" applyAlignment="1" applyProtection="1">
      <alignment horizontal="right" vertical="center" wrapText="1"/>
      <protection hidden="1"/>
    </xf>
    <xf numFmtId="170" fontId="14" fillId="0" borderId="12" xfId="0" applyNumberFormat="1" applyFont="1" applyBorder="1" applyAlignment="1" applyProtection="1">
      <alignment horizontal="right" vertical="center" wrapText="1"/>
      <protection hidden="1"/>
    </xf>
    <xf numFmtId="0" fontId="12" fillId="0" borderId="0" xfId="0" applyFont="1" applyAlignment="1" applyProtection="1">
      <alignment vertical="center" wrapText="1"/>
      <protection hidden="1"/>
    </xf>
    <xf numFmtId="0" fontId="13" fillId="3" borderId="9" xfId="0" applyFont="1" applyFill="1" applyBorder="1" applyAlignment="1" applyProtection="1">
      <alignment horizontal="right" vertical="center" wrapText="1"/>
      <protection hidden="1"/>
    </xf>
    <xf numFmtId="170" fontId="13" fillId="3" borderId="9" xfId="0" applyNumberFormat="1" applyFont="1" applyFill="1" applyBorder="1" applyAlignment="1" applyProtection="1">
      <alignment horizontal="right" vertical="center" wrapText="1"/>
      <protection hidden="1"/>
    </xf>
    <xf numFmtId="0" fontId="12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170" fontId="14" fillId="0" borderId="12" xfId="0" applyNumberFormat="1" applyFont="1" applyBorder="1" applyAlignment="1">
      <alignment horizontal="right" vertical="center" wrapText="1"/>
    </xf>
    <xf numFmtId="0" fontId="0" fillId="0" borderId="0" xfId="0" applyAlignment="1">
      <alignment vertical="top" wrapText="1"/>
    </xf>
    <xf numFmtId="170" fontId="12" fillId="0" borderId="0" xfId="0" applyNumberFormat="1" applyFont="1" applyAlignment="1">
      <alignment horizontal="right" vertical="center" wrapText="1"/>
    </xf>
    <xf numFmtId="170" fontId="9" fillId="0" borderId="0" xfId="0" applyNumberFormat="1" applyFont="1" applyAlignment="1">
      <alignment horizontal="right" vertical="center" wrapText="1"/>
    </xf>
    <xf numFmtId="170" fontId="13" fillId="3" borderId="9" xfId="0" applyNumberFormat="1" applyFont="1" applyFill="1" applyBorder="1" applyAlignment="1">
      <alignment horizontal="right" vertical="center" wrapText="1"/>
    </xf>
    <xf numFmtId="170" fontId="13" fillId="3" borderId="0" xfId="0" applyNumberFormat="1" applyFont="1" applyFill="1" applyAlignment="1">
      <alignment horizontal="right" vertical="center" wrapText="1"/>
    </xf>
    <xf numFmtId="0" fontId="8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8" fillId="0" borderId="0" xfId="0" applyFont="1" applyAlignment="1">
      <alignment horizontal="right" vertical="center" wrapText="1"/>
    </xf>
    <xf numFmtId="0" fontId="0" fillId="0" borderId="0" xfId="0" applyAlignment="1">
      <alignment horizontal="left" vertical="center" wrapText="1"/>
    </xf>
    <xf numFmtId="170" fontId="12" fillId="0" borderId="0" xfId="0" applyNumberFormat="1" applyFont="1" applyAlignment="1" applyProtection="1">
      <alignment horizontal="right" vertical="center" wrapText="1"/>
      <protection locked="0" hidden="1"/>
    </xf>
    <xf numFmtId="0" fontId="12" fillId="0" borderId="5" xfId="0" applyFont="1" applyBorder="1" applyAlignment="1" applyProtection="1">
      <alignment horizontal="left" vertical="center" wrapText="1"/>
      <protection locked="0"/>
    </xf>
    <xf numFmtId="0" fontId="12" fillId="0" borderId="11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2" fillId="0" borderId="14" xfId="0" applyFont="1" applyBorder="1" applyAlignment="1" applyProtection="1">
      <alignment horizontal="left" vertical="center" wrapText="1"/>
      <protection locked="0"/>
    </xf>
    <xf numFmtId="0" fontId="7" fillId="0" borderId="6" xfId="3" applyBorder="1" applyAlignment="1" applyProtection="1">
      <alignment horizontal="left" vertical="center" wrapText="1"/>
      <protection locked="0"/>
    </xf>
    <xf numFmtId="0" fontId="12" fillId="0" borderId="6" xfId="0" applyFont="1" applyBorder="1" applyAlignment="1" applyProtection="1">
      <alignment horizontal="left" vertical="center" wrapText="1"/>
      <protection locked="0"/>
    </xf>
    <xf numFmtId="0" fontId="12" fillId="0" borderId="15" xfId="0" applyFont="1" applyBorder="1" applyAlignment="1" applyProtection="1">
      <alignment horizontal="left" vertical="center" wrapText="1"/>
      <protection locked="0"/>
    </xf>
    <xf numFmtId="0" fontId="10" fillId="0" borderId="0" xfId="0" applyFont="1" applyAlignment="1">
      <alignment horizontal="left" vertical="center" wrapText="1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19" fillId="0" borderId="5" xfId="0" applyFont="1" applyBorder="1" applyAlignment="1" applyProtection="1">
      <alignment horizontal="left" vertical="center" wrapText="1"/>
      <protection locked="0"/>
    </xf>
    <xf numFmtId="0" fontId="19" fillId="0" borderId="0" xfId="0" applyFont="1" applyAlignment="1" applyProtection="1">
      <alignment horizontal="left" vertical="center" wrapText="1"/>
      <protection locked="0"/>
    </xf>
    <xf numFmtId="0" fontId="19" fillId="0" borderId="6" xfId="0" applyFont="1" applyBorder="1" applyAlignment="1" applyProtection="1">
      <alignment horizontal="left" vertical="center" wrapText="1"/>
      <protection locked="0"/>
    </xf>
    <xf numFmtId="0" fontId="21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167" fontId="41" fillId="4" borderId="0" xfId="0" applyNumberFormat="1" applyFont="1" applyFill="1" applyAlignment="1">
      <alignment horizontal="center" vertical="center"/>
    </xf>
    <xf numFmtId="0" fontId="40" fillId="0" borderId="5" xfId="0" applyFont="1" applyBorder="1" applyAlignment="1">
      <alignment horizontal="center" vertical="center" wrapText="1"/>
    </xf>
    <xf numFmtId="0" fontId="40" fillId="0" borderId="11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0" fillId="0" borderId="14" xfId="0" applyFont="1" applyBorder="1" applyAlignment="1">
      <alignment horizontal="center" vertical="top" wrapText="1"/>
    </xf>
    <xf numFmtId="0" fontId="52" fillId="0" borderId="0" xfId="0" applyFont="1"/>
  </cellXfs>
  <cellStyles count="10">
    <cellStyle name="20% - Énfasis4" xfId="9" builtinId="42"/>
    <cellStyle name="Cálculo" xfId="7" builtinId="22"/>
    <cellStyle name="Celda de comprobación" xfId="8" builtinId="23"/>
    <cellStyle name="Hipervínculo" xfId="3" builtinId="8"/>
    <cellStyle name="Hyperlink" xfId="4" xr:uid="{00000000-000B-0000-0000-000008000000}"/>
    <cellStyle name="Millares" xfId="1" builtinId="3"/>
    <cellStyle name="Moneda" xfId="2" builtinId="4"/>
    <cellStyle name="Normal" xfId="0" builtinId="0"/>
    <cellStyle name="Porcentaje" xfId="5" builtinId="5"/>
    <cellStyle name="Salida" xfId="6" builtinId="21"/>
  </cellStyles>
  <dxfs count="263">
    <dxf>
      <numFmt numFmtId="175" formatCode="_-* #,##0.0_-;\-* #,##0.0_-;_-* &quot;-&quot;??_-;_-@_-"/>
    </dxf>
    <dxf>
      <numFmt numFmtId="168" formatCode="_-* #,##0_-;\-* #,##0_-;_-* &quot;-&quot;??_-;_-@_-"/>
    </dxf>
    <dxf>
      <numFmt numFmtId="175" formatCode="_-* #,##0.0_-;\-* #,##0.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0099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_-[$$-409]* #,##0_ ;_-[$$-409]* \-#,##0\ ;_-[$$-409]* &quot;-&quot;??_ ;_-@_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_-&quot;$&quot;\ * #,##0.00_-;\-&quot;$&quot;\ * #,##0.00_-;_-&quot;$&quot;\ * &quot;-&quot;??_-;_-@_-"/>
      <fill>
        <patternFill patternType="solid">
          <fgColor rgb="FF000000"/>
          <bgColor rgb="FFFFFFFF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72" formatCode="_-[$$-409]* #,##0_ ;_-[$$-409]* \-#,##0\ ;_-[$$-409]* &quot;-&quot;??_ ;_-@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_-&quot;$&quot;\ * #,##0.00_-;\-&quot;$&quot;\ * #,##0.00_-;_-&quot;$&quot;\ * &quot;-&quot;??_-;_-@_-"/>
      <fill>
        <patternFill patternType="solid">
          <fgColor rgb="FF000000"/>
          <bgColor rgb="FFFFFFFF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72" formatCode="_-[$$-409]* #,##0_ ;_-[$$-409]* \-#,##0\ ;_-[$$-409]* &quot;-&quot;??_ ;_-@_ 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_-&quot;$&quot;\ * #,##0.00_-;\-&quot;$&quot;\ * #,##0.00_-;_-&quot;$&quot;\ * &quot;-&quot;??_-;_-@_-"/>
      <fill>
        <patternFill patternType="solid">
          <fgColor rgb="FF000000"/>
          <bgColor rgb="FFFFFFFF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72" formatCode="_-[$$-409]* #,##0_ ;_-[$$-409]* \-#,##0\ ;_-[$$-409]* &quot;-&quot;??_ ;_-@_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_-&quot;$&quot;\ * #,##0.00_-;\-&quot;$&quot;\ * #,##0.00_-;_-&quot;$&quot;\ * &quot;-&quot;??_-;_-@_-"/>
      <fill>
        <patternFill patternType="solid">
          <fgColor rgb="FF000000"/>
          <bgColor rgb="FFFFFFFF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72" formatCode="_-[$$-409]* #,##0_ ;_-[$$-409]* \-#,##0\ ;_-[$$-409]* &quot;-&quot;??_ ;_-@_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_-&quot;$&quot;\ * #,##0.00_-;\-&quot;$&quot;\ * #,##0.00_-;_-&quot;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72" formatCode="_-[$$-409]* #,##0_ ;_-[$$-409]* \-#,##0\ ;_-[$$-409]* &quot;-&quot;??_ ;_-@_ 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0"/>
        <color rgb="FF000000"/>
        <name val="Arial"/>
        <family val="2"/>
        <scheme val="none"/>
      </font>
      <numFmt numFmtId="172" formatCode="_-[$$-409]* #,##0_ ;_-[$$-409]* \-#,##0\ ;_-[$$-409]* &quot;-&quot;??_ ;_-@_ 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&quot;$&quot;\ * #,##0.00_-;\-&quot;$&quot;\ * #,##0.00_-;_-&quot;$&quot;\ * &quot;-&quot;??_-;_-@_-"/>
      <fill>
        <patternFill patternType="solid">
          <fgColor rgb="FF000000"/>
          <bgColor rgb="FFFFFFFF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2" formatCode="_-[$$-409]* #,##0_ ;_-[$$-409]* \-#,##0\ ;_-[$$-409]* &quot;-&quot;??_ ;_-@_ 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_-&quot;$&quot;\ * #,##0.00_-;\-&quot;$&quot;\ * #,##0.00_-;_-&quot;$&quot;\ * &quot;-&quot;??_-;_-@_-"/>
      <fill>
        <patternFill patternType="solid">
          <fgColor rgb="FF000000"/>
          <bgColor rgb="FFFFFFFF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72" formatCode="_-[$$-409]* #,##0_ ;_-[$$-409]* \-#,##0\ ;_-[$$-409]* &quot;-&quot;??_ ;_-@_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72" formatCode="_-[$$-409]* #,##0_ ;_-[$$-409]* \-#,##0\ ;_-[$$-409]* &quot;-&quot;??_ ;_-@_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&quot;$&quot;\ * #,##0.00_-;\-&quot;$&quot;\ * #,##0.00_-;_-&quot;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2" formatCode="_-[$$-409]* #,##0_ ;_-[$$-409]* \-#,##0\ ;_-[$$-409]* &quot;-&quot;??_ ;_-@_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_-&quot;$&quot;\ * #,##0.00_-;\-&quot;$&quot;\ * #,##0.00_-;_-&quot;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_-&quot;$&quot;\ * #,##0.00_-;\-&quot;$&quot;\ * #,##0.00_-;_-&quot;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&quot;$&quot;\ * #,##0.00_-;\-&quot;$&quot;\ * #,##0.00_-;_-&quot;$&quot;\ * &quot;-&quot;??_-;_-@_-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&quot;$&quot;\ * #,##0.00_-;\-&quot;$&quot;\ * #,##0.00_-;_-&quot;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d\-mmm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&quot;$&quot;\ * #,##0.00_-;\-&quot;$&quot;\ * #,##0.00_-;_-&quot;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0" formatCode="dd\-mmm\-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&quot;$&quot;\ * #,##0.00_-;\-&quot;$&quot;\ * #,##0.00_-;_-&quot;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&quot;$&quot;\ * #,##0.00_-;\-&quot;$&quot;\ * #,##0.00_-;_-&quot;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0" formatCode="dd\-mmm\-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_-&quot;$&quot;\ * #,##0.00_-;\-&quot;$&quot;\ * #,##0.00_-;_-&quot;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rgb="FF009999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family val="2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rgb="FF0099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_-[$$-240A]\ * #,##0.00_-;\-[$$-240A]\ * #,##0.00_-;_-[$$-240A]\ * &quot;-&quot;??_-;_-@_-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0" formatCode="dd\-mmm\-yy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009999"/>
        </patternFill>
      </fill>
    </dxf>
    <dxf>
      <font>
        <color auto="1"/>
      </font>
    </dxf>
    <dxf>
      <font>
        <color auto="1"/>
      </font>
    </dxf>
    <dxf>
      <font>
        <color rgb="FFFF0000"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rgb="FFFF0000"/>
      </font>
    </dxf>
    <dxf>
      <fill>
        <patternFill patternType="solid">
          <bgColor theme="9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right"/>
    </dxf>
    <dxf>
      <numFmt numFmtId="3" formatCode="#,##0"/>
    </dxf>
    <dxf>
      <fill>
        <patternFill>
          <fgColor theme="5" tint="-0.249977111117893"/>
        </patternFill>
      </fill>
      <alignment horizontal="center"/>
    </dxf>
    <dxf>
      <fill>
        <patternFill>
          <fgColor theme="5" tint="-0.249977111117893"/>
        </patternFill>
      </fill>
      <alignment horizontal="center"/>
    </dxf>
    <dxf>
      <fill>
        <patternFill>
          <fgColor theme="5" tint="-0.249977111117893"/>
        </patternFill>
      </fill>
    </dxf>
    <dxf>
      <fill>
        <patternFill>
          <fgColor theme="5" tint="-0.249977111117893"/>
        </patternFill>
      </fill>
    </dxf>
    <dxf>
      <numFmt numFmtId="3" formatCode="#,##0"/>
    </dxf>
    <dxf>
      <font>
        <b/>
        <color theme="0"/>
      </font>
      <fill>
        <patternFill patternType="solid">
          <fgColor indexed="64"/>
          <bgColor rgb="FF009999"/>
        </patternFill>
      </fill>
      <alignment horizontal="center"/>
    </dxf>
    <dxf>
      <font>
        <b/>
        <color theme="0"/>
      </font>
      <fill>
        <patternFill patternType="solid">
          <fgColor indexed="64"/>
          <bgColor rgb="FF009999"/>
        </patternFill>
      </fill>
      <alignment horizontal="center"/>
    </dxf>
    <dxf>
      <font>
        <color theme="0"/>
      </font>
    </dxf>
    <dxf>
      <fill>
        <patternFill patternType="solid">
          <bgColor rgb="FF009999"/>
        </patternFill>
      </fill>
    </dxf>
    <dxf>
      <font>
        <color theme="0"/>
      </font>
    </dxf>
    <dxf>
      <font>
        <b/>
      </font>
    </dxf>
    <dxf>
      <fill>
        <patternFill patternType="solid">
          <bgColor rgb="FF009999"/>
        </patternFill>
      </fill>
    </dxf>
    <dxf>
      <fill>
        <patternFill patternType="solid">
          <bgColor rgb="FF009999"/>
        </patternFill>
      </fill>
    </dxf>
    <dxf>
      <font>
        <b/>
        <color theme="0"/>
      </font>
      <fill>
        <patternFill patternType="solid">
          <fgColor indexed="64"/>
          <bgColor theme="5" tint="-0.499984740745262"/>
        </patternFill>
      </fill>
      <alignment horizontal="center"/>
    </dxf>
    <dxf>
      <numFmt numFmtId="3" formatCode="#,##0"/>
    </dxf>
    <dxf>
      <font>
        <b/>
        <color theme="0"/>
      </font>
      <fill>
        <patternFill patternType="solid">
          <fgColor indexed="64"/>
          <bgColor theme="5" tint="-0.499984740745262"/>
        </patternFill>
      </fill>
      <alignment horizontal="center"/>
    </dxf>
    <dxf>
      <alignment horizontal="center"/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b/>
        <color theme="0"/>
      </font>
      <fill>
        <patternFill patternType="solid">
          <fgColor indexed="64"/>
          <bgColor rgb="FF009999"/>
        </patternFill>
      </fill>
      <alignment horizontal="center"/>
    </dxf>
    <dxf>
      <font>
        <color theme="0"/>
      </font>
    </dxf>
    <dxf>
      <font>
        <b/>
      </font>
    </dxf>
    <dxf>
      <fill>
        <patternFill patternType="solid">
          <bgColor rgb="FF009999"/>
        </patternFill>
      </fill>
    </dxf>
    <dxf>
      <fill>
        <patternFill patternType="solid">
          <bgColor rgb="FF009999"/>
        </patternFill>
      </fill>
    </dxf>
    <dxf>
      <fill>
        <patternFill>
          <bgColor theme="5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auto="1"/>
      </font>
    </dxf>
    <dxf>
      <font>
        <color auto="1"/>
      </font>
    </dxf>
    <dxf>
      <font>
        <color rgb="FFFF0000"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rgb="FFFF0000"/>
      </font>
    </dxf>
    <dxf>
      <fill>
        <patternFill patternType="solid">
          <bgColor theme="9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right"/>
    </dxf>
    <dxf>
      <numFmt numFmtId="3" formatCode="#,##0"/>
    </dxf>
    <dxf>
      <fill>
        <patternFill>
          <fgColor theme="5" tint="-0.249977111117893"/>
        </patternFill>
      </fill>
      <alignment horizontal="center"/>
    </dxf>
    <dxf>
      <fill>
        <patternFill>
          <fgColor theme="5" tint="-0.249977111117893"/>
        </patternFill>
      </fill>
      <alignment horizontal="center"/>
    </dxf>
    <dxf>
      <fill>
        <patternFill>
          <fgColor theme="5" tint="-0.249977111117893"/>
        </patternFill>
      </fill>
    </dxf>
    <dxf>
      <fill>
        <patternFill>
          <fgColor theme="5" tint="-0.249977111117893"/>
        </patternFill>
      </fill>
    </dxf>
    <dxf>
      <numFmt numFmtId="3" formatCode="#,##0"/>
    </dxf>
    <dxf>
      <font>
        <b/>
        <color theme="0"/>
      </font>
      <fill>
        <patternFill patternType="solid">
          <fgColor indexed="64"/>
          <bgColor rgb="FF009999"/>
        </patternFill>
      </fill>
      <alignment horizontal="center"/>
    </dxf>
    <dxf>
      <font>
        <b/>
        <color theme="0"/>
      </font>
      <fill>
        <patternFill patternType="solid">
          <fgColor indexed="64"/>
          <bgColor rgb="FF009999"/>
        </patternFill>
      </fill>
      <alignment horizontal="center"/>
    </dxf>
    <dxf>
      <font>
        <color theme="0"/>
      </font>
    </dxf>
    <dxf>
      <fill>
        <patternFill patternType="solid">
          <bgColor rgb="FF009999"/>
        </patternFill>
      </fill>
    </dxf>
    <dxf>
      <font>
        <color theme="0"/>
      </font>
    </dxf>
    <dxf>
      <font>
        <b/>
      </font>
    </dxf>
    <dxf>
      <fill>
        <patternFill patternType="solid">
          <bgColor rgb="FF009999"/>
        </patternFill>
      </fill>
    </dxf>
    <dxf>
      <fill>
        <patternFill patternType="solid">
          <bgColor rgb="FF009999"/>
        </patternFill>
      </fill>
    </dxf>
    <dxf>
      <numFmt numFmtId="168" formatCode="_-* #,##0_-;\-* #,##0_-;_-* &quot;-&quot;??_-;_-@_-"/>
    </dxf>
    <dxf>
      <font>
        <color theme="0"/>
      </font>
    </dxf>
    <dxf>
      <fill>
        <patternFill patternType="solid">
          <bgColor rgb="FF009999"/>
        </patternFill>
      </fill>
    </dxf>
    <dxf>
      <font>
        <color theme="0"/>
      </font>
    </dxf>
    <dxf>
      <font>
        <b/>
      </font>
    </dxf>
    <dxf>
      <fill>
        <patternFill patternType="solid">
          <bgColor rgb="FF009999"/>
        </patternFill>
      </fill>
    </dxf>
    <dxf>
      <fill>
        <patternFill patternType="solid">
          <bgColor rgb="FF009999"/>
        </patternFill>
      </fill>
    </dxf>
    <dxf>
      <numFmt numFmtId="3" formatCode="#,##0"/>
    </dxf>
    <dxf>
      <font>
        <color theme="0"/>
      </font>
    </dxf>
    <dxf>
      <fill>
        <patternFill patternType="solid">
          <bgColor rgb="FF009999"/>
        </patternFill>
      </fill>
    </dxf>
    <dxf>
      <font>
        <color theme="0"/>
      </font>
    </dxf>
    <dxf>
      <font>
        <b/>
      </font>
    </dxf>
    <dxf>
      <fill>
        <patternFill patternType="solid">
          <bgColor rgb="FF009999"/>
        </patternFill>
      </fill>
    </dxf>
    <dxf>
      <fill>
        <patternFill patternType="solid">
          <bgColor rgb="FF009999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9999"/>
        </patternFill>
      </fill>
    </dxf>
    <dxf>
      <fill>
        <patternFill patternType="solid">
          <bgColor rgb="FF009999"/>
        </patternFill>
      </fill>
    </dxf>
    <dxf>
      <font>
        <color theme="0"/>
      </font>
    </dxf>
    <dxf>
      <font>
        <color theme="0"/>
      </font>
    </dxf>
    <dxf>
      <fill>
        <patternFill>
          <bgColor rgb="FF009999"/>
        </patternFill>
      </fill>
    </dxf>
    <dxf>
      <fill>
        <patternFill>
          <bgColor rgb="FF009999"/>
        </patternFill>
      </fill>
    </dxf>
    <dxf>
      <alignment horizontal="right"/>
    </dxf>
    <dxf>
      <numFmt numFmtId="3" formatCode="#,##0"/>
    </dxf>
    <dxf>
      <fill>
        <patternFill>
          <fgColor theme="5" tint="-0.249977111117893"/>
        </patternFill>
      </fill>
      <alignment horizontal="center"/>
    </dxf>
    <dxf>
      <fill>
        <patternFill>
          <fgColor theme="5" tint="-0.249977111117893"/>
        </patternFill>
      </fill>
      <alignment horizontal="center"/>
    </dxf>
    <dxf>
      <fill>
        <patternFill>
          <fgColor theme="5" tint="-0.249977111117893"/>
        </patternFill>
      </fill>
    </dxf>
    <dxf>
      <fill>
        <patternFill>
          <fgColor theme="5" tint="-0.249977111117893"/>
        </patternFill>
      </fill>
    </dxf>
    <dxf>
      <numFmt numFmtId="3" formatCode="#,##0"/>
    </dxf>
    <dxf>
      <font>
        <b/>
        <color theme="0"/>
      </font>
      <fill>
        <patternFill patternType="solid">
          <fgColor indexed="64"/>
          <bgColor rgb="FF009999"/>
        </patternFill>
      </fill>
      <alignment horizontal="center"/>
    </dxf>
    <dxf>
      <font>
        <b/>
        <color theme="0"/>
      </font>
      <fill>
        <patternFill patternType="solid">
          <fgColor indexed="64"/>
          <bgColor rgb="FF009999"/>
        </patternFill>
      </fill>
      <alignment horizontal="center"/>
    </dxf>
    <dxf>
      <font>
        <color theme="0"/>
      </font>
    </dxf>
    <dxf>
      <fill>
        <patternFill patternType="solid">
          <bgColor rgb="FF009999"/>
        </patternFill>
      </fill>
    </dxf>
    <dxf>
      <font>
        <color theme="0"/>
      </font>
    </dxf>
    <dxf>
      <font>
        <b/>
      </font>
    </dxf>
    <dxf>
      <fill>
        <patternFill patternType="solid">
          <bgColor rgb="FF009999"/>
        </patternFill>
      </fill>
    </dxf>
    <dxf>
      <fill>
        <patternFill patternType="solid">
          <bgColor rgb="FF009999"/>
        </patternFill>
      </fill>
    </dxf>
  </dxfs>
  <tableStyles count="0" defaultTableStyle="TableStyleMedium2" defaultPivotStyle="PivotStyleLight16"/>
  <colors>
    <mruColors>
      <color rgb="FF009999"/>
      <color rgb="FF00C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[facturacion_2026 (2).xlsm]Tablero control!TablaDinámica5</c:name>
    <c:fmtId val="3"/>
  </c:pivotSource>
  <c:chart>
    <c:autoTitleDeleted val="1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2.385965861525305E-3"/>
              <c:y val="-6.0414542983350319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layout>
            <c:manualLayout>
              <c:x val="0"/>
              <c:y val="-6.0414542983350319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999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45878733526667E-2"/>
          <c:y val="0.14233400358648346"/>
          <c:w val="0.92847808427224232"/>
          <c:h val="0.589735172346211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'Tablero control'!$C$9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'Tablero control'!$B$10:$B$13</c:f>
              <c:strCache>
                <c:ptCount val="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'Tablero control'!$C$10:$C$13</c:f>
              <c:numCache>
                <c:formatCode>_-* #,##0_-;\-* #,##0_-;_-* "-"??_-;_-@_-</c:formatCode>
                <c:ptCount val="3"/>
                <c:pt idx="0">
                  <c:v>3464874</c:v>
                </c:pt>
                <c:pt idx="1">
                  <c:v>18304874</c:v>
                </c:pt>
                <c:pt idx="2">
                  <c:v>27110500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2-429B-86A1-A3B075B88D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90"/>
        <c:axId val="777869056"/>
        <c:axId val="777868728"/>
      </c:barChart>
      <c:catAx>
        <c:axId val="77786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8728"/>
        <c:crosses val="autoZero"/>
        <c:auto val="1"/>
        <c:lblAlgn val="ctr"/>
        <c:lblOffset val="100"/>
        <c:noMultiLvlLbl val="0"/>
      </c:catAx>
      <c:valAx>
        <c:axId val="777868728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77786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[facturacion_2026 (2).xlsm]Tablero control!TablaDinámica6</c:name>
    <c:fmtId val="4"/>
  </c:pivotSource>
  <c:chart>
    <c:autoTitleDeleted val="1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-2.3759603697292796E-3"/>
              <c:y val="-8.4384755517677962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-2.5406498982439708E-3"/>
              <c:y val="-8.0323930551776154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4259526149949864E-2"/>
          <c:y val="0.1384791624087075"/>
          <c:w val="0.92614703371620422"/>
          <c:h val="0.671205677454089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'Tablero control'!$I$10</c:f>
              <c:strCache>
                <c:ptCount val="1"/>
                <c:pt idx="0">
                  <c:v>Suma de SUBTOTAL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13E-4C4B-A171-03D01DB9DC7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'Tablero control'!$H$11:$H$14</c:f>
              <c:strCache>
                <c:ptCount val="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'Tablero control'!$I$11:$I$14</c:f>
              <c:numCache>
                <c:formatCode>#,##0</c:formatCode>
                <c:ptCount val="3"/>
                <c:pt idx="0">
                  <c:v>13463874</c:v>
                </c:pt>
                <c:pt idx="1">
                  <c:v>18304874</c:v>
                </c:pt>
                <c:pt idx="2">
                  <c:v>27410500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EC-4F12-B191-CDA174AC5A8C}"/>
            </c:ext>
          </c:extLst>
        </c:ser>
        <c:ser>
          <c:idx val="1"/>
          <c:order val="1"/>
          <c:tx>
            <c:strRef>
              <c:f>'Tablero control'!$J$10</c:f>
              <c:strCache>
                <c:ptCount val="1"/>
                <c:pt idx="0">
                  <c:v>Cuenta de IVA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'Tablero control'!$H$11:$H$14</c:f>
              <c:strCache>
                <c:ptCount val="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'Tablero control'!$J$11:$J$14</c:f>
              <c:numCache>
                <c:formatCode>#,##0</c:formatCode>
                <c:ptCount val="3"/>
                <c:pt idx="0">
                  <c:v>11</c:v>
                </c:pt>
                <c:pt idx="1">
                  <c:v>15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A3-48F4-B7E6-57CA8363D4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"/>
        <c:overlap val="-90"/>
        <c:axId val="677129136"/>
        <c:axId val="677130448"/>
      </c:barChart>
      <c:catAx>
        <c:axId val="67712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30448"/>
        <c:crosses val="autoZero"/>
        <c:auto val="1"/>
        <c:lblAlgn val="ctr"/>
        <c:lblOffset val="100"/>
        <c:noMultiLvlLbl val="0"/>
      </c:catAx>
      <c:valAx>
        <c:axId val="67713044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67712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[facturacion_2026 (2).xlsm]Tablero control!Tabla 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'Tablero control'!$N$7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'Tablero control'!$M$8:$M$11</c:f>
              <c:strCache>
                <c:ptCount val="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'Tablero control'!$N$8:$N$11</c:f>
              <c:numCache>
                <c:formatCode>_-* #,##0_-;\-* #,##0_-;_-* "-"??_-;_-@_-</c:formatCode>
                <c:ptCount val="3"/>
                <c:pt idx="0">
                  <c:v>34013194</c:v>
                </c:pt>
                <c:pt idx="1">
                  <c:v>8632818</c:v>
                </c:pt>
                <c:pt idx="2">
                  <c:v>1482442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6B-4133-AEAE-9C15D14BA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7760208"/>
        <c:axId val="1417760688"/>
      </c:barChart>
      <c:catAx>
        <c:axId val="141776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17760688"/>
        <c:crosses val="autoZero"/>
        <c:auto val="1"/>
        <c:lblAlgn val="ctr"/>
        <c:lblOffset val="100"/>
        <c:noMultiLvlLbl val="0"/>
      </c:catAx>
      <c:valAx>
        <c:axId val="141776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1776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900545</xdr:colOff>
      <xdr:row>25</xdr:row>
      <xdr:rowOff>24541</xdr:rowOff>
    </xdr:from>
    <xdr:to>
      <xdr:col>4</xdr:col>
      <xdr:colOff>1645228</xdr:colOff>
      <xdr:row>27</xdr:row>
      <xdr:rowOff>68356</xdr:rowOff>
    </xdr:to>
    <xdr:sp macro="" textlink="$D$26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58340" y="4890950"/>
          <a:ext cx="1783774" cy="42481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627764B3-2BBF-40E0-A9AA-270B9F428CD5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$ 11.398.364</a:t>
          </a:fld>
          <a:endParaRPr lang="es-CO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285750</xdr:colOff>
      <xdr:row>7</xdr:row>
      <xdr:rowOff>180352</xdr:rowOff>
    </xdr:from>
    <xdr:to>
      <xdr:col>4</xdr:col>
      <xdr:colOff>1289338</xdr:colOff>
      <xdr:row>23</xdr:row>
      <xdr:rowOff>68407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  <a:ext uri="{147F2762-F138-4A5C-976F-8EAC2B608ADB}">
              <a16:predDERef xmlns:a16="http://schemas.microsoft.com/office/drawing/2014/main" pre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</xdr:row>
      <xdr:rowOff>114300</xdr:rowOff>
    </xdr:from>
    <xdr:to>
      <xdr:col>9</xdr:col>
      <xdr:colOff>790575</xdr:colOff>
      <xdr:row>4</xdr:row>
      <xdr:rowOff>66675</xdr:rowOff>
    </xdr:to>
    <xdr:sp macro="" textlink="$I$4">
      <xdr:nvSpPr>
        <xdr:cNvPr id="3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  <a:ext uri="{147F2762-F138-4A5C-976F-8EAC2B608ADB}">
              <a16:predDERef xmlns:a16="http://schemas.microsoft.com/office/drawing/2014/main" pred="{00000000-0008-0000-0000-000006000000}"/>
            </a:ext>
          </a:extLst>
        </xdr:cNvPr>
        <xdr:cNvSpPr/>
      </xdr:nvSpPr>
      <xdr:spPr>
        <a:xfrm>
          <a:off x="7381875" y="495300"/>
          <a:ext cx="2019300" cy="4286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85DDCD35-7C92-4499-8D05-D73B1BDE2891}" type="TxLink">
            <a:rPr lang="en-US" sz="16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$ 59.179.248</a:t>
          </a:fld>
          <a:endParaRPr lang="es-CO" sz="16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1250373</xdr:colOff>
      <xdr:row>2</xdr:row>
      <xdr:rowOff>81894</xdr:rowOff>
    </xdr:from>
    <xdr:to>
      <xdr:col>4</xdr:col>
      <xdr:colOff>1662547</xdr:colOff>
      <xdr:row>4</xdr:row>
      <xdr:rowOff>19050</xdr:rowOff>
    </xdr:to>
    <xdr:sp macro="" textlink="$E$4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345873" y="462894"/>
          <a:ext cx="1685060" cy="422065"/>
        </a:xfrm>
        <a:prstGeom prst="roundRect">
          <a:avLst/>
        </a:prstGeom>
        <a:solidFill>
          <a:srgbClr val="009999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4FAD6FC5-138E-4FFE-AFE0-01B88E170EE4}" type="TxLink">
            <a:rPr lang="en-US" sz="1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$ 48.880.248</a:t>
          </a:fld>
          <a:endParaRPr lang="es-CO" sz="44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400050</xdr:colOff>
      <xdr:row>7</xdr:row>
      <xdr:rowOff>180975</xdr:rowOff>
    </xdr:from>
    <xdr:to>
      <xdr:col>10</xdr:col>
      <xdr:colOff>38100</xdr:colOff>
      <xdr:row>23</xdr:row>
      <xdr:rowOff>38100</xdr:rowOff>
    </xdr:to>
    <xdr:graphicFrame macro="">
      <xdr:nvGraphicFramePr>
        <xdr:cNvPr id="5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  <a:ext uri="{147F2762-F138-4A5C-976F-8EAC2B608ADB}">
              <a16:predDERef xmlns:a16="http://schemas.microsoft.com/office/drawing/2014/main" pre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167273</xdr:colOff>
      <xdr:row>24</xdr:row>
      <xdr:rowOff>170717</xdr:rowOff>
    </xdr:from>
    <xdr:to>
      <xdr:col>14</xdr:col>
      <xdr:colOff>845229</xdr:colOff>
      <xdr:row>27</xdr:row>
      <xdr:rowOff>31652</xdr:rowOff>
    </xdr:to>
    <xdr:sp macro="" textlink="$R$42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000-000009000000}"/>
            </a:ext>
            <a:ext uri="{147F2762-F138-4A5C-976F-8EAC2B608ADB}">
              <a16:predDERef xmlns:a16="http://schemas.microsoft.com/office/drawing/2014/main" pred="{00000000-0008-0000-0000-00000D000000}"/>
            </a:ext>
          </a:extLst>
        </xdr:cNvPr>
        <xdr:cNvSpPr/>
      </xdr:nvSpPr>
      <xdr:spPr>
        <a:xfrm>
          <a:off x="12797423" y="4837967"/>
          <a:ext cx="1859056" cy="432435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C49BD474-F00F-4625-98A9-79DF53A49F09}" type="TxLink">
            <a:rPr lang="en-US" sz="1800" b="1" i="0" u="none" strike="noStrike">
              <a:solidFill>
                <a:srgbClr val="FFFFFF"/>
              </a:solidFill>
              <a:latin typeface="Calibri"/>
              <a:ea typeface="+mn-ea"/>
              <a:cs typeface="Calibri"/>
            </a:rPr>
            <a:pPr marL="0" indent="0" algn="ctr"/>
            <a:t>$ 916.800</a:t>
          </a:fld>
          <a:endParaRPr lang="es-CO" sz="48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54610</xdr:colOff>
      <xdr:row>5</xdr:row>
      <xdr:rowOff>115570</xdr:rowOff>
    </xdr:from>
    <xdr:to>
      <xdr:col>18</xdr:col>
      <xdr:colOff>567055</xdr:colOff>
      <xdr:row>19</xdr:row>
      <xdr:rowOff>156210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D97C57-4BAF-61EC-DD33-9FD4403DD9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67733</xdr:colOff>
      <xdr:row>0</xdr:row>
      <xdr:rowOff>9525</xdr:rowOff>
    </xdr:from>
    <xdr:to>
      <xdr:col>2</xdr:col>
      <xdr:colOff>116787</xdr:colOff>
      <xdr:row>2</xdr:row>
      <xdr:rowOff>1820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81D95C8-7462-4B72-8AF1-0E5D51A11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908" y="9525"/>
          <a:ext cx="1181100" cy="581893"/>
        </a:xfrm>
        <a:prstGeom prst="rect">
          <a:avLst/>
        </a:prstGeom>
      </xdr:spPr>
    </xdr:pic>
    <xdr:clientData/>
  </xdr:twoCellAnchor>
  <xdr:twoCellAnchor>
    <xdr:from>
      <xdr:col>7</xdr:col>
      <xdr:colOff>412750</xdr:colOff>
      <xdr:row>46</xdr:row>
      <xdr:rowOff>127000</xdr:rowOff>
    </xdr:from>
    <xdr:to>
      <xdr:col>8</xdr:col>
      <xdr:colOff>645583</xdr:colOff>
      <xdr:row>48</xdr:row>
      <xdr:rowOff>179917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E8CDAAE7-229D-44A9-93C9-1BF0A52297EA}"/>
            </a:ext>
          </a:extLst>
        </xdr:cNvPr>
        <xdr:cNvGrpSpPr/>
      </xdr:nvGrpSpPr>
      <xdr:grpSpPr>
        <a:xfrm>
          <a:off x="7023384" y="11286888"/>
          <a:ext cx="1697124" cy="422544"/>
          <a:chOff x="4910667" y="10043583"/>
          <a:chExt cx="1153583" cy="433917"/>
        </a:xfrm>
      </xdr:grpSpPr>
      <xdr:sp macro="[0]!guardar_factura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8E60D4D7-25E6-4D6C-8B7D-C8E2A9685C08}"/>
              </a:ext>
            </a:extLst>
          </xdr:cNvPr>
          <xdr:cNvSpPr/>
        </xdr:nvSpPr>
        <xdr:spPr>
          <a:xfrm>
            <a:off x="4910667" y="10043583"/>
            <a:ext cx="1153583" cy="433917"/>
          </a:xfrm>
          <a:prstGeom prst="roundRect">
            <a:avLst/>
          </a:prstGeom>
          <a:solidFill>
            <a:srgbClr val="009999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CO" sz="1400" b="1"/>
              <a:t>Guardar</a:t>
            </a:r>
            <a:endParaRPr lang="es-CO" sz="1100" b="1"/>
          </a:p>
        </xdr:txBody>
      </xdr:sp>
      <xdr:sp macro="[0]!guardar_factura" textlink="">
        <xdr:nvSpPr>
          <xdr:cNvPr id="11" name="Gráfico 9" descr="Agregar">
            <a:extLst>
              <a:ext uri="{FF2B5EF4-FFF2-40B4-BE49-F238E27FC236}">
                <a16:creationId xmlns:a16="http://schemas.microsoft.com/office/drawing/2014/main" id="{A46BFBA8-3F8C-401E-9F11-95DE8E8538B1}"/>
              </a:ext>
            </a:extLst>
          </xdr:cNvPr>
          <xdr:cNvSpPr/>
        </xdr:nvSpPr>
        <xdr:spPr>
          <a:xfrm>
            <a:off x="5027085" y="10160000"/>
            <a:ext cx="226482" cy="226482"/>
          </a:xfrm>
          <a:custGeom>
            <a:avLst/>
            <a:gdLst>
              <a:gd name="connsiteX0" fmla="*/ 365125 w 365125"/>
              <a:gd name="connsiteY0" fmla="*/ 155178 h 365125"/>
              <a:gd name="connsiteX1" fmla="*/ 209947 w 365125"/>
              <a:gd name="connsiteY1" fmla="*/ 155178 h 365125"/>
              <a:gd name="connsiteX2" fmla="*/ 209947 w 365125"/>
              <a:gd name="connsiteY2" fmla="*/ 0 h 365125"/>
              <a:gd name="connsiteX3" fmla="*/ 155178 w 365125"/>
              <a:gd name="connsiteY3" fmla="*/ 0 h 365125"/>
              <a:gd name="connsiteX4" fmla="*/ 155178 w 365125"/>
              <a:gd name="connsiteY4" fmla="*/ 155178 h 365125"/>
              <a:gd name="connsiteX5" fmla="*/ 0 w 365125"/>
              <a:gd name="connsiteY5" fmla="*/ 155178 h 365125"/>
              <a:gd name="connsiteX6" fmla="*/ 0 w 365125"/>
              <a:gd name="connsiteY6" fmla="*/ 209947 h 365125"/>
              <a:gd name="connsiteX7" fmla="*/ 155178 w 365125"/>
              <a:gd name="connsiteY7" fmla="*/ 209947 h 365125"/>
              <a:gd name="connsiteX8" fmla="*/ 155178 w 365125"/>
              <a:gd name="connsiteY8" fmla="*/ 365125 h 365125"/>
              <a:gd name="connsiteX9" fmla="*/ 209947 w 365125"/>
              <a:gd name="connsiteY9" fmla="*/ 365125 h 365125"/>
              <a:gd name="connsiteX10" fmla="*/ 209947 w 365125"/>
              <a:gd name="connsiteY10" fmla="*/ 209947 h 365125"/>
              <a:gd name="connsiteX11" fmla="*/ 365125 w 365125"/>
              <a:gd name="connsiteY11" fmla="*/ 209947 h 3651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365125" h="365125">
                <a:moveTo>
                  <a:pt x="365125" y="155178"/>
                </a:moveTo>
                <a:lnTo>
                  <a:pt x="209947" y="155178"/>
                </a:lnTo>
                <a:lnTo>
                  <a:pt x="209947" y="0"/>
                </a:lnTo>
                <a:lnTo>
                  <a:pt x="155178" y="0"/>
                </a:lnTo>
                <a:lnTo>
                  <a:pt x="155178" y="155178"/>
                </a:lnTo>
                <a:lnTo>
                  <a:pt x="0" y="155178"/>
                </a:lnTo>
                <a:lnTo>
                  <a:pt x="0" y="209947"/>
                </a:lnTo>
                <a:lnTo>
                  <a:pt x="155178" y="209947"/>
                </a:lnTo>
                <a:lnTo>
                  <a:pt x="155178" y="365125"/>
                </a:lnTo>
                <a:lnTo>
                  <a:pt x="209947" y="365125"/>
                </a:lnTo>
                <a:lnTo>
                  <a:pt x="209947" y="209947"/>
                </a:lnTo>
                <a:lnTo>
                  <a:pt x="365125" y="209947"/>
                </a:lnTo>
                <a:close/>
              </a:path>
            </a:pathLst>
          </a:custGeom>
          <a:solidFill>
            <a:schemeClr val="bg1"/>
          </a:solidFill>
          <a:ln/>
          <a:effectLst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es-CO"/>
          </a:p>
        </xdr:txBody>
      </xdr:sp>
    </xdr:grpSp>
    <xdr:clientData/>
  </xdr:twoCellAnchor>
  <xdr:twoCellAnchor>
    <xdr:from>
      <xdr:col>5</xdr:col>
      <xdr:colOff>533400</xdr:colOff>
      <xdr:row>47</xdr:row>
      <xdr:rowOff>35984</xdr:rowOff>
    </xdr:from>
    <xdr:to>
      <xdr:col>5</xdr:col>
      <xdr:colOff>759882</xdr:colOff>
      <xdr:row>48</xdr:row>
      <xdr:rowOff>71966</xdr:rowOff>
    </xdr:to>
    <xdr:sp macro="" textlink="">
      <xdr:nvSpPr>
        <xdr:cNvPr id="16" name="Gráfico 9" descr="Agregar">
          <a:extLst>
            <a:ext uri="{FF2B5EF4-FFF2-40B4-BE49-F238E27FC236}">
              <a16:creationId xmlns:a16="http://schemas.microsoft.com/office/drawing/2014/main" id="{0A198502-D836-4E6C-B88E-A6FBEF279196}"/>
            </a:ext>
          </a:extLst>
        </xdr:cNvPr>
        <xdr:cNvSpPr/>
      </xdr:nvSpPr>
      <xdr:spPr>
        <a:xfrm>
          <a:off x="4406900" y="10143067"/>
          <a:ext cx="226482" cy="226482"/>
        </a:xfrm>
        <a:custGeom>
          <a:avLst/>
          <a:gdLst>
            <a:gd name="connsiteX0" fmla="*/ 365125 w 365125"/>
            <a:gd name="connsiteY0" fmla="*/ 155178 h 365125"/>
            <a:gd name="connsiteX1" fmla="*/ 209947 w 365125"/>
            <a:gd name="connsiteY1" fmla="*/ 155178 h 365125"/>
            <a:gd name="connsiteX2" fmla="*/ 209947 w 365125"/>
            <a:gd name="connsiteY2" fmla="*/ 0 h 365125"/>
            <a:gd name="connsiteX3" fmla="*/ 155178 w 365125"/>
            <a:gd name="connsiteY3" fmla="*/ 0 h 365125"/>
            <a:gd name="connsiteX4" fmla="*/ 155178 w 365125"/>
            <a:gd name="connsiteY4" fmla="*/ 155178 h 365125"/>
            <a:gd name="connsiteX5" fmla="*/ 0 w 365125"/>
            <a:gd name="connsiteY5" fmla="*/ 155178 h 365125"/>
            <a:gd name="connsiteX6" fmla="*/ 0 w 365125"/>
            <a:gd name="connsiteY6" fmla="*/ 209947 h 365125"/>
            <a:gd name="connsiteX7" fmla="*/ 155178 w 365125"/>
            <a:gd name="connsiteY7" fmla="*/ 209947 h 365125"/>
            <a:gd name="connsiteX8" fmla="*/ 155178 w 365125"/>
            <a:gd name="connsiteY8" fmla="*/ 365125 h 365125"/>
            <a:gd name="connsiteX9" fmla="*/ 209947 w 365125"/>
            <a:gd name="connsiteY9" fmla="*/ 365125 h 365125"/>
            <a:gd name="connsiteX10" fmla="*/ 209947 w 365125"/>
            <a:gd name="connsiteY10" fmla="*/ 209947 h 365125"/>
            <a:gd name="connsiteX11" fmla="*/ 365125 w 365125"/>
            <a:gd name="connsiteY11" fmla="*/ 209947 h 3651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365125" h="365125">
              <a:moveTo>
                <a:pt x="365125" y="155178"/>
              </a:moveTo>
              <a:lnTo>
                <a:pt x="209947" y="155178"/>
              </a:lnTo>
              <a:lnTo>
                <a:pt x="209947" y="0"/>
              </a:lnTo>
              <a:lnTo>
                <a:pt x="155178" y="0"/>
              </a:lnTo>
              <a:lnTo>
                <a:pt x="155178" y="155178"/>
              </a:lnTo>
              <a:lnTo>
                <a:pt x="0" y="155178"/>
              </a:lnTo>
              <a:lnTo>
                <a:pt x="0" y="209947"/>
              </a:lnTo>
              <a:lnTo>
                <a:pt x="155178" y="209947"/>
              </a:lnTo>
              <a:lnTo>
                <a:pt x="155178" y="365125"/>
              </a:lnTo>
              <a:lnTo>
                <a:pt x="209947" y="365125"/>
              </a:lnTo>
              <a:lnTo>
                <a:pt x="209947" y="209947"/>
              </a:lnTo>
              <a:lnTo>
                <a:pt x="365125" y="209947"/>
              </a:lnTo>
              <a:close/>
            </a:path>
          </a:pathLst>
        </a:custGeom>
        <a:solidFill>
          <a:schemeClr val="bg1"/>
        </a:solidFill>
        <a:ln/>
        <a:effec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endParaRPr lang="es-CO"/>
        </a:p>
      </xdr:txBody>
    </xdr:sp>
    <xdr:clientData/>
  </xdr:twoCellAnchor>
  <xdr:twoCellAnchor>
    <xdr:from>
      <xdr:col>3</xdr:col>
      <xdr:colOff>40005</xdr:colOff>
      <xdr:row>15</xdr:row>
      <xdr:rowOff>138553</xdr:rowOff>
    </xdr:from>
    <xdr:to>
      <xdr:col>3</xdr:col>
      <xdr:colOff>365250</xdr:colOff>
      <xdr:row>17</xdr:row>
      <xdr:rowOff>20722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9B6A5CCA-83A6-49A4-A38D-12FC380EA58B}"/>
            </a:ext>
          </a:extLst>
        </xdr:cNvPr>
        <xdr:cNvGrpSpPr/>
      </xdr:nvGrpSpPr>
      <xdr:grpSpPr>
        <a:xfrm>
          <a:off x="2726908" y="2811240"/>
          <a:ext cx="325245" cy="280228"/>
          <a:chOff x="2267414" y="3010828"/>
          <a:chExt cx="325245" cy="274135"/>
        </a:xfrm>
      </xdr:grpSpPr>
      <xdr:sp macro="[0]!consultar_cliente" textlink="">
        <xdr:nvSpPr>
          <xdr:cNvPr id="17" name="Rectángulo: esquinas redondeadas 16">
            <a:extLst>
              <a:ext uri="{FF2B5EF4-FFF2-40B4-BE49-F238E27FC236}">
                <a16:creationId xmlns:a16="http://schemas.microsoft.com/office/drawing/2014/main" id="{559FF137-80A0-4F56-9640-C13376EF2A77}"/>
              </a:ext>
            </a:extLst>
          </xdr:cNvPr>
          <xdr:cNvSpPr/>
        </xdr:nvSpPr>
        <xdr:spPr>
          <a:xfrm>
            <a:off x="2267414" y="3010828"/>
            <a:ext cx="325245" cy="274135"/>
          </a:xfrm>
          <a:prstGeom prst="roundRect">
            <a:avLst/>
          </a:prstGeom>
          <a:solidFill>
            <a:srgbClr val="009999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s-CO" sz="1100" b="1"/>
          </a:p>
        </xdr:txBody>
      </xdr:sp>
      <xdr:pic macro="[0]!consultar_cliente">
        <xdr:nvPicPr>
          <xdr:cNvPr id="8" name="Gráfico 7" descr="Lupa">
            <a:extLst>
              <a:ext uri="{FF2B5EF4-FFF2-40B4-BE49-F238E27FC236}">
                <a16:creationId xmlns:a16="http://schemas.microsoft.com/office/drawing/2014/main" id="{636D7F4B-FDB6-45E3-9E77-E890E849EB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320035" y="3034835"/>
            <a:ext cx="226200" cy="23154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261283</xdr:colOff>
      <xdr:row>25</xdr:row>
      <xdr:rowOff>180464</xdr:rowOff>
    </xdr:from>
    <xdr:to>
      <xdr:col>2</xdr:col>
      <xdr:colOff>859426</xdr:colOff>
      <xdr:row>33</xdr:row>
      <xdr:rowOff>148911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385455">
          <a:off x="1045695" y="7598758"/>
          <a:ext cx="1707525" cy="15596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15240</xdr:colOff>
      <xdr:row>0</xdr:row>
      <xdr:rowOff>26670</xdr:rowOff>
    </xdr:from>
    <xdr:to>
      <xdr:col>1</xdr:col>
      <xdr:colOff>867834</xdr:colOff>
      <xdr:row>1</xdr:row>
      <xdr:rowOff>0</xdr:rowOff>
    </xdr:to>
    <xdr:pic>
      <xdr:nvPicPr>
        <xdr:cNvPr id="3" name="Imagen 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26670"/>
          <a:ext cx="1561677" cy="513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70273</xdr:colOff>
      <xdr:row>0</xdr:row>
      <xdr:rowOff>120323</xdr:rowOff>
    </xdr:from>
    <xdr:to>
      <xdr:col>9</xdr:col>
      <xdr:colOff>80837</xdr:colOff>
      <xdr:row>0</xdr:row>
      <xdr:rowOff>408843</xdr:rowOff>
    </xdr:to>
    <xdr:sp macro="[0]!consulta_proforma" textlink="">
      <xdr:nvSpPr>
        <xdr:cNvPr id="5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SpPr/>
      </xdr:nvSpPr>
      <xdr:spPr>
        <a:xfrm>
          <a:off x="6991773" y="120323"/>
          <a:ext cx="836064" cy="288520"/>
        </a:xfrm>
        <a:prstGeom prst="roundRect">
          <a:avLst/>
        </a:prstGeom>
        <a:solidFill>
          <a:srgbClr val="009999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Consultar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120016</xdr:colOff>
      <xdr:row>0</xdr:row>
      <xdr:rowOff>36195</xdr:rowOff>
    </xdr:from>
    <xdr:to>
      <xdr:col>2</xdr:col>
      <xdr:colOff>326573</xdr:colOff>
      <xdr:row>1</xdr:row>
      <xdr:rowOff>9525</xdr:rowOff>
    </xdr:to>
    <xdr:pic>
      <xdr:nvPicPr>
        <xdr:cNvPr id="2" name="Imagen 5">
          <a:extLst>
            <a:ext uri="{FF2B5EF4-FFF2-40B4-BE49-F238E27FC236}">
              <a16:creationId xmlns:a16="http://schemas.microsoft.com/office/drawing/2014/main" id="{7A3D621E-5AD3-4ABF-843A-59980BCD9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6" y="36195"/>
          <a:ext cx="1828528" cy="517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650539</xdr:colOff>
      <xdr:row>30</xdr:row>
      <xdr:rowOff>14772</xdr:rowOff>
    </xdr:from>
    <xdr:to>
      <xdr:col>3</xdr:col>
      <xdr:colOff>189236</xdr:colOff>
      <xdr:row>36</xdr:row>
      <xdr:rowOff>170218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DD11C65-401A-4750-A8C8-5B753B0D9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385455">
          <a:off x="1517314" y="8149122"/>
          <a:ext cx="1605622" cy="14698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120015</xdr:colOff>
      <xdr:row>0</xdr:row>
      <xdr:rowOff>36195</xdr:rowOff>
    </xdr:from>
    <xdr:to>
      <xdr:col>10</xdr:col>
      <xdr:colOff>293915</xdr:colOff>
      <xdr:row>1</xdr:row>
      <xdr:rowOff>9525</xdr:rowOff>
    </xdr:to>
    <xdr:pic>
      <xdr:nvPicPr>
        <xdr:cNvPr id="3" name="Imagen 5">
          <a:extLst>
            <a:ext uri="{FF2B5EF4-FFF2-40B4-BE49-F238E27FC236}">
              <a16:creationId xmlns:a16="http://schemas.microsoft.com/office/drawing/2014/main" id="{D31F94F6-F608-41F1-B76C-6D84392ABF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5215" y="36195"/>
          <a:ext cx="1795871" cy="517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650539</xdr:colOff>
      <xdr:row>30</xdr:row>
      <xdr:rowOff>14772</xdr:rowOff>
    </xdr:from>
    <xdr:to>
      <xdr:col>11</xdr:col>
      <xdr:colOff>189236</xdr:colOff>
      <xdr:row>36</xdr:row>
      <xdr:rowOff>170218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15DB8CF-17A0-44FC-AAE6-67CE0F980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385455">
          <a:off x="1521396" y="8353229"/>
          <a:ext cx="1596097" cy="1320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05902d468c6702f3/Documentos%20personales/Drive%20TIS/Direccion%20Administrativa/CONTABILIDAD/INGRESOS/CLIENTES/facturacion_2021_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ro control"/>
      <sheetName val="guardar"/>
      <sheetName val="proforma"/>
      <sheetName val="Facturas"/>
      <sheetName val="Pagos"/>
      <sheetName val="Articulos"/>
      <sheetName val="Clientes"/>
      <sheetName val="Parametros"/>
      <sheetName val="facturacion_2021_3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ime Andre Novoa" refreshedDate="46092.436104745371" createdVersion="7" refreshedVersion="8" minRefreshableVersion="3" recordCount="742" xr:uid="{F1665209-2E61-45BE-AC27-CA0AFDEAA818}">
  <cacheSource type="worksheet">
    <worksheetSource name="Tabla4"/>
  </cacheSource>
  <cacheFields count="15">
    <cacheField name="Codigo" numFmtId="0">
      <sharedItems containsSemiMixedTypes="0" containsString="0" containsNumber="1" containsInteger="1" minValue="1" maxValue="668"/>
    </cacheField>
    <cacheField name="proforma" numFmtId="0">
      <sharedItems containsMixedTypes="1" containsNumber="1" containsInteger="1" minValue="0" maxValue="0"/>
    </cacheField>
    <cacheField name="Fecha" numFmtId="14">
      <sharedItems containsDate="1" containsMixedTypes="1" minDate="2020-01-29T00:00:00" maxDate="2026-03-10T00:00:00" count="240">
        <d v="2021-01-28T00:00:00"/>
        <d v="2021-02-18T00:00:00"/>
        <d v="2021-02-22T00:00:00"/>
        <d v="2021-03-01T00:00:00"/>
        <d v="2021-03-16T00:00:00"/>
        <d v="2021-03-19T00:00:00"/>
        <d v="2021-03-20T00:00:00"/>
        <d v="2021-04-05T00:00:00"/>
        <d v="2021-04-13T00:00:00"/>
        <d v="2021-04-19T00:00:00"/>
        <d v="2021-04-30T00:00:00"/>
        <d v="2021-05-18T00:00:00"/>
        <d v="2021-06-01T00:00:00"/>
        <d v="2021-06-02T00:00:00"/>
        <d v="2020-12-09T00:00:00"/>
        <d v="2021-06-11T00:00:00"/>
        <d v="2021-06-23T00:00:00"/>
        <e v="#N/A"/>
        <d v="2021-06-28T00:00:00"/>
        <d v="2021-07-06T00:00:00"/>
        <d v="2021-07-08T00:00:00"/>
        <d v="2021-07-28T00:00:00"/>
        <d v="2021-09-02T00:00:00"/>
        <d v="2021-07-09T00:00:00"/>
        <d v="2021-07-12T00:00:00"/>
        <d v="2021-08-09T00:00:00"/>
        <d v="2021-08-10T00:00:00"/>
        <d v="2021-08-20T00:00:00"/>
        <d v="2021-08-24T00:00:00"/>
        <d v="2021-08-26T00:00:00"/>
        <d v="2021-08-27T00:00:00"/>
        <d v="2021-09-16T00:00:00"/>
        <d v="2021-09-23T00:00:00"/>
        <d v="2021-09-28T00:00:00"/>
        <d v="2021-09-29T00:00:00"/>
        <d v="2021-10-05T00:00:00"/>
        <d v="2021-10-06T00:00:00"/>
        <d v="2021-10-07T00:00:00"/>
        <d v="2021-10-11T00:00:00"/>
        <d v="2021-10-27T00:00:00"/>
        <d v="2020-01-29T00:00:00"/>
        <d v="2021-11-02T00:00:00"/>
        <d v="2021-11-11T00:00:00"/>
        <d v="2021-11-18T00:00:00"/>
        <d v="2021-11-19T00:00:00"/>
        <d v="2021-11-23T00:00:00"/>
        <d v="2021-11-30T00:00:00"/>
        <d v="2022-04-21T00:00:00"/>
        <d v="2021-12-03T00:00:00"/>
        <d v="2021-12-07T00:00:00"/>
        <d v="2021-12-14T00:00:00"/>
        <d v="2021-12-17T00:00:00"/>
        <d v="2021-12-20T00:00:00"/>
        <d v="2022-02-01T00:00:00"/>
        <d v="2021-12-29T00:00:00"/>
        <d v="2022-01-29T00:00:00"/>
        <d v="2022-02-02T00:00:00"/>
        <d v="2022-04-02T00:00:00"/>
        <d v="2022-02-08T00:00:00"/>
        <d v="2022-02-09T00:00:00"/>
        <d v="2022-02-14T00:00:00"/>
        <d v="2022-02-18T00:00:00"/>
        <d v="2022-02-23T00:00:00"/>
        <d v="2022-03-07T00:00:00"/>
        <d v="2022-03-14T00:00:00"/>
        <d v="2022-03-28T00:00:00"/>
        <d v="2022-03-11T00:00:00"/>
        <d v="2022-04-05T00:00:00"/>
        <d v="2022-04-06T00:00:00"/>
        <d v="2022-04-20T00:00:00"/>
        <d v="2022-04-28T00:00:00"/>
        <d v="2022-05-13T00:00:00"/>
        <d v="2022-06-01T00:00:00"/>
        <d v="2022-06-09T00:00:00"/>
        <d v="2022-06-21T00:00:00"/>
        <d v="2022-06-02T00:00:00"/>
        <d v="2022-06-06T00:00:00"/>
        <d v="2022-07-05T00:00:00"/>
        <d v="2022-07-06T00:00:00"/>
        <d v="2022-08-17T00:00:00"/>
        <d v="2022-08-19T00:00:00"/>
        <d v="2022-09-05T00:00:00"/>
        <d v="2022-09-07T00:00:00"/>
        <d v="2022-09-08T00:00:00"/>
        <d v="2022-09-20T00:00:00"/>
        <d v="2022-09-22T00:00:00"/>
        <d v="2022-11-19T00:00:00"/>
        <d v="2022-11-23T00:00:00"/>
        <d v="2022-09-01T00:00:00"/>
        <d v="2022-09-02T00:00:00"/>
        <d v="2022-09-17T00:00:00"/>
        <d v="2022-10-01T00:00:00"/>
        <d v="2022-11-01T00:00:00"/>
        <d v="2022-11-22T00:00:00"/>
        <d v="2022-04-01T00:00:00"/>
        <d v="2022-11-25T00:00:00"/>
        <d v="2022-12-02T00:00:00"/>
        <d v="2022-05-17T00:00:00"/>
        <d v="2022-05-18T00:00:00"/>
        <d v="2022-06-23T00:00:00"/>
        <d v="2022-08-01T00:00:00"/>
        <d v="2022-08-02T00:00:00"/>
        <d v="2022-10-04T00:00:00"/>
        <d v="2022-09-30T00:00:00"/>
        <d v="2022-12-06T00:00:00"/>
        <d v="2022-12-05T00:00:00"/>
        <d v="2022-12-12T00:00:00"/>
        <d v="2023-01-28T00:00:00"/>
        <d v="2023-02-01T00:00:00"/>
        <d v="2023-02-07T00:00:00"/>
        <d v="2023-02-13T00:00:00"/>
        <d v="2023-02-15T00:00:00"/>
        <d v="2023-02-24T00:00:00"/>
        <d v="2023-03-02T00:00:00"/>
        <d v="2023-03-07T00:00:00"/>
        <d v="2023-03-10T00:00:00"/>
        <d v="2023-05-12T00:00:00"/>
        <d v="2023-03-16T00:00:00"/>
        <d v="2023-03-25T00:00:00"/>
        <d v="2023-04-04T00:00:00"/>
        <d v="2023-04-05T00:00:00"/>
        <d v="2023-04-12T00:00:00"/>
        <d v="2023-04-25T00:00:00"/>
        <d v="2023-04-27T00:00:00"/>
        <d v="2023-05-04T00:00:00"/>
        <d v="2023-05-09T00:00:00"/>
        <d v="2023-05-16T00:00:00"/>
        <d v="2023-05-17T00:00:00"/>
        <d v="2023-05-19T00:00:00"/>
        <d v="2023-05-26T00:00:00"/>
        <d v="2023-06-06T00:00:00"/>
        <d v="2023-06-08T00:00:00"/>
        <d v="2023-06-16T00:00:00"/>
        <d v="2023-06-22T00:00:00"/>
        <d v="2023-07-10T00:00:00"/>
        <d v="2023-07-24T00:00:00"/>
        <d v="2023-07-20T00:00:00"/>
        <d v="2023-07-30T00:00:00"/>
        <d v="2023-08-02T00:00:00"/>
        <d v="2023-08-18T00:00:00"/>
        <d v="2023-08-22T00:00:00"/>
        <d v="2023-08-29T00:00:00"/>
        <d v="2023-09-01T00:00:00"/>
        <d v="2023-09-06T00:00:00"/>
        <d v="2023-09-08T00:00:00"/>
        <d v="2023-09-22T00:00:00"/>
        <d v="2023-10-05T00:00:00"/>
        <d v="2023-10-25T00:00:00"/>
        <d v="2023-11-09T00:00:00"/>
        <d v="2023-12-06T00:00:00"/>
        <d v="2024-01-03T00:00:00"/>
        <d v="2025-03-20T00:00:00"/>
        <d v="2024-09-23T00:00:00"/>
        <d v="2024-01-18T00:00:00"/>
        <d v="2024-02-08T00:00:00"/>
        <d v="2024-02-16T00:00:00"/>
        <d v="2024-02-23T00:00:00"/>
        <d v="2024-02-28T00:00:00"/>
        <d v="2024-03-04T00:00:00"/>
        <d v="2024-03-11T00:00:00"/>
        <d v="2024-03-12T00:00:00"/>
        <d v="2024-03-07T00:00:00"/>
        <d v="2024-03-25T00:00:00"/>
        <d v="2024-04-04T00:00:00"/>
        <d v="2024-04-16T00:00:00"/>
        <d v="2024-05-08T00:00:00"/>
        <d v="2024-06-06T00:00:00"/>
        <d v="2024-06-17T00:00:00"/>
        <d v="2024-06-27T00:00:00"/>
        <d v="2024-07-04T00:00:00"/>
        <d v="2024-07-08T00:00:00"/>
        <d v="2024-07-12T00:00:00"/>
        <d v="2024-07-18T00:00:00"/>
        <d v="2024-08-06T00:00:00"/>
        <d v="2024-08-15T00:00:00"/>
        <d v="2024-09-02T00:00:00"/>
        <d v="2024-09-10T00:00:00"/>
        <d v="2024-09-20T00:00:00"/>
        <d v="2024-10-11T00:00:00"/>
        <d v="2024-10-15T00:00:00"/>
        <d v="2024-08-28T00:00:00"/>
        <d v="2024-10-22T00:00:00"/>
        <d v="2024-10-28T00:00:00"/>
        <d v="2024-11-13T00:00:00"/>
        <d v="2024-09-24T00:00:00"/>
        <d v="2024-11-25T00:00:00"/>
        <d v="2024-12-06T00:00:00"/>
        <d v="2024-12-07T00:00:00"/>
        <d v="2024-12-09T00:00:00"/>
        <d v="2024-12-10T00:00:00"/>
        <d v="2024-12-11T00:00:00"/>
        <d v="2024-12-12T00:00:00"/>
        <d v="2024-12-19T00:00:00"/>
        <d v="2025-03-27T00:00:00"/>
        <d v="2025-03-28T00:00:00"/>
        <d v="2025-04-02T00:00:00"/>
        <d v="2025-04-10T00:00:00"/>
        <d v="2025-04-16T00:00:00"/>
        <d v="2025-04-22T00:00:00"/>
        <d v="2025-04-30T00:00:00"/>
        <d v="2025-05-07T00:00:00"/>
        <d v="2025-05-14T00:00:00"/>
        <d v="2025-05-20T00:00:00"/>
        <d v="2025-05-27T00:00:00"/>
        <d v="2025-07-03T00:00:00"/>
        <d v="2025-07-14T00:00:00"/>
        <d v="2025-07-17T00:00:00"/>
        <d v="2025-07-25T00:00:00"/>
        <d v="2025-08-08T00:00:00"/>
        <d v="2025-08-15T00:00:00"/>
        <d v="2025-09-03T00:00:00"/>
        <d v="2025-09-04T00:00:00"/>
        <d v="2025-09-10T00:00:00"/>
        <d v="2025-09-15T00:00:00"/>
        <d v="2025-09-18T00:00:00"/>
        <d v="2025-10-01T00:00:00"/>
        <d v="2025-10-16T00:00:00"/>
        <d v="2025-09-12T00:00:00"/>
        <d v="2025-10-17T00:00:00"/>
        <d v="2025-10-30T00:00:00"/>
        <d v="2025-11-07T00:00:00"/>
        <d v="2025-11-13T00:00:00"/>
        <d v="2025-11-18T00:00:00"/>
        <d v="2025-11-21T00:00:00"/>
        <d v="2025-11-27T00:00:00"/>
        <d v="2025-12-01T00:00:00"/>
        <d v="2025-12-03T00:00:00"/>
        <d v="2025-12-16T00:00:00"/>
        <d v="2026-01-07T00:00:00"/>
        <d v="2026-01-08T00:00:00"/>
        <d v="2026-01-21T00:00:00"/>
        <d v="2026-02-09T00:00:00"/>
        <d v="2026-02-11T00:00:00"/>
        <d v="2026-02-16T00:00:00"/>
        <d v="2026-02-23T00:00:00"/>
        <d v="2026-03-05T00:00:00"/>
        <d v="2026-03-09T00:00:00"/>
        <d v="2025-03-25T00:00:00" u="1"/>
        <d v="2025-03-26T00:00:00" u="1"/>
        <d v="2021-09-22T00:00:00" u="1"/>
      </sharedItems>
    </cacheField>
    <cacheField name="Electronica" numFmtId="0">
      <sharedItems containsMixedTypes="1" containsNumber="1" containsInteger="1" minValue="0" maxValue="0"/>
    </cacheField>
    <cacheField name="Nombre" numFmtId="0">
      <sharedItems/>
    </cacheField>
    <cacheField name="Estado" numFmtId="0">
      <sharedItems containsMixedTypes="1" containsNumber="1" containsInteger="1" minValue="0" maxValue="0" count="4">
        <s v="ok"/>
        <s v="anulado"/>
        <e v="#N/A"/>
        <n v="0"/>
      </sharedItems>
    </cacheField>
    <cacheField name="No" numFmtId="0">
      <sharedItems containsMixedTypes="1" containsNumber="1" containsInteger="1" minValue="11" maxValue="20"/>
    </cacheField>
    <cacheField name="Artículo" numFmtId="0">
      <sharedItems containsBlank="1" count="31">
        <s v="Profesiograma"/>
        <s v="Elementos proteccion Personal"/>
        <s v="Distribución"/>
        <s v="Capacitacion virtual SARLAFT"/>
        <s v="Batería de Riesgo Psicosocial"/>
        <s v="Capacitacion riesgo laboral "/>
        <s v="Consultoría Implementacion SG-SST"/>
        <s v="Capacitación acompañamiento Virtual SST"/>
        <s v="Otros servicios exentos"/>
        <s v="Análisis Puesto trabajo"/>
        <s v="Diseño y actualización SG SST"/>
        <s v="Mediciones Higienicas"/>
        <s v="Investigación Accidente de trabajo"/>
        <s v="Evaluación de Carga mental"/>
        <s v="Intervención Riesgo psicosocial"/>
        <s v="Desarrollo o licencias de Software"/>
        <s v="Mediciones Higienicas sin iva"/>
        <s v="Diseño y actualización SG SST SIN IVA"/>
        <s v="Batería de Riesgo Psicosocial sin iva"/>
        <s v="Análisis Puesto trabajo sin iva"/>
        <s v="Consultoría especializada y otros servicios"/>
        <s v="Capacitación Virtual SST" u="1"/>
        <m u="1"/>
        <s v="Mediciones Ocupacionales" u="1"/>
        <s v="Capacitacion riesgo psicosocial " u="1"/>
        <s v="Elementos proteccion Personal Tapabocas" u="1"/>
        <s v="Puesto de trabajo" u="1"/>
        <s v="Bio Tis" u="1"/>
        <s v="Análisis Puesto de trabajo" u="1"/>
        <s v="Otros" u="1"/>
        <s v="Implementacion SG-SST" u="1"/>
      </sharedItems>
    </cacheField>
    <cacheField name="Observación" numFmtId="0">
      <sharedItems containsBlank="1" containsMixedTypes="1" containsNumber="1" containsInteger="1" minValue="45292" maxValue="45292"/>
    </cacheField>
    <cacheField name="Cantidad" numFmtId="2">
      <sharedItems containsSemiMixedTypes="0" containsString="0" containsNumber="1" containsInteger="1" minValue="1" maxValue="1354"/>
    </cacheField>
    <cacheField name="Precio" numFmtId="171">
      <sharedItems containsSemiMixedTypes="0" containsString="0" containsNumber="1" minValue="-304000" maxValue="67903200"/>
    </cacheField>
    <cacheField name="Dto" numFmtId="171">
      <sharedItems containsString="0" containsBlank="1" containsNumber="1" containsInteger="1" minValue="0" maxValue="5600000"/>
    </cacheField>
    <cacheField name="Sub Total" numFmtId="171">
      <sharedItems containsMixedTypes="1" containsNumber="1" minValue="-26763084.84" maxValue="67903200"/>
    </cacheField>
    <cacheField name="IVA" numFmtId="171">
      <sharedItems containsSemiMixedTypes="0" containsString="0" containsNumber="1" minValue="-5084986.1195999999" maxValue="12901608"/>
    </cacheField>
    <cacheField name="Total" numFmtId="171">
      <sharedItems containsMixedTypes="1" containsNumber="1" minValue="-31848070.959600002" maxValue="80804808"/>
    </cacheField>
  </cacheFields>
  <extLst>
    <ext xmlns:x14="http://schemas.microsoft.com/office/spreadsheetml/2009/9/main" uri="{725AE2AE-9491-48be-B2B4-4EB974FC3084}">
      <x14:pivotCacheDefinition pivotCacheId="182582276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092.492087037041" createdVersion="7" refreshedVersion="8" minRefreshableVersion="3" recordCount="665" xr:uid="{C812FA79-E896-47FB-9136-37F74B4D2088}">
  <cacheSource type="worksheet">
    <worksheetSource name="Tabla2"/>
  </cacheSource>
  <cacheFields count="26">
    <cacheField name="Cod" numFmtId="0">
      <sharedItems containsSemiMixedTypes="0" containsString="0" containsNumber="1" containsInteger="1" minValue="1" maxValue="669"/>
    </cacheField>
    <cacheField name="Proforma" numFmtId="0">
      <sharedItems containsBlank="1"/>
    </cacheField>
    <cacheField name="Fecha" numFmtId="15">
      <sharedItems containsSemiMixedTypes="0" containsNonDate="0" containsDate="1" containsString="0" minDate="2020-01-29T00:00:00" maxDate="2026-03-10T00:00:00" count="237">
        <d v="2021-01-28T00:00:00"/>
        <d v="2021-02-18T00:00:00"/>
        <d v="2021-02-22T00:00:00"/>
        <d v="2021-03-01T00:00:00"/>
        <d v="2021-03-16T00:00:00"/>
        <d v="2021-03-19T00:00:00"/>
        <d v="2021-03-20T00:00:00"/>
        <d v="2021-04-05T00:00:00"/>
        <d v="2021-04-13T00:00:00"/>
        <d v="2021-04-19T00:00:00"/>
        <d v="2021-04-30T00:00:00"/>
        <d v="2021-05-18T00:00:00"/>
        <d v="2021-06-01T00:00:00"/>
        <d v="2021-06-02T00:00:00"/>
        <d v="2020-12-09T00:00:00"/>
        <d v="2021-06-11T00:00:00"/>
        <d v="2021-06-23T00:00:00"/>
        <d v="2021-09-22T00:00:00"/>
        <d v="2021-06-28T00:00:00"/>
        <d v="2021-07-06T00:00:00"/>
        <d v="2021-07-08T00:00:00"/>
        <d v="2021-09-02T00:00:00"/>
        <d v="2021-07-28T00:00:00"/>
        <d v="2021-07-09T00:00:00"/>
        <d v="2021-07-12T00:00:00"/>
        <d v="2021-08-09T00:00:00"/>
        <d v="2021-08-10T00:00:00"/>
        <d v="2021-08-20T00:00:00"/>
        <d v="2021-08-24T00:00:00"/>
        <d v="2021-08-26T00:00:00"/>
        <d v="2021-08-27T00:00:00"/>
        <d v="2021-09-16T00:00:00"/>
        <d v="2021-09-23T00:00:00"/>
        <d v="2021-09-28T00:00:00"/>
        <d v="2021-09-29T00:00:00"/>
        <d v="2021-10-05T00:00:00"/>
        <d v="2021-10-06T00:00:00"/>
        <d v="2021-10-07T00:00:00"/>
        <d v="2021-10-11T00:00:00"/>
        <d v="2021-10-27T00:00:00"/>
        <d v="2020-01-29T00:00:00"/>
        <d v="2021-11-02T00:00:00"/>
        <d v="2021-11-11T00:00:00"/>
        <d v="2021-11-18T00:00:00"/>
        <d v="2021-11-19T00:00:00"/>
        <d v="2021-11-23T00:00:00"/>
        <d v="2021-11-30T00:00:00"/>
        <d v="2022-04-21T00:00:00"/>
        <d v="2021-12-03T00:00:00"/>
        <d v="2021-12-07T00:00:00"/>
        <d v="2021-12-14T00:00:00"/>
        <d v="2021-12-17T00:00:00"/>
        <d v="2021-12-20T00:00:00"/>
        <d v="2022-02-01T00:00:00"/>
        <d v="2021-12-29T00:00:00"/>
        <d v="2022-01-29T00:00:00"/>
        <d v="2022-02-02T00:00:00"/>
        <d v="2022-04-02T00:00:00"/>
        <d v="2022-02-08T00:00:00"/>
        <d v="2022-02-09T00:00:00"/>
        <d v="2022-02-14T00:00:00"/>
        <d v="2022-02-18T00:00:00"/>
        <d v="2022-02-23T00:00:00"/>
        <d v="2022-03-07T00:00:00"/>
        <d v="2022-03-14T00:00:00"/>
        <d v="2022-03-28T00:00:00"/>
        <d v="2022-03-11T00:00:00"/>
        <d v="2022-04-05T00:00:00"/>
        <d v="2022-04-06T00:00:00"/>
        <d v="2022-04-20T00:00:00"/>
        <d v="2022-04-28T00:00:00"/>
        <d v="2022-05-13T00:00:00"/>
        <d v="2022-06-01T00:00:00"/>
        <d v="2022-06-09T00:00:00"/>
        <d v="2022-06-21T00:00:00"/>
        <d v="2022-06-02T00:00:00"/>
        <d v="2022-06-06T00:00:00"/>
        <d v="2022-07-05T00:00:00"/>
        <d v="2022-07-06T00:00:00"/>
        <d v="2022-08-17T00:00:00"/>
        <d v="2022-08-19T00:00:00"/>
        <d v="2022-09-05T00:00:00"/>
        <d v="2022-09-07T00:00:00"/>
        <d v="2022-09-08T00:00:00"/>
        <d v="2022-09-20T00:00:00"/>
        <d v="2022-09-22T00:00:00"/>
        <d v="2022-11-19T00:00:00"/>
        <d v="2022-11-23T00:00:00"/>
        <d v="2022-09-01T00:00:00"/>
        <d v="2022-09-02T00:00:00"/>
        <d v="2022-09-17T00:00:00"/>
        <d v="2022-10-01T00:00:00"/>
        <d v="2022-11-01T00:00:00"/>
        <d v="2022-11-22T00:00:00"/>
        <d v="2022-04-01T00:00:00"/>
        <d v="2022-11-25T00:00:00"/>
        <d v="2022-12-02T00:00:00"/>
        <d v="2022-05-17T00:00:00"/>
        <d v="2022-05-18T00:00:00"/>
        <d v="2022-06-23T00:00:00"/>
        <d v="2022-08-01T00:00:00"/>
        <d v="2022-08-02T00:00:00"/>
        <d v="2022-10-04T00:00:00"/>
        <d v="2022-09-30T00:00:00"/>
        <d v="2022-12-06T00:00:00"/>
        <d v="2022-12-05T00:00:00"/>
        <d v="2022-12-12T00:00:00"/>
        <d v="2023-01-28T00:00:00"/>
        <d v="2023-02-01T00:00:00"/>
        <d v="2023-02-07T00:00:00"/>
        <d v="2023-02-13T00:00:00"/>
        <d v="2023-02-15T00:00:00"/>
        <d v="2023-02-24T00:00:00"/>
        <d v="2023-03-02T00:00:00"/>
        <d v="2023-03-07T00:00:00"/>
        <d v="2023-03-10T00:00:00"/>
        <d v="2023-05-12T00:00:00"/>
        <d v="2023-03-16T00:00:00"/>
        <d v="2023-03-25T00:00:00"/>
        <d v="2023-04-04T00:00:00"/>
        <d v="2023-04-05T00:00:00"/>
        <d v="2023-04-12T00:00:00"/>
        <d v="2023-04-25T00:00:00"/>
        <d v="2023-04-27T00:00:00"/>
        <d v="2023-05-04T00:00:00"/>
        <d v="2023-05-09T00:00:00"/>
        <d v="2023-05-16T00:00:00"/>
        <d v="2023-05-17T00:00:00"/>
        <d v="2023-05-19T00:00:00"/>
        <d v="2023-05-26T00:00:00"/>
        <d v="2023-06-06T00:00:00"/>
        <d v="2023-06-08T00:00:00"/>
        <d v="2023-06-16T00:00:00"/>
        <d v="2023-06-22T00:00:00"/>
        <d v="2023-07-10T00:00:00"/>
        <d v="2023-07-24T00:00:00"/>
        <d v="2023-07-20T00:00:00"/>
        <d v="2023-07-30T00:00:00"/>
        <d v="2023-08-02T00:00:00"/>
        <d v="2023-08-18T00:00:00"/>
        <d v="2023-08-22T00:00:00"/>
        <d v="2023-08-29T00:00:00"/>
        <d v="2023-09-01T00:00:00"/>
        <d v="2023-09-06T00:00:00"/>
        <d v="2023-09-08T00:00:00"/>
        <d v="2023-09-22T00:00:00"/>
        <d v="2023-10-05T00:00:00"/>
        <d v="2023-10-25T00:00:00"/>
        <d v="2023-11-09T00:00:00"/>
        <d v="2023-12-06T00:00:00"/>
        <d v="2024-01-03T00:00:00"/>
        <d v="2025-03-20T00:00:00"/>
        <d v="2024-09-23T00:00:00"/>
        <d v="2024-01-18T00:00:00"/>
        <d v="2024-02-08T00:00:00"/>
        <d v="2024-02-16T00:00:00"/>
        <d v="2024-02-23T00:00:00"/>
        <d v="2024-02-28T00:00:00"/>
        <d v="2024-03-04T00:00:00"/>
        <d v="2024-03-11T00:00:00"/>
        <d v="2024-03-12T00:00:00"/>
        <d v="2024-03-07T00:00:00"/>
        <d v="2024-03-25T00:00:00"/>
        <d v="2024-04-04T00:00:00"/>
        <d v="2024-04-16T00:00:00"/>
        <d v="2024-05-08T00:00:00"/>
        <d v="2024-06-06T00:00:00"/>
        <d v="2024-06-17T00:00:00"/>
        <d v="2024-06-27T00:00:00"/>
        <d v="2024-07-04T00:00:00"/>
        <d v="2024-07-08T00:00:00"/>
        <d v="2024-07-12T00:00:00"/>
        <d v="2024-07-18T00:00:00"/>
        <d v="2024-08-06T00:00:00"/>
        <d v="2024-08-15T00:00:00"/>
        <d v="2024-09-02T00:00:00"/>
        <d v="2024-09-10T00:00:00"/>
        <d v="2024-09-20T00:00:00"/>
        <d v="2024-10-11T00:00:00"/>
        <d v="2024-10-15T00:00:00"/>
        <d v="2024-08-28T00:00:00"/>
        <d v="2024-10-22T00:00:00"/>
        <d v="2024-10-28T00:00:00"/>
        <d v="2024-11-13T00:00:00"/>
        <d v="2024-09-24T00:00:00"/>
        <d v="2024-11-25T00:00:00"/>
        <d v="2024-12-06T00:00:00"/>
        <d v="2024-12-07T00:00:00"/>
        <d v="2024-12-09T00:00:00"/>
        <d v="2024-12-10T00:00:00"/>
        <d v="2024-12-11T00:00:00"/>
        <d v="2024-12-12T00:00:00"/>
        <d v="2024-12-19T00:00:00"/>
        <d v="2025-03-27T00:00:00"/>
        <d v="2025-03-28T00:00:00"/>
        <d v="2025-04-02T00:00:00"/>
        <d v="2025-04-10T00:00:00"/>
        <d v="2025-04-16T00:00:00"/>
        <d v="2025-04-22T00:00:00"/>
        <d v="2025-04-30T00:00:00"/>
        <d v="2025-05-07T00:00:00"/>
        <d v="2025-05-14T00:00:00"/>
        <d v="2025-05-20T00:00:00"/>
        <d v="2025-05-27T00:00:00"/>
        <d v="2025-07-03T00:00:00"/>
        <d v="2025-07-14T00:00:00"/>
        <d v="2025-07-17T00:00:00"/>
        <d v="2025-07-25T00:00:00"/>
        <d v="2025-08-08T00:00:00"/>
        <d v="2025-08-15T00:00:00"/>
        <d v="2025-09-03T00:00:00"/>
        <d v="2025-09-04T00:00:00"/>
        <d v="2025-09-10T00:00:00"/>
        <d v="2025-09-15T00:00:00"/>
        <d v="2025-09-18T00:00:00"/>
        <d v="2025-10-01T00:00:00"/>
        <d v="2025-10-16T00:00:00"/>
        <d v="2025-09-12T00:00:00"/>
        <d v="2025-10-17T00:00:00"/>
        <d v="2025-10-30T00:00:00"/>
        <d v="2025-11-07T00:00:00"/>
        <d v="2025-11-13T00:00:00"/>
        <d v="2025-11-18T00:00:00"/>
        <d v="2025-11-21T00:00:00"/>
        <d v="2025-11-27T00:00:00"/>
        <d v="2025-12-01T00:00:00"/>
        <d v="2025-12-03T00:00:00"/>
        <d v="2025-12-16T00:00:00"/>
        <d v="2026-01-07T00:00:00"/>
        <d v="2026-01-08T00:00:00"/>
        <d v="2026-01-21T00:00:00"/>
        <d v="2026-02-09T00:00:00"/>
        <d v="2026-02-11T00:00:00"/>
        <d v="2026-02-16T00:00:00"/>
        <d v="2026-02-23T00:00:00"/>
        <d v="2026-03-05T00:00:00"/>
        <d v="2026-03-09T00:00:00"/>
      </sharedItems>
      <fieldGroup par="25" base="2">
        <rangePr groupBy="days" startDate="2020-01-29T00:00:00" endDate="2026-03-10T00:00:00"/>
        <groupItems count="368">
          <s v="&lt;29/01/2020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0/03/2026"/>
        </groupItems>
      </fieldGroup>
    </cacheField>
    <cacheField name="# Factura" numFmtId="0">
      <sharedItems containsBlank="1"/>
    </cacheField>
    <cacheField name="Fecha F.E." numFmtId="15">
      <sharedItems containsNonDate="0" containsDate="1" containsString="0" containsBlank="1" minDate="2020-01-29T00:00:00" maxDate="2026-03-05T00:00:00" count="257">
        <d v="2021-03-09T00:00:00"/>
        <d v="2021-01-28T00:00:00"/>
        <d v="2021-06-23T00:00:00"/>
        <d v="2021-02-27T00:00:00"/>
        <d v="2021-04-19T00:00:00"/>
        <d v="2021-04-05T00:00:00"/>
        <d v="2021-03-16T00:00:00"/>
        <d v="2021-05-19T00:00:00"/>
        <d v="2021-03-19T00:00:00"/>
        <d v="2021-06-02T00:00:00"/>
        <m/>
        <d v="2021-06-11T00:00:00"/>
        <d v="2021-04-30T00:00:00"/>
        <d v="2021-07-09T00:00:00"/>
        <d v="2021-10-27T00:00:00"/>
        <d v="2020-12-09T00:00:00"/>
        <d v="2021-10-08T00:00:00"/>
        <d v="2021-07-23T00:00:00"/>
        <d v="2021-08-27T00:00:00"/>
        <d v="2021-09-03T00:00:00"/>
        <d v="2021-09-22T00:00:00"/>
        <d v="2021-07-19T00:00:00"/>
        <d v="2021-10-28T00:00:00"/>
        <d v="2021-09-28T00:00:00"/>
        <d v="2021-08-06T00:00:00"/>
        <d v="2021-08-09T00:00:00"/>
        <d v="2021-08-20T00:00:00"/>
        <d v="2021-11-10T00:00:00"/>
        <d v="2021-12-31T00:00:00"/>
        <d v="2021-09-02T00:00:00"/>
        <d v="2021-09-29T00:00:00"/>
        <d v="2021-10-01T00:00:00"/>
        <d v="2021-10-13T00:00:00"/>
        <d v="2021-11-29T00:00:00"/>
        <d v="2021-10-05T00:00:00"/>
        <d v="2021-12-03T00:00:00"/>
        <d v="2020-01-29T00:00:00"/>
        <d v="2021-11-30T00:00:00"/>
        <d v="2021-11-11T00:00:00"/>
        <d v="2022-01-03T00:00:00"/>
        <d v="2022-02-08T00:00:00"/>
        <d v="2021-01-29T00:00:00"/>
        <d v="2021-12-01T00:00:00"/>
        <d v="2022-05-12T00:00:00"/>
        <d v="2021-12-15T00:00:00"/>
        <d v="2022-04-02T00:00:00"/>
        <d v="2021-12-07T00:00:00"/>
        <d v="2021-12-28T00:00:00"/>
        <d v="2021-12-17T00:00:00"/>
        <d v="2021-12-20T00:00:00"/>
        <d v="2022-05-18T00:00:00"/>
        <d v="2022-02-18T00:00:00"/>
        <d v="2022-01-29T00:00:00"/>
        <d v="2022-02-15T00:00:00"/>
        <d v="2022-04-28T00:00:00"/>
        <d v="2022-02-01T00:00:00"/>
        <d v="2022-02-02T00:00:00"/>
        <d v="2022-04-05T00:00:00"/>
        <d v="2022-06-23T00:00:00"/>
        <d v="2022-02-11T00:00:00"/>
        <d v="2022-02-16T00:00:00"/>
        <d v="2022-03-28T00:00:00"/>
        <d v="2022-03-16T00:00:00"/>
        <d v="2022-04-06T00:00:00"/>
        <d v="2022-05-05T00:00:00"/>
        <d v="2022-03-11T00:00:00"/>
        <d v="2022-03-07T00:00:00"/>
        <d v="2022-06-21T00:00:00"/>
        <d v="2023-02-01T00:00:00"/>
        <d v="2022-05-13T00:00:00"/>
        <d v="2022-07-05T00:00:00"/>
        <d v="2022-06-01T00:00:00"/>
        <d v="2022-08-08T00:00:00"/>
        <d v="2022-06-09T00:00:00"/>
        <d v="2022-06-02T00:00:00"/>
        <d v="2022-06-06T00:00:00"/>
        <d v="2022-07-01T00:00:00"/>
        <d v="2022-08-17T00:00:00"/>
        <d v="2022-09-07T00:00:00"/>
        <d v="2022-09-02T00:00:00"/>
        <d v="2022-08-31T00:00:00"/>
        <d v="2022-09-06T00:00:00"/>
        <d v="2022-10-25T00:00:00"/>
        <d v="2022-09-28T00:00:00"/>
        <d v="2022-10-22T00:00:00"/>
        <d v="2022-08-20T00:00:00"/>
        <d v="2022-11-19T00:00:00"/>
        <d v="2022-08-19T00:00:00"/>
        <d v="2022-09-01T00:00:00"/>
        <d v="2022-09-17T00:00:00"/>
        <d v="2022-10-01T00:00:00"/>
        <d v="2022-11-01T00:00:00"/>
        <d v="2022-11-22T00:00:00"/>
        <d v="2022-04-01T00:00:00"/>
        <d v="2022-11-25T00:00:00"/>
        <d v="2023-01-19T00:00:00"/>
        <d v="2022-05-17T00:00:00"/>
        <d v="2022-08-01T00:00:00"/>
        <d v="2022-08-02T00:00:00"/>
        <d v="2022-10-04T00:00:00"/>
        <d v="2022-09-30T00:00:00"/>
        <d v="2022-12-06T00:00:00"/>
        <d v="2022-12-05T00:00:00"/>
        <d v="2022-12-12T00:00:00"/>
        <d v="2022-12-07T00:00:00"/>
        <d v="2022-12-09T00:00:00"/>
        <d v="2022-12-20T00:00:00"/>
        <d v="2022-12-22T00:00:00"/>
        <d v="2022-12-28T00:00:00"/>
        <d v="2022-12-27T00:00:00"/>
        <d v="2023-01-23T00:00:00"/>
        <d v="2023-02-20T00:00:00"/>
        <d v="2023-02-07T00:00:00"/>
        <d v="2023-02-13T00:00:00"/>
        <d v="2023-02-15T00:00:00"/>
        <d v="2023-02-24T00:00:00"/>
        <d v="2023-03-02T00:00:00"/>
        <d v="2023-03-07T00:00:00"/>
        <d v="2023-03-10T00:00:00"/>
        <d v="2023-03-16T00:00:00"/>
        <d v="2023-03-25T00:00:00"/>
        <d v="2023-04-04T00:00:00"/>
        <d v="2023-04-05T00:00:00"/>
        <d v="2023-04-12T00:00:00"/>
        <d v="2023-04-25T00:00:00"/>
        <d v="2023-04-27T00:00:00"/>
        <d v="2023-05-04T00:00:00"/>
        <d v="2023-05-09T00:00:00"/>
        <d v="2023-05-16T00:00:00"/>
        <d v="2023-04-18T00:00:00"/>
        <d v="2023-05-12T00:00:00"/>
        <d v="2023-12-27T00:00:00"/>
        <d v="2023-01-29T00:00:00"/>
        <d v="2022-12-30T00:00:00"/>
        <d v="2022-05-16T00:00:00"/>
        <d v="2023-05-26T00:00:00"/>
        <d v="2023-06-06T00:00:00"/>
        <d v="2023-06-08T00:00:00"/>
        <d v="2023-06-16T00:00:00"/>
        <d v="2023-06-22T00:00:00"/>
        <d v="2023-06-09T00:00:00"/>
        <d v="2023-07-20T00:00:00"/>
        <d v="2023-07-30T00:00:00"/>
        <d v="2023-12-22T00:00:00"/>
        <d v="2023-08-22T00:00:00"/>
        <d v="2023-08-29T00:00:00"/>
        <d v="2023-09-01T00:00:00"/>
        <d v="2023-09-06T00:00:00"/>
        <d v="2023-09-08T00:00:00"/>
        <d v="2023-09-22T00:00:00"/>
        <d v="2023-10-05T00:00:00"/>
        <d v="2023-10-24T00:00:00"/>
        <d v="2023-11-01T00:00:00"/>
        <d v="2023-11-22T00:00:00"/>
        <d v="2023-12-04T00:00:00"/>
        <d v="2023-12-15T00:00:00"/>
        <d v="2023-12-18T00:00:00"/>
        <d v="2024-09-23T00:00:00"/>
        <d v="2024-01-18T00:00:00"/>
        <d v="2024-02-08T00:00:00"/>
        <d v="2024-02-16T00:00:00"/>
        <d v="2024-02-23T00:00:00"/>
        <d v="2024-02-28T00:00:00"/>
        <d v="2024-03-04T00:00:00"/>
        <d v="2024-03-11T00:00:00"/>
        <d v="2024-03-12T00:00:00"/>
        <d v="2024-03-07T00:00:00"/>
        <d v="2024-04-04T00:00:00"/>
        <d v="2024-04-16T00:00:00"/>
        <d v="2024-05-08T00:00:00"/>
        <d v="2024-06-06T00:00:00"/>
        <d v="2024-06-17T00:00:00"/>
        <d v="2024-06-27T00:00:00"/>
        <d v="2024-07-04T00:00:00"/>
        <d v="2024-07-08T00:00:00"/>
        <d v="2024-07-12T00:00:00"/>
        <d v="2024-07-18T00:00:00"/>
        <d v="2024-08-06T00:00:00"/>
        <d v="2024-08-15T00:00:00"/>
        <d v="2024-09-02T00:00:00"/>
        <d v="2024-09-10T00:00:00"/>
        <d v="2024-09-20T00:00:00"/>
        <d v="2024-10-11T00:00:00"/>
        <d v="2024-10-15T00:00:00"/>
        <d v="2024-08-28T00:00:00"/>
        <d v="2024-10-22T00:00:00"/>
        <d v="2024-10-28T00:00:00"/>
        <d v="2024-11-13T00:00:00"/>
        <d v="2024-09-24T00:00:00"/>
        <d v="2024-11-25T00:00:00"/>
        <d v="2024-12-06T00:00:00"/>
        <d v="2024-12-07T00:00:00"/>
        <d v="2024-12-09T00:00:00"/>
        <d v="2024-12-10T00:00:00"/>
        <d v="2024-12-11T00:00:00"/>
        <d v="2024-12-12T00:00:00"/>
        <d v="2024-12-19T00:00:00"/>
        <d v="2025-01-16T00:00:00"/>
        <d v="2025-01-07T00:00:00"/>
        <d v="2025-01-21T00:00:00"/>
        <d v="2025-02-09T00:00:00"/>
        <d v="2025-02-13T00:00:00"/>
        <d v="2025-02-14T00:00:00"/>
        <d v="2025-03-10T00:00:00"/>
        <d v="2025-03-18T00:00:00"/>
        <d v="2025-04-04T00:00:00"/>
        <d v="2025-04-09T00:00:00"/>
        <d v="2025-04-15T00:00:00"/>
        <d v="2025-04-16T00:00:00"/>
        <d v="2025-04-14T00:00:00"/>
        <d v="2025-04-30T00:00:00"/>
        <d v="2025-04-25T00:00:00"/>
        <d v="2025-05-07T00:00:00"/>
        <d v="2025-05-19T00:00:00"/>
        <d v="2025-05-26T00:00:00"/>
        <d v="2025-05-27T00:00:00"/>
        <d v="2025-06-06T00:00:00"/>
        <d v="2025-06-09T00:00:00"/>
        <d v="2025-07-03T00:00:00"/>
        <d v="2025-07-09T00:00:00"/>
        <d v="2025-07-13T00:00:00"/>
        <d v="2025-07-14T00:00:00"/>
        <d v="2025-08-06T00:00:00"/>
        <d v="2025-08-13T00:00:00"/>
        <d v="2025-08-15T00:00:00"/>
        <d v="2025-09-03T00:00:00"/>
        <d v="2025-08-22T00:00:00"/>
        <d v="2025-08-21T00:00:00"/>
        <d v="2025-10-02T00:00:00"/>
        <d v="2025-05-14T00:00:00"/>
        <d v="2025-09-18T00:00:00"/>
        <d v="2025-10-01T00:00:00"/>
        <d v="2025-10-15T00:00:00"/>
        <d v="2025-09-12T00:00:00"/>
        <d v="2025-10-17T00:00:00"/>
        <d v="2025-10-29T00:00:00"/>
        <d v="2025-11-05T00:00:00"/>
        <d v="2025-12-19T00:00:00"/>
        <d v="2025-11-13T00:00:00"/>
        <d v="2025-11-18T00:00:00"/>
        <d v="2025-06-04T00:00:00"/>
        <d v="2025-11-27T00:00:00"/>
        <d v="2025-12-01T00:00:00"/>
        <d v="2025-12-03T00:00:00"/>
        <d v="2025-12-16T00:00:00"/>
        <d v="2025-12-24T00:00:00"/>
        <d v="2025-12-26T00:00:00"/>
        <d v="2025-12-29T00:00:00"/>
        <d v="2025-12-22T00:00:00"/>
        <d v="2025-10-06T00:00:00"/>
        <d v="2026-01-17T00:00:00"/>
        <d v="2026-02-09T00:00:00"/>
        <d v="2026-02-11T00:00:00"/>
        <d v="2026-02-16T00:00:00"/>
        <d v="2026-02-17T00:00:00"/>
        <d v="2026-03-04T00:00:00"/>
        <d v="2026-03-02T00:00:00"/>
      </sharedItems>
      <fieldGroup par="24" base="4">
        <rangePr groupBy="days" startDate="2020-01-29T00:00:00" endDate="2026-03-05T00:00:00"/>
        <groupItems count="368">
          <s v="(en blanco)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5/03/2026"/>
        </groupItems>
      </fieldGroup>
    </cacheField>
    <cacheField name="Estado" numFmtId="0">
      <sharedItems containsBlank="1" count="4">
        <s v="ok"/>
        <s v="anulado"/>
        <m/>
        <s v="Anulada" u="1"/>
      </sharedItems>
    </cacheField>
    <cacheField name="NIT" numFmtId="0">
      <sharedItems containsMixedTypes="1" containsNumber="1" containsInteger="1" minValue="4446779" maxValue="9003233661"/>
    </cacheField>
    <cacheField name="Nombre " numFmtId="0">
      <sharedItems containsBlank="1" count="196">
        <s v="Soluciones Avanzadas de Ingeniería SAS"/>
        <s v="Constructora Conconcreto S.A."/>
        <s v="Diana Sirley Torres Escalona"/>
        <s v="William Hurtado"/>
        <s v="Consorcio Sistem IM3"/>
        <s v="ANKER CONSULTORIA Y CONSTRUCCION S A S"/>
        <s v="CONSTRUCCIONES Y SERVICIOS HERMAQUINAS LTDA"/>
        <s v="CORPORACION CLUB PAYANDÉ"/>
        <s v="CONSTRUCCIONES MONTAJES Y PARTES Electricas SAS"/>
        <s v="INDU B SAS"/>
        <s v="EUROMETRIC COLOMBIA LTDA "/>
        <s v="Grupo consultor Andino "/>
        <s v="Claudia Vargas"/>
        <s v="Comercializadora ERZ SAS"/>
        <s v="Maria del Pilar Alvarado Joya"/>
        <s v="IPROMEGA S.A.S."/>
        <s v="ww pack SAS"/>
        <s v="ASEO MOVIL URBANO SAS"/>
        <s v="SOFTESTING SAS "/>
        <s v="Coljuegos"/>
        <s v="SOLDMANT LTDA"/>
        <s v="Yuri Katerine Moya Castañeda"/>
        <s v="CONSTRUCTORA DE MARCAS S. A. S. "/>
        <s v="INVERSIONES FRANQUIHER S A S"/>
        <s v="Ladrillos Ochoa Limitada"/>
        <s v="SBS SEGUROS COLOMBIA S A "/>
        <s v="EZGO S A"/>
        <s v="Pro service Call center"/>
        <s v="Organizaciones Oliver SAS"/>
        <s v="BIOMETROMED SAS"/>
        <s v="HILVERDAFLORIST COLOMBIA S.A.S"/>
        <s v="Antonio Cely SAS"/>
        <s v="Inversiones Sajamib SAS"/>
        <s v="H &amp; S FRANQUICIAS SAS"/>
        <s v="HACIK SOLUCIONES INTEGRALES DE INGENIERIA SAS"/>
        <s v="TECNOLOGIA DE OFICINA S.A.S."/>
        <s v="NAVAR SOLUCIONES S.A.S"/>
        <s v="NAVAR CATERING SERVICES S.A.S ZOMAC"/>
        <s v="INVERSIONES MEDICAS DE ANTIOQUIA S.A"/>
        <s v="FUNDACION FERNANDO BORRERO CAICEDO"/>
        <s v="Procesos 2000 S.A.S."/>
        <s v="EVAL.COM CONSULTING SAS"/>
        <s v="BETA LOGISTIC SERVICES SAS"/>
        <s v="RENAL MEDICAL MARKETING LIMITADA"/>
        <s v="PRODUCTORA INTERAMERICANA DE PLASTICOS S.A.S."/>
        <s v="Arrigui Asociados SAS"/>
        <s v="WOLTA SAS"/>
        <s v="Aviatek SAS"/>
        <s v="BOCCHERINI S A "/>
        <s v="LACTEOS APPENZELL S.A.S"/>
        <s v="MICROSITIOS SAS"/>
        <s v="Universidad Santo tomas"/>
        <s v="ASOCIACION RED DE DEFENSORES Y DEFENSORAS DE DERECHOS HUMANOS "/>
        <s v="SERVIPETROLEOS S.A.S"/>
        <s v="PROYECTO COLOMBIA DIVERSA"/>
        <s v="SEQ CONSULTORES LTDA"/>
        <s v="PILYQ COLOMBIA S.A.S."/>
        <s v="Colegio Integrado Nacional Oriente de Caldas"/>
        <s v="PASTRY CHEF PASTELERIA Y COCINA GOURMET SAS"/>
        <s v="CONSTRUCCIONES CIVILES JMR S.A.S"/>
        <s v="K-2 INGENIERIA S.A.S."/>
        <s v="Liz Adriana Granados"/>
        <s v="MASTERLINE COLOMBIA SOCIEDAD POR ACCIONES SIMPLIFICADA"/>
        <s v="ENERGINN S.A.S"/>
        <s v="VUELTACANELA S.A.S"/>
        <s v="Fonseca Abogados Asesoria Empresarial SAS"/>
        <s v="ROCKETFY S.A.S."/>
        <s v="BARRO BLANCO FARMS SAS"/>
        <s v="FET GROUP SAS"/>
        <s v="HUTERCOL S.A.S."/>
        <s v="CAVACOR S.A.S"/>
        <s v="Banco de Bogota S.A."/>
        <s v="AXIOMATICA SOLUCIONES TECNOLOGICAS SAS"/>
        <s v="AUTOMOTORES LLANO GRANDE S. A."/>
        <s v="LC TALLER DE ESCULTURAS SAS"/>
        <s v="CONSTRUCCIONES Y AMBIENTE - CONAMBIENTE - S.A.S"/>
        <s v="LABORATORIO MAXPROTEC S.A.S."/>
        <s v="Colombiana de Envases Industriales S. A."/>
        <s v="CARNES FRIAS ITALIA SAS"/>
        <s v="QUICK HELP S.A.S"/>
        <s v="D&amp;G ASESORES LTDA"/>
        <s v="Inversiones Londoño Sepulveda S.A.S"/>
        <s v="STT Group sucursal colombia SA"/>
        <s v="BETA SERVICIOS TEMPORALES S A S"/>
        <s v="GRUPO S I E SAS"/>
        <s v="INSTRUMENTACION Y SOLUCIONES PARA LABORATORIO S A S"/>
        <s v="PACKVISION SAS"/>
        <s v="PATRIMONIOS AUTONOMOS FIDUCIARIA BANCOLOMBIA S A SOCIEDAD FIDUCIARIA"/>
        <s v="COEL INGENIERIA LTDA"/>
        <s v="TRANSPORTES ESPECIALES ALIADOS S.A.S"/>
        <s v="Terminales Automotrices SA"/>
        <s v="NATALIA GUARNIZO VARON"/>
        <s v="MEMCO SAS"/>
        <s v="HIPRA COLOMBIA SAS"/>
        <s v="ATECNO S.A.S"/>
        <s v="INSTITUCION EDUCATIVA LICEO LOS ANGELES"/>
        <s v="LILIANA MERCEDES ANDRADE SERRANO"/>
        <s v="INSTITUTO DISTRITAL DE CIENCIA, BIOTECNOLOGIA E INNOVACION EN SALUD"/>
        <s v="FEDERACION NACIONAL DE COMERCIANTES FENALCO SECCIONAL BOGOTA CUNDINAMARCA"/>
        <s v="INSUMOS VETERINARIOS Y FARMACEUTICOS DE COLOMBIA SAS"/>
        <s v="CONCESIONARIA DEL DESARROLLO VIAL DE LA SABANA"/>
        <s v="FORMADERAS Y CASETONES WP SAS"/>
        <s v="V2S COLOMBIA SAS"/>
        <s v="SUPPLYTEC SAS"/>
        <s v="MCCANN ERICKSON CORPORATION S A"/>
        <s v="COMERCIALIZADORA INTERNACIONAL DYNAMIC TRADING CORPORATION S.A.S"/>
        <s v="LABORATORIOS VIDA STEVIA SA"/>
        <s v="Megalinea S.A."/>
        <s v="CONPORTUARIO LTDA"/>
        <s v="CLEAN MAX SAS"/>
        <s v="SOLUCIONES INDUSTRIALES MONTERREY SAS"/>
        <s v="EXPRESS CLEAN LAVANDERIA"/>
        <s v="CHILLER PLANT SERVICES SAS"/>
        <s v="LUCTA GRANCOLOMBIA SAS"/>
        <s v="DIGITAL MEDIA TECHNOLOGIES COLOMBIA SAS"/>
        <s v="ETRA INTERANDINA SA"/>
        <s v="ROYCO SOLUCIONES SAS"/>
        <e v="#N/A"/>
        <s v="JALO RENT SAS "/>
        <s v="BBC HOLDING SAS"/>
        <s v="FIDEICOMISOS SOCIEDAD FIDUCIARIA DE OCCIDENTE SA"/>
        <s v="ALFONSO URIBE S &amp; CIA SA"/>
        <s v="VENTAS Y MARCAS SAS "/>
        <s v="RADIOLOGICAL PROTECTION SERVICES SAS"/>
        <s v="JALO HASHTAG 98 SAS"/>
        <s v="GENERAL RIKS SERVICES SAS "/>
        <s v="Walsom SAS"/>
        <s v="ALVEAR ESCOBAR ASOCIADOS S.A.S"/>
        <s v="INDUSTRIA COLOMBIANA DE PERFILES METALICOS S.A."/>
        <s v="TEXTRON S.A"/>
        <s v="GENUINE TECH SAS"/>
        <s v="LOGROS FACTORY COLOMBIA S.A"/>
        <s v="BP CAPITAL SAS "/>
        <s v="PURICOL LTDA"/>
        <s v="DEVISAB SAS "/>
        <s v="TBTB GLOBAL LAB SAS"/>
        <s v="STAFF SEGUROS AGENCIA LTDA"/>
        <s v="GB BARRETO Y CIA LTDA - ASESORES DE SEGUROS"/>
        <s v="FRIGOTAURUS SAS"/>
        <s v="ANTIADHERENTES Y MAQUINADOS ARIZAS SAS"/>
        <s v="ELKIN EDUARDO ORTIZ ORTIZ"/>
        <s v="ACTIVOS SAS"/>
        <s v="INDUSTRIAS Y SOLUCIONES METALMECANICAS COLOMBIA SAS"/>
        <s v="MARCEGAGLIA COLOMBIA SAS"/>
        <s v="FUNDACION DE EDUCACION SUPERIOR SAN JOSE FESSANJOSE"/>
        <s v="COMERCIALIZADORA HERREROS SAS"/>
        <s v="MAKRO RECICLAJES SAS"/>
        <s v="TKARGA SAS"/>
        <s v="B2B TAX LEGAL S.A.S. BIC"/>
        <s v="SUPPLYING TOTAL TALENT SAS"/>
        <s v="MELOS Y MELOS SAS"/>
        <s v="CUATRECASAS GONALVES PEREIRA SAS"/>
        <s v="QUALITY WATER SERVICE COLOMBIA SAS"/>
        <s v="COMPAÑIA DE SEGUROS BOLIVAR S A"/>
        <s v="SMART ENERGY SOLUTIONS SAS"/>
        <s v="HF DOTACIONES SAS"/>
        <s v="ECO DESIGN SERVICES SAS"/>
        <s v="CHOHO COLOMBIA SAS"/>
        <s v="BTG DE ANTIOQUIA"/>
        <s v="BIO ENDOSCOPE LTDA"/>
        <s v="AND TOPOGRAFIA E INGENIERIA SAS"/>
        <s v="CONTROLAR SALUD INTEGRAL SAS"/>
        <s v="SEGUROS CUBEROS LTDA"/>
        <s v="BLISTECO S.A.S."/>
        <s v="SIMTEC LB S.A.S."/>
        <s v="CHECOREPUESTOS S A S"/>
        <s v="AEQUALES SAS"/>
        <s v="CENTRO DE ATENCION E INVESTIGACION MEDICA S.A.S."/>
        <s v="CAVELIER ABOGADOS S.A.S."/>
        <s v="GENUINE LAB S.A.S."/>
        <s v="SOLUCIONES CREATIVAS Y TURÍSTICAS"/>
        <s v="GAMBLER GROUP S.A.S."/>
        <s v="BIENESTAR SEGUROS &amp; CIA LTDA"/>
        <s v="MARKET TEAM S.A.S."/>
        <s v="JIREH SHAMMAH SAS"/>
        <s v="VALGASIN SAS ESP"/>
        <s v="VORTICE S.A.S."/>
        <s v="DIPREM CO S.A.S."/>
        <s v="GEARFORM S.A.S."/>
        <s v="PROASCOL S.A."/>
        <s v="TISANAS ORQUIDEAS S.A.S."/>
        <s v="JUNTA NACIONAL DE CALIFICACION DE INVALIDEZ"/>
        <s v="EPITHINK HEALTH CONSULTING S.A.S."/>
        <s v="GREEN OAK SAS."/>
        <s v="HERRAMIENTAS UNIDAS S.A.S."/>
        <s v="AVAL VALOR COMPARTIDO S.A.S."/>
        <s v="CONSORCIO IM3 COLOMBIA S.A.S-SISTEM MELESUR COLOMBIA S.A.S" u="1"/>
        <s v="DICSON S.A." u="1"/>
        <s v="AND TOPOGRAFIA E INGENERIA S.A.S" u="1"/>
        <s v="STT Group sucursal colombia Sociedad anonima" u="1"/>
        <s v="Inversiones Sjamib SAS" u="1"/>
        <m u="1"/>
        <s v="Divisas Country" u="1"/>
        <s v="Megalinea" u="1"/>
        <s v="Inversnes Sjamib SAS" u="1"/>
        <s v="Antonio Cel y SAS" u="1"/>
      </sharedItems>
    </cacheField>
    <cacheField name="Tipo cliente" numFmtId="0">
      <sharedItems containsMixedTypes="1" containsNumber="1" containsInteger="1" minValue="0" maxValue="0"/>
    </cacheField>
    <cacheField name="Retiene IVA" numFmtId="0">
      <sharedItems containsBlank="1"/>
    </cacheField>
    <cacheField name="SUBTOTAL" numFmtId="172">
      <sharedItems containsMixedTypes="1" containsNumber="1" minValue="-26763084.84" maxValue="67903200"/>
    </cacheField>
    <cacheField name="IVA" numFmtId="172">
      <sharedItems containsBlank="1" containsMixedTypes="1" containsNumber="1" minValue="-5084986.1195999999" maxValue="12901608"/>
    </cacheField>
    <cacheField name="TOTAL" numFmtId="172">
      <sharedItems containsMixedTypes="1" containsNumber="1" minValue="-31848070.959600002" maxValue="80804808"/>
    </cacheField>
    <cacheField name="Valor pago" numFmtId="172">
      <sharedItems containsBlank="1" containsMixedTypes="1" containsNumber="1" minValue="0" maxValue="75565397.090000004"/>
    </cacheField>
    <cacheField name="Cartera" numFmtId="172">
      <sharedItems containsBlank="1" containsMixedTypes="1" containsNumber="1" minValue="-4718296" maxValue="24276000"/>
    </cacheField>
    <cacheField name="Saldo" numFmtId="172">
      <sharedItems containsMixedTypes="1" containsNumber="1" minValue="-31848070.959600002" maxValue="31848071.149999999"/>
    </cacheField>
    <cacheField name="Rete fte" numFmtId="172">
      <sharedItems containsMixedTypes="1" containsNumber="1" minValue="-2943939.3324000002" maxValue="7469352"/>
    </cacheField>
    <cacheField name="rete ica" numFmtId="172">
      <sharedItems containsMixedTypes="1" containsNumber="1" minValue="-258531.39955440001" maxValue="655944.91200000001"/>
    </cacheField>
    <cacheField name="Rete IVA" numFmtId="172">
      <sharedItems containsMixedTypes="1" containsNumber="1" minValue="0" maxValue="1935241.2"/>
    </cacheField>
    <cacheField name="Saldo Final" numFmtId="172">
      <sharedItems containsBlank="1" containsMixedTypes="1" containsNumber="1" minValue="-24403752" maxValue="24403752"/>
    </cacheField>
    <cacheField name="pagado" numFmtId="172">
      <sharedItems containsMixedTypes="1" containsNumber="1" minValue="-595000" maxValue="80804808"/>
    </cacheField>
    <cacheField name="OBSERVACIONES" numFmtId="0">
      <sharedItems containsBlank="1"/>
    </cacheField>
    <cacheField name="año FE" numFmtId="0">
      <sharedItems containsMixedTypes="1" containsNumber="1" containsInteger="1" minValue="2020" maxValue="2026" count="8">
        <n v="2021"/>
        <s v=""/>
        <n v="2020"/>
        <n v="2022"/>
        <n v="2023"/>
        <n v="2024"/>
        <n v="2025"/>
        <n v="2026"/>
      </sharedItems>
    </cacheField>
    <cacheField name="Año proforma" numFmtId="0">
      <sharedItems containsSemiMixedTypes="0" containsString="0" containsNumber="1" containsInteger="1" minValue="2020" maxValue="2026" count="7">
        <n v="2021"/>
        <n v="2020"/>
        <n v="2022"/>
        <n v="2023"/>
        <n v="2024"/>
        <n v="2025"/>
        <n v="2026"/>
      </sharedItems>
    </cacheField>
    <cacheField name="Meses2" numFmtId="0" databaseField="0">
      <fieldGroup base="4">
        <rangePr groupBy="months" startDate="2020-01-29T00:00:00" endDate="2026-03-05T00:00:00"/>
        <groupItems count="14">
          <s v="&lt;29/01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5/03/2026"/>
        </groupItems>
      </fieldGroup>
    </cacheField>
    <cacheField name="Meses" numFmtId="0" databaseField="0">
      <fieldGroup base="2">
        <rangePr groupBy="months" startDate="2020-01-29T00:00:00" endDate="2026-03-10T00:00:00"/>
        <groupItems count="14">
          <s v="&lt;29/01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0/0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jandro Leguizamo Leguizamo" refreshedDate="46092.506994560186" createdVersion="8" refreshedVersion="8" minRefreshableVersion="3" recordCount="722" xr:uid="{95EC79ED-9077-4EA0-9872-10C3DBC1B784}">
  <cacheSource type="worksheet">
    <worksheetSource ref="A1:H1712" sheet="Pagos"/>
  </cacheSource>
  <cacheFields count="11">
    <cacheField name="Codigo" numFmtId="0">
      <sharedItems containsString="0" containsBlank="1" containsNumber="1" containsInteger="1" minValue="1" maxValue="669"/>
    </cacheField>
    <cacheField name="Fecha" numFmtId="0">
      <sharedItems containsNonDate="0" containsDate="1" containsString="0" containsBlank="1" minDate="2020-01-09T00:00:00" maxDate="2026-03-06T00:00:00" count="485">
        <d v="2020-01-09T00:00:00"/>
        <d v="2020-02-04T00:00:00"/>
        <d v="2021-01-01T00:00:00"/>
        <d v="2021-01-06T00:00:00"/>
        <d v="2021-01-25T00:00:00"/>
        <d v="2021-02-17T00:00:00"/>
        <d v="2021-02-22T00:00:00"/>
        <d v="2021-03-05T00:00:00"/>
        <d v="2021-03-08T00:00:00"/>
        <d v="2021-03-12T00:00:00"/>
        <d v="2021-03-15T00:00:00"/>
        <d v="2021-03-19T00:00:00"/>
        <d v="2021-03-25T00:00:00"/>
        <d v="2021-03-27T00:00:00"/>
        <d v="2021-03-30T00:00:00"/>
        <d v="2021-03-31T00:00:00"/>
        <d v="2021-04-05T00:00:00"/>
        <d v="2021-04-06T00:00:00"/>
        <d v="2021-04-09T00:00:00"/>
        <d v="2021-05-01T00:00:00"/>
        <d v="2021-05-03T00:00:00"/>
        <d v="2021-05-07T00:00:00"/>
        <d v="2021-05-28T00:00:00"/>
        <d v="2021-06-01T00:00:00"/>
        <d v="2021-06-12T00:00:00"/>
        <d v="2021-06-15T00:00:00"/>
        <d v="2021-06-21T00:00:00"/>
        <d v="2021-06-22T00:00:00"/>
        <d v="2021-06-23T00:00:00"/>
        <d v="2021-06-24T00:00:00"/>
        <d v="2021-07-02T00:00:00"/>
        <d v="2021-07-07T00:00:00"/>
        <d v="2021-07-09T00:00:00"/>
        <d v="2021-07-13T00:00:00"/>
        <d v="2021-07-26T00:00:00"/>
        <d v="2021-07-28T00:00:00"/>
        <d v="2021-07-29T00:00:00"/>
        <d v="2021-07-30T00:00:00"/>
        <d v="2021-08-07T00:00:00"/>
        <d v="2021-08-19T00:00:00"/>
        <d v="2021-08-24T00:00:00"/>
        <d v="2021-08-27T00:00:00"/>
        <d v="2021-08-30T00:00:00"/>
        <d v="2021-09-03T00:00:00"/>
        <d v="2021-09-14T00:00:00"/>
        <d v="2021-09-15T00:00:00"/>
        <d v="2021-09-21T00:00:00"/>
        <d v="2021-09-22T00:00:00"/>
        <d v="2021-09-23T00:00:00"/>
        <d v="2021-09-24T00:00:00"/>
        <d v="2021-09-27T00:00:00"/>
        <d v="2021-09-28T00:00:00"/>
        <d v="2021-10-01T00:00:00"/>
        <d v="2021-10-05T00:00:00"/>
        <d v="2021-10-06T00:00:00"/>
        <d v="2021-10-08T00:00:00"/>
        <d v="2021-10-12T00:00:00"/>
        <d v="2021-10-14T00:00:00"/>
        <d v="2021-10-21T00:00:00"/>
        <d v="2021-10-27T00:00:00"/>
        <d v="2021-10-29T00:00:00"/>
        <d v="2021-11-05T00:00:00"/>
        <d v="2021-11-10T00:00:00"/>
        <d v="2021-11-11T00:00:00"/>
        <d v="2021-11-16T00:00:00"/>
        <d v="2021-11-17T00:00:00"/>
        <d v="2021-11-22T00:00:00"/>
        <d v="2021-11-23T00:00:00"/>
        <d v="2021-11-25T00:00:00"/>
        <d v="2021-12-01T00:00:00"/>
        <d v="2021-12-07T00:00:00"/>
        <d v="2021-12-09T00:00:00"/>
        <d v="2021-12-10T00:00:00"/>
        <d v="2021-12-11T00:00:00"/>
        <d v="2021-12-15T00:00:00"/>
        <d v="2021-12-16T00:00:00"/>
        <d v="2021-12-20T00:00:00"/>
        <d v="2021-12-22T00:00:00"/>
        <d v="2021-12-23T00:00:00"/>
        <d v="2021-12-24T00:00:00"/>
        <d v="2021-12-27T00:00:00"/>
        <d v="2021-12-30T00:00:00"/>
        <d v="2022-01-03T00:00:00"/>
        <d v="2022-01-04T00:00:00"/>
        <d v="2022-01-11T00:00:00"/>
        <d v="2022-01-17T00:00:00"/>
        <d v="2022-02-01T00:00:00"/>
        <d v="2022-02-02T00:00:00"/>
        <d v="2022-02-07T00:00:00"/>
        <d v="2022-02-08T00:00:00"/>
        <d v="2022-02-10T00:00:00"/>
        <d v="2022-02-11T00:00:00"/>
        <d v="2022-02-15T00:00:00"/>
        <d v="2022-02-19T00:00:00"/>
        <d v="2022-02-21T00:00:00"/>
        <d v="2022-02-22T00:00:00"/>
        <d v="2022-02-24T00:00:00"/>
        <d v="2022-03-02T00:00:00"/>
        <d v="2022-03-04T00:00:00"/>
        <d v="2022-03-08T00:00:00"/>
        <d v="2022-03-11T00:00:00"/>
        <d v="2022-03-14T00:00:00"/>
        <d v="2022-03-17T00:00:00"/>
        <d v="2022-03-24T00:00:00"/>
        <d v="2022-03-25T00:00:00"/>
        <d v="2022-03-31T00:00:00"/>
        <d v="2022-04-01T00:00:00"/>
        <d v="2022-04-02T00:00:00"/>
        <d v="2022-04-05T00:00:00"/>
        <d v="2022-04-07T00:00:00"/>
        <d v="2022-04-08T00:00:00"/>
        <d v="2022-04-21T00:00:00"/>
        <d v="2022-04-22T00:00:00"/>
        <d v="2022-04-27T00:00:00"/>
        <d v="2022-04-29T00:00:00"/>
        <d v="2022-05-02T00:00:00"/>
        <d v="2022-05-03T00:00:00"/>
        <d v="2022-05-04T00:00:00"/>
        <d v="2022-05-05T00:00:00"/>
        <d v="2022-05-06T00:00:00"/>
        <d v="2022-05-16T00:00:00"/>
        <d v="2022-05-17T00:00:00"/>
        <d v="2022-05-25T00:00:00"/>
        <d v="2022-05-31T00:00:00"/>
        <d v="2022-06-01T00:00:00"/>
        <d v="2022-06-03T00:00:00"/>
        <d v="2022-06-04T00:00:00"/>
        <d v="2022-06-07T00:00:00"/>
        <d v="2022-06-10T00:00:00"/>
        <d v="2022-06-13T00:00:00"/>
        <d v="2022-06-14T00:00:00"/>
        <d v="2022-06-15T00:00:00"/>
        <d v="2022-06-16T00:00:00"/>
        <d v="2022-06-20T00:00:00"/>
        <d v="2022-06-21T00:00:00"/>
        <d v="2022-06-25T00:00:00"/>
        <d v="2022-06-30T00:00:00"/>
        <d v="2022-07-05T00:00:00"/>
        <d v="2022-07-11T00:00:00"/>
        <d v="2022-07-14T00:00:00"/>
        <d v="2022-07-15T00:00:00"/>
        <d v="2022-07-25T00:00:00"/>
        <d v="2022-07-26T00:00:00"/>
        <d v="2022-07-28T00:00:00"/>
        <d v="2022-07-29T00:00:00"/>
        <d v="2022-08-10T00:00:00"/>
        <d v="2022-08-12T00:00:00"/>
        <d v="2022-08-23T00:00:00"/>
        <d v="2022-08-24T00:00:00"/>
        <d v="2022-08-25T00:00:00"/>
        <d v="2022-08-26T00:00:00"/>
        <d v="2022-08-29T00:00:00"/>
        <d v="2022-08-30T00:00:00"/>
        <d v="2022-09-01T00:00:00"/>
        <d v="2022-09-05T00:00:00"/>
        <d v="2022-09-06T00:00:00"/>
        <d v="2022-09-12T00:00:00"/>
        <d v="2022-09-13T00:00:00"/>
        <d v="2022-09-14T00:00:00"/>
        <d v="2022-09-15T00:00:00"/>
        <d v="2022-09-16T00:00:00"/>
        <d v="2022-09-17T00:00:00"/>
        <d v="2022-09-22T00:00:00"/>
        <d v="2022-09-23T00:00:00"/>
        <d v="2022-09-27T00:00:00"/>
        <d v="2022-09-28T00:00:00"/>
        <d v="2022-09-30T00:00:00"/>
        <d v="2022-10-03T00:00:00"/>
        <d v="2022-10-07T00:00:00"/>
        <d v="2022-10-10T00:00:00"/>
        <d v="2022-10-14T00:00:00"/>
        <d v="2022-10-19T00:00:00"/>
        <d v="2022-10-22T00:00:00"/>
        <d v="2022-10-24T00:00:00"/>
        <d v="2022-10-28T00:00:00"/>
        <d v="2022-11-01T00:00:00"/>
        <d v="2022-11-10T00:00:00"/>
        <d v="2022-11-11T00:00:00"/>
        <d v="2022-11-24T00:00:00"/>
        <d v="2022-11-25T00:00:00"/>
        <d v="2022-11-29T00:00:00"/>
        <d v="2022-12-02T00:00:00"/>
        <d v="2022-12-05T00:00:00"/>
        <d v="2022-12-06T00:00:00"/>
        <d v="2022-12-12T00:00:00"/>
        <d v="2022-12-16T00:00:00"/>
        <d v="2022-12-19T00:00:00"/>
        <d v="2022-12-20T00:00:00"/>
        <d v="2022-12-22T00:00:00"/>
        <d v="2022-12-23T00:00:00"/>
        <d v="2022-12-26T00:00:00"/>
        <d v="2022-12-27T00:00:00"/>
        <d v="2022-12-28T00:00:00"/>
        <d v="2023-01-02T00:00:00"/>
        <d v="2023-01-04T00:00:00"/>
        <d v="2023-01-09T00:00:00"/>
        <d v="2023-01-12T00:00:00"/>
        <d v="2023-01-16T00:00:00"/>
        <d v="2023-02-01T00:00:00"/>
        <d v="2023-02-15T00:00:00"/>
        <d v="2023-03-01T00:00:00"/>
        <d v="2023-03-02T00:00:00"/>
        <d v="2023-03-03T00:00:00"/>
        <d v="2023-03-10T00:00:00"/>
        <d v="2023-03-13T00:00:00"/>
        <d v="2023-03-15T00:00:00"/>
        <d v="2023-03-17T00:00:00"/>
        <d v="2025-03-21T00:00:00"/>
        <d v="2023-03-22T00:00:00"/>
        <d v="2023-03-24T00:00:00"/>
        <d v="2023-03-28T00:00:00"/>
        <d v="2023-03-29T00:00:00"/>
        <d v="2023-03-31T00:00:00"/>
        <d v="2023-04-12T00:00:00"/>
        <d v="2023-04-26T00:00:00"/>
        <d v="2023-05-03T00:00:00"/>
        <d v="2023-05-04T00:00:00"/>
        <d v="2023-05-09T00:00:00"/>
        <d v="2023-05-12T00:00:00"/>
        <d v="2023-05-15T00:00:00"/>
        <d v="2023-05-16T00:00:00"/>
        <d v="2023-05-18T00:00:00"/>
        <d v="2023-05-19T00:00:00"/>
        <d v="2023-05-24T00:00:00"/>
        <d v="2023-06-02T00:00:00"/>
        <d v="2023-06-08T00:00:00"/>
        <d v="2023-06-09T00:00:00"/>
        <d v="2023-06-13T00:00:00"/>
        <d v="2023-06-14T00:00:00"/>
        <d v="2023-06-16T00:00:00"/>
        <d v="2023-06-22T00:00:00"/>
        <d v="2023-06-27T00:00:00"/>
        <d v="2023-06-28T00:00:00"/>
        <d v="2023-07-13T00:00:00"/>
        <d v="2023-07-14T00:00:00"/>
        <d v="2023-07-24T00:00:00"/>
        <d v="2023-07-26T00:00:00"/>
        <d v="2023-07-27T00:00:00"/>
        <d v="2023-08-03T00:00:00"/>
        <d v="2023-08-10T00:00:00"/>
        <d v="2023-08-11T00:00:00"/>
        <d v="2023-08-16T00:00:00"/>
        <d v="2023-08-22T00:00:00"/>
        <d v="2023-08-24T00:00:00"/>
        <d v="2023-08-29T00:00:00"/>
        <d v="2023-08-31T00:00:00"/>
        <d v="2023-09-04T00:00:00"/>
        <d v="2023-09-08T00:00:00"/>
        <d v="2023-09-11T00:00:00"/>
        <d v="2023-09-12T00:00:00"/>
        <d v="2023-09-19T00:00:00"/>
        <d v="2023-09-20T00:00:00"/>
        <d v="2023-09-28T00:00:00"/>
        <d v="2023-10-04T00:00:00"/>
        <d v="2023-10-05T00:00:00"/>
        <d v="2023-10-17T00:00:00"/>
        <d v="2023-10-18T00:00:00"/>
        <d v="2023-10-20T00:00:00"/>
        <d v="2023-10-24T00:00:00"/>
        <d v="2023-10-25T00:00:00"/>
        <d v="2023-10-26T00:00:00"/>
        <d v="2023-11-03T00:00:00"/>
        <d v="2023-11-07T00:00:00"/>
        <d v="2023-11-14T00:00:00"/>
        <d v="2023-11-20T00:00:00"/>
        <d v="2023-11-27T00:00:00"/>
        <d v="2023-11-29T00:00:00"/>
        <d v="2023-11-30T00:00:00"/>
        <d v="2023-12-05T00:00:00"/>
        <d v="2023-12-08T00:00:00"/>
        <d v="2023-12-11T00:00:00"/>
        <d v="2023-12-14T00:00:00"/>
        <d v="2023-12-15T00:00:00"/>
        <d v="2023-12-18T00:00:00"/>
        <d v="2023-12-20T00:00:00"/>
        <d v="2023-12-21T00:00:00"/>
        <d v="2023-12-26T00:00:00"/>
        <d v="2023-12-27T00:00:00"/>
        <d v="2024-01-05T00:00:00"/>
        <d v="2024-01-23T00:00:00"/>
        <d v="2024-01-26T00:00:00"/>
        <d v="2024-02-14T00:00:00"/>
        <d v="2024-02-15T00:00:00"/>
        <d v="2024-02-16T00:00:00"/>
        <d v="2024-02-22T00:00:00"/>
        <d v="2024-02-23T00:00:00"/>
        <d v="2024-02-26T00:00:00"/>
        <d v="2024-02-29T00:00:00"/>
        <d v="2024-03-02T00:00:00"/>
        <d v="2024-03-06T00:00:00"/>
        <d v="2024-03-07T00:00:00"/>
        <d v="2024-03-08T00:00:00"/>
        <d v="2024-03-11T00:00:00"/>
        <d v="2024-03-12T00:00:00"/>
        <d v="2024-03-14T00:00:00"/>
        <d v="2024-03-15T00:00:00"/>
        <d v="2024-03-21T00:00:00"/>
        <d v="2024-03-22T00:00:00"/>
        <d v="2024-03-27T00:00:00"/>
        <d v="2024-04-05T00:00:00"/>
        <d v="2024-04-12T00:00:00"/>
        <d v="2024-04-15T00:00:00"/>
        <d v="2024-04-16T00:00:00"/>
        <d v="2024-04-22T00:00:00"/>
        <d v="2024-04-30T00:00:00"/>
        <d v="2024-05-03T00:00:00"/>
        <d v="2024-05-09T00:00:00"/>
        <d v="2024-05-10T00:00:00"/>
        <d v="2024-05-14T00:00:00"/>
        <d v="2024-05-22T00:00:00"/>
        <d v="2024-05-30T00:00:00"/>
        <d v="2024-05-31T00:00:00"/>
        <d v="2024-09-05T00:00:00"/>
        <d v="2024-09-10T00:00:00"/>
        <d v="2024-09-11T00:00:00"/>
        <d v="2024-06-05T00:00:00"/>
        <d v="2024-09-12T00:00:00"/>
        <d v="2024-09-16T00:00:00"/>
        <d v="2024-09-18T00:00:00"/>
        <d v="2024-09-19T00:00:00"/>
        <d v="2024-09-24T00:00:00"/>
        <d v="2024-09-26T00:00:00"/>
        <d v="2024-09-27T00:00:00"/>
        <d v="2024-06-20T00:00:00"/>
        <d v="2024-06-12T00:00:00"/>
        <d v="2024-06-13T00:00:00"/>
        <d v="2024-06-17T00:00:00"/>
        <d v="2024-06-18T00:00:00"/>
        <d v="2024-08-23T00:00:00"/>
        <d v="2024-06-24T00:00:00"/>
        <d v="2024-06-28T00:00:00"/>
        <d v="2024-07-05T00:00:00"/>
        <d v="2024-07-10T00:00:00"/>
        <d v="2024-07-14T00:00:00"/>
        <d v="2024-07-15T00:00:00"/>
        <d v="2024-07-22T00:00:00"/>
        <d v="2024-07-24T00:00:00"/>
        <d v="2024-07-25T00:00:00"/>
        <d v="2024-07-26T00:00:00"/>
        <d v="2024-07-29T00:00:00"/>
        <d v="2024-07-30T00:00:00"/>
        <d v="2024-08-09T00:00:00"/>
        <d v="2024-08-16T00:00:00"/>
        <d v="2024-08-21T00:00:00"/>
        <d v="2024-08-24T00:00:00"/>
        <d v="2024-08-26T00:00:00"/>
        <d v="2024-08-27T00:00:00"/>
        <d v="2024-08-29T00:00:00"/>
        <d v="2024-08-30T00:00:00"/>
        <d v="2024-10-08T00:00:00"/>
        <d v="2024-10-10T00:00:00"/>
        <d v="2024-10-17T00:00:00"/>
        <d v="2024-10-24T00:00:00"/>
        <d v="2024-10-29T00:00:00"/>
        <d v="2024-10-30T00:00:00"/>
        <d v="2024-11-01T00:00:00"/>
        <d v="2024-11-06T00:00:00"/>
        <d v="2024-11-07T00:00:00"/>
        <d v="2024-11-15T00:00:00"/>
        <d v="2024-11-22T00:00:00"/>
        <d v="2024-11-26T00:00:00"/>
        <d v="2024-11-27T00:00:00"/>
        <d v="2024-11-28T00:00:00"/>
        <d v="2024-12-05T00:00:00"/>
        <d v="2024-12-10T00:00:00"/>
        <d v="2024-12-12T00:00:00"/>
        <d v="2024-12-13T00:00:00"/>
        <d v="2024-12-17T00:00:00"/>
        <d v="2024-12-19T00:00:00"/>
        <d v="2024-12-31T00:00:00"/>
        <d v="2025-01-07T00:00:00"/>
        <d v="2025-01-09T00:00:00"/>
        <d v="2025-01-10T00:00:00"/>
        <d v="2025-01-13T00:00:00"/>
        <d v="2025-01-14T00:00:00"/>
        <d v="2025-01-16T00:00:00"/>
        <d v="2025-01-17T00:00:00"/>
        <d v="2025-01-22T00:00:00"/>
        <d v="2025-01-23T00:00:00"/>
        <d v="2025-01-24T00:00:00"/>
        <d v="2025-01-28T00:00:00"/>
        <d v="2025-01-30T00:00:00"/>
        <d v="2025-02-04T00:00:00"/>
        <d v="2025-02-05T00:00:00"/>
        <d v="2025-02-12T00:00:00"/>
        <d v="2025-02-20T00:00:00"/>
        <d v="2025-02-21T00:00:00"/>
        <d v="2025-02-22T00:00:00"/>
        <d v="2025-02-27T00:00:00"/>
        <d v="2025-03-11T00:00:00"/>
        <d v="2025-03-13T00:00:00"/>
        <d v="2025-03-20T00:00:00"/>
        <d v="2025-03-27T00:00:00"/>
        <d v="2025-04-11T00:00:00"/>
        <d v="2025-04-16T00:00:00"/>
        <d v="2025-04-25T00:00:00"/>
        <d v="2025-05-02T00:00:00"/>
        <d v="2025-05-05T00:00:00"/>
        <d v="2025-05-07T00:00:00"/>
        <d v="2025-05-12T00:00:00"/>
        <d v="2025-05-13T00:00:00"/>
        <d v="2025-05-16T00:00:00"/>
        <d v="2025-05-20T00:00:00"/>
        <d v="2025-05-21T00:00:00"/>
        <d v="2025-05-22T00:00:00"/>
        <d v="2025-05-23T00:00:00"/>
        <d v="2025-06-04T00:00:00"/>
        <d v="2025-06-05T00:00:00"/>
        <d v="2025-06-09T00:00:00"/>
        <d v="2025-06-19T00:00:00"/>
        <d v="2025-06-24T00:00:00"/>
        <d v="2025-06-25T00:00:00"/>
        <d v="2025-07-04T00:00:00"/>
        <d v="2025-07-22T00:00:00"/>
        <d v="2025-07-25T00:00:00"/>
        <d v="2025-07-28T00:00:00"/>
        <d v="2025-07-30T00:00:00"/>
        <d v="2025-07-31T00:00:00"/>
        <d v="2025-07-14T00:00:00"/>
        <d v="2025-08-01T00:00:00"/>
        <d v="2025-08-08T00:00:00"/>
        <d v="2025-08-14T00:00:00"/>
        <d v="2025-08-20T00:00:00"/>
        <d v="2025-08-21T00:00:00"/>
        <d v="2025-08-25T00:00:00"/>
        <d v="2025-08-29T00:00:00"/>
        <d v="2025-09-03T00:00:00"/>
        <d v="2025-09-09T00:00:00"/>
        <d v="2025-08-27T00:00:00"/>
        <d v="2025-09-10T00:00:00"/>
        <d v="2025-09-12T00:00:00"/>
        <d v="2025-09-13T00:00:00"/>
        <d v="2025-09-18T00:00:00"/>
        <d v="2025-09-29T00:00:00"/>
        <d v="2025-09-30T00:00:00"/>
        <d v="2025-09-26T00:00:00"/>
        <d v="2025-10-15T00:00:00"/>
        <d v="2025-10-10T00:00:00"/>
        <d v="2025-10-04T00:00:00"/>
        <d v="2025-10-03T00:00:00"/>
        <d v="2025-10-02T00:00:00"/>
        <d v="2025-10-29T00:00:00"/>
        <d v="2025-10-31T00:00:00"/>
        <d v="2025-10-06T00:00:00"/>
        <d v="2025-10-22T00:00:00"/>
        <d v="2025-10-23T00:00:00"/>
        <d v="2025-10-28T00:00:00"/>
        <d v="2025-10-30T00:00:00"/>
        <d v="2025-11-04T00:00:00"/>
        <d v="2025-11-06T00:00:00"/>
        <d v="2025-11-10T00:00:00"/>
        <d v="2025-11-12T00:00:00"/>
        <d v="2025-11-14T00:00:00"/>
        <d v="2025-11-18T00:00:00"/>
        <d v="2025-11-24T00:00:00"/>
        <d v="2025-11-27T00:00:00"/>
        <d v="2025-11-25T00:00:00"/>
        <d v="2025-12-02T00:00:00"/>
        <d v="2025-12-03T00:00:00"/>
        <d v="2025-12-04T00:00:00"/>
        <d v="2025-12-05T00:00:00"/>
        <d v="2025-12-11T00:00:00"/>
        <d v="2025-12-15T00:00:00"/>
        <d v="2025-12-19T00:00:00"/>
        <d v="2025-12-26T00:00:00"/>
        <d v="2025-12-30T00:00:00"/>
        <d v="2025-12-24T00:00:00"/>
        <d v="2026-01-02T00:00:00"/>
        <d v="2026-01-05T00:00:00"/>
        <d v="2026-01-08T00:00:00"/>
        <d v="2026-01-14T00:00:00"/>
        <d v="2026-01-16T00:00:00"/>
        <d v="2026-01-23T00:00:00"/>
        <d v="2026-01-21T00:00:00"/>
        <d v="2026-01-28T00:00:00"/>
        <d v="2026-01-31T00:00:00"/>
        <d v="2026-02-12T00:00:00"/>
        <d v="2026-02-13T00:00:00"/>
        <d v="2026-02-18T00:00:00"/>
        <d v="2026-02-19T00:00:00"/>
        <d v="2026-02-20T00:00:00"/>
        <d v="2026-02-26T00:00:00"/>
        <d v="2026-02-27T00:00:00"/>
        <d v="2026-03-05T00:00:00"/>
        <m/>
      </sharedItems>
      <fieldGroup par="10"/>
    </cacheField>
    <cacheField name="Valor" numFmtId="0">
      <sharedItems containsString="0" containsBlank="1" containsNumber="1" minValue="-52909.599999999999" maxValue="75565397.090000004"/>
    </cacheField>
    <cacheField name="Proforma" numFmtId="0">
      <sharedItems containsBlank="1" containsMixedTypes="1" containsNumber="1" containsInteger="1" minValue="0" maxValue="0"/>
    </cacheField>
    <cacheField name="Electronica" numFmtId="0">
      <sharedItems containsBlank="1" containsMixedTypes="1" containsNumber="1" containsInteger="1" minValue="0" maxValue="0"/>
    </cacheField>
    <cacheField name="Nombre" numFmtId="0">
      <sharedItems containsBlank="1"/>
    </cacheField>
    <cacheField name="observaciones" numFmtId="0">
      <sharedItems containsBlank="1" containsMixedTypes="1" containsNumber="1" containsInteger="1" minValue="231108" maxValue="7686222289"/>
    </cacheField>
    <cacheField name="Año" numFmtId="0">
      <sharedItems containsString="0" containsBlank="1" containsNumber="1" containsInteger="1" minValue="2020" maxValue="2026" count="8">
        <n v="2020"/>
        <n v="2021"/>
        <n v="2022"/>
        <n v="2023"/>
        <n v="2025"/>
        <n v="2024"/>
        <n v="2026"/>
        <m/>
      </sharedItems>
    </cacheField>
    <cacheField name="Meses (Fecha)" numFmtId="0" databaseField="0">
      <fieldGroup base="1">
        <rangePr groupBy="months" startDate="2020-01-09T00:00:00" endDate="2026-03-06T00:00:00"/>
        <groupItems count="14">
          <s v="&lt;09/01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6/03/2026"/>
        </groupItems>
      </fieldGroup>
    </cacheField>
    <cacheField name="Trimestres (Fecha)" numFmtId="0" databaseField="0">
      <fieldGroup base="1">
        <rangePr groupBy="quarters" startDate="2020-01-09T00:00:00" endDate="2026-03-06T00:00:00"/>
        <groupItems count="6">
          <s v="&lt;09/01/2020"/>
          <s v="Trim.1"/>
          <s v="Trim.2"/>
          <s v="Trim.3"/>
          <s v="Trim.4"/>
          <s v="&gt;06/03/2026"/>
        </groupItems>
      </fieldGroup>
    </cacheField>
    <cacheField name="Años (Fecha)" numFmtId="0" databaseField="0">
      <fieldGroup base="1">
        <rangePr groupBy="years" startDate="2020-01-09T00:00:00" endDate="2026-03-06T00:00:00"/>
        <groupItems count="9">
          <s v="&lt;09/01/2020"/>
          <s v="2020"/>
          <s v="2021"/>
          <s v="2022"/>
          <s v="2023"/>
          <s v="2024"/>
          <s v="2025"/>
          <s v="2026"/>
          <s v="&gt;06/0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">
  <r>
    <n v="1"/>
    <s v="TIS-1008"/>
    <x v="0"/>
    <s v="TIS-1010"/>
    <s v="Soluciones Avanzadas de Ingeniería SAS"/>
    <x v="0"/>
    <s v="04"/>
    <x v="0"/>
    <m/>
    <n v="1"/>
    <n v="480000"/>
    <m/>
    <n v="480000"/>
    <n v="91200"/>
    <n v="571200"/>
  </r>
  <r>
    <n v="2"/>
    <n v="0"/>
    <x v="0"/>
    <s v="NC1"/>
    <s v="Constructora Conconcreto S.A."/>
    <x v="1"/>
    <s v="02"/>
    <x v="1"/>
    <m/>
    <n v="900"/>
    <n v="300"/>
    <m/>
    <n v="-270000"/>
    <n v="-51300"/>
    <n v="-321300"/>
  </r>
  <r>
    <n v="2"/>
    <n v="0"/>
    <x v="0"/>
    <s v="NC1"/>
    <s v="Constructora Conconcreto S.A."/>
    <x v="1"/>
    <n v="11"/>
    <x v="2"/>
    <m/>
    <n v="1"/>
    <n v="20000"/>
    <m/>
    <n v="-20000"/>
    <n v="0"/>
    <n v="-20000"/>
  </r>
  <r>
    <n v="3"/>
    <n v="0"/>
    <x v="0"/>
    <s v="TIS-1007"/>
    <s v="Constructora Conconcreto S.A."/>
    <x v="1"/>
    <s v="02"/>
    <x v="1"/>
    <m/>
    <n v="900"/>
    <n v="300"/>
    <m/>
    <n v="270000"/>
    <n v="51300"/>
    <n v="321300"/>
  </r>
  <r>
    <n v="3"/>
    <n v="0"/>
    <x v="0"/>
    <s v="TIS-1007"/>
    <s v="Constructora Conconcreto S.A."/>
    <x v="1"/>
    <n v="11"/>
    <x v="2"/>
    <m/>
    <n v="1"/>
    <n v="20000"/>
    <m/>
    <n v="20000"/>
    <n v="0"/>
    <n v="20000"/>
  </r>
  <r>
    <n v="4"/>
    <s v="TIS-1007"/>
    <x v="0"/>
    <s v="TIS-1008"/>
    <s v="Constructora Conconcreto S.A."/>
    <x v="0"/>
    <s v="02"/>
    <x v="1"/>
    <m/>
    <n v="900"/>
    <n v="300"/>
    <m/>
    <n v="270000"/>
    <n v="51300"/>
    <n v="321300"/>
  </r>
  <r>
    <n v="4"/>
    <s v="TIS-1007"/>
    <x v="0"/>
    <s v="TIS-1008"/>
    <s v="Constructora Conconcreto S.A."/>
    <x v="0"/>
    <n v="11"/>
    <x v="2"/>
    <m/>
    <n v="1"/>
    <n v="20000"/>
    <m/>
    <n v="20000"/>
    <n v="0"/>
    <n v="20000"/>
  </r>
  <r>
    <n v="5"/>
    <s v="TIS-1009"/>
    <x v="1"/>
    <s v="TIS-1024"/>
    <s v="Diana Sirley Torres Escalona"/>
    <x v="0"/>
    <s v="08"/>
    <x v="3"/>
    <m/>
    <n v="1"/>
    <n v="1500000"/>
    <m/>
    <n v="1500000"/>
    <n v="0"/>
    <n v="1500000"/>
  </r>
  <r>
    <n v="6"/>
    <s v="TIS-1011"/>
    <x v="2"/>
    <s v="TIS-1009"/>
    <s v="William Hurtado"/>
    <x v="0"/>
    <s v="01"/>
    <x v="4"/>
    <s v="Asignación de profesional, Papeleria y documentación necesaria. Formas A y B de acuerdo con la normatividad y perfil del colaborador. Entrega de informe final."/>
    <n v="41"/>
    <n v="20000"/>
    <m/>
    <n v="820000"/>
    <n v="155800"/>
    <n v="975800"/>
  </r>
  <r>
    <n v="7"/>
    <s v="TIS-1012"/>
    <x v="2"/>
    <s v="TIS-1016"/>
    <s v="Consorcio Sistem IM3"/>
    <x v="0"/>
    <s v="01"/>
    <x v="4"/>
    <s v="Asignación de profesional, Papeleria y documentación necesaria. Formas A y B de acuerdo con la normatividad y perfil del colaborador. Entrega de informe final."/>
    <n v="21"/>
    <n v="15000"/>
    <m/>
    <n v="315000"/>
    <n v="59850"/>
    <n v="374850"/>
  </r>
  <r>
    <n v="8"/>
    <s v="TIS-1013"/>
    <x v="3"/>
    <s v="TIS-1013"/>
    <s v="ANKER CONSULTORIA Y CONSTRUCCION S A S"/>
    <x v="0"/>
    <s v="01"/>
    <x v="4"/>
    <s v="Asignación de profesional, Papeleria y documentación necesaria. Formas A y B de acuerdo con la normatividad y perfil del colaborador. Entrega de informe final."/>
    <n v="20"/>
    <n v="25000"/>
    <m/>
    <n v="500000"/>
    <n v="95000"/>
    <n v="595000"/>
  </r>
  <r>
    <n v="9"/>
    <s v="P-1019"/>
    <x v="4"/>
    <s v="TIS-1011"/>
    <s v="CONSTRUCCIONES Y SERVICIOS HERMAQUINAS LTDA"/>
    <x v="0"/>
    <s v="01"/>
    <x v="4"/>
    <s v="Asignación de profesional, Papeleria y documentación necesaria. Formas A y B de acuerdo con la normatividad y perfil del colaborador. Entrega de informe final."/>
    <n v="14"/>
    <n v="20000"/>
    <m/>
    <n v="280000"/>
    <n v="53200"/>
    <n v="333200"/>
  </r>
  <r>
    <n v="10"/>
    <s v="TIS-1014"/>
    <x v="5"/>
    <s v="TIS-1019"/>
    <s v="CORPORACION CLUB PAYANDÉ"/>
    <x v="0"/>
    <s v="01"/>
    <x v="4"/>
    <s v="Asignación de profesional, Papeleria y documentación necesaria. Formas A y B de acuerdo con la normatividad y perfil del colaborador. Entrega de informe final."/>
    <n v="143"/>
    <n v="16454.133000000002"/>
    <m/>
    <n v="2352941.0190000003"/>
    <n v="447058.79361000005"/>
    <n v="2799999.8126100004"/>
  </r>
  <r>
    <n v="11"/>
    <s v="TIS-1015"/>
    <x v="5"/>
    <s v="TIS-1018"/>
    <s v="CONSTRUCCIONES MONTAJES Y PARTES Electricas SAS"/>
    <x v="0"/>
    <s v="01"/>
    <x v="4"/>
    <s v="Asignación de profesional, Papeleria y documentación necesaria. Formas A y B de acuerdo con la normatividad y perfil del colaborador. Entrega de informe final."/>
    <n v="15"/>
    <n v="22000"/>
    <m/>
    <n v="330000"/>
    <n v="62700"/>
    <n v="392700"/>
  </r>
  <r>
    <n v="12"/>
    <n v="0"/>
    <x v="5"/>
    <s v="NC2"/>
    <s v="INDU B SAS"/>
    <x v="1"/>
    <s v="01"/>
    <x v="4"/>
    <s v="Asignación de profesional, Papeleria y documentación necesaria. Formas A y B de acuerdo con la normatividad y perfil del colaborador. Entrega de informe final."/>
    <n v="63"/>
    <n v="16000"/>
    <m/>
    <n v="-1008000"/>
    <n v="-191520"/>
    <n v="-1199520"/>
  </r>
  <r>
    <n v="13"/>
    <s v="TIS-1016"/>
    <x v="6"/>
    <s v="TIS-1014"/>
    <s v="EUROMETRIC COLOMBIA LTDA "/>
    <x v="0"/>
    <s v="05"/>
    <x v="5"/>
    <m/>
    <n v="2"/>
    <n v="160000"/>
    <m/>
    <n v="320000"/>
    <n v="60800"/>
    <n v="380800"/>
  </r>
  <r>
    <n v="14"/>
    <s v="TIS-1017"/>
    <x v="7"/>
    <s v="Tis-1020"/>
    <s v="Grupo consultor Andino "/>
    <x v="0"/>
    <s v="01"/>
    <x v="4"/>
    <s v="Asignación de profesional, Papeleria y documentación necesaria. Formas A y B de acuerdo con la normatividad y perfil del colaborador. Entrega de informe final."/>
    <n v="129"/>
    <n v="18000"/>
    <m/>
    <n v="2322000"/>
    <n v="441180"/>
    <n v="2763180"/>
  </r>
  <r>
    <n v="15"/>
    <s v="TIS-1018"/>
    <x v="7"/>
    <n v="0"/>
    <s v="Claudia Vargas"/>
    <x v="0"/>
    <s v="08"/>
    <x v="3"/>
    <m/>
    <n v="1"/>
    <n v="1200000"/>
    <m/>
    <n v="1200000"/>
    <n v="0"/>
    <n v="1200000"/>
  </r>
  <r>
    <n v="16"/>
    <s v="P-1018"/>
    <x v="7"/>
    <s v="TIS-1012"/>
    <s v="INDU B SAS"/>
    <x v="0"/>
    <s v="01"/>
    <x v="4"/>
    <s v="Asignación de profesional, Papeleria y documentación necesaria. Formas A y B de acuerdo con la normatividad y perfil del colaborador. Entrega de informe final."/>
    <n v="220"/>
    <n v="16000"/>
    <m/>
    <n v="3520000"/>
    <n v="668800"/>
    <n v="4188800"/>
  </r>
  <r>
    <n v="17"/>
    <s v="P-1017"/>
    <x v="7"/>
    <s v="TIS-1015"/>
    <s v="Comercializadora ERZ SAS"/>
    <x v="0"/>
    <s v="06"/>
    <x v="6"/>
    <m/>
    <n v="2"/>
    <n v="220000"/>
    <m/>
    <n v="440000"/>
    <n v="83600"/>
    <n v="523600"/>
  </r>
  <r>
    <n v="18"/>
    <n v="0"/>
    <x v="7"/>
    <s v="NC3"/>
    <s v="INDU B SAS"/>
    <x v="1"/>
    <s v="01"/>
    <x v="4"/>
    <s v="Asignación de profesional, Papeleria y documentación necesaria. Formas A y B de acuerdo con la normatividad y perfil del colaborador. Entrega de informe final."/>
    <n v="220"/>
    <n v="16000"/>
    <m/>
    <n v="-3520000"/>
    <n v="-668800"/>
    <n v="-4188800"/>
  </r>
  <r>
    <n v="19"/>
    <s v="TIS-1019"/>
    <x v="8"/>
    <s v="TIS-1022"/>
    <s v="Consorcio Sistem IM3"/>
    <x v="0"/>
    <s v="01"/>
    <x v="4"/>
    <s v="Asignación de profesional, Papeleria y documentación necesaria. Formas A y B de acuerdo con la normatividad y perfil del colaborador. Entrega de informe final."/>
    <n v="9"/>
    <n v="25000"/>
    <m/>
    <n v="225000"/>
    <n v="42750"/>
    <n v="267750"/>
  </r>
  <r>
    <n v="20"/>
    <s v="P-1016"/>
    <x v="9"/>
    <s v="TIS-1017"/>
    <s v="Maria del Pilar Alvarado Joya"/>
    <x v="0"/>
    <s v="07"/>
    <x v="7"/>
    <s v="CAPACITACIONES Y_x000a_ACOMPAÑAMIENTO VIRTUAL SOBRE_x000a_SST PARA CLIENTES (Marzo) "/>
    <n v="1"/>
    <n v="900000"/>
    <m/>
    <n v="900000"/>
    <n v="0"/>
    <n v="900000"/>
  </r>
  <r>
    <n v="21"/>
    <n v="0"/>
    <x v="10"/>
    <s v="NC4"/>
    <s v="ANKER CONSULTORIA Y CONSTRUCCION S A S"/>
    <x v="0"/>
    <s v="01"/>
    <x v="4"/>
    <s v="Asignación de profesional, Papeleria y documentación necesaria. Formas A y B de acuerdo con la normatividad y perfil del colaborador. Entrega de informe final."/>
    <n v="1"/>
    <n v="25000"/>
    <m/>
    <n v="-25000"/>
    <n v="-4750"/>
    <n v="-29750"/>
  </r>
  <r>
    <n v="22"/>
    <s v="P-1020"/>
    <x v="11"/>
    <s v="TIS-1026"/>
    <s v="IPROMEGA S.A.S."/>
    <x v="0"/>
    <s v="01"/>
    <x v="4"/>
    <s v="Asignación de profesional, Papeleria y documentación necesaria. Formas A y B de acuerdo con la normatividad y perfil del colaborador. Entrega de informe final."/>
    <n v="14"/>
    <n v="30000"/>
    <m/>
    <n v="420000"/>
    <n v="79800"/>
    <n v="499800"/>
  </r>
  <r>
    <n v="23"/>
    <s v="P-1021"/>
    <x v="12"/>
    <s v="Tis-1030"/>
    <s v="Maria del Pilar Alvarado Joya"/>
    <x v="0"/>
    <s v="07"/>
    <x v="7"/>
    <s v="CAPACITACIONES Y_x000a_ACOMPAÑAMIENTO VIRTUAL SOBRE_x000a_SST PARA CLIENTES (Abril y Mayo) "/>
    <n v="1"/>
    <n v="900000"/>
    <m/>
    <n v="900000"/>
    <n v="0"/>
    <n v="900000"/>
  </r>
  <r>
    <n v="24"/>
    <s v="P-1022"/>
    <x v="12"/>
    <s v="Tis-1056"/>
    <s v="ww pack SAS"/>
    <x v="0"/>
    <s v="01"/>
    <x v="4"/>
    <s v="Asignación de profesional, Papeleria y documentación necesaria. Formas A y B de acuerdo con la normatividad y perfil del colaborador. Entrega de informe final."/>
    <n v="39"/>
    <n v="25000"/>
    <m/>
    <n v="975000"/>
    <n v="185250"/>
    <n v="1160250"/>
  </r>
  <r>
    <n v="24"/>
    <s v="P-1022"/>
    <x v="12"/>
    <s v="Tis-1056"/>
    <s v="ww pack SAS"/>
    <x v="0"/>
    <n v="11"/>
    <x v="2"/>
    <m/>
    <n v="1"/>
    <n v="93210"/>
    <m/>
    <n v="93210"/>
    <n v="0"/>
    <n v="93210"/>
  </r>
  <r>
    <n v="24"/>
    <s v="P-1022"/>
    <x v="12"/>
    <s v="Tis-1056"/>
    <s v="ww pack SAS"/>
    <x v="0"/>
    <n v="12"/>
    <x v="8"/>
    <m/>
    <n v="1"/>
    <n v="70000"/>
    <m/>
    <n v="70000"/>
    <n v="0"/>
    <n v="70000"/>
  </r>
  <r>
    <n v="25"/>
    <s v="P-1015"/>
    <x v="13"/>
    <s v="Tis-1021"/>
    <s v="Comercializadora ERZ SAS"/>
    <x v="0"/>
    <s v="06"/>
    <x v="6"/>
    <m/>
    <n v="1"/>
    <n v="220000"/>
    <m/>
    <n v="220000"/>
    <n v="41800"/>
    <n v="261800"/>
  </r>
  <r>
    <n v="26"/>
    <s v="P-1023"/>
    <x v="14"/>
    <s v="TIS-1006"/>
    <s v="ASEO MOVIL URBANO SAS"/>
    <x v="0"/>
    <s v="01"/>
    <x v="4"/>
    <s v="Asignación de profesional, Papeleria y documentación necesaria. Formas A y B de acuerdo con la normatividad y perfil del colaborador. Entrega de informe final."/>
    <n v="62"/>
    <n v="18000"/>
    <m/>
    <n v="1116000"/>
    <n v="212040"/>
    <n v="1328040"/>
  </r>
  <r>
    <n v="27"/>
    <s v="P-1024"/>
    <x v="15"/>
    <s v="TIS-1025"/>
    <s v="SOFTESTING SAS "/>
    <x v="0"/>
    <s v="01"/>
    <x v="4"/>
    <s v="Asignación de profesional, Papeleria y documentación necesaria. Formas A y B de acuerdo con la normatividad y perfil del colaborador. Entrega de informe final."/>
    <n v="34"/>
    <n v="20000"/>
    <m/>
    <n v="680000"/>
    <n v="129200"/>
    <n v="809200"/>
  </r>
  <r>
    <n v="28"/>
    <n v="0"/>
    <x v="16"/>
    <s v="NC5"/>
    <s v="Coljuegos"/>
    <x v="1"/>
    <s v="01"/>
    <x v="4"/>
    <s v="Asignación de profesional, Papeleria y documentación necesaria. Formas A y B de acuerdo con la normatividad y perfil del colaborador. Entrega de informe final."/>
    <n v="181"/>
    <n v="25000"/>
    <m/>
    <n v="-4525000"/>
    <n v="-859750"/>
    <n v="-5384750"/>
  </r>
  <r>
    <n v="29"/>
    <e v="#N/A"/>
    <x v="17"/>
    <e v="#N/A"/>
    <e v="#N/A"/>
    <x v="2"/>
    <s v="01"/>
    <x v="4"/>
    <s v="Asignación de profesional, Papeleria y documentación necesaria. Formas A y B de acuerdo con la normatividad y perfil del colaborador. Entrega de informe final."/>
    <n v="6"/>
    <n v="95000"/>
    <m/>
    <e v="#N/A"/>
    <n v="0"/>
    <e v="#N/A"/>
  </r>
  <r>
    <n v="30"/>
    <s v="P-1014"/>
    <x v="16"/>
    <s v="TIS-1027"/>
    <s v="Constructora Conconcreto S.A."/>
    <x v="0"/>
    <s v="02"/>
    <x v="1"/>
    <m/>
    <n v="300"/>
    <n v="300"/>
    <m/>
    <n v="90000"/>
    <n v="17100"/>
    <n v="107100"/>
  </r>
  <r>
    <n v="30"/>
    <s v="P-1014"/>
    <x v="16"/>
    <s v="TIS-1027"/>
    <s v="Constructora Conconcreto S.A."/>
    <x v="0"/>
    <n v="11"/>
    <x v="2"/>
    <m/>
    <n v="1"/>
    <n v="20000"/>
    <m/>
    <n v="20000"/>
    <n v="0"/>
    <n v="20000"/>
  </r>
  <r>
    <n v="31"/>
    <s v="P-1013"/>
    <x v="16"/>
    <s v="TIS-1028"/>
    <s v="Coljuegos"/>
    <x v="0"/>
    <s v="01"/>
    <x v="4"/>
    <s v="Asignación de profesional, Papeleria y documentación necesaria. Formas A y B de acuerdo con la normatividad y perfil del colaborador. Entrega de informe final."/>
    <n v="181"/>
    <n v="25000"/>
    <m/>
    <n v="4525000"/>
    <n v="859750"/>
    <n v="5384750"/>
  </r>
  <r>
    <n v="32"/>
    <s v="P-1025"/>
    <x v="18"/>
    <s v="TIS-1029"/>
    <s v="EUROMETRIC COLOMBIA LTDA "/>
    <x v="0"/>
    <s v="05"/>
    <x v="5"/>
    <m/>
    <n v="2"/>
    <n v="135000"/>
    <m/>
    <n v="270000"/>
    <n v="51300"/>
    <n v="321300"/>
  </r>
  <r>
    <n v="33"/>
    <s v="P-1026"/>
    <x v="19"/>
    <s v="TIS-1051"/>
    <s v="Yuri Katerine Moya Castañeda"/>
    <x v="0"/>
    <s v="08"/>
    <x v="3"/>
    <m/>
    <n v="1"/>
    <n v="1200000"/>
    <m/>
    <n v="1200000"/>
    <n v="0"/>
    <n v="1200000"/>
  </r>
  <r>
    <n v="34"/>
    <s v="P-1027"/>
    <x v="19"/>
    <s v="TIS-1036"/>
    <s v="CONSTRUCTORA DE MARCAS S. A. S. "/>
    <x v="0"/>
    <s v="01"/>
    <x v="4"/>
    <s v="Asignación de profesional, Papeleria y documentación necesaria. Formas A y B de acuerdo con la normatividad y perfil del colaborador. Entrega de informe final."/>
    <n v="41"/>
    <n v="20000"/>
    <m/>
    <n v="820000"/>
    <n v="155800"/>
    <n v="975800"/>
  </r>
  <r>
    <n v="35"/>
    <s v="P-1028"/>
    <x v="19"/>
    <s v="TIS-1037"/>
    <s v="INVERSIONES FRANQUIHER S A S"/>
    <x v="0"/>
    <s v="01"/>
    <x v="4"/>
    <s v="Asignación de profesional, Papeleria y documentación necesaria. Formas A y B de acuerdo con la normatividad y perfil del colaborador. Entrega de informe final."/>
    <n v="100"/>
    <n v="17500"/>
    <m/>
    <n v="1750000"/>
    <n v="332500"/>
    <n v="2082500"/>
  </r>
  <r>
    <n v="35"/>
    <s v="P-1028"/>
    <x v="19"/>
    <s v="TIS-1037"/>
    <s v="INVERSIONES FRANQUIHER S A S"/>
    <x v="0"/>
    <s v="09"/>
    <x v="9"/>
    <m/>
    <n v="10"/>
    <n v="235000"/>
    <m/>
    <n v="2350000"/>
    <n v="446500"/>
    <n v="2796500"/>
  </r>
  <r>
    <n v="35"/>
    <s v="P-1028"/>
    <x v="19"/>
    <s v="TIS-1037"/>
    <s v="INVERSIONES FRANQUIHER S A S"/>
    <x v="0"/>
    <s v="04"/>
    <x v="0"/>
    <m/>
    <n v="10"/>
    <n v="85000"/>
    <m/>
    <n v="850000"/>
    <n v="161500"/>
    <n v="1011500"/>
  </r>
  <r>
    <n v="36"/>
    <s v="P-1029"/>
    <x v="20"/>
    <s v="Tis-1040"/>
    <s v="Comercializadora ERZ SAS"/>
    <x v="0"/>
    <s v="06"/>
    <x v="6"/>
    <m/>
    <n v="1"/>
    <n v="220000"/>
    <m/>
    <n v="220000"/>
    <n v="41800"/>
    <n v="261800"/>
  </r>
  <r>
    <n v="36"/>
    <s v="P-1029"/>
    <x v="20"/>
    <s v="Tis-1040"/>
    <s v="Comercializadora ERZ SAS"/>
    <x v="0"/>
    <s v="06"/>
    <x v="6"/>
    <m/>
    <n v="1"/>
    <n v="220000"/>
    <m/>
    <n v="220000"/>
    <n v="41800"/>
    <n v="261800"/>
  </r>
  <r>
    <n v="38"/>
    <s v="P-1058"/>
    <x v="21"/>
    <s v="Tis-1060"/>
    <s v="Ladrillos Ochoa Limitada"/>
    <x v="0"/>
    <s v="04"/>
    <x v="0"/>
    <s v="Método de estudio para determinar las exigencias del trabajo y las aptitudes mínimas para su desempeño"/>
    <n v="7"/>
    <n v="80000"/>
    <n v="56000"/>
    <n v="504000"/>
    <n v="95760"/>
    <n v="599760"/>
  </r>
  <r>
    <n v="37"/>
    <s v="P-1039"/>
    <x v="22"/>
    <s v="Tis-1042"/>
    <s v="Comercializadora ERZ SAS"/>
    <x v="0"/>
    <s v="01"/>
    <x v="4"/>
    <s v="Asignación de profesional, Papeleria y documentación necesaria. Formas A y B de acuerdo con la normatividad y perfil del colaborador. Entrega de informe final."/>
    <n v="20"/>
    <n v="23000"/>
    <m/>
    <n v="460000"/>
    <n v="87400"/>
    <n v="547400"/>
  </r>
  <r>
    <n v="39"/>
    <s v="P-1031"/>
    <x v="23"/>
    <s v="Tis-1061"/>
    <s v="SBS SEGUROS COLOMBIA S A "/>
    <x v="0"/>
    <n v="12"/>
    <x v="8"/>
    <s v="Perdida14 kits Indemnisable todo_x000a_Riesgo Clausulada"/>
    <n v="1"/>
    <n v="761600"/>
    <m/>
    <n v="761600"/>
    <n v="0"/>
    <n v="761600"/>
  </r>
  <r>
    <n v="40"/>
    <s v="P-1033"/>
    <x v="23"/>
    <s v="Tis-1043"/>
    <s v="EZGO S A"/>
    <x v="0"/>
    <s v="01"/>
    <x v="4"/>
    <s v="Asignación de profesional, Papeleria y documentación necesaria. Formas A y B de acuerdo con la normatividad y perfil del colaborador. Entrega de informe final."/>
    <n v="26"/>
    <n v="25000"/>
    <m/>
    <n v="650000"/>
    <n v="123500"/>
    <n v="773500"/>
  </r>
  <r>
    <n v="41"/>
    <s v="P-1032"/>
    <x v="24"/>
    <s v="TIS-1033"/>
    <s v="Maria del Pilar Alvarado Joya"/>
    <x v="0"/>
    <s v="07"/>
    <x v="7"/>
    <s v="CAPACITACIONES Y_x000a_ACOMPAÑAMIENTO VIRTUAL SOBRE_x000a_SST PARA CLIENTES (Junio) "/>
    <n v="1"/>
    <n v="900000"/>
    <m/>
    <n v="900000"/>
    <n v="0"/>
    <n v="900000"/>
  </r>
  <r>
    <n v="42"/>
    <s v="P-1024"/>
    <x v="25"/>
    <s v="TIS-1032"/>
    <s v="Pro service Call center"/>
    <x v="0"/>
    <s v="04"/>
    <x v="0"/>
    <m/>
    <n v="150"/>
    <n v="19000"/>
    <m/>
    <n v="2850000"/>
    <n v="541500"/>
    <n v="3391500"/>
  </r>
  <r>
    <n v="43"/>
    <s v="P-1034"/>
    <x v="26"/>
    <s v="TIS-1035"/>
    <s v="Organizaciones Oliver SAS"/>
    <x v="0"/>
    <s v="01"/>
    <x v="4"/>
    <s v="Asignación de profesional, Papeleria y documentación necesaria. Formas A y B de acuerdo con la normatividad y perfil del colaborador. Entrega de informe final."/>
    <n v="16"/>
    <n v="25000"/>
    <m/>
    <n v="400000"/>
    <n v="76000"/>
    <n v="476000"/>
  </r>
  <r>
    <n v="44"/>
    <s v="P-1011"/>
    <x v="27"/>
    <s v="TIS-1034"/>
    <s v="BIOMETROMED SAS"/>
    <x v="0"/>
    <s v="01"/>
    <x v="4"/>
    <s v="Asignación de profesional, Papeleria y documentación necesaria. Formas A y B de acuerdo con la normatividad y perfil del colaborador. Entrega de informe final."/>
    <n v="5"/>
    <n v="40000"/>
    <m/>
    <n v="200000"/>
    <n v="38000"/>
    <n v="238000"/>
  </r>
  <r>
    <n v="45"/>
    <s v="P-1035"/>
    <x v="28"/>
    <s v="TIS-1062"/>
    <s v="HILVERDAFLORIST COLOMBIA S.A.S"/>
    <x v="0"/>
    <s v="06"/>
    <x v="6"/>
    <s v="Visita técnica, Asignación de profesional especialista SST. Firma y aprobación de documentación relacionada. Entrega de informe técnico. "/>
    <n v="1"/>
    <n v="150000"/>
    <m/>
    <n v="150000"/>
    <n v="28500"/>
    <n v="178500"/>
  </r>
  <r>
    <n v="46"/>
    <s v="P-1036"/>
    <x v="29"/>
    <s v="Tis-1084"/>
    <s v="Antonio Cely SAS"/>
    <x v="0"/>
    <n v="13"/>
    <x v="10"/>
    <s v="2 meses de Diseño y capacitación Virtual del curso 50 horas Responsable SG SST"/>
    <n v="2"/>
    <n v="600000"/>
    <n v="120000"/>
    <n v="1080000"/>
    <n v="205200"/>
    <n v="1285200"/>
  </r>
  <r>
    <n v="47"/>
    <s v="P-1037"/>
    <x v="30"/>
    <s v="Tis-1053"/>
    <s v="Inversiones Sajamib SAS"/>
    <x v="0"/>
    <s v="07"/>
    <x v="7"/>
    <s v="2 meses de diseño y actualización de documentación de la empresa y 10 meses de acompañzamiento"/>
    <n v="1"/>
    <n v="1380000"/>
    <m/>
    <n v="1380000"/>
    <n v="0"/>
    <n v="1380000"/>
  </r>
  <r>
    <n v="48"/>
    <s v="P-1028"/>
    <x v="19"/>
    <s v="TIS-1038"/>
    <s v="H &amp; S FRANQUICIAS SAS"/>
    <x v="0"/>
    <s v="01"/>
    <x v="4"/>
    <s v="Asignación de profesional, Papeleria y documentación necesaria. Formas A y B de acuerdo con la normatividad y perfil del colaborador. Entrega de informe final."/>
    <n v="80"/>
    <n v="17500"/>
    <m/>
    <n v="1400000"/>
    <n v="266000"/>
    <n v="1666000"/>
  </r>
  <r>
    <n v="49"/>
    <s v="P-1038"/>
    <x v="22"/>
    <s v="Tis-1050"/>
    <s v="HACIK SOLUCIONES INTEGRALES DE INGENIERIA SAS"/>
    <x v="0"/>
    <s v="01"/>
    <x v="4"/>
    <s v="Anticipo del 50% por aplicación de las Baterias de Riesgo Psicosocial"/>
    <n v="30"/>
    <n v="25000"/>
    <m/>
    <n v="750000"/>
    <n v="142500"/>
    <n v="892500"/>
  </r>
  <r>
    <n v="51"/>
    <s v="P-1040"/>
    <x v="22"/>
    <s v="Tis-1041"/>
    <s v="Maria del Pilar Alvarado Joya"/>
    <x v="0"/>
    <s v="07"/>
    <x v="7"/>
    <s v="CAPACITACIONES Y_x000a_ACOMPAÑAMIENTO VIRTUAL SOBRE_x000a_SST PARA CLIENTES (JULIO) "/>
    <n v="1"/>
    <n v="900000"/>
    <m/>
    <n v="900000"/>
    <n v="0"/>
    <n v="900000"/>
  </r>
  <r>
    <n v="52"/>
    <s v="P-1010"/>
    <x v="22"/>
    <s v="Tis-1039"/>
    <s v="TECNOLOGIA DE OFICINA S.A.S."/>
    <x v="0"/>
    <s v="06"/>
    <x v="6"/>
    <s v="acompañamiento en actividades de implementación del SG SST"/>
    <n v="1"/>
    <n v="489299"/>
    <m/>
    <n v="489299"/>
    <n v="92966.81"/>
    <n v="582265.81000000006"/>
  </r>
  <r>
    <n v="53"/>
    <s v="P-1041"/>
    <x v="31"/>
    <s v="Tis-1044"/>
    <s v="NAVAR SOLUCIONES S.A.S"/>
    <x v="0"/>
    <s v="01"/>
    <x v="4"/>
    <s v="Asignación de profesional, Papeleria y documentación necesaria. Formas A y B de acuerdo con la normatividad y perfil del colaborador. Entrega de informe final."/>
    <n v="14"/>
    <n v="22000"/>
    <m/>
    <n v="308000"/>
    <n v="58520"/>
    <n v="366520"/>
  </r>
  <r>
    <n v="53"/>
    <s v="P-1041"/>
    <x v="31"/>
    <s v="Tis-1044"/>
    <s v="NAVAR SOLUCIONES S.A.S"/>
    <x v="0"/>
    <s v="09"/>
    <x v="9"/>
    <s v="Asignación de profesional, Papelería y documentación necesaria. equipos de medición, trabajo en campo, entrega de informe final."/>
    <n v="6"/>
    <n v="210000"/>
    <m/>
    <n v="1260000"/>
    <n v="239400"/>
    <n v="1499400"/>
  </r>
  <r>
    <n v="53"/>
    <s v="P-1041"/>
    <x v="31"/>
    <s v="Tis-1044"/>
    <s v="NAVAR SOLUCIONES S.A.S"/>
    <x v="0"/>
    <n v="12"/>
    <x v="8"/>
    <s v="StandBy por aislamiento de profesional de acuerdo con_x000a_protocolo de bioseguridad"/>
    <n v="4"/>
    <n v="120000"/>
    <m/>
    <n v="480000"/>
    <n v="0"/>
    <n v="480000"/>
  </r>
  <r>
    <n v="54"/>
    <s v="P-1042"/>
    <x v="31"/>
    <s v="Tis-1045"/>
    <s v="NAVAR CATERING SERVICES S.A.S ZOMAC"/>
    <x v="0"/>
    <s v="01"/>
    <x v="4"/>
    <s v="Asignación de profesional, Papeleria y documentación necesaria. Formas A y B de acuerdo con la normatividad y perfil del colaborador. Entrega de informe final."/>
    <n v="27"/>
    <n v="22000"/>
    <m/>
    <n v="594000"/>
    <n v="112860"/>
    <n v="706860"/>
  </r>
  <r>
    <n v="54"/>
    <s v="P-1042"/>
    <x v="31"/>
    <s v="Tis-1045"/>
    <s v="NAVAR CATERING SERVICES S.A.S ZOMAC"/>
    <x v="0"/>
    <s v="09"/>
    <x v="9"/>
    <s v="Asignación de profesional, Papelería y documentación necesaria. . equipos de medición, trabajo en campo, entrega de informe final."/>
    <n v="8"/>
    <n v="210000"/>
    <m/>
    <n v="1680000"/>
    <n v="319200"/>
    <n v="1999200"/>
  </r>
  <r>
    <n v="54"/>
    <s v="P-1042"/>
    <x v="31"/>
    <s v="Tis-1045"/>
    <s v="NAVAR CATERING SERVICES S.A.S ZOMAC"/>
    <x v="0"/>
    <n v="12"/>
    <x v="8"/>
    <s v="StandBy por aislamiento de profesional de acuerdo con_x000a_protocolo de bioseguridad"/>
    <n v="4"/>
    <n v="120000"/>
    <m/>
    <n v="480000"/>
    <n v="0"/>
    <n v="480000"/>
  </r>
  <r>
    <n v="56"/>
    <s v="P-1044"/>
    <x v="32"/>
    <s v="TIS-1047"/>
    <s v="INVERSIONES MEDICAS DE ANTIOQUIA S.A"/>
    <x v="0"/>
    <s v="10"/>
    <x v="11"/>
    <s v="Semaforo indicador Niveles de Ruido con instalación en punto del cliente"/>
    <n v="1"/>
    <n v="1405000"/>
    <m/>
    <n v="1405000"/>
    <n v="266950"/>
    <n v="1671950"/>
  </r>
  <r>
    <n v="57"/>
    <s v="P-1045"/>
    <x v="32"/>
    <s v="TIS-1048"/>
    <s v="FUNDACION FERNANDO BORRERO CAICEDO"/>
    <x v="0"/>
    <s v="10"/>
    <x v="11"/>
    <s v="Medición de ruido industrial por sonometría: Asignación de profesional, Papelería y documentación necesaria. equipos de medición, trabajo en campo, entrega de informe final."/>
    <n v="1"/>
    <n v="590000"/>
    <m/>
    <n v="590000"/>
    <n v="112100"/>
    <n v="702100"/>
  </r>
  <r>
    <n v="58"/>
    <s v="P-1046"/>
    <x v="32"/>
    <s v="Tis-1055"/>
    <s v="Procesos 2000 S.A.S."/>
    <x v="0"/>
    <s v="01"/>
    <x v="4"/>
    <s v="Asignación de profesional, Papeleria y documentación necesaria. Formas A y B de acuerdo con la normatividad y perfil del colaborador. Entrega de informe final."/>
    <n v="73"/>
    <n v="22000"/>
    <m/>
    <n v="1606000"/>
    <n v="305140"/>
    <n v="1911140"/>
  </r>
  <r>
    <n v="59"/>
    <s v="P-1047"/>
    <x v="32"/>
    <s v="Tis-1046"/>
    <s v="EVAL.COM CONSULTING SAS"/>
    <x v="0"/>
    <s v="01"/>
    <x v="4"/>
    <s v="Asignación de profesional, Papeleria y documentación necesaria. Formas A y B de acuerdo con la normatividad y perfil del colaborador. Entrega de informe final."/>
    <n v="45"/>
    <n v="19000"/>
    <m/>
    <n v="855000"/>
    <n v="162450"/>
    <n v="1017450"/>
  </r>
  <r>
    <n v="60"/>
    <s v="P-1048"/>
    <x v="32"/>
    <s v="Tis-1058"/>
    <s v="Maria del Pilar Alvarado Joya"/>
    <x v="0"/>
    <s v="07"/>
    <x v="7"/>
    <s v="CAPACITACIONES Y_x000a_ACOMPAÑAMIENTO VIRTUAL SOBRE_x000a_SST PARA CLIENTES (AGOSTO) "/>
    <n v="1"/>
    <n v="900000"/>
    <m/>
    <n v="900000"/>
    <n v="0"/>
    <n v="900000"/>
  </r>
  <r>
    <n v="61"/>
    <s v="P-1049"/>
    <x v="33"/>
    <s v="Tis-1059"/>
    <s v="Maria del Pilar Alvarado Joya"/>
    <x v="0"/>
    <s v="07"/>
    <x v="7"/>
    <s v="Acompañamiento virtual técnica Hilverdaflorist, Asignación de profesional especialista SST. Firma y aprobación de documentación relacionada. Entrega de informe técnico. "/>
    <n v="1"/>
    <n v="150000"/>
    <m/>
    <n v="150000"/>
    <n v="0"/>
    <n v="150000"/>
  </r>
  <r>
    <n v="62"/>
    <s v="P-1050"/>
    <x v="33"/>
    <s v="Tis-1066"/>
    <s v="BETA LOGISTIC SERVICES SAS"/>
    <x v="0"/>
    <s v="01"/>
    <x v="4"/>
    <s v="Asignación de profesional, Papeleria y documentación necesaria. Formas A y B de acuerdo con la normatividad y perfil del colaborador. Entrega de informe final."/>
    <n v="13"/>
    <n v="22000"/>
    <m/>
    <n v="286000"/>
    <n v="54340"/>
    <n v="340340"/>
  </r>
  <r>
    <n v="62"/>
    <s v="P-1050"/>
    <x v="33"/>
    <s v="Tis-1066"/>
    <s v="BETA LOGISTIC SERVICES SAS"/>
    <x v="0"/>
    <s v="10"/>
    <x v="11"/>
    <s v="MEDICION DE ILUMINACION POR LUXÓMETRIA y entrega de informe Final"/>
    <n v="1"/>
    <n v="590000"/>
    <m/>
    <n v="590000"/>
    <n v="112100"/>
    <n v="702100"/>
  </r>
  <r>
    <n v="63"/>
    <s v="P-1051"/>
    <x v="34"/>
    <n v="0"/>
    <s v="RENAL MEDICAL MARKETING LIMITADA"/>
    <x v="1"/>
    <s v="06"/>
    <x v="6"/>
    <s v="Anticipo por el Acompañamiento para la implementación del SG-SST (10 meses) incluye informe y certificacion mensual"/>
    <n v="1"/>
    <n v="450000"/>
    <m/>
    <n v="450000"/>
    <n v="85500"/>
    <n v="535500"/>
  </r>
  <r>
    <n v="64"/>
    <s v="P-1052"/>
    <x v="35"/>
    <s v="TIS-1049"/>
    <s v="Comercializadora ERZ SAS"/>
    <x v="0"/>
    <s v="06"/>
    <x v="6"/>
    <s v="Mensualidades por_x000a_implementación del sistema_x000a_de Septiembre 2021"/>
    <n v="1"/>
    <n v="220000"/>
    <m/>
    <n v="220000"/>
    <n v="41800"/>
    <n v="261800"/>
  </r>
  <r>
    <n v="65"/>
    <s v="P-1053"/>
    <x v="36"/>
    <s v="TIS-1067"/>
    <s v="Maria del Pilar Alvarado Joya"/>
    <x v="0"/>
    <s v="07"/>
    <x v="7"/>
    <s v="CAPACITACIONES Y_x000a_ACOMPAÑAMIENTO VIRTUAL SOBRE_x000a_SST PARA CLIENTES (septiembre) "/>
    <n v="1"/>
    <n v="900000"/>
    <m/>
    <n v="900000"/>
    <n v="0"/>
    <n v="900000"/>
  </r>
  <r>
    <n v="66"/>
    <s v="P-1054"/>
    <x v="37"/>
    <s v="TIS-1071"/>
    <s v="Inversiones Sajamib SAS"/>
    <x v="0"/>
    <s v="07"/>
    <x v="7"/>
    <s v="ACOMPAÑAMIENTO EN OCTUBRE"/>
    <n v="1"/>
    <n v="322000"/>
    <m/>
    <n v="322000"/>
    <n v="0"/>
    <n v="322000"/>
  </r>
  <r>
    <n v="67"/>
    <s v="P-1055"/>
    <x v="38"/>
    <s v="TIS-1075"/>
    <s v="RENAL MEDICAL MARKETING LIMITADA"/>
    <x v="0"/>
    <s v="01"/>
    <x v="4"/>
    <s v="Asignación de profesional, Papeleria y documentación necesaria. Formas A y B de acuerdo con la normatividad y perfil del colaborador. Entrega de informe final."/>
    <n v="70"/>
    <n v="21000"/>
    <m/>
    <n v="1470000"/>
    <n v="279300"/>
    <n v="1749300"/>
  </r>
  <r>
    <n v="68"/>
    <s v="P-1056"/>
    <x v="39"/>
    <s v="Tis-1057"/>
    <s v="PRODUCTORA INTERAMERICANA DE PLASTICOS S.A.S."/>
    <x v="0"/>
    <n v="15"/>
    <x v="12"/>
    <s v="Asignación de profesional para entrevista por cargo, Papeleria y documentación necesaria."/>
    <n v="2"/>
    <n v="85000"/>
    <m/>
    <n v="170000"/>
    <n v="32300"/>
    <n v="202300"/>
  </r>
  <r>
    <n v="69"/>
    <s v="P-1057"/>
    <x v="39"/>
    <n v="0"/>
    <s v="RENAL MEDICAL MARKETING LIMITADA"/>
    <x v="1"/>
    <s v="06"/>
    <x v="6"/>
    <s v="Anticipo por el Acompañamiento para la implementación del SG-SST del 22 de septiembre al 21 de octubre"/>
    <n v="1"/>
    <n v="450000"/>
    <m/>
    <n v="450000"/>
    <n v="85500"/>
    <n v="535500"/>
  </r>
  <r>
    <n v="70"/>
    <s v="P-1058"/>
    <x v="40"/>
    <s v="T-147"/>
    <s v="Arrigui Asociados SAS"/>
    <x v="0"/>
    <s v="01"/>
    <x v="4"/>
    <s v="Asignación de profesional, Papeleria y documentación necesaria. Formas A y B de acuerdo con la normatividad y perfil del colaborador. Entrega de informe final."/>
    <n v="59"/>
    <n v="20000"/>
    <m/>
    <n v="1180000"/>
    <n v="224200"/>
    <n v="1404200"/>
  </r>
  <r>
    <n v="71"/>
    <s v="P-1059"/>
    <x v="41"/>
    <s v="Tis-1073"/>
    <s v="Procesos 2000 S.A.S."/>
    <x v="0"/>
    <n v="14"/>
    <x v="13"/>
    <s v="Asignación de profesional para realizar evaluación por cargo, Papeleria y documentación necesaria._x000a_Entrega de informe final."/>
    <n v="11"/>
    <n v="109090"/>
    <m/>
    <n v="1199990"/>
    <n v="227998.1"/>
    <n v="1427988.1"/>
  </r>
  <r>
    <n v="72"/>
    <s v="P-1060"/>
    <x v="42"/>
    <s v="TIS-1063"/>
    <s v="WOLTA SAS"/>
    <x v="0"/>
    <s v="01"/>
    <x v="4"/>
    <s v="Asignación de profesional, Papeleria y documentación necesaria. Formas A y B de acuerdo con la normatividad y perfil del colaborador. Entrega de informe final."/>
    <n v="21"/>
    <n v="25000"/>
    <m/>
    <n v="525000"/>
    <n v="99750"/>
    <n v="624750"/>
  </r>
  <r>
    <n v="73"/>
    <s v="P-1061"/>
    <x v="42"/>
    <s v="Tis-1083"/>
    <s v="Aviatek SAS"/>
    <x v="0"/>
    <s v="01"/>
    <x v="4"/>
    <s v="Asignación de profesional, Papeleria y documentación necesaria. Formas A y B de acuerdo con la normatividad y perfil del colaborador. Entrega de informe final."/>
    <n v="21"/>
    <n v="22000"/>
    <m/>
    <n v="462000"/>
    <n v="87780"/>
    <n v="549780"/>
  </r>
  <r>
    <n v="74"/>
    <s v="P-1062"/>
    <x v="42"/>
    <s v="TIS-1077"/>
    <s v="BOCCHERINI S A "/>
    <x v="0"/>
    <s v="01"/>
    <x v="4"/>
    <s v="Asignación de profesional, Papeleria y documentación necesaria. Formas A y B de acuerdo con la normatividad y perfil del colaborador. Entrega de informe final."/>
    <n v="225"/>
    <n v="19000"/>
    <m/>
    <n v="4275000"/>
    <n v="812250"/>
    <n v="5087250"/>
  </r>
  <r>
    <n v="75"/>
    <s v="P-1063"/>
    <x v="43"/>
    <n v="0"/>
    <s v="ANKER CONSULTORIA Y CONSTRUCCION S A S"/>
    <x v="0"/>
    <n v="16"/>
    <x v="14"/>
    <s v="Diseño del Sistema de Vigilancia Epidemiológica_x000a_(SVE), Asignación de profesional, Papeleria y documentación_x000a_necesaria"/>
    <n v="12"/>
    <n v="75000"/>
    <m/>
    <n v="900000"/>
    <n v="171000"/>
    <n v="1071000"/>
  </r>
  <r>
    <n v="76"/>
    <s v="P-1064"/>
    <x v="43"/>
    <s v="TIS-1068"/>
    <s v="PRODUCTORA INTERAMERICANA DE PLASTICOS S.A.S."/>
    <x v="0"/>
    <n v="15"/>
    <x v="12"/>
    <s v="Asignación de profesional para entrevista por cargo, Papeleria y documentación necesaria."/>
    <n v="2"/>
    <n v="85000"/>
    <m/>
    <n v="170000"/>
    <n v="32300"/>
    <n v="202300"/>
  </r>
  <r>
    <n v="77"/>
    <s v="P-1065"/>
    <x v="43"/>
    <s v="TIS-1090"/>
    <s v="Inversiones Sajamib SAS"/>
    <x v="0"/>
    <s v="07"/>
    <x v="7"/>
    <s v="ACOMPAÑAMIENTO EN NOVIEMBRE"/>
    <n v="1"/>
    <n v="322000"/>
    <m/>
    <n v="322000"/>
    <n v="0"/>
    <n v="322000"/>
  </r>
  <r>
    <n v="78"/>
    <s v="P-1066"/>
    <x v="43"/>
    <s v="Tis-1069"/>
    <s v="Comercializadora ERZ SAS"/>
    <x v="0"/>
    <s v="06"/>
    <x v="6"/>
    <s v="Mensualidades por_x000a_implementación del sistema_x000a_de OCTUBRE 2021"/>
    <n v="1"/>
    <n v="220000"/>
    <m/>
    <n v="220000"/>
    <n v="41800"/>
    <n v="261800"/>
  </r>
  <r>
    <n v="79"/>
    <s v="P-1067"/>
    <x v="44"/>
    <s v="Tis-1086"/>
    <s v="Maria del Pilar Alvarado Joya"/>
    <x v="0"/>
    <s v="07"/>
    <x v="7"/>
    <s v="CAPACITACIONES Y_x000a_ACOMPAÑAMIENTO VIRTUAL SOBRE_x000a_SST PARA CLIENTES (OCTUBRE) "/>
    <n v="1"/>
    <n v="900000"/>
    <m/>
    <n v="900000"/>
    <n v="0"/>
    <n v="900000"/>
  </r>
  <r>
    <n v="80"/>
    <s v="P-1068"/>
    <x v="45"/>
    <s v="TIS-1070"/>
    <s v="LACTEOS APPENZELL S.A.S"/>
    <x v="0"/>
    <s v="10"/>
    <x v="11"/>
    <s v="Medición de ruido por sonometría e informe final"/>
    <n v="1"/>
    <n v="590000"/>
    <m/>
    <n v="590000"/>
    <n v="112100"/>
    <n v="702100"/>
  </r>
  <r>
    <n v="80"/>
    <s v="P-1068"/>
    <x v="45"/>
    <s v="TIS-1070"/>
    <s v="LACTEOS APPENZELL S.A.S"/>
    <x v="0"/>
    <s v="10"/>
    <x v="11"/>
    <s v="Medición de iluminación por luxometría e informe final"/>
    <n v="1"/>
    <n v="590000"/>
    <m/>
    <n v="590000"/>
    <n v="112100"/>
    <n v="702100"/>
  </r>
  <r>
    <n v="81"/>
    <s v="P-1069"/>
    <x v="45"/>
    <s v="TIS-1074"/>
    <s v="RENAL MEDICAL MARKETING LIMITADA"/>
    <x v="0"/>
    <s v="06"/>
    <x v="6"/>
    <s v="Anticipo por el Acompañamiento para la implementación del SG-SST del 22 de octubre al 21 de Noviembre"/>
    <n v="2"/>
    <n v="450000"/>
    <m/>
    <n v="900000"/>
    <n v="171000"/>
    <n v="1071000"/>
  </r>
  <r>
    <n v="82"/>
    <s v="P-1070"/>
    <x v="46"/>
    <s v="TIS-1072"/>
    <s v="NAVAR SOLUCIONES S.A.S"/>
    <x v="0"/>
    <s v="05"/>
    <x v="5"/>
    <s v="Capacitación en primeros auxilios"/>
    <n v="1"/>
    <n v="200000"/>
    <m/>
    <n v="200000"/>
    <n v="38000"/>
    <n v="238000"/>
  </r>
  <r>
    <n v="83"/>
    <s v="P-1071"/>
    <x v="46"/>
    <s v="TIS-1065"/>
    <s v="NAVAR CATERING SERVICES S.A.S ZOMAC"/>
    <x v="0"/>
    <s v="05"/>
    <x v="5"/>
    <s v="Capacitación en primeros auxilios"/>
    <n v="1"/>
    <n v="200000"/>
    <m/>
    <n v="200000"/>
    <n v="38000"/>
    <n v="238000"/>
  </r>
  <r>
    <n v="84"/>
    <s v="P-1072"/>
    <x v="47"/>
    <s v="TIS-1122"/>
    <s v="MICROSITIOS SAS"/>
    <x v="0"/>
    <s v="01"/>
    <x v="4"/>
    <s v="Asignación de profesional, Papeleria y documentación necesaria. Formas A y B de acuerdo con la normatividad y perfil del colaborador. Entrega de informe final."/>
    <n v="14"/>
    <n v="22000"/>
    <m/>
    <n v="308000"/>
    <n v="58520"/>
    <n v="366520"/>
  </r>
  <r>
    <n v="85"/>
    <s v="P-1073"/>
    <x v="48"/>
    <s v="Tis-1076"/>
    <s v="Comercializadora ERZ SAS"/>
    <x v="0"/>
    <s v="06"/>
    <x v="6"/>
    <s v="Mensualidades por_x000a_implementación del sistema_x000a_de Noviembre 2021"/>
    <n v="1"/>
    <n v="220000"/>
    <m/>
    <n v="220000"/>
    <n v="41800"/>
    <n v="261800"/>
  </r>
  <r>
    <n v="86"/>
    <s v="P-1074"/>
    <x v="49"/>
    <s v="Tis-1079"/>
    <s v="Universidad Santo tomas"/>
    <x v="1"/>
    <s v="01"/>
    <x v="4"/>
    <s v="Asignación de profesional, Papeleria y documentación necesaria. Formas A y B de acuerdo con la normatividad y perfil del colaborador. Entrega de informe final."/>
    <n v="18"/>
    <n v="30000"/>
    <m/>
    <n v="540000"/>
    <n v="102600"/>
    <n v="642600"/>
  </r>
  <r>
    <n v="87"/>
    <s v="P-1075"/>
    <x v="49"/>
    <s v="TIS-1102"/>
    <s v="Maria del Pilar Alvarado Joya"/>
    <x v="0"/>
    <s v="07"/>
    <x v="7"/>
    <s v="CAPACITACIONES Y_x000a_ACOMPAÑAMIENTO VIRTUAL SOBRE_x000a_SST PARA CLIENTES (NOVIEMBRE) "/>
    <n v="1"/>
    <n v="900000"/>
    <m/>
    <n v="900000"/>
    <n v="0"/>
    <n v="900000"/>
  </r>
  <r>
    <n v="88"/>
    <s v="P-1076"/>
    <x v="49"/>
    <s v="Tis-1078"/>
    <s v="RENAL MEDICAL MARKETING LIMITADA"/>
    <x v="0"/>
    <s v="09"/>
    <x v="9"/>
    <s v="Análisis de Puesto de Trabajo o evaluación del puesto de trabajo"/>
    <n v="1"/>
    <n v="560000"/>
    <m/>
    <n v="560000"/>
    <n v="106400"/>
    <n v="666400"/>
  </r>
  <r>
    <n v="89"/>
    <s v="P-1078"/>
    <x v="50"/>
    <s v="Tis-1082"/>
    <s v="ASOCIACION RED DE DEFENSORES Y DEFENSORAS DE DERECHOS HUMANOS "/>
    <x v="0"/>
    <n v="13"/>
    <x v="10"/>
    <s v="Visitas programadas para crear o actualizar la documentación_x000a_y manual del SG-SST de la empresa. De acuerdo con DUR 1072/2015_x000a_y Resolución 0312/2019"/>
    <n v="2"/>
    <n v="600000"/>
    <m/>
    <n v="1200000"/>
    <n v="228000"/>
    <n v="1428000"/>
  </r>
  <r>
    <n v="89"/>
    <s v="P-1078"/>
    <x v="50"/>
    <s v="Tis-1082"/>
    <s v="ASOCIACION RED DE DEFENSORES Y DEFENSORAS DE DERECHOS HUMANOS "/>
    <x v="0"/>
    <s v="06"/>
    <x v="6"/>
    <s v="Acompañamiento por (4) Cuatro horas mensuales de equipo_x000a_profesional para diseño e implementación de actividades de SGSST_x000a_(Psicólogo, Ingeniero SST, Fisioterapeuta)."/>
    <n v="2"/>
    <n v="500000"/>
    <m/>
    <n v="1000000"/>
    <n v="190000"/>
    <n v="1190000"/>
  </r>
  <r>
    <n v="90"/>
    <s v="P-1077"/>
    <x v="50"/>
    <s v="TIS1101"/>
    <s v="SERVIPETROLEOS S.A.S"/>
    <x v="0"/>
    <s v="01"/>
    <x v="4"/>
    <s v="Asignación de profesional, Papeleria y _x000a_documentación necesaria. Formas A y B de_x000a_acuerdo con la normatividad y perfil del_x000a_colaborador. Entrega de informe final."/>
    <n v="21"/>
    <n v="25000"/>
    <m/>
    <n v="525000"/>
    <n v="99750"/>
    <n v="624750"/>
  </r>
  <r>
    <n v="91"/>
    <s v="P-1079"/>
    <x v="51"/>
    <s v="Tis-1080"/>
    <s v="PROYECTO COLOMBIA DIVERSA"/>
    <x v="0"/>
    <s v="01"/>
    <x v="4"/>
    <s v="Asignación de profesional, Papeleria y documentación necesaria. Formas A y B de acuerdo con la normatividad y perfil del colaborador. Entrega de informe final."/>
    <n v="23"/>
    <n v="25000"/>
    <m/>
    <n v="575000"/>
    <n v="109250"/>
    <n v="684250"/>
  </r>
  <r>
    <n v="92"/>
    <s v="P-1080"/>
    <x v="52"/>
    <s v="Tis-1081"/>
    <s v="RENAL MEDICAL MARKETING LIMITADA"/>
    <x v="0"/>
    <s v="06"/>
    <x v="6"/>
    <s v="Acompañamiento mensuales de equipo_x000a_profesional para diseño e implementación de actividades de SGSST_x000a_(22 nov - 21 dic)."/>
    <n v="1"/>
    <n v="450000"/>
    <m/>
    <n v="450000"/>
    <n v="85500"/>
    <n v="535500"/>
  </r>
  <r>
    <n v="93"/>
    <s v="P-1081"/>
    <x v="52"/>
    <s v="Tis-1127"/>
    <s v="SEQ CONSULTORES LTDA"/>
    <x v="0"/>
    <s v="10"/>
    <x v="11"/>
    <s v="Medición de ruido industrial por sonometría: Asignación de profesional, Papelería y documentación necesaria. equipos de medición, trabajo en campo, entrega de informe final."/>
    <n v="11"/>
    <n v="59000"/>
    <m/>
    <n v="649000"/>
    <n v="123310"/>
    <n v="772310"/>
  </r>
  <r>
    <n v="93"/>
    <s v="P-1081"/>
    <x v="52"/>
    <s v="Tis-1127"/>
    <s v="SEQ CONSULTORES LTDA"/>
    <x v="0"/>
    <s v="10"/>
    <x v="11"/>
    <s v="Medición de Iluminación por luxometría: Asignación de profesional, Papelería y documentación necesaria. equipos de medición, trabajo en campo, entrega de informe final."/>
    <n v="13"/>
    <n v="59000"/>
    <m/>
    <n v="767000"/>
    <n v="145730"/>
    <n v="912730"/>
  </r>
  <r>
    <n v="93"/>
    <s v="P-1081"/>
    <x v="52"/>
    <s v="Tis-1127"/>
    <s v="SEQ CONSULTORES LTDA"/>
    <x v="0"/>
    <s v="10"/>
    <x v="11"/>
    <s v="Medición de Temperatura y humedad: Asignación de profesional, Papelería y documentación necesaria. equipos de medición, trabajo en campo, entrega de informe final."/>
    <n v="5"/>
    <n v="300000"/>
    <m/>
    <n v="1500000"/>
    <n v="285000"/>
    <n v="1785000"/>
  </r>
  <r>
    <n v="93"/>
    <s v="P-1081"/>
    <x v="52"/>
    <s v="Tis-1127"/>
    <s v="SEQ CONSULTORES LTDA"/>
    <x v="0"/>
    <s v="10"/>
    <x v="11"/>
    <s v="Medición de COV: Asignación de profesional, Papelería y documentación necesaria. equipos de medición, trabajo en campo, entrega de informe final."/>
    <n v="3"/>
    <n v="900000"/>
    <m/>
    <n v="2700000"/>
    <n v="513000"/>
    <n v="3213000"/>
  </r>
  <r>
    <n v="94"/>
    <s v="P-1082"/>
    <x v="53"/>
    <s v="TIS-1093"/>
    <s v="PILYQ COLOMBIA S.A.S."/>
    <x v="0"/>
    <s v="01"/>
    <x v="4"/>
    <s v="Asignación de profesional, Papeleria y documentación necesaria. Formas A y B de acuerdo con la normatividad y perfil del colaborador. Entrega de informe final."/>
    <n v="42"/>
    <n v="25000"/>
    <m/>
    <n v="1050000"/>
    <n v="199500"/>
    <n v="1249500"/>
  </r>
  <r>
    <n v="95"/>
    <s v="P-1083"/>
    <x v="54"/>
    <s v="TIS-1090"/>
    <s v="Inversiones Sajamib SAS"/>
    <x v="0"/>
    <s v="07"/>
    <x v="7"/>
    <s v="ACOMPAÑAMIENTO EN DICIEMBRE"/>
    <n v="1"/>
    <n v="322000"/>
    <m/>
    <n v="322000"/>
    <n v="0"/>
    <n v="322000"/>
  </r>
  <r>
    <n v="96"/>
    <s v="P-1084"/>
    <x v="55"/>
    <s v="Tis-1085"/>
    <s v="PRODUCTORA INTERAMERICANA DE PLASTICOS S.A.S."/>
    <x v="0"/>
    <s v="06"/>
    <x v="6"/>
    <s v="Asesoría en SG SST en Enero 2022"/>
    <n v="1"/>
    <n v="200000"/>
    <m/>
    <n v="200000"/>
    <n v="38000"/>
    <n v="238000"/>
  </r>
  <r>
    <n v="97"/>
    <s v="P-1085"/>
    <x v="53"/>
    <s v="TIS-1095"/>
    <s v="Procesos 2000 S.A.S."/>
    <x v="0"/>
    <s v="06"/>
    <x v="6"/>
    <s v="Anticipo 30% por diseño e implementación del sistema de seguridad y salud en el trabajo"/>
    <n v="1"/>
    <n v="2760000"/>
    <m/>
    <n v="2760000"/>
    <n v="524400"/>
    <n v="3284400"/>
  </r>
  <r>
    <n v="98"/>
    <s v="P-1086"/>
    <x v="53"/>
    <s v="TIS-1116"/>
    <s v="Inversiones Sajamib SAS"/>
    <x v="0"/>
    <s v="07"/>
    <x v="7"/>
    <s v="Actividades Enero 2022"/>
    <n v="1"/>
    <n v="322000"/>
    <m/>
    <n v="322000"/>
    <n v="0"/>
    <n v="322000"/>
  </r>
  <r>
    <n v="99"/>
    <s v="P-1087"/>
    <x v="53"/>
    <s v="TIS-1087"/>
    <s v="RENAL MEDICAL MARKETING LIMITADA"/>
    <x v="0"/>
    <s v="06"/>
    <x v="6"/>
    <s v="Acompañamiento mensuales de equipo_x000a_profesional para diseño e implementación de actividades de SGSST_x000a_(22 dic - 21 ene)."/>
    <n v="1"/>
    <n v="450000"/>
    <m/>
    <n v="450000"/>
    <n v="85500"/>
    <n v="535500"/>
  </r>
  <r>
    <n v="100"/>
    <s v="P-1088"/>
    <x v="53"/>
    <s v="TIS-1089"/>
    <s v="Colegio Integrado Nacional Oriente de Caldas"/>
    <x v="0"/>
    <s v="01"/>
    <x v="4"/>
    <s v="Aplicación BRP presencial "/>
    <n v="44"/>
    <n v="24000"/>
    <m/>
    <n v="1056000"/>
    <n v="200640"/>
    <n v="1256640"/>
  </r>
  <r>
    <n v="100"/>
    <s v="P-1088"/>
    <x v="53"/>
    <s v="TIS-1089"/>
    <s v="Colegio Integrado Nacional Oriente de Caldas"/>
    <x v="0"/>
    <s v="01"/>
    <x v="4"/>
    <s v="Informe resultados, conclusiones y recomendaciones"/>
    <n v="1"/>
    <n v="50000"/>
    <m/>
    <n v="50000"/>
    <n v="9500"/>
    <n v="59500"/>
  </r>
  <r>
    <n v="100"/>
    <s v="P-1088"/>
    <x v="53"/>
    <s v="TIS-1089"/>
    <s v="Colegio Integrado Nacional Oriente de Caldas"/>
    <x v="0"/>
    <s v="01"/>
    <x v="4"/>
    <s v="Entrega Certificado de Custodia"/>
    <n v="1"/>
    <n v="50000"/>
    <m/>
    <n v="50000"/>
    <n v="9500"/>
    <n v="59500"/>
  </r>
  <r>
    <n v="101"/>
    <s v="P-1089"/>
    <x v="56"/>
    <s v="TIS-1094"/>
    <s v="PASTRY CHEF PASTELERIA Y COCINA GOURMET SAS"/>
    <x v="0"/>
    <s v="06"/>
    <x v="6"/>
    <s v="Anticipo 30% Diseño e implementación del SG-SST"/>
    <n v="1"/>
    <n v="3720000"/>
    <m/>
    <n v="3720000"/>
    <n v="706800"/>
    <n v="4426800"/>
  </r>
  <r>
    <n v="102"/>
    <s v="P-1090"/>
    <x v="57"/>
    <s v="TIS-1010"/>
    <s v="Maria del Pilar Alvarado Joya"/>
    <x v="0"/>
    <s v="07"/>
    <x v="7"/>
    <s v="Mes de enero, febrero y marzo 2022"/>
    <n v="1"/>
    <n v="900000"/>
    <m/>
    <n v="900000"/>
    <n v="0"/>
    <n v="900000"/>
  </r>
  <r>
    <n v="103"/>
    <s v="P-1091"/>
    <x v="58"/>
    <s v="NC10"/>
    <s v="Universidad Santo tomas"/>
    <x v="1"/>
    <s v="01"/>
    <x v="4"/>
    <s v="cancelacion servicio Tis-1079"/>
    <n v="18"/>
    <n v="30000"/>
    <m/>
    <n v="-540000"/>
    <n v="-102600"/>
    <n v="-642600"/>
  </r>
  <r>
    <n v="104"/>
    <s v="P-1092"/>
    <x v="59"/>
    <s v="TIS-1142"/>
    <s v="CONSTRUCCIONES CIVILES JMR S.A.S"/>
    <x v="0"/>
    <s v="06"/>
    <x v="6"/>
    <s v="Asesoría por implementación del 2021"/>
    <n v="1"/>
    <n v="1009000"/>
    <m/>
    <n v="1009000"/>
    <n v="191710"/>
    <n v="1200710"/>
  </r>
  <r>
    <n v="105"/>
    <s v="P-1093"/>
    <x v="60"/>
    <s v="Tis-1091"/>
    <s v="K-2 INGENIERIA S.A.S."/>
    <x v="0"/>
    <s v="01"/>
    <x v="4"/>
    <s v="FACTURA PERSONAL DEL PROYECTO CAR 2740046 EN LA CIUDAD DE BOGOTÁ"/>
    <n v="15"/>
    <n v="25000"/>
    <m/>
    <n v="375000"/>
    <n v="71250"/>
    <n v="446250"/>
  </r>
  <r>
    <n v="106"/>
    <s v="P-1094"/>
    <x v="61"/>
    <s v="TIS-1092"/>
    <s v="PILYQ COLOMBIA S.A.S."/>
    <x v="1"/>
    <s v="01"/>
    <x v="4"/>
    <s v="80% BRP"/>
    <n v="1"/>
    <n v="840000"/>
    <m/>
    <n v="840000"/>
    <n v="159600"/>
    <n v="999600"/>
  </r>
  <r>
    <n v="107"/>
    <s v="P-1095"/>
    <x v="61"/>
    <s v="NC-11"/>
    <s v="PILYQ COLOMBIA S.A.S."/>
    <x v="1"/>
    <s v="01"/>
    <x v="4"/>
    <s v="Anulacion Factura TIS-1092 por el 80%"/>
    <n v="1"/>
    <n v="840000"/>
    <m/>
    <n v="-840000"/>
    <n v="-159600"/>
    <n v="-999600"/>
  </r>
  <r>
    <n v="108"/>
    <s v="P-1096"/>
    <x v="61"/>
    <s v="NC-10"/>
    <s v="Universidad Santo tomas"/>
    <x v="1"/>
    <s v="01"/>
    <x v="4"/>
    <s v="anulacion TIS-1079 por desesitimiento del cliente"/>
    <n v="18"/>
    <n v="30000"/>
    <m/>
    <n v="-540000"/>
    <n v="-102600"/>
    <n v="-642600"/>
  </r>
  <r>
    <n v="109"/>
    <s v="P-1097"/>
    <x v="62"/>
    <s v="TIS-1107"/>
    <s v="Liz Adriana Granados"/>
    <x v="0"/>
    <s v="07"/>
    <x v="7"/>
    <s v="Curso BPM "/>
    <n v="5"/>
    <n v="40000"/>
    <m/>
    <n v="200000"/>
    <n v="0"/>
    <n v="200000"/>
  </r>
  <r>
    <n v="110"/>
    <s v="P-1098"/>
    <x v="63"/>
    <s v="TIS-1098"/>
    <s v="MASTERLINE COLOMBIA SOCIEDAD POR ACCIONES SIMPLIFICADA"/>
    <x v="0"/>
    <s v="10"/>
    <x v="11"/>
    <s v="Luxometria:  Asignación de profesional, Papelería y documentación necesaria. equipos de medición, trabajo en campo, entrega de informe final."/>
    <n v="1"/>
    <n v="1600000"/>
    <m/>
    <n v="1600000"/>
    <n v="304000"/>
    <n v="1904000"/>
  </r>
  <r>
    <n v="110"/>
    <s v="P-1098"/>
    <x v="63"/>
    <s v="TIS-1098"/>
    <s v="MASTERLINE COLOMBIA SOCIEDAD POR ACCIONES SIMPLIFICADA"/>
    <x v="0"/>
    <s v="10"/>
    <x v="11"/>
    <s v="Sonometria: Asignación de profesional, Papelería y documentación necesaria. equipos de medición, trabajo en campo, entrega de informe final."/>
    <n v="1"/>
    <n v="1280000"/>
    <m/>
    <n v="1280000"/>
    <n v="243200"/>
    <n v="1523200"/>
  </r>
  <r>
    <n v="111"/>
    <s v="P-1099"/>
    <x v="64"/>
    <s v="TIS-1100"/>
    <s v="PRODUCTORA INTERAMERICANA DE PLASTICOS S.A.S."/>
    <x v="0"/>
    <s v="06"/>
    <x v="6"/>
    <s v="Acompañamiento mes de Diciembre 2022"/>
    <n v="1"/>
    <n v="200000"/>
    <m/>
    <n v="200000"/>
    <n v="38000"/>
    <n v="238000"/>
  </r>
  <r>
    <n v="112"/>
    <s v="P-1100"/>
    <x v="64"/>
    <s v="TIS-1117"/>
    <s v="Inversiones Sajamib SAS"/>
    <x v="0"/>
    <s v="07"/>
    <x v="7"/>
    <s v="Actividades del mes de Febrero 2022"/>
    <n v="1"/>
    <n v="322000"/>
    <m/>
    <n v="322000"/>
    <n v="0"/>
    <n v="322000"/>
  </r>
  <r>
    <n v="113"/>
    <s v="P-1101"/>
    <x v="57"/>
    <s v="TIS-1120"/>
    <s v="Comercializadora ERZ SAS"/>
    <x v="0"/>
    <s v="06"/>
    <x v="6"/>
    <s v="Actividades mes de Enero 2022"/>
    <n v="1"/>
    <n v="220000"/>
    <m/>
    <n v="220000"/>
    <n v="41800"/>
    <n v="261800"/>
  </r>
  <r>
    <n v="113"/>
    <s v="P-1101"/>
    <x v="57"/>
    <s v="TIS-1120"/>
    <s v="Comercializadora ERZ SAS"/>
    <x v="0"/>
    <s v="06"/>
    <x v="6"/>
    <s v="Actividades mes de Febrero 2022"/>
    <n v="1"/>
    <n v="220000"/>
    <m/>
    <n v="220000"/>
    <n v="41800"/>
    <n v="261800"/>
  </r>
  <r>
    <n v="113"/>
    <s v="P-1101"/>
    <x v="57"/>
    <s v="TIS-1120"/>
    <s v="Comercializadora ERZ SAS"/>
    <x v="0"/>
    <s v="06"/>
    <x v="6"/>
    <s v="Actividades mes de Marzo 2022"/>
    <n v="1"/>
    <n v="220000"/>
    <m/>
    <n v="220000"/>
    <n v="41800"/>
    <n v="261800"/>
  </r>
  <r>
    <n v="113"/>
    <s v="P-1101"/>
    <x v="57"/>
    <s v="TIS-1120"/>
    <s v="Comercializadora ERZ SAS"/>
    <x v="0"/>
    <s v="06"/>
    <x v="6"/>
    <s v="Actividades mes de Abril 2022"/>
    <n v="1"/>
    <n v="220000"/>
    <m/>
    <n v="220000"/>
    <n v="41800"/>
    <n v="261800"/>
  </r>
  <r>
    <n v="114"/>
    <s v="P-1102"/>
    <x v="64"/>
    <s v="TIS-1103"/>
    <s v="RENAL MEDICAL MARKETING LIMITADA"/>
    <x v="0"/>
    <s v="06"/>
    <x v="6"/>
    <s v="Acompañamiento mensuales de equipo_x000a_profesional para diseño e implementación de actividades de SGSST_x000a_(22 ene  2022- 21 feb 2022)."/>
    <n v="1"/>
    <n v="450000"/>
    <m/>
    <n v="450000"/>
    <n v="85500"/>
    <n v="535500"/>
  </r>
  <r>
    <n v="115"/>
    <s v="P-1103"/>
    <x v="64"/>
    <s v="Tis-1097"/>
    <s v="Procesos 2000 S.A.S."/>
    <x v="1"/>
    <n v="13"/>
    <x v="10"/>
    <s v="Diseño Sistema"/>
    <n v="2"/>
    <n v="600000"/>
    <m/>
    <n v="1200000"/>
    <n v="228000"/>
    <n v="1428000"/>
  </r>
  <r>
    <n v="115"/>
    <s v="P-1103"/>
    <x v="64"/>
    <s v="Tis-1097"/>
    <s v="Procesos 2000 S.A.S."/>
    <x v="1"/>
    <s v="06"/>
    <x v="6"/>
    <s v="Actividades de acompañamiento mensual para la implementación del sistema"/>
    <n v="10"/>
    <n v="800000"/>
    <m/>
    <n v="8000000"/>
    <n v="1520000"/>
    <n v="9520000"/>
  </r>
  <r>
    <n v="116"/>
    <s v="P-1104"/>
    <x v="64"/>
    <s v="NC13"/>
    <s v="Procesos 2000 S.A.S."/>
    <x v="1"/>
    <n v="13"/>
    <x v="10"/>
    <s v="Diseño del SGSST"/>
    <n v="2"/>
    <n v="600000"/>
    <n v="840000"/>
    <n v="-360000"/>
    <n v="-68400"/>
    <n v="-428400"/>
  </r>
  <r>
    <n v="116"/>
    <s v="P-1104"/>
    <x v="64"/>
    <s v="NC13"/>
    <s v="Procesos 2000 S.A.S."/>
    <x v="1"/>
    <s v="06"/>
    <x v="6"/>
    <s v="Actividade sde implementación mensual"/>
    <n v="10"/>
    <n v="800000"/>
    <n v="5600000"/>
    <n v="-2400000"/>
    <n v="-456000"/>
    <n v="-2856000"/>
  </r>
  <r>
    <n v="117"/>
    <s v="P-1105"/>
    <x v="65"/>
    <s v="TIS-1099"/>
    <s v="ENERGINN S.A.S"/>
    <x v="0"/>
    <s v="01"/>
    <x v="4"/>
    <s v="Aplicación"/>
    <n v="51"/>
    <n v="26500"/>
    <m/>
    <n v="1351500"/>
    <n v="256785"/>
    <n v="1608285"/>
  </r>
  <r>
    <n v="118"/>
    <s v="P-1106"/>
    <x v="57"/>
    <s v="TIS-1096"/>
    <s v="VUELTACANELA S.A.S"/>
    <x v="0"/>
    <s v="10"/>
    <x v="11"/>
    <s v="Luxometria"/>
    <n v="1"/>
    <n v="450000"/>
    <m/>
    <n v="450000"/>
    <n v="85500"/>
    <n v="535500"/>
  </r>
  <r>
    <n v="119"/>
    <s v="P-1107"/>
    <x v="66"/>
    <s v="Tis-1097"/>
    <s v="Procesos 2000 S.A.S."/>
    <x v="0"/>
    <n v="13"/>
    <x v="10"/>
    <s v="Diseño 70% restante"/>
    <n v="2"/>
    <n v="600000"/>
    <n v="360000"/>
    <n v="840000"/>
    <n v="159600"/>
    <n v="999600"/>
  </r>
  <r>
    <n v="119"/>
    <s v="P-1107"/>
    <x v="66"/>
    <s v="Tis-1097"/>
    <s v="Procesos 2000 S.A.S."/>
    <x v="0"/>
    <s v="06"/>
    <x v="6"/>
    <s v="Servicio de Implementación de todo el Año 70% restante"/>
    <n v="10"/>
    <n v="800000"/>
    <n v="2400000"/>
    <n v="5600000"/>
    <n v="1064000"/>
    <n v="6664000"/>
  </r>
  <r>
    <n v="120"/>
    <s v="P-1108"/>
    <x v="57"/>
    <s v="Tis-1104"/>
    <s v="RENAL MEDICAL MARKETING LIMITADA"/>
    <x v="0"/>
    <s v="06"/>
    <x v="6"/>
    <s v="Acompañamiento mensuales de equipo_x000a_profesional para diseño e implementación de actividades de SGSST_x000a_(22 feb  2022- 21 mar 2022)."/>
    <n v="1"/>
    <n v="450000"/>
    <m/>
    <n v="450000"/>
    <n v="85500"/>
    <n v="535500"/>
  </r>
  <r>
    <n v="121"/>
    <s v="P-1109"/>
    <x v="57"/>
    <s v="TIS-1105"/>
    <s v="Fonseca Abogados Asesoria Empresarial SAS"/>
    <x v="0"/>
    <s v="01"/>
    <x v="4"/>
    <s v="BRP"/>
    <n v="5"/>
    <n v="35000"/>
    <m/>
    <n v="175000"/>
    <n v="33250"/>
    <n v="208250"/>
  </r>
  <r>
    <n v="122"/>
    <s v="P-1110"/>
    <x v="57"/>
    <s v="TIS-1106"/>
    <s v="ROCKETFY S.A.S."/>
    <x v="0"/>
    <s v="01"/>
    <x v="4"/>
    <s v="BRP"/>
    <n v="70"/>
    <n v="19800"/>
    <m/>
    <n v="1386000"/>
    <n v="263340"/>
    <n v="1649340"/>
  </r>
  <r>
    <n v="123"/>
    <s v="P-1111"/>
    <x v="67"/>
    <s v="TIS-1108"/>
    <s v="K-2 INGENIERIA S.A.S."/>
    <x v="0"/>
    <s v="01"/>
    <x v="4"/>
    <s v="FINALIZACIÓN DE EVALUACIONES, BATERÍA RIESGO PSICOSOCIAL PARA EL PERSONAL DEL PROYECTO CAR 2740046 EN LA CIUDAD DE BOGOTÁ"/>
    <n v="9"/>
    <n v="25000"/>
    <m/>
    <n v="225000"/>
    <n v="42750"/>
    <n v="267750"/>
  </r>
  <r>
    <n v="124"/>
    <s v="P-1112"/>
    <x v="67"/>
    <s v="TIS-1109"/>
    <s v="K-2 INGENIERIA S.A.S."/>
    <x v="0"/>
    <s v="01"/>
    <x v="4"/>
    <s v="ENTREGA DE INFORME FINAL, BATERÍA RIESGO PSICOSOCIAL PARA EL PERSONAL DEL PROYECTO CAR 2740046 EN LA CIUDAD DE BOGOTÁ"/>
    <n v="6"/>
    <n v="25000"/>
    <m/>
    <n v="150000"/>
    <n v="28500"/>
    <n v="178500"/>
  </r>
  <r>
    <n v="125"/>
    <s v="P-1113"/>
    <x v="68"/>
    <s v="TIS-1111"/>
    <s v="BARRO BLANCO FARMS SAS"/>
    <x v="0"/>
    <s v="01"/>
    <x v="4"/>
    <s v="BRP Prescenciales"/>
    <n v="20"/>
    <n v="36000"/>
    <m/>
    <n v="720000"/>
    <n v="136800"/>
    <n v="856800"/>
  </r>
  <r>
    <n v="126"/>
    <s v="P-1114"/>
    <x v="69"/>
    <s v="Tis-1140"/>
    <s v="FET GROUP SAS"/>
    <x v="0"/>
    <s v="04"/>
    <x v="0"/>
    <s v="Asignación de profesional especialista SST. Firma y aprobación de documentación relacionada. Entrega del_x000a_profesiograma"/>
    <n v="1"/>
    <n v="600000"/>
    <m/>
    <n v="600000"/>
    <n v="114000"/>
    <n v="714000"/>
  </r>
  <r>
    <n v="126"/>
    <s v="P-1114"/>
    <x v="69"/>
    <s v="Tis-1140"/>
    <s v="FET GROUP SAS"/>
    <x v="0"/>
    <s v="01"/>
    <x v="4"/>
    <s v="Asignación de profesional, Papeleria y_x000a_documentación necesaria. Formas A y B de acuerdo con la normatividad y perfil del colaborador. Entrega de informe_x000a_final."/>
    <n v="10"/>
    <n v="50000"/>
    <m/>
    <n v="500000"/>
    <n v="95000"/>
    <n v="595000"/>
  </r>
  <r>
    <n v="126"/>
    <s v="P-1114"/>
    <x v="69"/>
    <s v="Tis-1140"/>
    <s v="FET GROUP SAS"/>
    <x v="0"/>
    <s v="09"/>
    <x v="9"/>
    <s v="Asignación de profesional, Papelería y_x000a_documentación y equipos de medición necesarios."/>
    <n v="10"/>
    <n v="60000"/>
    <m/>
    <n v="600000"/>
    <n v="114000"/>
    <n v="714000"/>
  </r>
  <r>
    <n v="127"/>
    <s v="P-1115"/>
    <x v="69"/>
    <s v="TIS-1119"/>
    <s v="PASTRY CHEF PASTELERIA Y COCINA GOURMET SAS"/>
    <x v="0"/>
    <s v="06"/>
    <x v="6"/>
    <s v="Acompañamiento en la implementación por el mes de marzo 2022"/>
    <n v="1"/>
    <n v="723333.61344537814"/>
    <m/>
    <n v="723333.61344537814"/>
    <n v="137433.38655462186"/>
    <n v="860767"/>
  </r>
  <r>
    <n v="128"/>
    <s v="P-1116"/>
    <x v="69"/>
    <s v="Tis-1118"/>
    <s v="Inversiones Sajamib SAS"/>
    <x v="0"/>
    <s v="07"/>
    <x v="7"/>
    <s v="Actividades del mes de Marzo 2022"/>
    <n v="1"/>
    <n v="322000"/>
    <m/>
    <n v="322000"/>
    <n v="0"/>
    <n v="322000"/>
  </r>
  <r>
    <n v="129"/>
    <s v="P-1117"/>
    <x v="70"/>
    <s v="TIS-1113"/>
    <s v="HUTERCOL S.A.S."/>
    <x v="0"/>
    <s v="06"/>
    <x v="6"/>
    <s v="50% del servicio de acompañamiento para la implementacion del SG-SST"/>
    <n v="1"/>
    <n v="1050000"/>
    <m/>
    <n v="1050000"/>
    <n v="199500"/>
    <n v="1249500"/>
  </r>
  <r>
    <n v="130"/>
    <s v="P-1118"/>
    <x v="70"/>
    <s v="TIS-1114"/>
    <s v="RENAL MEDICAL MARKETING LIMITADA"/>
    <x v="0"/>
    <s v="06"/>
    <x v="6"/>
    <s v="Acompañamiento mensuales de equipo_x000a_profesional para diseño e implementación de actividades de SGSST_x000a_(22 mar  2022- 21 abr 2022)."/>
    <n v="1"/>
    <n v="450000"/>
    <m/>
    <n v="450000"/>
    <n v="85500"/>
    <n v="535500"/>
  </r>
  <r>
    <n v="131"/>
    <s v="P-1119"/>
    <x v="70"/>
    <s v="TIS-1115"/>
    <s v="PRODUCTORA INTERAMERICANA DE PLASTICOS S.A.S."/>
    <x v="0"/>
    <s v="06"/>
    <x v="6"/>
    <s v="Acompañamiento mes de marzo 2022"/>
    <n v="1"/>
    <n v="200000"/>
    <m/>
    <n v="200000"/>
    <n v="38000"/>
    <n v="238000"/>
  </r>
  <r>
    <n v="132"/>
    <s v="P-1120"/>
    <x v="70"/>
    <s v="TIS-1208"/>
    <s v="CAVACOR S.A.S"/>
    <x v="0"/>
    <s v="07"/>
    <x v="7"/>
    <s v="Acompañamiento para registrar información de autoevaluación de estándares mínimos ante ARL. Entrega de carpeta magnetica con documentos diseñados._x000a_Curso virtual de 50 horas sobre SG-SST"/>
    <n v="1"/>
    <n v="2100000"/>
    <m/>
    <n v="2100000"/>
    <n v="0"/>
    <n v="2100000"/>
  </r>
  <r>
    <n v="133"/>
    <s v="P-1121"/>
    <x v="71"/>
    <s v="Tis-1125"/>
    <s v="Inversiones Sajamib SAS"/>
    <x v="0"/>
    <s v="07"/>
    <x v="7"/>
    <s v="Actividades del mes de abril 2022"/>
    <n v="1"/>
    <n v="322000"/>
    <m/>
    <n v="322000"/>
    <n v="0"/>
    <n v="322000"/>
  </r>
  <r>
    <n v="134"/>
    <s v="P-1122"/>
    <x v="71"/>
    <s v="TIS-1121"/>
    <s v="Banco de Bogota S.A."/>
    <x v="0"/>
    <s v="01"/>
    <x v="4"/>
    <s v="Anticipo Contrato 1-912"/>
    <n v="1"/>
    <n v="67903200"/>
    <m/>
    <n v="67903200"/>
    <n v="12901608"/>
    <n v="80804808"/>
  </r>
  <r>
    <n v="135"/>
    <s v="P-1123"/>
    <x v="71"/>
    <s v="TIS-1134"/>
    <s v="PRODUCTORA INTERAMERICANA DE PLASTICOS S.A.S."/>
    <x v="0"/>
    <s v="06"/>
    <x v="6"/>
    <s v="Acompañamiento Abril y mayo 2022"/>
    <n v="2"/>
    <n v="200000"/>
    <m/>
    <n v="400000"/>
    <n v="76000"/>
    <n v="476000"/>
  </r>
  <r>
    <n v="136"/>
    <s v="P-1124"/>
    <x v="71"/>
    <s v="TIS-1149"/>
    <s v="Maria del Pilar Alvarado Joya"/>
    <x v="0"/>
    <s v="07"/>
    <x v="7"/>
    <s v="Servicio de acompañamiento Dinamizador Físico a clientes"/>
    <n v="1"/>
    <n v="300000"/>
    <m/>
    <n v="300000"/>
    <n v="0"/>
    <n v="300000"/>
  </r>
  <r>
    <n v="137"/>
    <s v="P-1125"/>
    <x v="71"/>
    <s v="Tis-1124"/>
    <s v="PASTRY CHEF PASTELERIA Y COCINA GOURMET SAS"/>
    <x v="0"/>
    <s v="06"/>
    <x v="6"/>
    <s v="Acompañamiento Abril 2022"/>
    <n v="1"/>
    <n v="723333"/>
    <m/>
    <n v="723333"/>
    <n v="137433.26999999999"/>
    <n v="860766.27"/>
  </r>
  <r>
    <n v="138"/>
    <s v="P-1126"/>
    <x v="72"/>
    <s v="Tis-1129"/>
    <s v="AXIOMATICA SOLUCIONES TECNOLOGICAS SAS"/>
    <x v="0"/>
    <s v="10"/>
    <x v="11"/>
    <s v="Sonometria"/>
    <n v="1"/>
    <n v="590000"/>
    <m/>
    <n v="590000"/>
    <n v="112100"/>
    <n v="702100"/>
  </r>
  <r>
    <n v="139"/>
    <s v="P-1127"/>
    <x v="72"/>
    <s v="Tis-1155"/>
    <s v="Universidad Santo Tomas"/>
    <x v="0"/>
    <s v="01"/>
    <x v="4"/>
    <s v="BRP"/>
    <n v="414"/>
    <n v="25000"/>
    <m/>
    <n v="10350000"/>
    <n v="1966500"/>
    <n v="12316500"/>
  </r>
  <r>
    <n v="140"/>
    <s v="P-1128"/>
    <x v="73"/>
    <s v="TIS-1133"/>
    <s v="RENAL MEDICAL MARKETING LIMITADA"/>
    <x v="0"/>
    <s v="06"/>
    <x v="6"/>
    <s v="Acompañamiento mensuales de equipo_x000a_profesional para diseño e implementación de actividades de SGSST_x000a_(22 abr  2022- 21 may 2022)"/>
    <n v="1"/>
    <n v="450000"/>
    <m/>
    <n v="450000"/>
    <n v="85500"/>
    <n v="535500"/>
  </r>
  <r>
    <n v="141"/>
    <s v="P-1129"/>
    <x v="73"/>
    <s v="Tis-1135"/>
    <s v="AUTOMOTORES LLANO GRANDE S. A."/>
    <x v="0"/>
    <s v="10"/>
    <x v="11"/>
    <s v="Ruido ambiental dosimetria"/>
    <n v="1"/>
    <n v="600000"/>
    <m/>
    <n v="600000"/>
    <n v="114000"/>
    <n v="714000"/>
  </r>
  <r>
    <n v="142"/>
    <s v="P-1130"/>
    <x v="73"/>
    <s v="Tis-1136"/>
    <s v="LC TALLER DE ESCULTURAS SAS"/>
    <x v="0"/>
    <s v="10"/>
    <x v="11"/>
    <s v="Medición de_x000a_material_x000a_particulado (gases_x000a_y vapores"/>
    <n v="1"/>
    <n v="1157000"/>
    <m/>
    <n v="1157000"/>
    <n v="219830"/>
    <n v="1376830"/>
  </r>
  <r>
    <n v="142"/>
    <s v="P-1130"/>
    <x v="73"/>
    <s v="Tis-1136"/>
    <s v="LC TALLER DE ESCULTURAS SAS"/>
    <x v="0"/>
    <s v="10"/>
    <x v="11"/>
    <s v="Medición de ruidambiental por_x000a_sonometría"/>
    <n v="1"/>
    <n v="590000"/>
    <m/>
    <n v="590000"/>
    <n v="112100"/>
    <n v="702100"/>
  </r>
  <r>
    <n v="143"/>
    <s v="P-1131"/>
    <x v="73"/>
    <s v="Tis-1137"/>
    <s v="PASTRY CHEF PASTELERIA Y COCINA GOURMET SAS"/>
    <x v="0"/>
    <s v="06"/>
    <x v="6"/>
    <s v="Acompañamiento mayo 2022"/>
    <n v="1"/>
    <n v="723333"/>
    <m/>
    <n v="723333"/>
    <n v="137433.26999999999"/>
    <n v="860766.27"/>
  </r>
  <r>
    <n v="144"/>
    <s v="P-1132"/>
    <x v="74"/>
    <s v="Tis-1138"/>
    <s v="Inversiones Sajamib SAS"/>
    <x v="0"/>
    <s v="07"/>
    <x v="7"/>
    <s v="Acompañamiento por el mes de mayo"/>
    <n v="1"/>
    <n v="322000"/>
    <m/>
    <n v="322000"/>
    <n v="0"/>
    <n v="322000"/>
  </r>
  <r>
    <n v="145"/>
    <s v="P-1133"/>
    <x v="75"/>
    <s v="TIS-1131"/>
    <s v="Banco de Bogota S.A."/>
    <x v="0"/>
    <s v="01"/>
    <x v="4"/>
    <s v="implementacion mayo"/>
    <n v="1"/>
    <n v="22800000"/>
    <m/>
    <n v="22800000"/>
    <n v="4332000"/>
    <n v="27132000"/>
  </r>
  <r>
    <n v="146"/>
    <s v="P-1134"/>
    <x v="76"/>
    <s v="Tis-1132"/>
    <s v="CONSTRUCCIONES Y AMBIENTE - CONAMBIENTE - S.A.S"/>
    <x v="0"/>
    <s v="01"/>
    <x v="4"/>
    <s v="brp"/>
    <n v="1"/>
    <n v="350000"/>
    <m/>
    <n v="350000"/>
    <n v="66500"/>
    <n v="416500"/>
  </r>
  <r>
    <n v="147"/>
    <s v="P-1135"/>
    <x v="73"/>
    <s v="TIS-1139"/>
    <s v="Comercializadora ERZ SAS"/>
    <x v="0"/>
    <s v="06"/>
    <x v="6"/>
    <s v="Acompañamiento Mayo"/>
    <n v="1"/>
    <n v="220000"/>
    <m/>
    <n v="220000"/>
    <n v="41800"/>
    <n v="261800"/>
  </r>
  <r>
    <n v="148"/>
    <s v="P-1136"/>
    <x v="77"/>
    <n v="0"/>
    <s v="Maria del Pilar Alvarado Joya"/>
    <x v="0"/>
    <s v="07"/>
    <x v="7"/>
    <s v="Implementacion abril, mayo y junio de 2022"/>
    <n v="3"/>
    <n v="300000"/>
    <m/>
    <n v="900000"/>
    <n v="0"/>
    <n v="900000"/>
  </r>
  <r>
    <n v="148"/>
    <s v="P-1136"/>
    <x v="77"/>
    <n v="0"/>
    <s v="Maria del Pilar Alvarado Joya"/>
    <x v="0"/>
    <s v="07"/>
    <x v="7"/>
    <s v="Capacitaciones dinamizador Fisico (mateo)"/>
    <n v="1"/>
    <n v="300000"/>
    <m/>
    <n v="300000"/>
    <n v="0"/>
    <n v="300000"/>
  </r>
  <r>
    <n v="149"/>
    <s v="P-1137"/>
    <x v="78"/>
    <s v="TIS-1150"/>
    <s v="LABORATORIO MAXPROTEC S.A.S."/>
    <x v="0"/>
    <s v="01"/>
    <x v="4"/>
    <s v="BRP"/>
    <n v="35"/>
    <n v="26000"/>
    <m/>
    <n v="910000"/>
    <n v="172900"/>
    <n v="1082900"/>
  </r>
  <r>
    <n v="150"/>
    <s v="P-1138"/>
    <x v="78"/>
    <s v="TIS-1144"/>
    <s v="Banco de Bogota S.A."/>
    <x v="0"/>
    <s v="01"/>
    <x v="4"/>
    <s v="mes de junio"/>
    <n v="1"/>
    <n v="22800000"/>
    <m/>
    <n v="22800000"/>
    <n v="4332000"/>
    <n v="27132000"/>
  </r>
  <r>
    <n v="151"/>
    <s v="P-1139"/>
    <x v="78"/>
    <s v="TIS-1145"/>
    <s v="PASTRY CHEF PASTELERIA Y COCINA GOURMET SAS"/>
    <x v="0"/>
    <s v="06"/>
    <x v="6"/>
    <s v="mes de junio"/>
    <n v="1"/>
    <n v="723333"/>
    <m/>
    <n v="723333"/>
    <n v="137433.26999999999"/>
    <n v="860766.27"/>
  </r>
  <r>
    <n v="152"/>
    <s v="P-1140"/>
    <x v="78"/>
    <s v="TIS-1146"/>
    <s v="PRODUCTORA INTERAMERICANA DE PLASTICOS S.A.S."/>
    <x v="0"/>
    <s v="06"/>
    <x v="6"/>
    <s v="mes de junio"/>
    <n v="1"/>
    <n v="200000"/>
    <m/>
    <n v="200000"/>
    <n v="38000"/>
    <n v="238000"/>
  </r>
  <r>
    <n v="153"/>
    <s v="P-1141"/>
    <x v="78"/>
    <s v="TIS-1147"/>
    <s v="RENAL MEDICAL MARKETING LIMITADA"/>
    <x v="0"/>
    <s v="06"/>
    <x v="6"/>
    <s v="mes de junio"/>
    <n v="1"/>
    <n v="450000"/>
    <m/>
    <n v="450000"/>
    <n v="85500"/>
    <n v="535500"/>
  </r>
  <r>
    <n v="154"/>
    <s v="P-1142"/>
    <x v="78"/>
    <s v="TIS-1148"/>
    <s v="Comercializadora ERZ SAS"/>
    <x v="0"/>
    <s v="06"/>
    <x v="6"/>
    <s v="mes de junio"/>
    <n v="1"/>
    <n v="220000"/>
    <m/>
    <n v="220000"/>
    <n v="41800"/>
    <n v="261800"/>
  </r>
  <r>
    <n v="155"/>
    <s v="P-1143"/>
    <x v="79"/>
    <s v="Tis-1157"/>
    <s v="Colombiana de Envases Industriales S. A."/>
    <x v="0"/>
    <s v="10"/>
    <x v="11"/>
    <s v="VOCS"/>
    <n v="6"/>
    <n v="500000"/>
    <m/>
    <n v="3000000"/>
    <n v="570000"/>
    <n v="3570000"/>
  </r>
  <r>
    <n v="155"/>
    <s v="P-1143"/>
    <x v="79"/>
    <s v="Tis-1157"/>
    <s v="Colombiana de Envases Industriales S. A."/>
    <x v="0"/>
    <s v="10"/>
    <x v="11"/>
    <s v="Dosimetría"/>
    <n v="6"/>
    <n v="460000"/>
    <m/>
    <n v="2760000"/>
    <n v="524400"/>
    <n v="3284400"/>
  </r>
  <r>
    <n v="155"/>
    <s v="P-1143"/>
    <x v="79"/>
    <s v="Tis-1157"/>
    <s v="Colombiana de Envases Industriales S. A."/>
    <x v="0"/>
    <s v="10"/>
    <x v="11"/>
    <s v="Transporte Barranquilla Bogotá"/>
    <n v="1"/>
    <n v="700000"/>
    <m/>
    <n v="700000"/>
    <n v="133000"/>
    <n v="833000"/>
  </r>
  <r>
    <n v="156"/>
    <s v="P-1144"/>
    <x v="79"/>
    <s v="Tis-1165"/>
    <s v="CARNES FRIAS ITALIA SAS"/>
    <x v="0"/>
    <s v="01"/>
    <x v="4"/>
    <s v="BRP"/>
    <n v="23"/>
    <n v="32000"/>
    <m/>
    <n v="736000"/>
    <n v="139840"/>
    <n v="875840"/>
  </r>
  <r>
    <n v="157"/>
    <s v="P-1145"/>
    <x v="79"/>
    <s v="Tis-1156"/>
    <s v="QUICK HELP S.A.S"/>
    <x v="0"/>
    <s v="10"/>
    <x v="11"/>
    <s v="Luxometría"/>
    <n v="6"/>
    <n v="90000"/>
    <m/>
    <n v="540000"/>
    <n v="102600"/>
    <n v="642600"/>
  </r>
  <r>
    <n v="157"/>
    <s v="P-1145"/>
    <x v="79"/>
    <s v="Tis-1156"/>
    <s v="QUICK HELP S.A.S"/>
    <x v="0"/>
    <s v="10"/>
    <x v="11"/>
    <s v="Sonometria ambiental"/>
    <n v="4"/>
    <n v="130000"/>
    <m/>
    <n v="520000"/>
    <n v="98800"/>
    <n v="618800"/>
  </r>
  <r>
    <n v="157"/>
    <s v="P-1145"/>
    <x v="79"/>
    <s v="Tis-1156"/>
    <s v="QUICK HELP S.A.S"/>
    <x v="0"/>
    <s v="10"/>
    <x v="11"/>
    <s v="Material particulado"/>
    <n v="2"/>
    <n v="850000"/>
    <m/>
    <n v="1700000"/>
    <n v="323000"/>
    <n v="2023000"/>
  </r>
  <r>
    <n v="158"/>
    <s v="P-1146"/>
    <x v="80"/>
    <s v="Tis-1166"/>
    <s v="Inversiones Sajamib SAS"/>
    <x v="0"/>
    <s v="07"/>
    <x v="7"/>
    <s v="Acompañamiento mes de Junio"/>
    <n v="1"/>
    <n v="322000"/>
    <m/>
    <n v="322000"/>
    <n v="0"/>
    <n v="322000"/>
  </r>
  <r>
    <n v="158"/>
    <s v="P-1146"/>
    <x v="80"/>
    <s v="Tis-1166"/>
    <s v="Inversiones Sajamib SAS"/>
    <x v="0"/>
    <s v="07"/>
    <x v="7"/>
    <s v="Acompañamiento mes de Julio"/>
    <n v="1"/>
    <n v="322000"/>
    <m/>
    <n v="322000"/>
    <n v="0"/>
    <n v="322000"/>
  </r>
  <r>
    <n v="158"/>
    <s v="P-1146"/>
    <x v="80"/>
    <s v="Tis-1166"/>
    <s v="Inversiones Sajamib SAS"/>
    <x v="0"/>
    <s v="07"/>
    <x v="7"/>
    <s v="Acompañamiento mes de Agosto"/>
    <n v="1"/>
    <n v="322000"/>
    <m/>
    <n v="322000"/>
    <n v="0"/>
    <n v="322000"/>
  </r>
  <r>
    <n v="159"/>
    <s v="P-1147"/>
    <x v="80"/>
    <s v="Tis-1161"/>
    <s v="Soluciones Avanzadas de Ingeniería SAS"/>
    <x v="0"/>
    <s v="01"/>
    <x v="4"/>
    <s v="Aplicación encuesta de Riesgo Psicosocial, papeleria e informe final"/>
    <n v="23"/>
    <n v="23000"/>
    <m/>
    <n v="529000"/>
    <n v="100510"/>
    <n v="629510"/>
  </r>
  <r>
    <n v="160"/>
    <s v="P-1148"/>
    <x v="81"/>
    <s v="TIS-1164"/>
    <s v="D&amp;G ASESORES LTDA"/>
    <x v="0"/>
    <s v="06"/>
    <x v="6"/>
    <s v="Año 2019 "/>
    <n v="12"/>
    <n v="700000"/>
    <m/>
    <n v="8400000"/>
    <n v="1596000"/>
    <n v="9996000"/>
  </r>
  <r>
    <n v="160"/>
    <s v="P-1148"/>
    <x v="81"/>
    <s v="TIS-1164"/>
    <s v="D&amp;G ASESORES LTDA"/>
    <x v="0"/>
    <s v="06"/>
    <x v="6"/>
    <s v="Año 2020"/>
    <n v="12"/>
    <n v="700000"/>
    <m/>
    <n v="8400000"/>
    <n v="1596000"/>
    <n v="9996000"/>
  </r>
  <r>
    <n v="160"/>
    <s v="P-1148"/>
    <x v="81"/>
    <s v="TIS-1164"/>
    <s v="D&amp;G ASESORES LTDA"/>
    <x v="0"/>
    <s v="06"/>
    <x v="6"/>
    <s v="Año 2021"/>
    <n v="12"/>
    <n v="700000"/>
    <m/>
    <n v="8400000"/>
    <n v="1596000"/>
    <n v="9996000"/>
  </r>
  <r>
    <n v="161"/>
    <s v="P-1149"/>
    <x v="82"/>
    <n v="0"/>
    <s v="Inversiones Londoño Sepulveda S.A.S"/>
    <x v="0"/>
    <s v="01"/>
    <x v="4"/>
    <s v="Asignación de profesional en ciudades_x000a_principales, Papeleria y documentación necesaria._x000a_Formas A y B de acuerdo con la normatividad y perfil_x000a_del colaborador."/>
    <n v="6"/>
    <n v="70000"/>
    <m/>
    <n v="420000"/>
    <n v="79800"/>
    <n v="499800"/>
  </r>
  <r>
    <n v="162"/>
    <s v="P-1150"/>
    <x v="83"/>
    <s v="TIS-1153"/>
    <s v="STT Group sucursal colombia SA"/>
    <x v="0"/>
    <s v="01"/>
    <x v="4"/>
    <s v="BRP"/>
    <n v="51"/>
    <n v="25000"/>
    <m/>
    <n v="1275000"/>
    <n v="242250"/>
    <n v="1517250"/>
  </r>
  <r>
    <n v="163"/>
    <s v="P-1151"/>
    <x v="83"/>
    <s v="Tis-1181"/>
    <s v="BETA SERVICIOS TEMPORALES S A S"/>
    <x v="1"/>
    <s v="01"/>
    <x v="4"/>
    <s v="brp"/>
    <n v="9"/>
    <n v="25000"/>
    <m/>
    <n v="225000"/>
    <n v="42750"/>
    <n v="267750"/>
  </r>
  <r>
    <n v="164"/>
    <s v="P-1152"/>
    <x v="84"/>
    <s v="TIS-1176"/>
    <s v="GRUPO S I E SAS"/>
    <x v="0"/>
    <s v="10"/>
    <x v="11"/>
    <s v="Sonometria"/>
    <n v="1"/>
    <n v="600000"/>
    <m/>
    <n v="600000"/>
    <n v="114000"/>
    <n v="714000"/>
  </r>
  <r>
    <n v="164"/>
    <s v="P-1152"/>
    <x v="84"/>
    <s v="TIS-1176"/>
    <s v="GRUPO S I E SAS"/>
    <x v="0"/>
    <s v="10"/>
    <x v="11"/>
    <s v="Vibraciones Ocupacionales"/>
    <n v="2"/>
    <n v="600000"/>
    <m/>
    <n v="1200000"/>
    <n v="228000"/>
    <n v="1428000"/>
  </r>
  <r>
    <n v="164"/>
    <s v="P-1152"/>
    <x v="84"/>
    <s v="TIS-1176"/>
    <s v="GRUPO S I E SAS"/>
    <x v="0"/>
    <s v="10"/>
    <x v="11"/>
    <s v="Confort térmico"/>
    <n v="1"/>
    <n v="650000"/>
    <m/>
    <n v="650000"/>
    <n v="123500"/>
    <n v="773500"/>
  </r>
  <r>
    <n v="165"/>
    <s v="P-1153"/>
    <x v="85"/>
    <s v="Tis-1180"/>
    <s v="INSTRUMENTACION Y SOLUCIONES PARA LABORATORIO S A S"/>
    <x v="0"/>
    <s v="01"/>
    <x v="4"/>
    <s v="BRP para colaboradores de la empresa"/>
    <n v="11"/>
    <n v="54000"/>
    <m/>
    <n v="594000"/>
    <n v="112860"/>
    <n v="706860"/>
  </r>
  <r>
    <n v="166"/>
    <s v="P-1154"/>
    <x v="85"/>
    <s v="Tis-1162"/>
    <s v="HUTERCOL S.A.S."/>
    <x v="0"/>
    <s v="06"/>
    <x v="6"/>
    <s v="Saldo consultoria SST"/>
    <n v="1"/>
    <n v="1050000"/>
    <m/>
    <n v="1050000"/>
    <n v="199500"/>
    <n v="1249500"/>
  </r>
  <r>
    <n v="167"/>
    <s v="P-1155"/>
    <x v="85"/>
    <s v="TIS-1160"/>
    <s v="PACKVISION SAS"/>
    <x v="0"/>
    <s v="09"/>
    <x v="9"/>
    <s v="Analisis con enfasis Químico"/>
    <n v="1"/>
    <n v="986000"/>
    <m/>
    <n v="986000"/>
    <n v="187340"/>
    <n v="1173340"/>
  </r>
  <r>
    <n v="168"/>
    <s v="P-1156"/>
    <x v="85"/>
    <s v="TIS-1159"/>
    <s v="PRODUCTORA INTERAMERICANA DE PLASTICOS S.A.S."/>
    <x v="0"/>
    <s v="01"/>
    <x v="4"/>
    <m/>
    <n v="48"/>
    <n v="20000"/>
    <m/>
    <n v="960000"/>
    <n v="182400"/>
    <n v="1142400"/>
  </r>
  <r>
    <n v="168"/>
    <s v="P-1156"/>
    <x v="85"/>
    <s v="TIS-1159"/>
    <s v="PRODUCTORA INTERAMERICANA DE PLASTICOS S.A.S."/>
    <x v="0"/>
    <s v="06"/>
    <x v="6"/>
    <m/>
    <n v="1"/>
    <n v="200000"/>
    <m/>
    <n v="200000"/>
    <n v="38000"/>
    <n v="238000"/>
  </r>
  <r>
    <n v="168"/>
    <s v="P-1156"/>
    <x v="85"/>
    <s v="TIS-1159"/>
    <s v="PRODUCTORA INTERAMERICANA DE PLASTICOS S.A.S."/>
    <x v="0"/>
    <n v="15"/>
    <x v="12"/>
    <m/>
    <n v="3"/>
    <n v="90000"/>
    <m/>
    <n v="270000"/>
    <n v="51300"/>
    <n v="321300"/>
  </r>
  <r>
    <n v="169"/>
    <s v="P-1157"/>
    <x v="86"/>
    <s v="TIS-1183"/>
    <s v="Comercializadora ERZ SAS"/>
    <x v="0"/>
    <s v="06"/>
    <x v="6"/>
    <s v="Acompañamiento Mes de julio"/>
    <n v="1"/>
    <n v="220000"/>
    <m/>
    <n v="220000"/>
    <n v="41800"/>
    <n v="261800"/>
  </r>
  <r>
    <n v="169"/>
    <s v="P-1157"/>
    <x v="86"/>
    <s v="TIS-1183"/>
    <s v="Comercializadora ERZ SAS"/>
    <x v="0"/>
    <s v="06"/>
    <x v="6"/>
    <s v="Acompañamiento Mes de Agosto"/>
    <n v="1"/>
    <n v="220000"/>
    <m/>
    <n v="220000"/>
    <n v="41800"/>
    <n v="261800"/>
  </r>
  <r>
    <n v="169"/>
    <s v="P-1157"/>
    <x v="86"/>
    <s v="TIS-1183"/>
    <s v="Comercializadora ERZ SAS"/>
    <x v="0"/>
    <s v="06"/>
    <x v="6"/>
    <s v="Acompañamiento Mes de Septiembre"/>
    <n v="1"/>
    <n v="220000"/>
    <m/>
    <n v="220000"/>
    <n v="41800"/>
    <n v="261800"/>
  </r>
  <r>
    <n v="169"/>
    <s v="P-1157"/>
    <x v="86"/>
    <s v="TIS-1183"/>
    <s v="Comercializadora ERZ SAS"/>
    <x v="0"/>
    <s v="06"/>
    <x v="6"/>
    <s v="Acompañamiento Mes de Octubre"/>
    <n v="1"/>
    <n v="220000"/>
    <m/>
    <n v="220000"/>
    <n v="41800"/>
    <n v="261800"/>
  </r>
  <r>
    <n v="170"/>
    <s v="P-1158"/>
    <x v="87"/>
    <n v="0"/>
    <s v="PATRIMONIOS AUTONOMOS FIDUCIARIA BANCOLOMBIA S A SOCIEDAD FIDUCIARIA"/>
    <x v="1"/>
    <s v="01"/>
    <x v="4"/>
    <s v="Anticipo 50% _x000a_Incluye: Asignación de profesional, Papeleria y documentación necesaria._x000a_Formas A y B de acuerdo con la normatividad y perfil del colaborador. _x000a_Entrega de informe final."/>
    <n v="113"/>
    <n v="34784"/>
    <m/>
    <n v="3930592"/>
    <n v="746812.48"/>
    <n v="4677404.4800000004"/>
  </r>
  <r>
    <n v="171"/>
    <s v="P-1159"/>
    <x v="80"/>
    <s v="TIS-1158"/>
    <s v="Banco de Bogota S.A."/>
    <x v="0"/>
    <s v="01"/>
    <x v="4"/>
    <s v="FACTURA MES AGOSTO 2022"/>
    <n v="1"/>
    <n v="22800000"/>
    <m/>
    <n v="22800000"/>
    <n v="4332000"/>
    <n v="27132000"/>
  </r>
  <r>
    <n v="172"/>
    <s v="P-1160"/>
    <x v="88"/>
    <s v="TIS-1163"/>
    <s v="Banco de Bogota S.A."/>
    <x v="0"/>
    <s v="01"/>
    <x v="4"/>
    <s v="FACTRUA MES SEPTIEMBRE 2022"/>
    <n v="1"/>
    <n v="22800000"/>
    <m/>
    <n v="22800000"/>
    <n v="4332000"/>
    <n v="27132000"/>
  </r>
  <r>
    <n v="173"/>
    <s v="P-1161"/>
    <x v="89"/>
    <s v="TIS-1168"/>
    <s v="PASTRY CHEF PASTELERIA Y COCINA GOURMET SAS"/>
    <x v="0"/>
    <s v="06"/>
    <x v="6"/>
    <s v="FACTURA MES Julio y Agosto"/>
    <n v="2"/>
    <n v="723333"/>
    <m/>
    <n v="1446666"/>
    <n v="274866.53999999998"/>
    <n v="1721532.54"/>
  </r>
  <r>
    <n v="174"/>
    <s v="P-1162"/>
    <x v="89"/>
    <s v="TIS-1169"/>
    <s v="Comercializadora ERZ SAS"/>
    <x v="0"/>
    <s v="06"/>
    <x v="6"/>
    <s v="FACTRUAS MES SEPTIEMBRE 2022"/>
    <n v="2"/>
    <n v="220000"/>
    <m/>
    <n v="440000"/>
    <n v="83600"/>
    <n v="523600"/>
  </r>
  <r>
    <n v="175"/>
    <s v="P-1163"/>
    <x v="82"/>
    <s v="TIS-1170"/>
    <s v="CONSTRUCCIONES Y AMBIENTE - CONAMBIENTE - S.A.S"/>
    <x v="0"/>
    <s v="01"/>
    <x v="4"/>
    <s v="FACTURA MES SEPTIEMBRE"/>
    <n v="1"/>
    <n v="350000"/>
    <m/>
    <n v="350000"/>
    <n v="66500"/>
    <n v="416500"/>
  </r>
  <r>
    <n v="176"/>
    <s v="P-1164"/>
    <x v="82"/>
    <s v="TIS-1171"/>
    <s v="COEL INGENIERIA LTDA"/>
    <x v="0"/>
    <s v="01"/>
    <x v="4"/>
    <s v="FACTURA MES SEPTIEMBRE 2022"/>
    <n v="42"/>
    <n v="27000"/>
    <m/>
    <n v="1134000"/>
    <n v="215460"/>
    <n v="1349460"/>
  </r>
  <r>
    <n v="177"/>
    <s v="P-1165"/>
    <x v="82"/>
    <s v="TIS-1172"/>
    <s v="TRANSPORTES ESPECIALES ALIADOS S.A.S"/>
    <x v="0"/>
    <s v="01"/>
    <x v="4"/>
    <s v="FACTURA MES SEPTIEMBRE 2022"/>
    <n v="247"/>
    <n v="19000"/>
    <n v="0"/>
    <n v="4693000"/>
    <n v="891670"/>
    <n v="5584670"/>
  </r>
  <r>
    <n v="178"/>
    <s v="P-1166"/>
    <x v="82"/>
    <s v="TIS-1173"/>
    <s v="Terminales Automotrices SA"/>
    <x v="0"/>
    <s v="01"/>
    <x v="4"/>
    <s v="FACTURA MES DE SEPTIEMBRE 2022"/>
    <n v="120"/>
    <n v="25000"/>
    <n v="0"/>
    <n v="3000000"/>
    <n v="570000"/>
    <n v="3570000"/>
  </r>
  <r>
    <n v="179"/>
    <s v="P-1167"/>
    <x v="82"/>
    <s v="TIS-1174"/>
    <s v="NATALIA GUARNIZO VARON"/>
    <x v="0"/>
    <s v="03"/>
    <x v="15"/>
    <s v="FACTURA MES SEPTIEMBRE 2022"/>
    <n v="1"/>
    <n v="200000"/>
    <m/>
    <n v="200000"/>
    <n v="0"/>
    <n v="200000"/>
  </r>
  <r>
    <n v="180"/>
    <s v="P-1168"/>
    <x v="90"/>
    <s v="TIS-1175"/>
    <s v="MEMCO SAS"/>
    <x v="0"/>
    <s v="10"/>
    <x v="11"/>
    <s v="FACTURA MES SEPTIEMBRE 2022"/>
    <n v="21"/>
    <n v="50000"/>
    <m/>
    <n v="1050000"/>
    <n v="199500"/>
    <n v="1249500"/>
  </r>
  <r>
    <n v="181"/>
    <s v="P-1169"/>
    <x v="91"/>
    <s v="TIS-1178"/>
    <s v="Banco de Bogota S.A."/>
    <x v="0"/>
    <s v="01"/>
    <x v="4"/>
    <s v="FACTURA MES OCTUBRE 2022"/>
    <n v="1"/>
    <n v="22800000"/>
    <m/>
    <n v="22800000"/>
    <n v="4332000"/>
    <n v="27132000"/>
  </r>
  <r>
    <n v="182"/>
    <s v="P-1170"/>
    <x v="92"/>
    <s v="TIS-1182"/>
    <s v="Banco de Bogota S.A."/>
    <x v="0"/>
    <s v="01"/>
    <x v="4"/>
    <s v="FACTURA MES NOVIEMBRE 2022"/>
    <n v="1"/>
    <n v="22800000"/>
    <m/>
    <n v="22800000"/>
    <n v="4332000"/>
    <n v="27132000"/>
  </r>
  <r>
    <n v="183"/>
    <s v="P-1171"/>
    <x v="93"/>
    <s v="TIS-1185"/>
    <s v="HIPRA COLOMBIA SAS"/>
    <x v="0"/>
    <s v="01"/>
    <x v="4"/>
    <s v="FACTURA MES NOVIEMBRE 2022"/>
    <n v="20"/>
    <n v="30000"/>
    <m/>
    <n v="600000"/>
    <n v="114000"/>
    <n v="714000"/>
  </r>
  <r>
    <n v="184"/>
    <s v="P-1172"/>
    <x v="67"/>
    <s v="TIS-1110"/>
    <s v="Maria del Pilar Alvarado Joya"/>
    <x v="0"/>
    <s v="07"/>
    <x v="7"/>
    <s v="FACTURA MES ABRIL 2022"/>
    <n v="1"/>
    <n v="900000"/>
    <m/>
    <n v="900000"/>
    <n v="0"/>
    <n v="900000"/>
  </r>
  <r>
    <n v="185"/>
    <s v="P-1173"/>
    <x v="94"/>
    <s v="TIS-1112"/>
    <s v="PRODUCTORA INTERAMERICANA DE PLASTICOS S.A.S."/>
    <x v="0"/>
    <s v="06"/>
    <x v="6"/>
    <s v="FACTURA MES ABRIL 2022"/>
    <n v="1"/>
    <n v="200000"/>
    <m/>
    <n v="200000"/>
    <n v="38000"/>
    <n v="238000"/>
  </r>
  <r>
    <n v="186"/>
    <s v="P-1174"/>
    <x v="71"/>
    <s v="TIS-1123"/>
    <s v="PRODUCTORA INTERAMERICANA DE PLASTICOS S.A.S."/>
    <x v="0"/>
    <s v="07"/>
    <x v="7"/>
    <s v="FACTURA MES MAYO 2022"/>
    <n v="1"/>
    <n v="200000"/>
    <m/>
    <n v="200000"/>
    <n v="0"/>
    <n v="200000"/>
  </r>
  <r>
    <n v="187"/>
    <s v="P-1175"/>
    <x v="56"/>
    <s v="NC9"/>
    <s v="Colegio Integrado Nacional Oriente de Caldas"/>
    <x v="1"/>
    <s v="01"/>
    <x v="4"/>
    <s v="FACTURA MES DE FEBRERO 2022"/>
    <n v="50"/>
    <n v="24000"/>
    <m/>
    <n v="-1200000"/>
    <n v="-228000"/>
    <n v="-1428000"/>
  </r>
  <r>
    <n v="187"/>
    <s v="P-1175"/>
    <x v="56"/>
    <s v="NC9"/>
    <s v="Colegio Integrado Nacional Oriente de Caldas"/>
    <x v="1"/>
    <s v="01"/>
    <x v="4"/>
    <s v="FACTURA MES DE FEBRERO 2022"/>
    <n v="1"/>
    <n v="50000"/>
    <m/>
    <n v="-50000"/>
    <n v="-9500"/>
    <n v="-59500"/>
  </r>
  <r>
    <n v="187"/>
    <s v="P-1175"/>
    <x v="56"/>
    <s v="NC9"/>
    <s v="Colegio Integrado Nacional Oriente de Caldas"/>
    <x v="1"/>
    <s v="01"/>
    <x v="4"/>
    <s v="FACTURA MES DE FEBRERO 2022"/>
    <n v="1"/>
    <n v="50000"/>
    <m/>
    <n v="-50000"/>
    <n v="-9500"/>
    <n v="-59500"/>
  </r>
  <r>
    <n v="188"/>
    <s v="P-1176"/>
    <x v="56"/>
    <s v="TIS-1088"/>
    <s v="Colegio Integrado Nacional Oriente de Caldas"/>
    <x v="1"/>
    <s v="01"/>
    <x v="4"/>
    <s v="FACTURA MES FEBRERO 2022"/>
    <n v="50"/>
    <n v="24000"/>
    <m/>
    <n v="1200000"/>
    <n v="228000"/>
    <n v="1428000"/>
  </r>
  <r>
    <n v="188"/>
    <s v="P-1176"/>
    <x v="56"/>
    <s v="TIS-1088"/>
    <s v="Colegio Integrado Nacional Oriente de Caldas"/>
    <x v="1"/>
    <s v="01"/>
    <x v="4"/>
    <s v="FACTURA MES FEBRERO 2022"/>
    <n v="1"/>
    <n v="50000"/>
    <m/>
    <n v="50000"/>
    <n v="9500"/>
    <n v="59500"/>
  </r>
  <r>
    <n v="188"/>
    <s v="P-1176"/>
    <x v="56"/>
    <s v="TIS-1088"/>
    <s v="Colegio Integrado Nacional Oriente de Caldas"/>
    <x v="1"/>
    <s v="01"/>
    <x v="4"/>
    <s v="FACTURA MES FEBRERO 2022"/>
    <n v="1"/>
    <n v="50000"/>
    <m/>
    <n v="50000"/>
    <n v="9500"/>
    <n v="59500"/>
  </r>
  <r>
    <n v="189"/>
    <s v="P-1177"/>
    <x v="95"/>
    <s v="TIS-1186"/>
    <s v="ATECNO S.A.S"/>
    <x v="1"/>
    <s v="18"/>
    <x v="4"/>
    <s v="FACTURA MES NOVIEMNBRE 2022"/>
    <n v="237"/>
    <n v="26800"/>
    <m/>
    <n v="6351600"/>
    <n v="0"/>
    <n v="6351600"/>
  </r>
  <r>
    <n v="190"/>
    <s v="P-1218"/>
    <x v="96"/>
    <s v="NC31"/>
    <s v="ATECNO S.A.S"/>
    <x v="1"/>
    <s v="10"/>
    <x v="11"/>
    <s v="sonometria"/>
    <n v="1"/>
    <n v="500000"/>
    <m/>
    <n v="-500000"/>
    <n v="-95000"/>
    <n v="-595000"/>
  </r>
  <r>
    <n v="191"/>
    <s v="P-1179"/>
    <x v="97"/>
    <s v="TIS-1126"/>
    <s v="SEQ CONSULTORES LTDA"/>
    <x v="1"/>
    <s v="10"/>
    <x v="11"/>
    <s v="FACTURA MES MAYO 2022"/>
    <n v="11"/>
    <n v="59000"/>
    <m/>
    <n v="649000"/>
    <n v="123310"/>
    <n v="772310"/>
  </r>
  <r>
    <n v="191"/>
    <s v="P-1179"/>
    <x v="97"/>
    <s v="TIS-1126"/>
    <s v="SEQ CONSULTORES LTDA"/>
    <x v="1"/>
    <s v="10"/>
    <x v="11"/>
    <s v="FACTURA MES MAYO 2022"/>
    <n v="13"/>
    <n v="59000"/>
    <m/>
    <n v="767000"/>
    <n v="145730"/>
    <n v="912730"/>
  </r>
  <r>
    <n v="191"/>
    <s v="P-1179"/>
    <x v="97"/>
    <s v="TIS-1126"/>
    <s v="SEQ CONSULTORES LTDA"/>
    <x v="1"/>
    <s v="10"/>
    <x v="11"/>
    <s v="FACTURA MES MAYO 2022"/>
    <n v="5"/>
    <n v="300000"/>
    <m/>
    <n v="1500000"/>
    <n v="285000"/>
    <n v="1785000"/>
  </r>
  <r>
    <n v="191"/>
    <s v="P-1179"/>
    <x v="97"/>
    <s v="TIS-1126"/>
    <s v="SEQ CONSULTORES LTDA"/>
    <x v="1"/>
    <s v="10"/>
    <x v="11"/>
    <s v="FACTURA MES MAYO 2022"/>
    <n v="3"/>
    <n v="900000"/>
    <m/>
    <n v="2700000"/>
    <n v="513000"/>
    <n v="3213000"/>
  </r>
  <r>
    <n v="192"/>
    <s v="P-1180"/>
    <x v="98"/>
    <s v="NC15"/>
    <s v="SEQ CONSULTORES LTDA"/>
    <x v="1"/>
    <s v="10"/>
    <x v="11"/>
    <s v="FACTURA ANULADA MES MAYO 2022"/>
    <n v="11"/>
    <n v="59000"/>
    <m/>
    <n v="-649000"/>
    <n v="-123310"/>
    <n v="-772310"/>
  </r>
  <r>
    <n v="192"/>
    <s v="P-1180"/>
    <x v="98"/>
    <s v="NC15"/>
    <s v="SEQ CONSULTORES LTDA"/>
    <x v="1"/>
    <s v="10"/>
    <x v="11"/>
    <s v="FACTURA ANULADA MES MAYO 2022"/>
    <n v="13"/>
    <n v="59000"/>
    <m/>
    <n v="-767000"/>
    <n v="-145730"/>
    <n v="-912730"/>
  </r>
  <r>
    <n v="192"/>
    <s v="P-1180"/>
    <x v="98"/>
    <s v="NC15"/>
    <s v="SEQ CONSULTORES LTDA"/>
    <x v="1"/>
    <s v="10"/>
    <x v="11"/>
    <s v="FACTURA ANULADA MES MAYO 2022"/>
    <n v="5"/>
    <n v="300000"/>
    <m/>
    <n v="-1500000"/>
    <n v="-285000"/>
    <n v="-1785000"/>
  </r>
  <r>
    <n v="192"/>
    <s v="P-1180"/>
    <x v="98"/>
    <s v="NC15"/>
    <s v="SEQ CONSULTORES LTDA"/>
    <x v="1"/>
    <s v="10"/>
    <x v="11"/>
    <s v="FACTURA ANULADA MES MAYO 2022"/>
    <n v="3"/>
    <n v="900000"/>
    <m/>
    <n v="-2700000"/>
    <n v="-513000"/>
    <n v="-3213000"/>
  </r>
  <r>
    <n v="193"/>
    <s v="P-1181"/>
    <x v="72"/>
    <s v="TIS-1128"/>
    <s v="Universidad Santo Tomas"/>
    <x v="1"/>
    <s v="01"/>
    <x v="4"/>
    <s v="FACTURA MES JUNIO 2022"/>
    <n v="500"/>
    <n v="29750"/>
    <m/>
    <n v="14875000"/>
    <n v="2826250"/>
    <n v="17701250"/>
  </r>
  <r>
    <n v="194"/>
    <s v="P-1182"/>
    <x v="75"/>
    <s v="NC16"/>
    <s v="Universidad Santo Tomas"/>
    <x v="1"/>
    <s v="01"/>
    <x v="4"/>
    <s v="FACTURA ANULADA MES JUNIO 2022"/>
    <n v="500"/>
    <n v="29750"/>
    <m/>
    <n v="-14875000"/>
    <n v="-2826250"/>
    <n v="-17701250"/>
  </r>
  <r>
    <n v="195"/>
    <s v="P-1183"/>
    <x v="99"/>
    <s v="TIS-1141"/>
    <s v="Universidad Santo Tomas"/>
    <x v="1"/>
    <s v="01"/>
    <x v="4"/>
    <s v="FACTURA MES JUNIO 2022"/>
    <n v="414"/>
    <n v="25000"/>
    <m/>
    <n v="10350000"/>
    <n v="1966500"/>
    <n v="12316500"/>
  </r>
  <r>
    <n v="196"/>
    <s v="P-1184"/>
    <x v="99"/>
    <s v="NC18"/>
    <s v="Universidad Santo Tomas"/>
    <x v="1"/>
    <s v="01"/>
    <x v="4"/>
    <s v="FACTURA ANULADA MES JUNIO 2022"/>
    <n v="414"/>
    <n v="25000"/>
    <m/>
    <n v="-10350000"/>
    <n v="-1966500"/>
    <n v="-12316500"/>
  </r>
  <r>
    <n v="197"/>
    <s v="P-1185"/>
    <x v="77"/>
    <s v="TIS-1143"/>
    <s v="Universidad Santo Tomas"/>
    <x v="1"/>
    <s v="01"/>
    <x v="4"/>
    <s v="FACTURA MES JULIO 2022"/>
    <n v="414"/>
    <n v="25000"/>
    <m/>
    <n v="10350000"/>
    <n v="1966500"/>
    <n v="12316500"/>
  </r>
  <r>
    <n v="198"/>
    <s v="P-1186"/>
    <x v="77"/>
    <s v="NC19"/>
    <s v="Universidad Santo Tomas"/>
    <x v="1"/>
    <s v="01"/>
    <x v="4"/>
    <s v="FACTURA ANULADA MES JULIO 2022"/>
    <n v="414"/>
    <n v="25000"/>
    <m/>
    <n v="-10350000"/>
    <n v="-1966500"/>
    <n v="-12316500"/>
  </r>
  <r>
    <n v="199"/>
    <s v="P-1187"/>
    <x v="100"/>
    <s v="TIS-1151"/>
    <s v="Banco de Bogota S.A."/>
    <x v="1"/>
    <s v="01"/>
    <x v="4"/>
    <s v="FACTURA MES AGOSTO 2022"/>
    <n v="1"/>
    <n v="22800000"/>
    <m/>
    <n v="22800000"/>
    <n v="4332000"/>
    <n v="27132000"/>
  </r>
  <r>
    <n v="200"/>
    <s v="P-1188"/>
    <x v="80"/>
    <s v="NC22"/>
    <s v="Banco de Bogota S.A."/>
    <x v="1"/>
    <s v="01"/>
    <x v="4"/>
    <s v="FACTURA ANULADA MES AGOSTO 2022"/>
    <n v="1"/>
    <n v="22800000"/>
    <m/>
    <n v="-22800000"/>
    <n v="-4332000"/>
    <n v="-27132000"/>
  </r>
  <r>
    <n v="201"/>
    <s v="P-1189"/>
    <x v="101"/>
    <s v="TIS-1152"/>
    <s v="BETA SERVICIOS TEMPORALES S A S"/>
    <x v="1"/>
    <s v="02"/>
    <x v="1"/>
    <s v="FACTURA MES AGOSTO 2022"/>
    <n v="9"/>
    <n v="25000"/>
    <m/>
    <n v="225000"/>
    <n v="42750"/>
    <n v="267750"/>
  </r>
  <r>
    <n v="202"/>
    <s v="P-1190"/>
    <x v="101"/>
    <s v="NC20"/>
    <s v="BETA SERVICIOS TEMPORALES S A S"/>
    <x v="1"/>
    <s v="01"/>
    <x v="4"/>
    <s v="FACTURA ANULADA MES AGOSTO"/>
    <n v="9"/>
    <n v="25000"/>
    <m/>
    <n v="-225000"/>
    <n v="-42750"/>
    <n v="-267750"/>
  </r>
  <r>
    <n v="203"/>
    <s v="P-1191"/>
    <x v="101"/>
    <s v="TIS-1154"/>
    <s v="BETA SERVICIOS TEMPORALES S A S"/>
    <x v="1"/>
    <s v="01"/>
    <x v="4"/>
    <s v="FACTURA MES AGOSTO"/>
    <n v="9"/>
    <n v="25000"/>
    <m/>
    <n v="225000"/>
    <n v="42750"/>
    <n v="267750"/>
  </r>
  <r>
    <n v="204"/>
    <s v="P-1192"/>
    <x v="102"/>
    <s v="TIS-1179"/>
    <s v="BETA SERVICIOS TEMPORALES S A S"/>
    <x v="0"/>
    <s v="01"/>
    <x v="4"/>
    <s v="FACTURA MES OCTUBRE 2022"/>
    <n v="9"/>
    <n v="25000"/>
    <m/>
    <n v="225000"/>
    <n v="42750"/>
    <n v="267750"/>
  </r>
  <r>
    <n v="205"/>
    <s v="P-1193"/>
    <x v="102"/>
    <s v="NC25"/>
    <s v="BETA SERVICIOS TEMPORALES S A S"/>
    <x v="1"/>
    <s v="01"/>
    <x v="4"/>
    <s v="FACTURA ANULADA MES OCTUBRE 2022"/>
    <n v="9"/>
    <n v="25000"/>
    <m/>
    <n v="-225000"/>
    <n v="-42750"/>
    <n v="-267750"/>
  </r>
  <r>
    <n v="206"/>
    <s v="P-1194"/>
    <x v="103"/>
    <s v="TIS-1177"/>
    <s v="LILIANA MERCEDES ANDRADE SERRANO"/>
    <x v="0"/>
    <s v="03"/>
    <x v="15"/>
    <s v="FACTURA MES SEPTIEMBRE 2022"/>
    <n v="1"/>
    <n v="200000"/>
    <m/>
    <n v="200000"/>
    <n v="0"/>
    <n v="200000"/>
  </r>
  <r>
    <n v="207"/>
    <s v="P-1195"/>
    <x v="89"/>
    <s v="TIS-1167"/>
    <s v="RENAL MEDICAL MARKETING LIMITADA"/>
    <x v="0"/>
    <s v="06"/>
    <x v="6"/>
    <s v="mes de julio"/>
    <n v="1"/>
    <n v="450000"/>
    <m/>
    <n v="450000"/>
    <n v="85500"/>
    <n v="535500"/>
  </r>
  <r>
    <n v="208"/>
    <s v="P-1196"/>
    <x v="96"/>
    <s v="Tis-1189"/>
    <s v="PASTRY CHEF PASTELERIA Y COCINA GOURMET SAS"/>
    <x v="0"/>
    <s v="06"/>
    <x v="6"/>
    <s v="ACOMPAÑAMIENTO MES SEPT-OCT-NOV 2022"/>
    <n v="2"/>
    <n v="723333"/>
    <m/>
    <n v="1446666"/>
    <n v="274866.53999999998"/>
    <n v="1721532.54"/>
  </r>
  <r>
    <n v="209"/>
    <s v="P-1197"/>
    <x v="96"/>
    <s v="Tis-1188"/>
    <s v="Inversiones Sajamib SAS"/>
    <x v="0"/>
    <s v="07"/>
    <x v="7"/>
    <s v="ACOMPAÑAMIENTO MES SEPT.OCT.NOV.2022"/>
    <n v="3"/>
    <n v="322000"/>
    <m/>
    <n v="966000"/>
    <n v="0"/>
    <n v="966000"/>
  </r>
  <r>
    <n v="210"/>
    <s v="P-1198"/>
    <x v="96"/>
    <s v="Tis-1190"/>
    <s v="PRODUCTORA INTERAMERICANA DE PLASTICOS S.A.S."/>
    <x v="1"/>
    <s v="07"/>
    <x v="7"/>
    <s v="ACOMPAÑAMIENTO MES AGO.SEPT.OCT.NOV. 2022"/>
    <n v="4"/>
    <n v="200000"/>
    <m/>
    <n v="800000"/>
    <n v="0"/>
    <n v="800000"/>
  </r>
  <r>
    <n v="211"/>
    <s v="P-1199"/>
    <x v="104"/>
    <s v="Tis-1187"/>
    <s v="INSTITUTO DISTRITAL DE CIENCIA, BIOTECNOLOGIA E INNOVACION EN SALUD"/>
    <x v="1"/>
    <s v="01"/>
    <x v="4"/>
    <s v="Asignación de profesional para Batería de riesgo psicosocial"/>
    <n v="229"/>
    <n v="27254"/>
    <m/>
    <n v="6241166"/>
    <n v="1185821.54"/>
    <n v="7426987.54"/>
  </r>
  <r>
    <n v="212"/>
    <s v="P-1200"/>
    <x v="104"/>
    <s v="Tis-1192"/>
    <s v="FEDERACION NACIONAL DE COMERCIANTES FENALCO SECCIONAL BOGOTA CUNDINAMARCA"/>
    <x v="0"/>
    <s v="01"/>
    <x v="4"/>
    <m/>
    <n v="58"/>
    <n v="27000"/>
    <m/>
    <n v="1566000"/>
    <n v="297540"/>
    <n v="1863540"/>
  </r>
  <r>
    <n v="213"/>
    <s v="P-1201"/>
    <x v="105"/>
    <s v="Tis-1191"/>
    <s v="Banco de Bogota S.A."/>
    <x v="1"/>
    <s v="01"/>
    <x v="4"/>
    <s v="FACTURA MES Noviembre 2022"/>
    <n v="1"/>
    <n v="22800000"/>
    <m/>
    <n v="22800000"/>
    <n v="4332000"/>
    <n v="27132000"/>
  </r>
  <r>
    <n v="214"/>
    <s v="P-1202"/>
    <x v="106"/>
    <s v="NC27"/>
    <s v="Banco de Bogota S.A."/>
    <x v="1"/>
    <s v="01"/>
    <x v="4"/>
    <s v="FACTURA MES Noviembre 2022"/>
    <n v="1"/>
    <n v="22800000"/>
    <m/>
    <n v="-22800000"/>
    <n v="-4332000"/>
    <n v="-27132000"/>
  </r>
  <r>
    <n v="215"/>
    <s v="P-1203"/>
    <x v="106"/>
    <s v="Tis-1196"/>
    <s v="Banco de Bogota S.A."/>
    <x v="0"/>
    <s v="01"/>
    <x v="4"/>
    <s v="FACTURA MES Noviembre 2022"/>
    <n v="1"/>
    <n v="21640800"/>
    <m/>
    <n v="21640800"/>
    <n v="4111752"/>
    <n v="25752552"/>
  </r>
  <r>
    <n v="216"/>
    <s v="P-1204"/>
    <x v="107"/>
    <s v="TIS-1193"/>
    <s v="INSUMOS VETERINARIOS Y FARMACEUTICOS DE COLOMBIA SAS"/>
    <x v="0"/>
    <s v="10"/>
    <x v="11"/>
    <s v="Luxometria"/>
    <n v="1"/>
    <n v="700000"/>
    <m/>
    <n v="700000"/>
    <n v="133000"/>
    <n v="833000"/>
  </r>
  <r>
    <n v="216"/>
    <s v="P-1204"/>
    <x v="107"/>
    <s v="TIS-1193"/>
    <s v="INSUMOS VETERINARIOS Y FARMACEUTICOS DE COLOMBIA SAS"/>
    <x v="0"/>
    <s v="10"/>
    <x v="11"/>
    <s v="Material Particulado"/>
    <n v="1"/>
    <n v="1580000"/>
    <m/>
    <n v="1580000"/>
    <n v="300200"/>
    <n v="1880200"/>
  </r>
  <r>
    <n v="217"/>
    <s v="P-1205"/>
    <x v="107"/>
    <s v="TIS-1194"/>
    <s v="CONSTRUCCIONES Y AMBIENTE - CONAMBIENTE - S.A.S"/>
    <x v="0"/>
    <s v="04"/>
    <x v="0"/>
    <m/>
    <n v="1"/>
    <n v="650000"/>
    <m/>
    <n v="650000"/>
    <n v="123500"/>
    <n v="773500"/>
  </r>
  <r>
    <n v="218"/>
    <s v="P-1206"/>
    <x v="107"/>
    <s v="TIS-1195"/>
    <s v="CONCESIONARIA DEL DESARROLLO VIAL DE LA SABANA"/>
    <x v="0"/>
    <s v="01"/>
    <x v="4"/>
    <s v="BRP"/>
    <n v="205"/>
    <n v="40000"/>
    <m/>
    <n v="8200000"/>
    <n v="1558000"/>
    <n v="9758000"/>
  </r>
  <r>
    <n v="219"/>
    <s v="P-1207"/>
    <x v="107"/>
    <s v="TIS-1197"/>
    <s v="FORMADERAS Y CASETONES WP SAS"/>
    <x v="0"/>
    <s v="10"/>
    <x v="11"/>
    <s v="Sonometía"/>
    <n v="1"/>
    <n v="620000"/>
    <m/>
    <n v="620000"/>
    <n v="117800"/>
    <n v="737800"/>
  </r>
  <r>
    <n v="220"/>
    <s v="P-1208"/>
    <x v="107"/>
    <s v="TIS-1198"/>
    <s v="V2S COLOMBIA SAS"/>
    <x v="0"/>
    <n v="13"/>
    <x v="10"/>
    <s v="Consultoría para diseño del SG-SST_x000a_Linea de negocio: DeSeguridad"/>
    <n v="1"/>
    <n v="1200000"/>
    <m/>
    <n v="1200000"/>
    <n v="228000"/>
    <n v="1428000"/>
  </r>
  <r>
    <n v="221"/>
    <s v="P-1209"/>
    <x v="107"/>
    <s v="TIS-1199"/>
    <s v="INVERSIONES FRANQUIHER S A S"/>
    <x v="0"/>
    <s v="01"/>
    <x v="4"/>
    <m/>
    <n v="130"/>
    <n v="25000"/>
    <m/>
    <n v="3250000"/>
    <n v="617500"/>
    <n v="3867500"/>
  </r>
  <r>
    <n v="222"/>
    <s v="P-1210"/>
    <x v="107"/>
    <s v="TIS-1204"/>
    <s v="SUPPLYTEC SAS"/>
    <x v="0"/>
    <s v="01"/>
    <x v="4"/>
    <m/>
    <n v="29"/>
    <n v="24000"/>
    <m/>
    <n v="696000"/>
    <n v="132240"/>
    <n v="828240"/>
  </r>
  <r>
    <n v="223"/>
    <s v="P-1211"/>
    <x v="107"/>
    <s v="TIS-1200"/>
    <s v="H &amp; S FRANQUICIAS SAS"/>
    <x v="0"/>
    <s v="01"/>
    <x v="4"/>
    <m/>
    <n v="130"/>
    <n v="25000"/>
    <m/>
    <n v="3250000"/>
    <n v="617500"/>
    <n v="3867500"/>
  </r>
  <r>
    <n v="224"/>
    <s v="P-1212"/>
    <x v="107"/>
    <s v="TIS-1201"/>
    <s v="MCCANN ERICKSON CORPORATION S A"/>
    <x v="1"/>
    <s v="01"/>
    <x v="4"/>
    <m/>
    <n v="1"/>
    <n v="9000000"/>
    <m/>
    <n v="9000000"/>
    <n v="1710000"/>
    <n v="10710000"/>
  </r>
  <r>
    <n v="225"/>
    <s v="P-1213"/>
    <x v="107"/>
    <s v="NC32"/>
    <s v="MCCANN ERICKSON CORPORATION S A"/>
    <x v="1"/>
    <s v="01"/>
    <x v="4"/>
    <m/>
    <n v="300"/>
    <n v="30000"/>
    <m/>
    <n v="-9000000"/>
    <n v="-1710000"/>
    <n v="-10710000"/>
  </r>
  <r>
    <n v="226"/>
    <s v="P-1214"/>
    <x v="107"/>
    <s v="TIS-1205"/>
    <s v="MCCANN ERICKSON CORPORATION S A"/>
    <x v="0"/>
    <s v="01"/>
    <x v="4"/>
    <m/>
    <n v="300"/>
    <n v="30000"/>
    <m/>
    <n v="9000000"/>
    <n v="1710000"/>
    <n v="10710000"/>
  </r>
  <r>
    <n v="227"/>
    <s v="P-1215"/>
    <x v="107"/>
    <s v="TIS-1202"/>
    <s v="PRODUCTORA INTERAMERICANA DE PLASTICOS S.A.S."/>
    <x v="0"/>
    <s v="07"/>
    <x v="7"/>
    <m/>
    <n v="1"/>
    <n v="800000"/>
    <m/>
    <n v="800000"/>
    <n v="0"/>
    <n v="800000"/>
  </r>
  <r>
    <n v="228"/>
    <s v="P-1216"/>
    <x v="107"/>
    <s v="TIS-1203"/>
    <s v="COMERCIALIZADORA INTERNACIONAL DYNAMIC TRADING CORPORATION S.A.S"/>
    <x v="0"/>
    <s v="01"/>
    <x v="4"/>
    <m/>
    <n v="8"/>
    <n v="57000"/>
    <m/>
    <n v="456000"/>
    <n v="86640"/>
    <n v="542640"/>
  </r>
  <r>
    <n v="229"/>
    <s v="P-1217"/>
    <x v="107"/>
    <s v="TIS-1206"/>
    <s v="SOLDMANT LTDA"/>
    <x v="0"/>
    <s v="01"/>
    <x v="4"/>
    <m/>
    <n v="9"/>
    <n v="50000"/>
    <m/>
    <n v="450000"/>
    <n v="85500"/>
    <n v="535500"/>
  </r>
  <r>
    <n v="231"/>
    <s v="P-1219"/>
    <x v="108"/>
    <s v="TIS-1207"/>
    <s v="LABORATORIOS VIDA STEVIA SA"/>
    <x v="0"/>
    <s v="17"/>
    <x v="16"/>
    <s v="luxometria"/>
    <n v="5"/>
    <n v="50000"/>
    <m/>
    <n v="250000"/>
    <n v="0"/>
    <n v="250000"/>
  </r>
  <r>
    <n v="231"/>
    <s v="P-1219"/>
    <x v="108"/>
    <s v="TIS-1207"/>
    <s v="LABORATORIOS VIDA STEVIA SA"/>
    <x v="0"/>
    <s v="10"/>
    <x v="11"/>
    <s v="Sonometria"/>
    <n v="5"/>
    <n v="55000"/>
    <m/>
    <n v="275000"/>
    <n v="52250"/>
    <n v="327250"/>
  </r>
  <r>
    <n v="231"/>
    <s v="P-1219"/>
    <x v="108"/>
    <s v="TIS-1207"/>
    <s v="LABORATORIOS VIDA STEVIA SA"/>
    <x v="0"/>
    <s v="10"/>
    <x v="11"/>
    <s v="Dosimetria"/>
    <n v="1"/>
    <n v="450000"/>
    <m/>
    <n v="450000"/>
    <n v="85500"/>
    <n v="535500"/>
  </r>
  <r>
    <n v="232"/>
    <s v="P-1220"/>
    <x v="108"/>
    <s v="TIS-1213"/>
    <s v="Megalinea S.A."/>
    <x v="0"/>
    <s v="01"/>
    <x v="4"/>
    <m/>
    <n v="1354"/>
    <n v="28000"/>
    <m/>
    <n v="37912000"/>
    <n v="7203280"/>
    <n v="45115280"/>
  </r>
  <r>
    <n v="233"/>
    <s v="P-1221"/>
    <x v="109"/>
    <s v="TIS-1209"/>
    <s v="CONPORTUARIO LTDA"/>
    <x v="0"/>
    <s v="06"/>
    <x v="6"/>
    <m/>
    <n v="2"/>
    <n v="300000"/>
    <m/>
    <n v="600000"/>
    <n v="114000"/>
    <n v="714000"/>
  </r>
  <r>
    <n v="234"/>
    <s v="P-1222"/>
    <x v="110"/>
    <s v="TIS-1210"/>
    <s v="INSTITUTO DISTRITAL DE CIENCIA, BIOTECNOLOGIA E INNOVACION EN SALUD"/>
    <x v="0"/>
    <s v="01"/>
    <x v="4"/>
    <m/>
    <n v="229"/>
    <n v="27254"/>
    <m/>
    <n v="6241166"/>
    <n v="1185821.54"/>
    <n v="7426987.54"/>
  </r>
  <r>
    <n v="235"/>
    <s v="P-1223"/>
    <x v="111"/>
    <s v="TIS-1211"/>
    <s v="PRODUCTORA INTERAMERICANA DE PLASTICOS S.A.S."/>
    <x v="0"/>
    <n v="13"/>
    <x v="10"/>
    <m/>
    <n v="2"/>
    <n v="300000"/>
    <m/>
    <n v="600000"/>
    <n v="114000"/>
    <n v="714000"/>
  </r>
  <r>
    <n v="236"/>
    <s v="P-1224"/>
    <x v="111"/>
    <s v="TIS-1212"/>
    <s v="Comercializadora ERZ SAS"/>
    <x v="0"/>
    <n v="19"/>
    <x v="17"/>
    <m/>
    <n v="2"/>
    <n v="260000"/>
    <m/>
    <n v="520000"/>
    <n v="0"/>
    <n v="520000"/>
  </r>
  <r>
    <n v="237"/>
    <s v="P-1225"/>
    <x v="112"/>
    <s v="TIS-1214"/>
    <s v="ATECNO S.A.S"/>
    <x v="0"/>
    <s v="18"/>
    <x v="18"/>
    <m/>
    <n v="237"/>
    <n v="26800"/>
    <m/>
    <n v="6351600"/>
    <n v="0"/>
    <n v="6351600"/>
  </r>
  <r>
    <n v="238"/>
    <s v="P-1226"/>
    <x v="112"/>
    <s v="TIS-1215"/>
    <s v="PRODUCTORA INTERAMERICANA DE PLASTICOS S.A.S."/>
    <x v="0"/>
    <n v="15"/>
    <x v="12"/>
    <m/>
    <n v="1"/>
    <n v="300000"/>
    <m/>
    <n v="300000"/>
    <n v="57000"/>
    <n v="357000"/>
  </r>
  <r>
    <n v="239"/>
    <s v="P-1227"/>
    <x v="112"/>
    <s v="TIS-1216"/>
    <s v="Inversiones Sajamib SAS"/>
    <x v="0"/>
    <s v="07"/>
    <x v="7"/>
    <m/>
    <n v="2"/>
    <n v="322000"/>
    <m/>
    <n v="644000"/>
    <n v="0"/>
    <n v="644000"/>
  </r>
  <r>
    <n v="240"/>
    <s v="P-1228"/>
    <x v="112"/>
    <s v="TIS-1218"/>
    <s v="PASTRY CHEF PASTELERIA Y COCINA GOURMET SAS"/>
    <x v="0"/>
    <n v="19"/>
    <x v="17"/>
    <m/>
    <n v="2"/>
    <n v="723333"/>
    <m/>
    <n v="1446666"/>
    <n v="0"/>
    <n v="1446666"/>
  </r>
  <r>
    <n v="241"/>
    <s v="P-1229"/>
    <x v="113"/>
    <s v="TIS-1219"/>
    <s v="TECNOLOGIA DE OFICINA S.A.S."/>
    <x v="0"/>
    <s v="07"/>
    <x v="7"/>
    <m/>
    <n v="1"/>
    <n v="503000"/>
    <m/>
    <n v="503000"/>
    <n v="0"/>
    <n v="503000"/>
  </r>
  <r>
    <n v="242"/>
    <s v="P-1230"/>
    <x v="114"/>
    <s v="TIS-1220"/>
    <s v="PRODUCTORA INTERAMERICANA DE PLASTICOS S.A.S."/>
    <x v="0"/>
    <n v="20"/>
    <x v="19"/>
    <m/>
    <n v="14"/>
    <n v="280000"/>
    <m/>
    <n v="3920000"/>
    <n v="0"/>
    <n v="3920000"/>
  </r>
  <r>
    <n v="243"/>
    <s v="P-1231"/>
    <x v="115"/>
    <s v="TIS-1221"/>
    <s v="CLEAN MAX SAS"/>
    <x v="0"/>
    <s v="18"/>
    <x v="18"/>
    <m/>
    <n v="10"/>
    <n v="36000"/>
    <m/>
    <n v="360000"/>
    <n v="0"/>
    <n v="360000"/>
  </r>
  <r>
    <n v="244"/>
    <s v="P-1232"/>
    <x v="115"/>
    <s v="TIS-1222"/>
    <s v="SOLUCIONES INDUSTRIALES MONTERREY SAS"/>
    <x v="0"/>
    <s v="18"/>
    <x v="18"/>
    <m/>
    <n v="9"/>
    <n v="58000"/>
    <m/>
    <n v="522000"/>
    <n v="0"/>
    <n v="522000"/>
  </r>
  <r>
    <n v="245"/>
    <s v="P-1233"/>
    <x v="116"/>
    <s v="TIS-1223"/>
    <s v="EXPRESS CLEAN LAVANDERIA"/>
    <x v="0"/>
    <s v="18"/>
    <x v="18"/>
    <m/>
    <n v="38"/>
    <n v="30000"/>
    <m/>
    <n v="1140000"/>
    <n v="0"/>
    <n v="1140000"/>
  </r>
  <r>
    <n v="246"/>
    <s v="P-1234"/>
    <x v="117"/>
    <s v="TIS-1224 "/>
    <s v="HUTERCOL S.A.S."/>
    <x v="0"/>
    <s v="06"/>
    <x v="6"/>
    <m/>
    <n v="1"/>
    <n v="1200000"/>
    <m/>
    <n v="1200000"/>
    <n v="228000"/>
    <n v="1428000"/>
  </r>
  <r>
    <n v="247"/>
    <s v="P-1235"/>
    <x v="118"/>
    <s v="TIS-1225"/>
    <s v="CHILLER PLANT SERVICES SAS"/>
    <x v="0"/>
    <s v="01"/>
    <x v="4"/>
    <m/>
    <n v="6"/>
    <n v="95000"/>
    <m/>
    <n v="570000"/>
    <n v="108300"/>
    <n v="678300"/>
  </r>
  <r>
    <n v="248"/>
    <s v="P-1236"/>
    <x v="119"/>
    <s v="TIS-1226 "/>
    <s v="PASTRY CHEF PASTELERIA Y COCINA GOURMET SAS"/>
    <x v="0"/>
    <n v="13"/>
    <x v="10"/>
    <m/>
    <n v="1"/>
    <n v="723333"/>
    <m/>
    <n v="723333"/>
    <n v="137433.26999999999"/>
    <n v="860766.27"/>
  </r>
  <r>
    <n v="249"/>
    <s v="P-1237"/>
    <x v="119"/>
    <s v="TIS-1227"/>
    <s v="PRODUCTORA INTERAMERICANA DE PLASTICOS S.A.S."/>
    <x v="0"/>
    <n v="13"/>
    <x v="10"/>
    <m/>
    <n v="1"/>
    <n v="300000"/>
    <m/>
    <n v="300000"/>
    <n v="57000"/>
    <n v="357000"/>
  </r>
  <r>
    <n v="250"/>
    <s v="P-1238"/>
    <x v="119"/>
    <s v="TIS-1228"/>
    <s v="Comercializadora ERZ SAS"/>
    <x v="0"/>
    <n v="13"/>
    <x v="10"/>
    <m/>
    <n v="1"/>
    <n v="260000"/>
    <m/>
    <n v="260000"/>
    <n v="49400"/>
    <n v="309400"/>
  </r>
  <r>
    <n v="251"/>
    <s v="P-1239"/>
    <x v="119"/>
    <s v="TIS-1229"/>
    <s v="Inversiones Sajamib SAS"/>
    <x v="0"/>
    <s v="07"/>
    <x v="7"/>
    <m/>
    <n v="1"/>
    <n v="400000"/>
    <m/>
    <n v="400000"/>
    <n v="0"/>
    <n v="400000"/>
  </r>
  <r>
    <n v="252"/>
    <s v="P-1240"/>
    <x v="119"/>
    <s v="TIS-1230"/>
    <s v="MEMCO SAS"/>
    <x v="0"/>
    <s v="09"/>
    <x v="9"/>
    <m/>
    <n v="1"/>
    <n v="480000"/>
    <m/>
    <n v="480000"/>
    <n v="91200"/>
    <n v="571200"/>
  </r>
  <r>
    <n v="253"/>
    <s v="P-1241"/>
    <x v="120"/>
    <s v="TIS-1231"/>
    <s v="LUCTA GRANCOLOMBIA SAS"/>
    <x v="1"/>
    <s v="10"/>
    <x v="11"/>
    <m/>
    <n v="1"/>
    <n v="12000000"/>
    <m/>
    <n v="12000000"/>
    <n v="2280000"/>
    <n v="14280000"/>
  </r>
  <r>
    <n v="254"/>
    <s v="P-1242"/>
    <x v="121"/>
    <s v="TIS-1232"/>
    <s v="Maria del Pilar Alvarado Joya"/>
    <x v="0"/>
    <s v="07"/>
    <x v="7"/>
    <m/>
    <n v="1"/>
    <n v="900000"/>
    <m/>
    <n v="900000"/>
    <n v="0"/>
    <n v="900000"/>
  </r>
  <r>
    <n v="255"/>
    <s v="P-1243"/>
    <x v="122"/>
    <s v="TIS-1234"/>
    <s v="STT Group sucursal colombia SA"/>
    <x v="0"/>
    <s v="01"/>
    <x v="4"/>
    <m/>
    <n v="18"/>
    <n v="62000"/>
    <m/>
    <n v="1116000"/>
    <n v="212040"/>
    <n v="1328040"/>
  </r>
  <r>
    <n v="256"/>
    <s v="P-1244"/>
    <x v="123"/>
    <s v="TIS-1235"/>
    <s v="DIGITAL MEDIA TECHNOLOGIES COLOMBIA SAS"/>
    <x v="0"/>
    <s v="06"/>
    <x v="6"/>
    <m/>
    <n v="1"/>
    <n v="250000"/>
    <m/>
    <n v="250000"/>
    <n v="47500"/>
    <n v="297500"/>
  </r>
  <r>
    <n v="257"/>
    <s v="P-1245"/>
    <x v="124"/>
    <s v="TIS-1236"/>
    <s v="ETRA INTERANDINA SA"/>
    <x v="0"/>
    <s v="10"/>
    <x v="11"/>
    <m/>
    <n v="1"/>
    <n v="750000"/>
    <m/>
    <n v="750000"/>
    <n v="142500"/>
    <n v="892500"/>
  </r>
  <r>
    <n v="257"/>
    <s v="P-1245"/>
    <x v="124"/>
    <s v="TIS-1236"/>
    <s v="ETRA INTERANDINA SA"/>
    <x v="0"/>
    <s v="10"/>
    <x v="11"/>
    <m/>
    <n v="1"/>
    <n v="1830000"/>
    <m/>
    <n v="1830000"/>
    <n v="347700"/>
    <n v="2177700"/>
  </r>
  <r>
    <n v="258"/>
    <s v="P-1246"/>
    <x v="125"/>
    <s v="TIS-1237"/>
    <s v="Comercializadora ERZ SAS"/>
    <x v="0"/>
    <s v="06"/>
    <x v="6"/>
    <m/>
    <n v="1"/>
    <n v="260000"/>
    <m/>
    <n v="260000"/>
    <n v="49400"/>
    <n v="309400"/>
  </r>
  <r>
    <n v="259"/>
    <s v="P-1247"/>
    <x v="125"/>
    <s v="TIS-1238"/>
    <s v="Inversiones Sajamib SAS"/>
    <x v="0"/>
    <s v="07"/>
    <x v="7"/>
    <m/>
    <n v="1"/>
    <n v="400000"/>
    <m/>
    <n v="400000"/>
    <n v="0"/>
    <n v="400000"/>
  </r>
  <r>
    <n v="260"/>
    <s v="P-1248"/>
    <x v="125"/>
    <s v="TIS-1239"/>
    <s v="PRODUCTORA INTERAMERICANA DE PLASTICOS S.A.S."/>
    <x v="0"/>
    <s v="06"/>
    <x v="6"/>
    <m/>
    <n v="1"/>
    <n v="300000"/>
    <m/>
    <n v="300000"/>
    <n v="57000"/>
    <n v="357000"/>
  </r>
  <r>
    <n v="261"/>
    <s v="P-1249"/>
    <x v="125"/>
    <s v="TIS-1240"/>
    <s v="ROYCO SOLUCIONES SAS"/>
    <x v="0"/>
    <s v="06"/>
    <x v="6"/>
    <m/>
    <n v="1"/>
    <n v="175000"/>
    <m/>
    <n v="175000"/>
    <n v="33250"/>
    <n v="208250"/>
  </r>
  <r>
    <n v="262"/>
    <s v="P-1250"/>
    <x v="125"/>
    <s v="TIS-1241"/>
    <e v="#N/A"/>
    <x v="0"/>
    <s v="01"/>
    <x v="4"/>
    <m/>
    <n v="676"/>
    <n v="26800"/>
    <m/>
    <n v="18116800"/>
    <n v="3442192"/>
    <n v="21558992"/>
  </r>
  <r>
    <n v="263"/>
    <s v="P-1251"/>
    <x v="126"/>
    <s v="TIS-1243"/>
    <s v="JALO RENT SAS "/>
    <x v="0"/>
    <s v="01"/>
    <x v="4"/>
    <m/>
    <n v="25"/>
    <n v="45000"/>
    <m/>
    <n v="1125000"/>
    <n v="213750"/>
    <n v="1338750"/>
  </r>
  <r>
    <n v="264"/>
    <s v="P-1252"/>
    <x v="126"/>
    <s v="TIS-1217"/>
    <s v="ROYCO SOLUCIONES SAS"/>
    <x v="0"/>
    <n v="19"/>
    <x v="17"/>
    <m/>
    <n v="1"/>
    <n v="750000"/>
    <m/>
    <n v="750000"/>
    <n v="0"/>
    <n v="750000"/>
  </r>
  <r>
    <n v="265"/>
    <s v="P-1253"/>
    <x v="126"/>
    <s v="TIS-1233"/>
    <s v="BBC HOLDING SAS"/>
    <x v="0"/>
    <s v="10"/>
    <x v="11"/>
    <m/>
    <n v="1"/>
    <n v="750000"/>
    <m/>
    <n v="750000"/>
    <n v="142500"/>
    <n v="892500"/>
  </r>
  <r>
    <n v="266"/>
    <s v="P-1254"/>
    <x v="126"/>
    <s v="TIS-1245"/>
    <s v="FIDEICOMISOS SOCIEDAD FIDUCIARIA DE OCCIDENTE SA"/>
    <x v="0"/>
    <s v="01"/>
    <x v="4"/>
    <m/>
    <n v="200"/>
    <n v="34784"/>
    <m/>
    <n v="6956800"/>
    <n v="1321792"/>
    <n v="8278592"/>
  </r>
  <r>
    <n v="267"/>
    <s v="P-1255"/>
    <x v="126"/>
    <s v="TIS-1242"/>
    <s v="ATECNO S.A.S"/>
    <x v="0"/>
    <s v="01"/>
    <x v="4"/>
    <m/>
    <n v="37"/>
    <n v="30000"/>
    <m/>
    <n v="1110000"/>
    <n v="210900"/>
    <n v="1320900"/>
  </r>
  <r>
    <n v="268"/>
    <s v="P-1256"/>
    <x v="126"/>
    <s v="TIS-1244"/>
    <s v="FIDEICOMISOS SOCIEDAD FIDUCIARIA DE OCCIDENTE SA"/>
    <x v="1"/>
    <s v="18"/>
    <x v="18"/>
    <m/>
    <n v="200"/>
    <n v="34784"/>
    <m/>
    <n v="6956800"/>
    <n v="0"/>
    <n v="6956800"/>
  </r>
  <r>
    <n v="269"/>
    <s v="P-1257"/>
    <x v="127"/>
    <n v="0"/>
    <s v="ALFONSO URIBE S &amp; CIA SA"/>
    <x v="1"/>
    <s v="01"/>
    <x v="4"/>
    <m/>
    <n v="121"/>
    <n v="26000"/>
    <m/>
    <n v="3146000"/>
    <n v="597740"/>
    <n v="3743740"/>
  </r>
  <r>
    <n v="270"/>
    <s v="P-1258"/>
    <x v="127"/>
    <n v="0"/>
    <s v="VENTAS Y MARCAS SAS "/>
    <x v="1"/>
    <s v="09"/>
    <x v="9"/>
    <m/>
    <n v="1"/>
    <n v="950000"/>
    <m/>
    <n v="950000"/>
    <n v="180500"/>
    <n v="1130500"/>
  </r>
  <r>
    <n v="271"/>
    <s v="P-1259"/>
    <x v="128"/>
    <s v="NC-28"/>
    <s v="PRODUCTORA INTERAMERICANA DE PLASTICOS S.A.S."/>
    <x v="1"/>
    <s v="07"/>
    <x v="7"/>
    <m/>
    <n v="1"/>
    <n v="800000"/>
    <m/>
    <n v="-800000"/>
    <n v="0"/>
    <n v="-800000"/>
  </r>
  <r>
    <n v="272"/>
    <s v="P-1260"/>
    <x v="128"/>
    <s v="NC-29"/>
    <s v="INSTITUTO DISTRITAL DE CIENCIA, BIOTECNOLOGIA E INNOVACION EN SALUD"/>
    <x v="1"/>
    <s v="01"/>
    <x v="4"/>
    <m/>
    <n v="229"/>
    <n v="24000"/>
    <m/>
    <n v="-5496000"/>
    <n v="-1044240"/>
    <n v="-6540240"/>
  </r>
  <r>
    <n v="273"/>
    <s v="P-1261"/>
    <x v="128"/>
    <s v="NC-30"/>
    <s v="INSTITUTO DISTRITAL DE CIENCIA, BIOTECNOLOGIA E INNOVACION EN SALUD"/>
    <x v="0"/>
    <s v="01"/>
    <x v="4"/>
    <m/>
    <n v="229"/>
    <n v="3254"/>
    <m/>
    <n v="-745166"/>
    <n v="-141581.54"/>
    <n v="-886747.54"/>
  </r>
  <r>
    <n v="274"/>
    <s v="P-1262"/>
    <x v="128"/>
    <s v="NC-33"/>
    <s v="FIDEICOMISOS SOCIEDAD FIDUCIARIA DE OCCIDENTE SA"/>
    <x v="1"/>
    <s v="01"/>
    <x v="4"/>
    <m/>
    <n v="200"/>
    <n v="34784"/>
    <m/>
    <n v="-6956800"/>
    <n v="-1321792"/>
    <n v="-8278592"/>
  </r>
  <r>
    <n v="275"/>
    <s v="P-1263"/>
    <x v="129"/>
    <s v="TIS-1246"/>
    <s v="RADIOLOGICAL PROTECTION SERVICES SAS"/>
    <x v="0"/>
    <s v="10"/>
    <x v="11"/>
    <m/>
    <n v="1"/>
    <n v="900000"/>
    <m/>
    <n v="900000"/>
    <n v="171000"/>
    <n v="1071000"/>
  </r>
  <r>
    <n v="276"/>
    <s v="P-1264"/>
    <x v="130"/>
    <s v="TIS-1247"/>
    <s v="Comercializadora ERZ SAS"/>
    <x v="0"/>
    <s v="06"/>
    <x v="6"/>
    <m/>
    <n v="1"/>
    <n v="260000"/>
    <m/>
    <n v="260000"/>
    <n v="49400"/>
    <n v="309400"/>
  </r>
  <r>
    <n v="277"/>
    <s v="P-1265"/>
    <x v="130"/>
    <s v="TIS-1248"/>
    <s v="PRODUCTORA INTERAMERICANA DE PLASTICOS S.A.S."/>
    <x v="0"/>
    <s v="06"/>
    <x v="6"/>
    <m/>
    <n v="1"/>
    <n v="300000"/>
    <m/>
    <n v="300000"/>
    <n v="57000"/>
    <n v="357000"/>
  </r>
  <r>
    <n v="278"/>
    <s v="P-1266"/>
    <x v="130"/>
    <s v="TIS-1249"/>
    <s v="ROYCO SOLUCIONES SAS"/>
    <x v="0"/>
    <s v="06"/>
    <x v="6"/>
    <m/>
    <n v="1"/>
    <n v="175000"/>
    <m/>
    <n v="175000"/>
    <n v="33250"/>
    <n v="208250"/>
  </r>
  <r>
    <n v="279"/>
    <s v="P-1267"/>
    <x v="130"/>
    <s v="TIS-1250"/>
    <s v="CONSTRUCCIONES CIVILES JMR S.A.S"/>
    <x v="0"/>
    <s v="05"/>
    <x v="5"/>
    <m/>
    <n v="1"/>
    <n v="1000000"/>
    <m/>
    <n v="1000000"/>
    <n v="190000"/>
    <n v="1190000"/>
  </r>
  <r>
    <n v="280"/>
    <s v="P-1268"/>
    <x v="130"/>
    <s v="TIS-1251"/>
    <s v="Inversiones Sajamib SAS"/>
    <x v="0"/>
    <s v="07"/>
    <x v="7"/>
    <m/>
    <n v="1"/>
    <n v="400000"/>
    <m/>
    <n v="400000"/>
    <n v="0"/>
    <n v="400000"/>
  </r>
  <r>
    <n v="281"/>
    <s v="P-1269"/>
    <x v="130"/>
    <s v="TIS-1252"/>
    <s v="DIGITAL MEDIA TECHNOLOGIES COLOMBIA SAS"/>
    <x v="0"/>
    <s v="06"/>
    <x v="6"/>
    <m/>
    <n v="1"/>
    <n v="250000"/>
    <m/>
    <n v="250000"/>
    <n v="47500"/>
    <n v="297500"/>
  </r>
  <r>
    <n v="282"/>
    <s v="P-1270"/>
    <x v="130"/>
    <s v="TIS-1253"/>
    <s v="Maria del Pilar Alvarado Joya"/>
    <x v="0"/>
    <s v="07"/>
    <x v="7"/>
    <m/>
    <n v="1"/>
    <n v="400000"/>
    <m/>
    <n v="400000"/>
    <n v="0"/>
    <n v="400000"/>
  </r>
  <r>
    <n v="283"/>
    <s v="P-1271"/>
    <x v="130"/>
    <s v="TIS-1254"/>
    <s v="JALO HASHTAG 98 SAS"/>
    <x v="0"/>
    <s v="01"/>
    <x v="4"/>
    <m/>
    <n v="13"/>
    <n v="45000"/>
    <m/>
    <n v="585000"/>
    <n v="111150"/>
    <n v="696150"/>
  </r>
  <r>
    <n v="284"/>
    <s v="P-1272"/>
    <x v="131"/>
    <s v="TIS-1255"/>
    <s v="ALFONSO URIBE S &amp; CIA SA"/>
    <x v="0"/>
    <s v="01"/>
    <x v="4"/>
    <m/>
    <n v="116"/>
    <n v="26000"/>
    <m/>
    <n v="3016000"/>
    <n v="573040"/>
    <n v="3589040"/>
  </r>
  <r>
    <n v="285"/>
    <s v="P-1273"/>
    <x v="132"/>
    <s v="TIS-1257"/>
    <s v="GENERAL RIKS SERVICES SAS "/>
    <x v="0"/>
    <s v="01"/>
    <x v="4"/>
    <m/>
    <n v="43"/>
    <n v="30000"/>
    <m/>
    <n v="1290000"/>
    <n v="245100"/>
    <n v="1535100"/>
  </r>
  <r>
    <n v="286"/>
    <s v="P-1274"/>
    <x v="133"/>
    <s v="TIS-1258"/>
    <s v="CHILLER PLANT SERVICES SAS"/>
    <x v="0"/>
    <s v="01"/>
    <x v="4"/>
    <m/>
    <n v="1"/>
    <n v="95000"/>
    <m/>
    <n v="95000"/>
    <n v="18050"/>
    <n v="113050"/>
  </r>
  <r>
    <n v="287"/>
    <s v="P-1275"/>
    <x v="134"/>
    <s v="TIS-1256"/>
    <s v="LUCTA GRANCOLOMBIA SAS"/>
    <x v="0"/>
    <s v="10"/>
    <x v="11"/>
    <m/>
    <n v="1"/>
    <n v="12000000"/>
    <m/>
    <n v="12000000"/>
    <n v="2280000"/>
    <n v="14280000"/>
  </r>
  <r>
    <n v="288"/>
    <s v="P-1276"/>
    <x v="134"/>
    <s v="NC-34"/>
    <s v="LUCTA GRANCOLOMBIA SAS"/>
    <x v="1"/>
    <s v="10"/>
    <x v="11"/>
    <m/>
    <n v="1"/>
    <n v="12000000"/>
    <m/>
    <n v="-12000000"/>
    <n v="-2280000"/>
    <n v="-14280000"/>
  </r>
  <r>
    <n v="289"/>
    <s v="P-1277"/>
    <x v="135"/>
    <n v="0"/>
    <s v="Walsom SAS"/>
    <x v="1"/>
    <s v="01"/>
    <x v="4"/>
    <s v="Asignación de personal para aplicación de BRP "/>
    <n v="20"/>
    <n v="35000"/>
    <m/>
    <n v="700000"/>
    <n v="133000"/>
    <n v="833000"/>
  </r>
  <r>
    <n v="290"/>
    <s v="P-1278"/>
    <x v="136"/>
    <s v="TIS-1259"/>
    <s v="Comercializadora ERZ SAS"/>
    <x v="0"/>
    <s v="06"/>
    <x v="6"/>
    <m/>
    <n v="1"/>
    <n v="260000"/>
    <m/>
    <n v="260000"/>
    <n v="49400"/>
    <n v="309400"/>
  </r>
  <r>
    <n v="291"/>
    <s v="P-1279"/>
    <x v="136"/>
    <s v="TIS-1260"/>
    <s v="PRODUCTORA INTERAMERICANA DE PLASTICOS S.A.S."/>
    <x v="0"/>
    <s v="06"/>
    <x v="6"/>
    <m/>
    <n v="1"/>
    <n v="300000"/>
    <m/>
    <n v="300000"/>
    <n v="57000"/>
    <n v="357000"/>
  </r>
  <r>
    <n v="292"/>
    <s v="P-1280"/>
    <x v="136"/>
    <s v="TIS-1261"/>
    <s v="ROYCO SOLUCIONES SAS"/>
    <x v="0"/>
    <s v="06"/>
    <x v="6"/>
    <m/>
    <n v="1"/>
    <n v="175000"/>
    <m/>
    <n v="175000"/>
    <n v="33250"/>
    <n v="208250"/>
  </r>
  <r>
    <n v="293"/>
    <s v="P-1281"/>
    <x v="136"/>
    <s v="TIS-1262"/>
    <s v="DIGITAL MEDIA TECHNOLOGIES COLOMBIA SAS"/>
    <x v="0"/>
    <s v="06"/>
    <x v="6"/>
    <m/>
    <n v="1"/>
    <n v="250000"/>
    <m/>
    <n v="250000"/>
    <n v="47500"/>
    <n v="297500"/>
  </r>
  <r>
    <n v="294"/>
    <s v="P-1282"/>
    <x v="136"/>
    <s v="TIS-1263"/>
    <s v="Inversiones Sajamib SAS"/>
    <x v="0"/>
    <s v="07"/>
    <x v="7"/>
    <m/>
    <n v="1"/>
    <n v="400000"/>
    <m/>
    <n v="400000"/>
    <n v="0"/>
    <n v="400000"/>
  </r>
  <r>
    <n v="295"/>
    <s v="P-1283"/>
    <x v="136"/>
    <s v="TIS-1264"/>
    <s v="Maria del Pilar Alvarado Joya"/>
    <x v="0"/>
    <s v="08"/>
    <x v="3"/>
    <m/>
    <n v="1"/>
    <n v="900000"/>
    <m/>
    <n v="900000"/>
    <n v="0"/>
    <n v="900000"/>
  </r>
  <r>
    <n v="296"/>
    <s v="P-1284"/>
    <x v="137"/>
    <s v="TIS-1265"/>
    <s v="Maria del Pilar Alvarado Joya"/>
    <x v="0"/>
    <n v="12"/>
    <x v="8"/>
    <m/>
    <n v="1"/>
    <n v="300000"/>
    <m/>
    <n v="300000"/>
    <n v="0"/>
    <n v="300000"/>
  </r>
  <r>
    <n v="297"/>
    <s v="P-1285"/>
    <x v="137"/>
    <s v="TIS-1266"/>
    <s v="TECNOLOGIA DE OFICINA S.A.S."/>
    <x v="0"/>
    <s v="06"/>
    <x v="6"/>
    <m/>
    <n v="1"/>
    <n v="648000"/>
    <m/>
    <n v="648000"/>
    <n v="123120"/>
    <n v="771120"/>
  </r>
  <r>
    <n v="298"/>
    <s v="P-1286"/>
    <x v="138"/>
    <s v="TIS-1267"/>
    <s v="VENTAS Y MARCAS SAS "/>
    <x v="0"/>
    <s v="09"/>
    <x v="9"/>
    <m/>
    <n v="1"/>
    <n v="950000"/>
    <m/>
    <n v="950000"/>
    <n v="180500"/>
    <n v="1130500"/>
  </r>
  <r>
    <n v="299"/>
    <s v="P-1287"/>
    <x v="138"/>
    <s v="TIS-1268"/>
    <s v="INVERSIONES FRANQUIHER S A S"/>
    <x v="0"/>
    <s v="09"/>
    <x v="9"/>
    <m/>
    <n v="1"/>
    <n v="450000"/>
    <m/>
    <n v="450000"/>
    <n v="85500"/>
    <n v="535500"/>
  </r>
  <r>
    <n v="300"/>
    <s v="P-1288"/>
    <x v="138"/>
    <s v="TIS-1269"/>
    <s v="H &amp; S FRANQUICIAS SAS"/>
    <x v="0"/>
    <s v="09"/>
    <x v="9"/>
    <m/>
    <n v="1"/>
    <n v="450000"/>
    <m/>
    <n v="450000"/>
    <n v="85500"/>
    <n v="535500"/>
  </r>
  <r>
    <n v="301"/>
    <s v="P-1289"/>
    <x v="139"/>
    <s v="TIS-1330"/>
    <s v="INDU B SAS"/>
    <x v="1"/>
    <s v="18"/>
    <x v="4"/>
    <s v="asignacion profesional para aplicación Bateria Riesgo Psicosocial"/>
    <n v="147"/>
    <n v="23000"/>
    <m/>
    <n v="3381000"/>
    <n v="0"/>
    <n v="3381000"/>
  </r>
  <r>
    <n v="302"/>
    <s v="P-1290"/>
    <x v="140"/>
    <s v="TIS-1270"/>
    <s v="Comercializadora ERZ SAS"/>
    <x v="0"/>
    <s v="06"/>
    <x v="6"/>
    <m/>
    <n v="1"/>
    <n v="260000"/>
    <m/>
    <n v="260000"/>
    <n v="49400"/>
    <n v="309400"/>
  </r>
  <r>
    <n v="303"/>
    <s v="P-1291"/>
    <x v="140"/>
    <s v="TIS-1271"/>
    <s v="ROYCO SOLUCIONES SAS"/>
    <x v="0"/>
    <s v="06"/>
    <x v="6"/>
    <m/>
    <n v="1"/>
    <n v="175000"/>
    <m/>
    <n v="175000"/>
    <n v="33250"/>
    <n v="208250"/>
  </r>
  <r>
    <n v="304"/>
    <s v="P-1292"/>
    <x v="140"/>
    <s v="TIS-1272"/>
    <s v="DIGITAL MEDIA TECHNOLOGIES COLOMBIA SAS"/>
    <x v="0"/>
    <s v="06"/>
    <x v="6"/>
    <m/>
    <n v="1"/>
    <n v="250000"/>
    <m/>
    <n v="250000"/>
    <n v="47500"/>
    <n v="297500"/>
  </r>
  <r>
    <n v="305"/>
    <s v="P-1293"/>
    <x v="140"/>
    <s v="TIS-1273"/>
    <s v="Inversiones Sajamib SAS"/>
    <x v="0"/>
    <s v="07"/>
    <x v="7"/>
    <m/>
    <n v="1"/>
    <n v="400000"/>
    <m/>
    <n v="400000"/>
    <n v="0"/>
    <n v="400000"/>
  </r>
  <r>
    <n v="306"/>
    <s v="P-1294"/>
    <x v="140"/>
    <s v="TIS-1274"/>
    <s v="Maria del Pilar Alvarado Joya"/>
    <x v="0"/>
    <s v="07"/>
    <x v="7"/>
    <m/>
    <n v="1"/>
    <n v="300000"/>
    <m/>
    <n v="300000"/>
    <n v="0"/>
    <n v="300000"/>
  </r>
  <r>
    <n v="307"/>
    <s v="P-1295"/>
    <x v="140"/>
    <s v="TIS-1275"/>
    <s v="PRODUCTORA INTERAMERICANA DE PLASTICOS S.A.S."/>
    <x v="0"/>
    <s v="06"/>
    <x v="6"/>
    <m/>
    <n v="1"/>
    <n v="300000"/>
    <m/>
    <n v="300000"/>
    <n v="57000"/>
    <n v="357000"/>
  </r>
  <r>
    <n v="308"/>
    <s v="P-1296"/>
    <x v="140"/>
    <s v="TIS-1276"/>
    <s v="PRODUCTORA INTERAMERICANA DE PLASTICOS S.A.S."/>
    <x v="0"/>
    <s v="01"/>
    <x v="4"/>
    <m/>
    <n v="62"/>
    <n v="28000"/>
    <m/>
    <n v="1736000"/>
    <n v="329840"/>
    <n v="2065840"/>
  </r>
  <r>
    <n v="309"/>
    <s v="P-1297"/>
    <x v="141"/>
    <s v="TIS-1278"/>
    <s v="SUPPLYTEC SAS"/>
    <x v="0"/>
    <s v="05"/>
    <x v="5"/>
    <m/>
    <n v="1"/>
    <n v="3168000"/>
    <m/>
    <n v="3168000"/>
    <n v="601920"/>
    <n v="3769920"/>
  </r>
  <r>
    <n v="310"/>
    <s v="P-1298"/>
    <x v="142"/>
    <s v="TIS-1279"/>
    <s v="EXPRESS CLEAN LAVANDERIA"/>
    <x v="0"/>
    <s v="09"/>
    <x v="9"/>
    <m/>
    <n v="1"/>
    <n v="950000"/>
    <m/>
    <n v="950000"/>
    <n v="180500"/>
    <n v="1130500"/>
  </r>
  <r>
    <n v="311"/>
    <s v="P-1299"/>
    <x v="143"/>
    <s v="TIS-1280"/>
    <s v="Walsom SAS"/>
    <x v="0"/>
    <s v="01"/>
    <x v="4"/>
    <m/>
    <n v="20"/>
    <n v="35000"/>
    <m/>
    <n v="700000"/>
    <n v="133000"/>
    <n v="833000"/>
  </r>
  <r>
    <n v="312"/>
    <s v="P-1300"/>
    <x v="144"/>
    <s v="TIS-1281"/>
    <s v="Comercializadora ERZ SAS"/>
    <x v="0"/>
    <s v="06"/>
    <x v="6"/>
    <m/>
    <n v="1"/>
    <n v="260000"/>
    <m/>
    <n v="260000"/>
    <n v="49400"/>
    <n v="309400"/>
  </r>
  <r>
    <n v="313"/>
    <s v="P-1301"/>
    <x v="144"/>
    <s v="TIS-1282"/>
    <s v="PRODUCTORA INTERAMERICANA DE PLASTICOS S.A.S."/>
    <x v="0"/>
    <s v="06"/>
    <x v="6"/>
    <m/>
    <n v="1"/>
    <n v="300000"/>
    <m/>
    <n v="300000"/>
    <n v="57000"/>
    <n v="357000"/>
  </r>
  <r>
    <n v="314"/>
    <s v="P-1302"/>
    <x v="144"/>
    <s v="TIS-1283"/>
    <s v="ROYCO SOLUCIONES SAS"/>
    <x v="0"/>
    <s v="06"/>
    <x v="6"/>
    <m/>
    <n v="1"/>
    <n v="175000"/>
    <m/>
    <n v="175000"/>
    <n v="33250"/>
    <n v="208250"/>
  </r>
  <r>
    <n v="315"/>
    <s v="P-1303"/>
    <x v="144"/>
    <s v="TIS-1284"/>
    <s v="DIGITAL MEDIA TECHNOLOGIES COLOMBIA SAS"/>
    <x v="0"/>
    <s v="06"/>
    <x v="6"/>
    <m/>
    <n v="1"/>
    <n v="250000"/>
    <m/>
    <n v="250000"/>
    <n v="47500"/>
    <n v="297500"/>
  </r>
  <r>
    <n v="316"/>
    <s v="P-1304"/>
    <x v="144"/>
    <s v="TIS-1285"/>
    <s v="Inversiones Sajamib SAS"/>
    <x v="0"/>
    <s v="07"/>
    <x v="7"/>
    <m/>
    <n v="1"/>
    <n v="400000"/>
    <m/>
    <n v="400000"/>
    <n v="0"/>
    <n v="400000"/>
  </r>
  <r>
    <n v="317"/>
    <s v="P-1305"/>
    <x v="144"/>
    <s v="TIS-1286"/>
    <s v="Maria del Pilar Alvarado Joya"/>
    <x v="0"/>
    <s v="07"/>
    <x v="7"/>
    <m/>
    <n v="1"/>
    <n v="300000"/>
    <m/>
    <n v="300000"/>
    <n v="0"/>
    <n v="300000"/>
  </r>
  <r>
    <n v="318"/>
    <s v="P-1306"/>
    <x v="145"/>
    <s v="TIS-1287"/>
    <s v="TRANSPORTES ESPECIALES ALIADOS S.A.S"/>
    <x v="0"/>
    <s v="05"/>
    <x v="5"/>
    <m/>
    <n v="8"/>
    <n v="198000"/>
    <m/>
    <n v="1584000"/>
    <n v="300960"/>
    <n v="1884960"/>
  </r>
  <r>
    <n v="319"/>
    <s v="P-1307"/>
    <x v="145"/>
    <s v="TIS-1288"/>
    <s v="PRODUCTORA INTERAMERICANA DE PLASTICOS S.A.S."/>
    <x v="0"/>
    <n v="15"/>
    <x v="12"/>
    <m/>
    <n v="3"/>
    <n v="100000"/>
    <m/>
    <n v="300000"/>
    <n v="57000"/>
    <n v="357000"/>
  </r>
  <r>
    <n v="320"/>
    <s v="P-1308"/>
    <x v="146"/>
    <s v="TIS-1289"/>
    <s v="Comercializadora ERZ SAS"/>
    <x v="0"/>
    <s v="06"/>
    <x v="6"/>
    <m/>
    <n v="1"/>
    <n v="260000"/>
    <m/>
    <n v="260000"/>
    <n v="49400"/>
    <n v="309400"/>
  </r>
  <r>
    <n v="321"/>
    <s v="P-1309"/>
    <x v="146"/>
    <s v="TIS-1290"/>
    <s v="PRODUCTORA INTERAMERICANA DE PLASTICOS S.A.S."/>
    <x v="0"/>
    <s v="06"/>
    <x v="6"/>
    <m/>
    <n v="1"/>
    <n v="300000"/>
    <m/>
    <n v="300000"/>
    <n v="57000"/>
    <n v="357000"/>
  </r>
  <r>
    <n v="322"/>
    <s v="P-1310"/>
    <x v="146"/>
    <s v="TIS-1291"/>
    <s v="ROYCO SOLUCIONES SAS"/>
    <x v="0"/>
    <s v="06"/>
    <x v="6"/>
    <m/>
    <n v="1"/>
    <n v="175000"/>
    <m/>
    <n v="175000"/>
    <n v="33250"/>
    <n v="208250"/>
  </r>
  <r>
    <n v="323"/>
    <s v="P-1311"/>
    <x v="146"/>
    <s v="TIS-1292"/>
    <s v="DIGITAL MEDIA TECHNOLOGIES COLOMBIA SAS"/>
    <x v="0"/>
    <s v="06"/>
    <x v="6"/>
    <m/>
    <n v="1"/>
    <n v="250000"/>
    <m/>
    <n v="250000"/>
    <n v="47500"/>
    <n v="297500"/>
  </r>
  <r>
    <n v="324"/>
    <s v="P-1312"/>
    <x v="146"/>
    <s v="TIS-1293"/>
    <s v="Inversiones Sajamib SAS"/>
    <x v="0"/>
    <s v="07"/>
    <x v="7"/>
    <m/>
    <n v="1"/>
    <n v="400000"/>
    <m/>
    <n v="400000"/>
    <n v="0"/>
    <n v="400000"/>
  </r>
  <r>
    <n v="325"/>
    <s v="P-1313"/>
    <x v="146"/>
    <s v="TIS-1294"/>
    <s v="Maria del Pilar Alvarado Joya"/>
    <x v="0"/>
    <s v="07"/>
    <x v="7"/>
    <m/>
    <n v="1"/>
    <n v="900000"/>
    <m/>
    <n v="900000"/>
    <n v="0"/>
    <n v="900000"/>
  </r>
  <r>
    <n v="326"/>
    <s v="P-1314"/>
    <x v="146"/>
    <s v="TIS-1295"/>
    <s v="Maria del Pilar Alvarado Joya"/>
    <x v="0"/>
    <s v="07"/>
    <x v="7"/>
    <m/>
    <n v="1"/>
    <n v="300000"/>
    <m/>
    <n v="300000"/>
    <n v="0"/>
    <n v="300000"/>
  </r>
  <r>
    <n v="327"/>
    <s v="P-1315"/>
    <x v="147"/>
    <s v="TIS-1296"/>
    <s v="ALVEAR ESCOBAR ASOCIADOS S.A.S"/>
    <x v="0"/>
    <s v="06"/>
    <x v="6"/>
    <m/>
    <n v="1"/>
    <n v="300000"/>
    <m/>
    <n v="300000"/>
    <n v="57000"/>
    <n v="357000"/>
  </r>
  <r>
    <n v="328"/>
    <s v="P-1316"/>
    <x v="148"/>
    <s v="TIS-1296"/>
    <s v="INSTRUMENTACION Y SOLUCIONES PARA LABORATORIO S A S"/>
    <x v="0"/>
    <s v="01"/>
    <x v="4"/>
    <s v="Asignación de profesional para aplicación bateria de Risgo Psicosocial"/>
    <n v="11"/>
    <n v="35000"/>
    <m/>
    <n v="385000"/>
    <n v="73150"/>
    <n v="458150"/>
  </r>
  <r>
    <n v="329"/>
    <s v="P-1317"/>
    <x v="148"/>
    <s v="TIS-1297"/>
    <s v="ATECNO S.A.S"/>
    <x v="0"/>
    <s v="01"/>
    <x v="4"/>
    <m/>
    <n v="1163"/>
    <n v="30000"/>
    <m/>
    <n v="34890000"/>
    <n v="6629100"/>
    <n v="41519100"/>
  </r>
  <r>
    <n v="330"/>
    <s v="P-1318"/>
    <x v="149"/>
    <s v="TIS-1298"/>
    <s v="CONPORTUARIO LTDA"/>
    <x v="0"/>
    <n v="13"/>
    <x v="10"/>
    <m/>
    <n v="1"/>
    <n v="1200000"/>
    <m/>
    <n v="1200000"/>
    <n v="228000"/>
    <n v="1428000"/>
  </r>
  <r>
    <n v="331"/>
    <s v="P-1319"/>
    <x v="149"/>
    <s v="TIS-1299"/>
    <s v="INDUSTRIA COLOMBIANA DE PERFILES METALICOS S.A."/>
    <x v="0"/>
    <s v="01"/>
    <x v="4"/>
    <m/>
    <n v="126"/>
    <n v="30000"/>
    <m/>
    <n v="3780000"/>
    <n v="718200"/>
    <n v="4498200"/>
  </r>
  <r>
    <n v="332"/>
    <s v="P-1320"/>
    <x v="149"/>
    <s v="TIS-1300"/>
    <s v="FIDEICOMISOS SOCIEDAD FIDUCIARIA DE OCCIDENTE SA"/>
    <x v="0"/>
    <s v="05"/>
    <x v="5"/>
    <m/>
    <n v="1"/>
    <n v="11200000"/>
    <m/>
    <n v="11200000"/>
    <n v="2128000"/>
    <n v="13328000"/>
  </r>
  <r>
    <n v="333"/>
    <s v="P-1321"/>
    <x v="149"/>
    <s v="TIS-1277"/>
    <s v="HUTERCOL S.A.S."/>
    <x v="0"/>
    <s v="06"/>
    <x v="6"/>
    <m/>
    <n v="1"/>
    <n v="1200000"/>
    <m/>
    <n v="1200000"/>
    <n v="228000"/>
    <n v="1428000"/>
  </r>
  <r>
    <n v="334"/>
    <s v="P-1322"/>
    <x v="149"/>
    <s v="TIS-1302"/>
    <s v="TEXTRON S.A"/>
    <x v="0"/>
    <s v="10"/>
    <x v="11"/>
    <m/>
    <n v="1"/>
    <n v="825000"/>
    <m/>
    <n v="825000"/>
    <n v="156750"/>
    <n v="981750"/>
  </r>
  <r>
    <n v="335"/>
    <s v="P-1323"/>
    <x v="149"/>
    <s v="TIS-1303"/>
    <s v="GENUINE TECH SAS"/>
    <x v="0"/>
    <n v="13"/>
    <x v="10"/>
    <m/>
    <n v="1"/>
    <n v="2000000"/>
    <m/>
    <n v="2000000"/>
    <n v="380000"/>
    <n v="2380000"/>
  </r>
  <r>
    <n v="336"/>
    <s v="P-1324"/>
    <x v="149"/>
    <s v="TIS-1304"/>
    <s v="Comercializadora ERZ SAS"/>
    <x v="0"/>
    <s v="06"/>
    <x v="6"/>
    <m/>
    <n v="1"/>
    <n v="260000"/>
    <m/>
    <n v="260000"/>
    <n v="49400"/>
    <n v="309400"/>
  </r>
  <r>
    <n v="337"/>
    <s v="P-1325"/>
    <x v="149"/>
    <s v="TIS-1305"/>
    <s v="PRODUCTORA INTERAMERICANA DE PLASTICOS S.A.S."/>
    <x v="0"/>
    <s v="06"/>
    <x v="6"/>
    <m/>
    <n v="1"/>
    <n v="300000"/>
    <m/>
    <n v="300000"/>
    <n v="57000"/>
    <n v="357000"/>
  </r>
  <r>
    <n v="338"/>
    <s v="P-1326"/>
    <x v="149"/>
    <s v="TIS-1306"/>
    <s v="ROYCO SOLUCIONES SAS"/>
    <x v="0"/>
    <s v="06"/>
    <x v="6"/>
    <m/>
    <n v="1"/>
    <n v="175000"/>
    <m/>
    <n v="175000"/>
    <n v="33250"/>
    <n v="208250"/>
  </r>
  <r>
    <n v="339"/>
    <s v="P-1327"/>
    <x v="149"/>
    <s v="TIS-1307"/>
    <s v="Inversiones Sajamib SAS"/>
    <x v="0"/>
    <s v="07"/>
    <x v="7"/>
    <m/>
    <n v="1"/>
    <n v="400000"/>
    <m/>
    <n v="400000"/>
    <n v="0"/>
    <n v="400000"/>
  </r>
  <r>
    <n v="340"/>
    <s v="P-1328"/>
    <x v="149"/>
    <s v="TIS-1308"/>
    <s v="Maria del Pilar Alvarado Joya"/>
    <x v="0"/>
    <s v="07"/>
    <x v="7"/>
    <m/>
    <n v="1"/>
    <n v="300000"/>
    <m/>
    <n v="300000"/>
    <n v="0"/>
    <n v="300000"/>
  </r>
  <r>
    <n v="341"/>
    <s v="P-1329"/>
    <x v="149"/>
    <s v="TIS-1309"/>
    <s v="DIGITAL MEDIA TECHNOLOGIES COLOMBIA SAS"/>
    <x v="0"/>
    <s v="06"/>
    <x v="6"/>
    <m/>
    <n v="1"/>
    <n v="250000"/>
    <m/>
    <n v="250000"/>
    <n v="47500"/>
    <n v="297500"/>
  </r>
  <r>
    <n v="342"/>
    <s v="P-1330"/>
    <x v="149"/>
    <s v="TIS-1310"/>
    <s v="LOGROS FACTORY COLOMBIA S.A"/>
    <x v="0"/>
    <s v="10"/>
    <x v="11"/>
    <m/>
    <n v="1"/>
    <n v="1150000"/>
    <m/>
    <n v="1150000"/>
    <n v="218500"/>
    <n v="1368500"/>
  </r>
  <r>
    <n v="343"/>
    <s v="P-1331"/>
    <x v="149"/>
    <s v="TIS-1311"/>
    <s v="BP CAPITAL SAS "/>
    <x v="0"/>
    <s v="04"/>
    <x v="0"/>
    <m/>
    <n v="1"/>
    <n v="900000"/>
    <m/>
    <n v="900000"/>
    <n v="171000"/>
    <n v="1071000"/>
  </r>
  <r>
    <n v="344"/>
    <s v="P-1332"/>
    <x v="149"/>
    <s v="TIS-1312"/>
    <s v="CONCESIONARIA DEL DESARROLLO VIAL DE LA SABANA"/>
    <x v="1"/>
    <s v="01"/>
    <x v="4"/>
    <m/>
    <n v="230"/>
    <n v="42000"/>
    <m/>
    <n v="9660000"/>
    <n v="1835400"/>
    <n v="11495400"/>
  </r>
  <r>
    <n v="345"/>
    <s v="P-1333"/>
    <x v="149"/>
    <s v="TIS-1313"/>
    <s v="Comercializadora ERZ SAS"/>
    <x v="0"/>
    <s v="06"/>
    <x v="6"/>
    <m/>
    <n v="1"/>
    <n v="260000"/>
    <m/>
    <n v="260000"/>
    <n v="49400"/>
    <n v="309400"/>
  </r>
  <r>
    <n v="346"/>
    <s v="P-1334"/>
    <x v="149"/>
    <s v="TIS-1314"/>
    <s v="PRODUCTORA INTERAMERICANA DE PLASTICOS S.A.S."/>
    <x v="0"/>
    <s v="06"/>
    <x v="6"/>
    <m/>
    <n v="1"/>
    <n v="300000"/>
    <m/>
    <n v="300000"/>
    <n v="57000"/>
    <n v="357000"/>
  </r>
  <r>
    <n v="347"/>
    <s v="P-1335"/>
    <x v="149"/>
    <s v="TIS-1315"/>
    <s v="ROYCO SOLUCIONES SAS"/>
    <x v="0"/>
    <s v="06"/>
    <x v="6"/>
    <m/>
    <n v="1"/>
    <n v="175000"/>
    <m/>
    <n v="175000"/>
    <n v="33250"/>
    <n v="208250"/>
  </r>
  <r>
    <n v="348"/>
    <s v="P-1336"/>
    <x v="149"/>
    <s v="TIS-1316"/>
    <s v="DIGITAL MEDIA TECHNOLOGIES COLOMBIA SAS"/>
    <x v="0"/>
    <s v="06"/>
    <x v="6"/>
    <m/>
    <n v="1"/>
    <n v="250000"/>
    <m/>
    <n v="250000"/>
    <n v="47500"/>
    <n v="297500"/>
  </r>
  <r>
    <n v="349"/>
    <s v="P-1337"/>
    <x v="149"/>
    <s v="TIS-1317"/>
    <s v="TECNOLOGIA DE OFICINA S.A.S."/>
    <x v="0"/>
    <s v="06"/>
    <x v="6"/>
    <m/>
    <n v="1"/>
    <n v="378000"/>
    <m/>
    <n v="378000"/>
    <n v="71820"/>
    <n v="449820"/>
  </r>
  <r>
    <n v="350"/>
    <s v="P-1338"/>
    <x v="149"/>
    <s v="TIS-1318"/>
    <s v="ALVEAR ESCOBAR ASOCIADOS S.A.S"/>
    <x v="0"/>
    <s v="06"/>
    <x v="6"/>
    <m/>
    <n v="1"/>
    <n v="187500"/>
    <m/>
    <n v="187500"/>
    <n v="35625"/>
    <n v="223125"/>
  </r>
  <r>
    <n v="351"/>
    <s v="P-1339"/>
    <x v="149"/>
    <s v="TIS-1319"/>
    <s v="Inversiones Sajamib SAS"/>
    <x v="0"/>
    <s v="07"/>
    <x v="7"/>
    <m/>
    <n v="1"/>
    <n v="400000"/>
    <m/>
    <n v="400000"/>
    <n v="0"/>
    <n v="400000"/>
  </r>
  <r>
    <n v="352"/>
    <s v="P-1340"/>
    <x v="149"/>
    <s v="TIS-1320"/>
    <s v="Maria del Pilar Alvarado Joya"/>
    <x v="0"/>
    <s v="07"/>
    <x v="7"/>
    <m/>
    <n v="1"/>
    <n v="300000"/>
    <m/>
    <n v="300000"/>
    <n v="0"/>
    <n v="300000"/>
  </r>
  <r>
    <n v="353"/>
    <s v="P-1341"/>
    <x v="149"/>
    <s v="TIS-1321"/>
    <s v="PURICOL LTDA"/>
    <x v="0"/>
    <n v="13"/>
    <x v="10"/>
    <m/>
    <n v="1"/>
    <n v="900000"/>
    <m/>
    <n v="900000"/>
    <n v="171000"/>
    <n v="1071000"/>
  </r>
  <r>
    <n v="354"/>
    <s v="P-1342"/>
    <x v="150"/>
    <s v="TIS-1322"/>
    <s v="DEVISAB SAS "/>
    <x v="0"/>
    <s v="01"/>
    <x v="4"/>
    <m/>
    <n v="230"/>
    <n v="42000"/>
    <m/>
    <n v="9660000"/>
    <n v="1835400"/>
    <n v="11495400"/>
  </r>
  <r>
    <n v="355"/>
    <s v="P-1343"/>
    <x v="150"/>
    <s v="TIS-1323"/>
    <s v="Comercializadora ERZ SAS"/>
    <x v="0"/>
    <s v="06"/>
    <x v="6"/>
    <m/>
    <n v="1"/>
    <n v="260000"/>
    <m/>
    <n v="260000"/>
    <n v="49400"/>
    <n v="309400"/>
  </r>
  <r>
    <n v="356"/>
    <s v="P-1344"/>
    <x v="150"/>
    <s v="TIS-1324"/>
    <s v="PRODUCTORA INTERAMERICANA DE PLASTICOS S.A.S."/>
    <x v="0"/>
    <s v="06"/>
    <x v="6"/>
    <m/>
    <n v="1"/>
    <n v="300000"/>
    <m/>
    <n v="300000"/>
    <n v="57000"/>
    <n v="357000"/>
  </r>
  <r>
    <n v="357"/>
    <s v="P-1345"/>
    <x v="150"/>
    <s v="TIS-1325"/>
    <s v="ROYCO SOLUCIONES SAS"/>
    <x v="0"/>
    <s v="06"/>
    <x v="6"/>
    <m/>
    <n v="1"/>
    <n v="175000"/>
    <m/>
    <n v="175000"/>
    <n v="33250"/>
    <n v="208250"/>
  </r>
  <r>
    <n v="358"/>
    <s v="P-1346"/>
    <x v="150"/>
    <s v="TIS-1326"/>
    <s v="DIGITAL MEDIA TECHNOLOGIES COLOMBIA SAS"/>
    <x v="0"/>
    <s v="06"/>
    <x v="6"/>
    <m/>
    <n v="1"/>
    <n v="250000"/>
    <m/>
    <n v="250000"/>
    <n v="47500"/>
    <n v="297500"/>
  </r>
  <r>
    <n v="359"/>
    <s v="P-1347"/>
    <x v="150"/>
    <s v="TIS-1327"/>
    <s v="Inversiones Sajamib SAS"/>
    <x v="0"/>
    <s v="07"/>
    <x v="7"/>
    <m/>
    <n v="1"/>
    <n v="400000"/>
    <m/>
    <n v="400000"/>
    <n v="0"/>
    <n v="400000"/>
  </r>
  <r>
    <n v="360"/>
    <s v="P-1348"/>
    <x v="150"/>
    <s v="TIS-1328"/>
    <s v="Maria del Pilar Alvarado Joya"/>
    <x v="0"/>
    <s v="07"/>
    <x v="7"/>
    <m/>
    <n v="1"/>
    <n v="900000"/>
    <m/>
    <n v="900000"/>
    <n v="0"/>
    <n v="900000"/>
  </r>
  <r>
    <n v="361"/>
    <s v="P-1349"/>
    <x v="150"/>
    <s v="TIS-1329"/>
    <s v="Maria del Pilar Alvarado Joya"/>
    <x v="0"/>
    <s v="07"/>
    <x v="7"/>
    <m/>
    <n v="1"/>
    <n v="300000"/>
    <m/>
    <n v="300000"/>
    <n v="0"/>
    <n v="300000"/>
  </r>
  <r>
    <n v="362"/>
    <s v="P-1350"/>
    <x v="151"/>
    <s v="NC37"/>
    <s v="INSTITUTO DISTRITAL DE CIENCIA, BIOTECNOLOGIA E INNOVACION EN SALUD"/>
    <x v="0"/>
    <s v="01"/>
    <x v="4"/>
    <m/>
    <n v="253"/>
    <n v="30000"/>
    <m/>
    <n v="-7590000"/>
    <n v="-1442100"/>
    <n v="-9032100"/>
  </r>
  <r>
    <n v="363"/>
    <s v="P-1351"/>
    <x v="152"/>
    <s v="NC39"/>
    <s v="EVAL.COM CONSULTING SAS"/>
    <x v="0"/>
    <s v="01"/>
    <x v="4"/>
    <m/>
    <n v="27"/>
    <n v="40000"/>
    <m/>
    <n v="-1080000"/>
    <n v="-205200"/>
    <n v="-1285200"/>
  </r>
  <r>
    <n v="364"/>
    <s v="P-1352"/>
    <x v="153"/>
    <s v="TIS-1332"/>
    <s v="TBTB GLOBAL LAB SAS"/>
    <x v="0"/>
    <s v="10"/>
    <x v="11"/>
    <s v="Asignación profesional para mediciones higienicas especializadas_x000a_Medición de ruido por Sonometría_x000a_Linea de negocio: Consultoría Riesgos Laborales"/>
    <n v="1"/>
    <n v="850000"/>
    <m/>
    <n v="850000"/>
    <n v="161500"/>
    <n v="1011500"/>
  </r>
  <r>
    <n v="365"/>
    <s v="P-1353"/>
    <x v="154"/>
    <s v="TIS-1334"/>
    <s v="Comercializadora ERZ SAS"/>
    <x v="0"/>
    <s v="06"/>
    <x v="6"/>
    <s v="Acompañamiento SG-SST correspondiente al periodo Enero 2024"/>
    <n v="1"/>
    <n v="260000"/>
    <m/>
    <n v="260000"/>
    <n v="49400"/>
    <n v="309400"/>
  </r>
  <r>
    <n v="366"/>
    <s v="P-1354"/>
    <x v="154"/>
    <s v="TIS-1335"/>
    <s v="PRODUCTORA INTERAMERICANA DE PLASTICOS S.A.S."/>
    <x v="0"/>
    <s v="06"/>
    <x v="6"/>
    <s v="Acompañamiento SG-SST correspondiente al periodo Enero 2024"/>
    <n v="1"/>
    <n v="300000"/>
    <m/>
    <n v="300000"/>
    <n v="57000"/>
    <n v="357000"/>
  </r>
  <r>
    <n v="367"/>
    <s v="P-1355"/>
    <x v="154"/>
    <s v="TIS-1336"/>
    <s v="STAFF SEGUROS AGENCIA LTDA"/>
    <x v="0"/>
    <s v="06"/>
    <x v="6"/>
    <s v="Acompañamiento SG-SST correspondiente al periodo Enero 2024"/>
    <n v="1"/>
    <n v="300000"/>
    <m/>
    <n v="300000"/>
    <n v="57000"/>
    <n v="357000"/>
  </r>
  <r>
    <n v="368"/>
    <s v="P-1356"/>
    <x v="154"/>
    <s v="TIS-1337"/>
    <s v="DIGITAL MEDIA TECHNOLOGIES COLOMBIA SAS"/>
    <x v="0"/>
    <s v="06"/>
    <x v="6"/>
    <s v="Acompañamiento SG-SST correspondiente al periodo Enero 2024"/>
    <n v="1"/>
    <n v="250000"/>
    <m/>
    <n v="250000"/>
    <n v="47500"/>
    <n v="297500"/>
  </r>
  <r>
    <n v="369"/>
    <s v="P-1357"/>
    <x v="154"/>
    <s v="TIS-1338"/>
    <s v="GENUINE TECH SAS"/>
    <x v="0"/>
    <s v="06"/>
    <x v="6"/>
    <n v="45292"/>
    <n v="1"/>
    <n v="545454"/>
    <m/>
    <n v="545454"/>
    <n v="103636.26"/>
    <n v="649090.26"/>
  </r>
  <r>
    <n v="370"/>
    <s v="P-1358"/>
    <x v="154"/>
    <s v="TIS-1339"/>
    <s v="ROYCO SOLUCIONES SAS"/>
    <x v="0"/>
    <s v="06"/>
    <x v="6"/>
    <n v="45292"/>
    <n v="1"/>
    <n v="175000"/>
    <m/>
    <n v="175000"/>
    <n v="33250"/>
    <n v="208250"/>
  </r>
  <r>
    <n v="371"/>
    <s v="P-1359"/>
    <x v="154"/>
    <s v="TIS-1340"/>
    <s v="Inversiones Sajamib SAS"/>
    <x v="0"/>
    <s v="07"/>
    <x v="7"/>
    <n v="45292"/>
    <n v="1"/>
    <n v="400000"/>
    <m/>
    <n v="400000"/>
    <n v="0"/>
    <n v="400000"/>
  </r>
  <r>
    <n v="372"/>
    <s v="P-1360"/>
    <x v="155"/>
    <s v="TIS-1341"/>
    <s v="FEDERACION NACIONAL DE COMERCIANTES FENALCO SECCIONAL BOGOTA CUNDINAMARCA"/>
    <x v="0"/>
    <s v="01"/>
    <x v="4"/>
    <m/>
    <n v="54"/>
    <n v="30000"/>
    <m/>
    <n v="1620000"/>
    <n v="307800"/>
    <n v="1927800"/>
  </r>
  <r>
    <n v="373"/>
    <s v="P-1361"/>
    <x v="156"/>
    <s v="TIS-1342"/>
    <s v="Soluciones Avanzadas de Ingeniería SAS"/>
    <x v="0"/>
    <s v="01"/>
    <x v="4"/>
    <m/>
    <n v="19"/>
    <n v="32000"/>
    <m/>
    <n v="608000"/>
    <n v="115520"/>
    <n v="723520"/>
  </r>
  <r>
    <n v="373"/>
    <s v="P-1361"/>
    <x v="156"/>
    <s v="TIS-1342"/>
    <s v="Soluciones Avanzadas de Ingeniería SAS"/>
    <x v="0"/>
    <n v="12"/>
    <x v="8"/>
    <s v="Se ajusta el valor de descuento para formalizar como anticipo solicitado en negociación con cliente"/>
    <n v="1"/>
    <n v="-304000"/>
    <m/>
    <n v="-304000"/>
    <n v="0"/>
    <n v="-304000"/>
  </r>
  <r>
    <n v="374"/>
    <s v="P-1362"/>
    <x v="157"/>
    <s v="TIS-1343"/>
    <s v="GB BARRETO Y CIA LTDA - ASESORES DE SEGUROS"/>
    <x v="0"/>
    <n v="13"/>
    <x v="10"/>
    <s v="Anticipo servicios Diseño y/o actualziación del SGSST 2024"/>
    <n v="1"/>
    <n v="600000"/>
    <m/>
    <n v="600000"/>
    <n v="114000"/>
    <n v="714000"/>
  </r>
  <r>
    <n v="375"/>
    <s v="P-1363"/>
    <x v="158"/>
    <s v="TIS-1344"/>
    <s v="FRIGOTAURUS SAS"/>
    <x v="0"/>
    <s v="10"/>
    <x v="11"/>
    <s v="Mediciones higiénicas iluminación y ruido"/>
    <n v="1"/>
    <n v="1750000"/>
    <m/>
    <n v="1750000"/>
    <n v="332500"/>
    <n v="2082500"/>
  </r>
  <r>
    <n v="376"/>
    <s v="P-1364"/>
    <x v="159"/>
    <s v="TIS-1353"/>
    <s v="HUTERCOL S.A.S."/>
    <x v="0"/>
    <s v="06"/>
    <x v="6"/>
    <s v="Implementación actividades SGSST 2024_x000a_Corresponde al anticipo del 50% por el servicio inidcado en la cotización"/>
    <n v="1"/>
    <n v="1350000"/>
    <m/>
    <n v="1350000"/>
    <n v="256500"/>
    <n v="1606500"/>
  </r>
  <r>
    <n v="377"/>
    <s v="P-1365"/>
    <x v="160"/>
    <s v="TIS-1354"/>
    <s v="ANTIADHERENTES Y MAQUINADOS ARIZAS SAS"/>
    <x v="0"/>
    <s v="10"/>
    <x v="11"/>
    <s v="Asignación profesional para mediciones higienicas especializadas_x000a_Medición de niveles de exposoción a quimicos_x000a_Análisis de puesto de trabajo con enfasis en exposición a químicos"/>
    <n v="1"/>
    <n v="2700000"/>
    <m/>
    <n v="2700000"/>
    <n v="513000"/>
    <n v="3213000"/>
  </r>
  <r>
    <n v="378"/>
    <s v="P-1366"/>
    <x v="161"/>
    <s v="TIS-1350"/>
    <s v="Inversiones Sajamib SAS"/>
    <x v="0"/>
    <s v="07"/>
    <x v="7"/>
    <s v="Acompañamiento SG-SST correspondiente al periodo Febrero 2024"/>
    <n v="1"/>
    <n v="400000"/>
    <m/>
    <n v="400000"/>
    <n v="0"/>
    <n v="400000"/>
  </r>
  <r>
    <n v="379"/>
    <s v="P-1367"/>
    <x v="161"/>
    <s v="TIS-1345"/>
    <s v="Comercializadora ERZ SAS"/>
    <x v="0"/>
    <s v="06"/>
    <x v="6"/>
    <s v="Acompañamiento SG-SST correspondiente al periodo Febrero 2024"/>
    <n v="1"/>
    <n v="260000"/>
    <m/>
    <n v="260000"/>
    <n v="49400"/>
    <n v="309400"/>
  </r>
  <r>
    <n v="380"/>
    <s v="P-1368"/>
    <x v="161"/>
    <s v="TIS-1346"/>
    <s v="ROYCO SOLUCIONES SAS"/>
    <x v="0"/>
    <s v="06"/>
    <x v="6"/>
    <s v="Acompañamiento SG-SST correspondiente al periodo Febrero 2024"/>
    <n v="1"/>
    <n v="175000"/>
    <m/>
    <n v="175000"/>
    <n v="33250"/>
    <n v="208250"/>
  </r>
  <r>
    <n v="381"/>
    <s v="P-1369"/>
    <x v="161"/>
    <s v="TIS-1347"/>
    <s v="STAFF SEGUROS AGENCIA LTDA"/>
    <x v="0"/>
    <s v="06"/>
    <x v="6"/>
    <s v="Acompañamiento SG-SST correspondiente al periodo Febrero 2024"/>
    <n v="1"/>
    <n v="300000"/>
    <m/>
    <n v="300000"/>
    <n v="57000"/>
    <n v="357000"/>
  </r>
  <r>
    <n v="382"/>
    <s v="P-1370"/>
    <x v="161"/>
    <s v="TIS-1348"/>
    <s v="DIGITAL MEDIA TECHNOLOGIES COLOMBIA SAS"/>
    <x v="0"/>
    <s v="06"/>
    <x v="6"/>
    <s v="Acompañamiento SG-SST correspondiente al periodo Febrero 2024"/>
    <n v="1"/>
    <n v="250000"/>
    <m/>
    <n v="250000"/>
    <n v="47500"/>
    <n v="297500"/>
  </r>
  <r>
    <n v="383"/>
    <s v="P-1371"/>
    <x v="161"/>
    <s v="TIS-1349"/>
    <s v="GENUINE TECH SAS"/>
    <x v="0"/>
    <s v="06"/>
    <x v="6"/>
    <s v="Acompañamiento SG-SST correspondiente al periodo Febrero 2024"/>
    <n v="1"/>
    <n v="545454"/>
    <m/>
    <n v="545454"/>
    <n v="103636.26"/>
    <n v="649090.26"/>
  </r>
  <r>
    <n v="384"/>
    <s v="P-1372"/>
    <x v="162"/>
    <s v="TIS-1351"/>
    <s v="CONSTRUCCIONES CIVILES JMR S.A.S"/>
    <x v="0"/>
    <n v="13"/>
    <x v="10"/>
    <s v="Autoevaluación EEMM 2023 Implementación SGSST 2024"/>
    <n v="1"/>
    <n v="1200000"/>
    <m/>
    <n v="1200000"/>
    <n v="228000"/>
    <n v="1428000"/>
  </r>
  <r>
    <n v="385"/>
    <s v="P-1373"/>
    <x v="161"/>
    <s v="TIS-1352"/>
    <s v="ELKIN EDUARDO ORTIZ ORTIZ"/>
    <x v="0"/>
    <s v="10"/>
    <x v="11"/>
    <s v="medición higienica de NIVELES DE EXPOSICIÓN A OTROS POLVOS QUE CONTIENEN SILICE"/>
    <n v="1"/>
    <n v="4950000"/>
    <m/>
    <n v="4950000"/>
    <n v="940500"/>
    <n v="5890500"/>
  </r>
  <r>
    <n v="386"/>
    <s v="P-1374"/>
    <x v="163"/>
    <s v="TIS-1363"/>
    <s v="Inversiones Sajamib SAS"/>
    <x v="0"/>
    <s v="07"/>
    <x v="7"/>
    <s v="Acompañamiento Virtual SG-SST correspondiente al periodo Marzo 2024"/>
    <n v="1"/>
    <n v="400000"/>
    <m/>
    <n v="400000"/>
    <n v="0"/>
    <n v="400000"/>
  </r>
  <r>
    <n v="387"/>
    <s v="P-1375"/>
    <x v="164"/>
    <s v="TIS-1364"/>
    <s v="MASTERLINE COLOMBIA SOCIEDAD POR ACCIONES SIMPLIFICADA"/>
    <x v="0"/>
    <s v="10"/>
    <x v="11"/>
    <s v="Asignación profesional para mediciones higienicas Luxometría"/>
    <n v="40"/>
    <n v="58500"/>
    <m/>
    <n v="2340000"/>
    <n v="444600"/>
    <n v="2784600"/>
  </r>
  <r>
    <n v="388"/>
    <s v="P-1376"/>
    <x v="165"/>
    <s v="TIS-1365"/>
    <s v="INSTITUTO DISTRITAL DE CIENCIA, BIOTECNOLOGIA E INNOVACION EN SALUD"/>
    <x v="1"/>
    <s v="01"/>
    <x v="4"/>
    <m/>
    <n v="253"/>
    <n v="30000"/>
    <m/>
    <n v="7590000"/>
    <n v="1442100"/>
    <n v="9032100"/>
  </r>
  <r>
    <n v="389"/>
    <s v="P-1377"/>
    <x v="165"/>
    <s v="TIS-1366"/>
    <s v="Comercializadora ERZ SAS"/>
    <x v="0"/>
    <s v="06"/>
    <x v="6"/>
    <s v="Acompañamiento SG-SST correspondiente al periodo Abril 2024"/>
    <n v="1"/>
    <n v="260000"/>
    <m/>
    <n v="260000"/>
    <n v="49400"/>
    <n v="309400"/>
  </r>
  <r>
    <n v="390"/>
    <s v="P-1378"/>
    <x v="165"/>
    <s v="TIS-1367"/>
    <s v="ROYCO SOLUCIONES SAS"/>
    <x v="0"/>
    <s v="06"/>
    <x v="6"/>
    <s v="Acompañamiento SG-SST correspondiente al periodo Abril 2024"/>
    <n v="1"/>
    <n v="175000"/>
    <m/>
    <n v="175000"/>
    <n v="33250"/>
    <n v="208250"/>
  </r>
  <r>
    <n v="391"/>
    <s v="P-1379"/>
    <x v="165"/>
    <s v="TIS-1368"/>
    <s v="STAFF SEGUROS AGENCIA LTDA"/>
    <x v="0"/>
    <s v="06"/>
    <x v="6"/>
    <s v="Acompañamiento SG-SST correspondiente al periodo Abril 2024"/>
    <n v="1"/>
    <n v="300000"/>
    <m/>
    <n v="300000"/>
    <n v="57000"/>
    <n v="357000"/>
  </r>
  <r>
    <n v="392"/>
    <s v="P-1380"/>
    <x v="165"/>
    <s v="TIS-1369"/>
    <s v="DIGITAL MEDIA TECHNOLOGIES COLOMBIA SAS"/>
    <x v="0"/>
    <s v="06"/>
    <x v="6"/>
    <s v="Acompañamiento SG-SST correspondiente al periodo Abril 2024"/>
    <n v="1"/>
    <n v="250000"/>
    <m/>
    <n v="250000"/>
    <n v="47500"/>
    <n v="297500"/>
  </r>
  <r>
    <n v="393"/>
    <s v="P-1381"/>
    <x v="165"/>
    <s v="TIS-1370"/>
    <s v="Inversiones Sajamib SAS"/>
    <x v="0"/>
    <s v="07"/>
    <x v="7"/>
    <s v="Acompañamiento Virtual SG-SST correspondiente al periodo Abril 2024"/>
    <n v="1"/>
    <n v="400000"/>
    <m/>
    <n v="400000"/>
    <n v="0"/>
    <n v="400000"/>
  </r>
  <r>
    <n v="394"/>
    <s v="P-1382"/>
    <x v="165"/>
    <s v="TIS-1371"/>
    <s v="GENUINE TECH SAS"/>
    <x v="0"/>
    <s v="06"/>
    <x v="6"/>
    <s v="Acompañamiento SG-SST correspondiente al periodo Abril 2024"/>
    <n v="1"/>
    <n v="545454"/>
    <m/>
    <n v="545454"/>
    <n v="103636.26"/>
    <n v="649090.26"/>
  </r>
  <r>
    <n v="395"/>
    <s v="P-1383"/>
    <x v="165"/>
    <s v="TIS-1372"/>
    <s v="ALVEAR ESCOBAR ASOCIADOS S.A.S"/>
    <x v="0"/>
    <s v="06"/>
    <x v="6"/>
    <s v="Acompañamiento SG-SST correspondiente al periodo Abril 2024_x000a_Se adiciona saldo de $2.850 pendiente factura TIS1318"/>
    <n v="1"/>
    <n v="2850"/>
    <m/>
    <n v="2850"/>
    <n v="541.5"/>
    <n v="3391.5"/>
  </r>
  <r>
    <n v="395"/>
    <s v="P-1383"/>
    <x v="165"/>
    <s v="TIS-1372"/>
    <s v="ALVEAR ESCOBAR ASOCIADOS S.A.S"/>
    <x v="0"/>
    <s v="06"/>
    <x v="6"/>
    <s v="Acompañamiento SG-SST correspondiente al periodo Abril 2024_x000a_Se adiciona saldo de $2.850 pendiente factura TIS1318"/>
    <n v="1"/>
    <n v="2850"/>
    <m/>
    <n v="2850"/>
    <n v="541.5"/>
    <n v="3391.5"/>
  </r>
  <r>
    <n v="396"/>
    <s v="P-1384"/>
    <x v="165"/>
    <s v="TIS-1373"/>
    <s v="ALVEAR ESCOBAR ASOCIADOS S.A.S"/>
    <x v="0"/>
    <s v="06"/>
    <x v="6"/>
    <s v="Acompañamiento SG-SST correspondiente al periodo Abril 2024"/>
    <n v="1"/>
    <n v="190350"/>
    <m/>
    <n v="190350"/>
    <n v="36166.5"/>
    <n v="226516.5"/>
  </r>
  <r>
    <n v="397"/>
    <s v="P-1385"/>
    <x v="165"/>
    <s v="TIS-1374"/>
    <s v="GB BARRETO Y CIA LTDA - ASESORES DE SEGUROS"/>
    <x v="0"/>
    <s v="06"/>
    <x v="6"/>
    <s v="Saldo pendiente por servicio de diseño del SG-SST 2024"/>
    <n v="1"/>
    <n v="600000"/>
    <m/>
    <n v="600000"/>
    <n v="114000"/>
    <n v="714000"/>
  </r>
  <r>
    <n v="399"/>
    <s v="P-1387"/>
    <x v="165"/>
    <s v="TIS-1375"/>
    <s v="INSTITUTO DISTRITAL DE CIENCIA, BIOTECNOLOGIA E INNOVACION EN SALUD"/>
    <x v="0"/>
    <s v="01"/>
    <x v="4"/>
    <s v="Evaluación de riesgo psicosocial"/>
    <n v="223"/>
    <n v="30000"/>
    <m/>
    <n v="6690000"/>
    <n v="1271100"/>
    <n v="7961100"/>
  </r>
  <r>
    <n v="400"/>
    <s v="P-1388"/>
    <x v="166"/>
    <s v="TIS-1376"/>
    <s v="Comercializadora ERZ SAS"/>
    <x v="0"/>
    <s v="06"/>
    <x v="6"/>
    <s v="Acompañamiento SG-SST correspondiente al periodo Mayo 2024"/>
    <n v="1"/>
    <n v="260000"/>
    <m/>
    <n v="260000"/>
    <n v="49400"/>
    <n v="309400"/>
  </r>
  <r>
    <n v="401"/>
    <s v="P-1389"/>
    <x v="166"/>
    <s v="TIS-1377"/>
    <s v="ROYCO SOLUCIONES SAS"/>
    <x v="0"/>
    <s v="06"/>
    <x v="6"/>
    <s v="Acompañamiento SG-SST correspondiente al periodo Mayo 2024"/>
    <n v="1"/>
    <n v="175000"/>
    <m/>
    <n v="175000"/>
    <n v="33250"/>
    <n v="208250"/>
  </r>
  <r>
    <n v="401"/>
    <s v="P-1389"/>
    <x v="166"/>
    <s v="TIS-1377"/>
    <s v="ROYCO SOLUCIONES SAS"/>
    <x v="0"/>
    <s v="06"/>
    <x v="6"/>
    <s v="Acompañamiento SG-SST correspondiente al periodo Mayo 2024"/>
    <n v="1"/>
    <n v="300000"/>
    <m/>
    <n v="300000"/>
    <n v="57000"/>
    <n v="357000"/>
  </r>
  <r>
    <n v="402"/>
    <s v="P-1391"/>
    <x v="166"/>
    <s v="TIS-1379"/>
    <s v="DIGITAL MEDIA TECHNOLOGIES COLOMBIA SAS"/>
    <x v="0"/>
    <s v="06"/>
    <x v="6"/>
    <s v="Acompañamiento SG-SST correspondiente al periodo Mayo 2024"/>
    <n v="1"/>
    <n v="300000"/>
    <m/>
    <n v="300000"/>
    <n v="57000"/>
    <n v="357000"/>
  </r>
  <r>
    <n v="403"/>
    <s v="P-1392"/>
    <x v="166"/>
    <s v="TIS-1380"/>
    <s v="GENUINE TECH SAS"/>
    <x v="0"/>
    <s v="06"/>
    <x v="6"/>
    <s v="Acompañamiento SG-SST correspondiente al periodo Mayo 2024"/>
    <n v="1"/>
    <n v="545454"/>
    <m/>
    <n v="545454"/>
    <n v="103636.26"/>
    <n v="649090.26"/>
  </r>
  <r>
    <n v="404"/>
    <s v="P-1393"/>
    <x v="166"/>
    <s v="TIS-1381"/>
    <s v="ACTIVOS SAS"/>
    <x v="0"/>
    <s v="05"/>
    <x v="5"/>
    <s v="Talleres para intervención del riesgo psicosocial Junio 2024_x000a_Conciliación del equilibrio vida laboral y personal"/>
    <n v="18"/>
    <n v="280000"/>
    <m/>
    <n v="5040000"/>
    <n v="957600"/>
    <n v="5997600"/>
  </r>
  <r>
    <n v="405"/>
    <s v="P-1394"/>
    <x v="166"/>
    <s v="TIS-1382"/>
    <s v="INDUSTRIAS Y SOLUCIONES METALMECANICAS COLOMBIA SAS"/>
    <x v="0"/>
    <s v="09"/>
    <x v="9"/>
    <s v="Asignación profesional Inspección / Análisis puesto de trabajo_x000a_Riesgo Biomecánico"/>
    <n v="10"/>
    <n v="200000"/>
    <m/>
    <n v="2000000"/>
    <n v="380000"/>
    <n v="2380000"/>
  </r>
  <r>
    <n v="406"/>
    <s v="P-1395"/>
    <x v="167"/>
    <s v="TIS-1383"/>
    <s v="FIDEICOMISOS SOCIEDAD FIDUCIARIA DE OCCIDENTE SA"/>
    <x v="0"/>
    <n v="16"/>
    <x v="14"/>
    <s v="Desarrollo de actividades intervención riesgo psicosocial_x000a_Servicios prestados desde enero a junio de 2024_x000a_Aeropuertos de Oriente"/>
    <n v="1"/>
    <n v="7950000"/>
    <m/>
    <n v="7950000"/>
    <n v="1510500"/>
    <n v="9460500"/>
  </r>
  <r>
    <n v="407"/>
    <s v="P-1396"/>
    <x v="168"/>
    <s v="TIS-1384"/>
    <s v="MARCEGAGLIA COLOMBIA SAS"/>
    <x v="0"/>
    <s v="06"/>
    <x v="6"/>
    <s v="DIAGNÓSTICO DE HIGIENE OCUPACIONAL"/>
    <n v="1"/>
    <n v="500000"/>
    <m/>
    <n v="500000"/>
    <n v="95000"/>
    <n v="595000"/>
  </r>
  <r>
    <n v="408"/>
    <s v="P-1397"/>
    <x v="169"/>
    <s v="TIS-1386"/>
    <s v="FUNDACION DE EDUCACION SUPERIOR SAN JOSE FESSANJOSE"/>
    <x v="0"/>
    <n v="15"/>
    <x v="12"/>
    <s v="Investigación Accidente de Trabajo Grave"/>
    <n v="1"/>
    <n v="1000000"/>
    <m/>
    <n v="1000000"/>
    <n v="190000"/>
    <n v="1190000"/>
  </r>
  <r>
    <n v="409"/>
    <s v="P-1398"/>
    <x v="170"/>
    <s v="TIS-1387"/>
    <s v="Comercializadora ERZ SAS"/>
    <x v="0"/>
    <s v="06"/>
    <x v="6"/>
    <s v="Acompañamiento SG-SST correspondiente al periodo Junio 2024"/>
    <n v="1"/>
    <n v="260000"/>
    <m/>
    <n v="260000"/>
    <n v="49400"/>
    <n v="309400"/>
  </r>
  <r>
    <n v="410"/>
    <s v="P-1399"/>
    <x v="170"/>
    <s v="TIS-1388"/>
    <s v="ROYCO SOLUCIONES SAS"/>
    <x v="0"/>
    <s v="06"/>
    <x v="6"/>
    <s v="Acompañamiento SG-SST correspondiente al periodo Junio 2024."/>
    <n v="1"/>
    <n v="175000"/>
    <m/>
    <n v="175000"/>
    <n v="33250"/>
    <n v="208250"/>
  </r>
  <r>
    <n v="411"/>
    <s v="P-1400"/>
    <x v="170"/>
    <s v="TIS-1389"/>
    <s v="STAFF SEGUROS AGENCIA LTDA"/>
    <x v="0"/>
    <s v="06"/>
    <x v="6"/>
    <s v="Acompañamiento SG-SST correspondiente al periodo Junio 2024"/>
    <n v="1"/>
    <n v="300000"/>
    <m/>
    <n v="300000"/>
    <n v="57000"/>
    <n v="357000"/>
  </r>
  <r>
    <n v="412"/>
    <s v="P-1401"/>
    <x v="170"/>
    <s v="TIS-1390"/>
    <s v="STAFF SEGUROS AGENCIA LTDA"/>
    <x v="0"/>
    <s v="06"/>
    <x v="6"/>
    <s v="Acompañamiento SGSST Clientes 2do trimestre 2024"/>
    <n v="3"/>
    <n v="300000"/>
    <m/>
    <n v="900000"/>
    <n v="171000"/>
    <n v="1071000"/>
  </r>
  <r>
    <n v="413"/>
    <s v="P-1402"/>
    <x v="170"/>
    <s v="TIS-1391"/>
    <s v="DIGITAL MEDIA TECHNOLOGIES COLOMBIA SAS"/>
    <x v="0"/>
    <s v="06"/>
    <x v="6"/>
    <s v="Acompañamiento SG-SST correspondiente al periodo Junio 2024"/>
    <n v="1"/>
    <n v="300000"/>
    <m/>
    <n v="300000"/>
    <n v="57000"/>
    <n v="357000"/>
  </r>
  <r>
    <n v="414"/>
    <s v="P-1403"/>
    <x v="170"/>
    <s v="TIS-1392"/>
    <s v="TECNOLOGIA DE OFICINA S.A.S."/>
    <x v="0"/>
    <s v="06"/>
    <x v="6"/>
    <s v="Acompañamiento SG-SST correspondiente al 2do trimestre 2024"/>
    <n v="1"/>
    <n v="648000"/>
    <m/>
    <n v="648000"/>
    <n v="123120"/>
    <n v="771120"/>
  </r>
  <r>
    <n v="415"/>
    <s v="P-1404"/>
    <x v="170"/>
    <s v="TIS-1393"/>
    <s v="GENUINE TECH SAS"/>
    <x v="0"/>
    <s v="06"/>
    <x v="6"/>
    <s v="Acompañamiento SG-SST correspondiente al periodo Junio 2024"/>
    <n v="1"/>
    <n v="545454"/>
    <m/>
    <n v="545454"/>
    <n v="103636.26"/>
    <n v="649090.26"/>
  </r>
  <r>
    <n v="416"/>
    <s v="P-1405"/>
    <x v="171"/>
    <s v="TIS-1394"/>
    <s v="COMERCIALIZADORA INTERNACIONAL DYNAMIC TRADING CORPORATION S.A.S"/>
    <x v="0"/>
    <s v="06"/>
    <x v="6"/>
    <s v="Reporte Autoevaluación EEMM 2023"/>
    <n v="1"/>
    <n v="600000"/>
    <m/>
    <n v="600000"/>
    <n v="114000"/>
    <n v="714000"/>
  </r>
  <r>
    <n v="417"/>
    <s v="P-1406"/>
    <x v="171"/>
    <s v="TIS-1395"/>
    <s v="ATECNO S.A.S"/>
    <x v="0"/>
    <s v="05"/>
    <x v="5"/>
    <s v="Comprende 4 capacitaciones sobre EQUILIBRIO LABORAL Y PERSONAL"/>
    <n v="4"/>
    <n v="265000"/>
    <m/>
    <n v="1060000"/>
    <n v="201400"/>
    <n v="1261400"/>
  </r>
  <r>
    <n v="418"/>
    <s v="P-1407"/>
    <x v="172"/>
    <s v="TIS-1396"/>
    <s v="COMERCIALIZADORA HERREROS SAS"/>
    <x v="0"/>
    <s v="01"/>
    <x v="4"/>
    <s v="Asignación profesional Bateria Psicosocia"/>
    <n v="22"/>
    <n v="35000"/>
    <m/>
    <n v="770000"/>
    <n v="146300"/>
    <n v="916300"/>
  </r>
  <r>
    <n v="419"/>
    <s v="P-1408"/>
    <x v="173"/>
    <s v="TIS-1397"/>
    <s v="MARCEGAGLIA COLOMBIA SAS"/>
    <x v="0"/>
    <s v="10"/>
    <x v="11"/>
    <s v="Anticipo servicio de mediciones higiénicas ocupacionales_x000a_Cotización GC-01-2024-309"/>
    <n v="1"/>
    <n v="6020000"/>
    <m/>
    <n v="6020000"/>
    <n v="1143800"/>
    <n v="7163800"/>
  </r>
  <r>
    <n v="420"/>
    <s v="P-1409"/>
    <x v="174"/>
    <s v="TIS-1398"/>
    <s v="Comercializadora ERZ SAS"/>
    <x v="0"/>
    <s v="06"/>
    <x v="6"/>
    <s v="Acompañamiento SG-SST correspondiente al periodo Julio 2024"/>
    <n v="1"/>
    <n v="260000"/>
    <m/>
    <n v="260000"/>
    <n v="49400"/>
    <n v="309400"/>
  </r>
  <r>
    <n v="421"/>
    <s v="P-1410"/>
    <x v="174"/>
    <s v="TIS-1399"/>
    <s v="ROYCO SOLUCIONES SAS"/>
    <x v="0"/>
    <s v="06"/>
    <x v="6"/>
    <s v="Acompañamiento SG-SST correspondiente al periodo Julio 2024"/>
    <n v="1"/>
    <n v="175000"/>
    <m/>
    <n v="175000"/>
    <n v="33250"/>
    <n v="208250"/>
  </r>
  <r>
    <n v="422"/>
    <s v="P-1411"/>
    <x v="174"/>
    <s v="TIS-1400"/>
    <s v="Inversiones Sajamib SAS"/>
    <x v="0"/>
    <s v="07"/>
    <x v="7"/>
    <s v="Acompañamiento SG-SST correspondiente al periodo Julio 2024"/>
    <n v="1"/>
    <n v="480000"/>
    <m/>
    <n v="480000"/>
    <n v="0"/>
    <n v="480000"/>
  </r>
  <r>
    <n v="423"/>
    <s v="P-1412"/>
    <x v="174"/>
    <s v="TIS-1401"/>
    <s v="STAFF SEGUROS AGENCIA LTDA"/>
    <x v="0"/>
    <s v="06"/>
    <x v="6"/>
    <s v="Acompañamiento SG-SST correspondiente al periodo Julio 2024"/>
    <n v="1"/>
    <n v="300000"/>
    <m/>
    <n v="300000"/>
    <n v="57000"/>
    <n v="357000"/>
  </r>
  <r>
    <n v="424"/>
    <s v="P-1413"/>
    <x v="174"/>
    <s v="TIS-1402"/>
    <s v="DIGITAL MEDIA TECHNOLOGIES COLOMBIA SAS"/>
    <x v="0"/>
    <s v="06"/>
    <x v="6"/>
    <s v="Acompañamiento SG-SST correspondiente al periodo Julio 2024"/>
    <n v="1"/>
    <n v="300000"/>
    <m/>
    <n v="300000"/>
    <n v="57000"/>
    <n v="357000"/>
  </r>
  <r>
    <n v="425"/>
    <s v="P-1414"/>
    <x v="174"/>
    <s v="TIS-1403"/>
    <s v="ALVEAR ESCOBAR ASOCIADOS S.A.S"/>
    <x v="0"/>
    <s v="06"/>
    <x v="6"/>
    <s v="Acompañamiento SG-SST correspondiente al periodo 2 2024"/>
    <n v="1"/>
    <n v="190350"/>
    <m/>
    <n v="190350"/>
    <n v="36166.5"/>
    <n v="226516.5"/>
  </r>
  <r>
    <n v="426"/>
    <s v="P-1415"/>
    <x v="174"/>
    <s v="TIS-1404"/>
    <s v="HUTERCOL S.A.S."/>
    <x v="0"/>
    <s v="06"/>
    <x v="6"/>
    <s v="Acompañamiento SG-SST correspondiente al periodo 2 2024"/>
    <n v="1"/>
    <n v="1350000"/>
    <m/>
    <n v="1350000"/>
    <n v="256500"/>
    <n v="1606500"/>
  </r>
  <r>
    <n v="427"/>
    <s v="P-1416"/>
    <x v="174"/>
    <s v="TIS-1405"/>
    <s v="GENUINE TECH SAS"/>
    <x v="0"/>
    <s v="06"/>
    <x v="6"/>
    <s v="Acompañamiento SG-SST correspondiente al periodo Julio 2024"/>
    <n v="1"/>
    <n v="545454"/>
    <m/>
    <n v="545454"/>
    <n v="103636.26"/>
    <n v="649090.26"/>
  </r>
  <r>
    <n v="428"/>
    <s v="P-1417"/>
    <x v="174"/>
    <s v="TIS-1406"/>
    <s v="COMERCIALIZADORA HERREROS SAS"/>
    <x v="0"/>
    <s v="01"/>
    <x v="4"/>
    <s v="Asignación profesional Bateria Psicosocial"/>
    <n v="3"/>
    <n v="35000"/>
    <m/>
    <n v="105000"/>
    <n v="19950"/>
    <n v="124950"/>
  </r>
  <r>
    <n v="429"/>
    <s v="P-1418"/>
    <x v="175"/>
    <s v="TIS-1409"/>
    <s v="MAKRO RECICLAJES SAS"/>
    <x v="0"/>
    <s v="10"/>
    <x v="11"/>
    <s v="Asignación profesional Mediciones higienicas_x000a_Medición higiénica de ruido por Sonometría"/>
    <n v="1"/>
    <n v="830000"/>
    <m/>
    <n v="830000"/>
    <n v="157700"/>
    <n v="987700"/>
  </r>
  <r>
    <n v="430"/>
    <s v="P-1419"/>
    <x v="176"/>
    <s v="TIS-1410"/>
    <s v="Comercializadora ERZ SAS"/>
    <x v="0"/>
    <s v="06"/>
    <x v="6"/>
    <s v="Acompañamiento SG-SST correspondiente al periodo Agosto 2024"/>
    <n v="1"/>
    <n v="260000"/>
    <m/>
    <n v="260000"/>
    <n v="49400"/>
    <n v="309400"/>
  </r>
  <r>
    <n v="431"/>
    <s v="P-1420"/>
    <x v="176"/>
    <s v="TIS-1411"/>
    <s v="ROYCO SOLUCIONES SAS"/>
    <x v="0"/>
    <s v="06"/>
    <x v="6"/>
    <s v="Acompañamiento SG-SST correspondiente al periodo Agosto 2024"/>
    <n v="1"/>
    <n v="175000"/>
    <m/>
    <n v="175000"/>
    <n v="33250"/>
    <n v="208250"/>
  </r>
  <r>
    <n v="432"/>
    <s v="P-1421"/>
    <x v="176"/>
    <s v="TIS-1412"/>
    <s v="STAFF SEGUROS AGENCIA LTDA"/>
    <x v="0"/>
    <s v="06"/>
    <x v="6"/>
    <s v="Acompañamiento SG-SST correspondiente al periodo Agosto 2024"/>
    <n v="1"/>
    <n v="300000"/>
    <m/>
    <n v="300000"/>
    <n v="57000"/>
    <n v="357000"/>
  </r>
  <r>
    <n v="433"/>
    <s v="P-1422"/>
    <x v="176"/>
    <s v="TIS-1413"/>
    <s v="DIGITAL MEDIA TECHNOLOGIES COLOMBIA SAS"/>
    <x v="0"/>
    <s v="06"/>
    <x v="6"/>
    <s v="Acompañamiento SG-SST correspondiente al periodo Agosto 2024"/>
    <n v="1"/>
    <n v="300000"/>
    <m/>
    <n v="300000"/>
    <n v="57000"/>
    <n v="357000"/>
  </r>
  <r>
    <n v="434"/>
    <s v="P-1423"/>
    <x v="176"/>
    <s v="TIS-1414"/>
    <s v="GENUINE TECH SAS"/>
    <x v="0"/>
    <s v="06"/>
    <x v="6"/>
    <s v="Acompañamiento SG-SST correspondiente al periodo Agosto 2024"/>
    <n v="1"/>
    <n v="545454"/>
    <m/>
    <n v="545454"/>
    <n v="103636.26"/>
    <n v="649090.26"/>
  </r>
  <r>
    <n v="435"/>
    <s v="P-1424"/>
    <x v="176"/>
    <s v="TIS-1415"/>
    <s v="Inversiones Sajamib SAS"/>
    <x v="0"/>
    <s v="07"/>
    <x v="7"/>
    <s v="Acompañamiento Virtual SG-SST correspondiente al periodo Agosto 2024"/>
    <n v="1"/>
    <n v="480000"/>
    <m/>
    <n v="480000"/>
    <n v="0"/>
    <n v="480000"/>
  </r>
  <r>
    <n v="436"/>
    <s v="P-1425"/>
    <x v="176"/>
    <s v="TIS-1416"/>
    <s v="MARCEGAGLIA COLOMBIA SAS"/>
    <x v="0"/>
    <s v="10"/>
    <x v="11"/>
    <s v="Pago del 30% del valor del servicio de mediciones de acuerdo con términos de cotización y orden de compra"/>
    <n v="1"/>
    <n v="3612000"/>
    <m/>
    <n v="3612000"/>
    <n v="686280"/>
    <n v="4298280"/>
  </r>
  <r>
    <n v="437"/>
    <s v="P-1426"/>
    <x v="177"/>
    <s v="TIS-1417"/>
    <s v="EVAL.COM CONSULTING SAS"/>
    <x v="1"/>
    <s v="01"/>
    <x v="4"/>
    <s v="Nro Valor Fecha recibido_x000a_1 $ 514.080,00 30/08/2024_x000a_2 $ 308.488,00 05/09/2024_x000a_3 $ 205.632,00 16/09/2024"/>
    <n v="27"/>
    <n v="40000"/>
    <m/>
    <n v="1080000"/>
    <n v="205200"/>
    <n v="1285200"/>
  </r>
  <r>
    <n v="438"/>
    <s v="P-1427"/>
    <x v="152"/>
    <s v="TIS-1418"/>
    <s v="EVAL.COM CONSULTING SAS"/>
    <x v="0"/>
    <s v="01"/>
    <x v="4"/>
    <s v="Asignación profesional Bateria Psicosocial_x000a_Esta factura anula la T-1417 y complementa la Nota crédito NC39 emitida."/>
    <n v="27"/>
    <n v="32000"/>
    <m/>
    <n v="864000"/>
    <n v="164160"/>
    <n v="1028160"/>
  </r>
  <r>
    <n v="439"/>
    <s v="P-1428"/>
    <x v="178"/>
    <s v="TIS-1420"/>
    <s v="TKARGA SAS"/>
    <x v="0"/>
    <s v="04"/>
    <x v="0"/>
    <s v="Corresponde a item relacionado con Profesiograma en la cotización de referencia GC-02-2024-403 v1"/>
    <n v="1"/>
    <n v="1000000"/>
    <m/>
    <n v="1000000"/>
    <n v="190000"/>
    <n v="1190000"/>
  </r>
  <r>
    <n v="440"/>
    <s v="P-1429"/>
    <x v="179"/>
    <s v="TIS-1421"/>
    <s v="Comercializadora ERZ SAS"/>
    <x v="0"/>
    <s v="06"/>
    <x v="6"/>
    <s v="Acompañamiento SG-SST correspondiente al periodo Septiembre 2024"/>
    <n v="1"/>
    <n v="260000"/>
    <m/>
    <n v="260000"/>
    <n v="49400"/>
    <n v="309400"/>
  </r>
  <r>
    <n v="441"/>
    <s v="P-1430"/>
    <x v="179"/>
    <s v="TIS-1422"/>
    <s v="ROYCO SOLUCIONES SAS"/>
    <x v="0"/>
    <s v="06"/>
    <x v="6"/>
    <s v="Acompañamiento SG-SST correspondiente al periodo Septiembre 2024"/>
    <n v="1"/>
    <n v="175000"/>
    <m/>
    <n v="175000"/>
    <n v="33250"/>
    <n v="208250"/>
  </r>
  <r>
    <n v="442"/>
    <s v="P-1431"/>
    <x v="179"/>
    <s v="TIS-1423"/>
    <s v="STAFF SEGUROS AGENCIA LTDA"/>
    <x v="0"/>
    <s v="06"/>
    <x v="6"/>
    <s v="Acompañamiento SG-SST correspondiente al periodo Septiembre 2024"/>
    <n v="1"/>
    <n v="300000"/>
    <m/>
    <n v="300000"/>
    <n v="57000"/>
    <n v="357000"/>
  </r>
  <r>
    <n v="443"/>
    <s v="P-1432"/>
    <x v="179"/>
    <s v="TIS-1424"/>
    <s v="STAFF SEGUROS AGENCIA LTDA"/>
    <x v="0"/>
    <s v="06"/>
    <x v="6"/>
    <s v="Acompañamiento Cliente SG-SST correspondiente al 3er trimestre 2024"/>
    <n v="3"/>
    <n v="300000"/>
    <m/>
    <n v="900000"/>
    <n v="171000"/>
    <n v="1071000"/>
  </r>
  <r>
    <n v="444"/>
    <s v="P-1433"/>
    <x v="179"/>
    <s v="TIS-1425"/>
    <s v="DIGITAL MEDIA TECHNOLOGIES COLOMBIA SAS"/>
    <x v="0"/>
    <s v="06"/>
    <x v="6"/>
    <s v="Acompañamiento SG-SST correspondiente al periodo Septiembre 2024"/>
    <n v="1"/>
    <n v="300000"/>
    <m/>
    <n v="300000"/>
    <n v="57000"/>
    <n v="357000"/>
  </r>
  <r>
    <n v="445"/>
    <s v="P-1434"/>
    <x v="168"/>
    <s v="TIS-1385"/>
    <s v="ACTIVOS SAS"/>
    <x v="1"/>
    <s v="05"/>
    <x v="5"/>
    <s v="Asignación equipo profesional para dictar capacitaciones"/>
    <n v="18"/>
    <n v="280000"/>
    <m/>
    <n v="5040000"/>
    <n v="957600"/>
    <n v="5997600"/>
  </r>
  <r>
    <n v="446"/>
    <s v="P-1435"/>
    <x v="180"/>
    <s v="TIS-1407"/>
    <s v="TKARGA SAS"/>
    <x v="0"/>
    <s v="01"/>
    <x v="4"/>
    <s v="Asignación profesional Bateria Psicosocial"/>
    <n v="100"/>
    <n v="30000"/>
    <m/>
    <n v="3000000"/>
    <n v="570000"/>
    <n v="3570000"/>
  </r>
  <r>
    <n v="447"/>
    <s v="P-1436"/>
    <x v="180"/>
    <s v="TIS-1408"/>
    <s v="B2B TAX LEGAL S.A.S. BIC"/>
    <x v="0"/>
    <s v="04"/>
    <x v="0"/>
    <s v="Asignación equipo profesional servicios de consultoría"/>
    <n v="1"/>
    <n v="1200000"/>
    <m/>
    <n v="1200000"/>
    <n v="228000"/>
    <n v="1428000"/>
  </r>
  <r>
    <n v="447"/>
    <s v="P-1436"/>
    <x v="180"/>
    <s v="TIS-1408"/>
    <s v="B2B TAX LEGAL S.A.S. BIC"/>
    <x v="0"/>
    <s v="10"/>
    <x v="11"/>
    <s v="Asignación equipo profesional servicios de consultoría"/>
    <n v="3"/>
    <n v="800000"/>
    <m/>
    <n v="2400000"/>
    <n v="456000"/>
    <n v="2856000"/>
  </r>
  <r>
    <n v="448"/>
    <s v="P-1437"/>
    <x v="179"/>
    <s v="TIS-1426"/>
    <s v="GENUINE TECH SAS"/>
    <x v="0"/>
    <s v="06"/>
    <x v="6"/>
    <s v="Acompañamiento SG-SST correspondiente al periodo Septiembre 2024"/>
    <n v="1"/>
    <n v="545454"/>
    <m/>
    <n v="545454"/>
    <n v="103636.26"/>
    <n v="649090.26"/>
  </r>
  <r>
    <n v="449"/>
    <s v="P-1438"/>
    <x v="179"/>
    <s v="TIS-1427"/>
    <s v="Inversiones Sajamib SAS"/>
    <x v="0"/>
    <s v="07"/>
    <x v="7"/>
    <s v="Acompañamiento Virtual SG-SST correspondiente al periodo Septiembre 2024."/>
    <n v="1"/>
    <n v="480000"/>
    <m/>
    <n v="480000"/>
    <n v="0"/>
    <n v="480000"/>
  </r>
  <r>
    <n v="450"/>
    <s v="P-1439"/>
    <x v="181"/>
    <s v="TIS-1428"/>
    <s v="SUPPLYING TOTAL TALENT SAS"/>
    <x v="0"/>
    <s v="01"/>
    <x v="4"/>
    <s v="Asignación profesional Bateria Psicosocial"/>
    <n v="8"/>
    <n v="40000"/>
    <m/>
    <n v="320000"/>
    <n v="60800"/>
    <n v="380800"/>
  </r>
  <r>
    <n v="451"/>
    <s v="P-1440"/>
    <x v="181"/>
    <s v="TIS-1429"/>
    <s v="BETA SERVICIOS TEMPORALES S A S"/>
    <x v="0"/>
    <s v="01"/>
    <x v="4"/>
    <s v="Asignación profesional Bateria Psicosocial"/>
    <n v="8"/>
    <n v="40000"/>
    <m/>
    <n v="320000"/>
    <n v="60800"/>
    <n v="380800"/>
  </r>
  <r>
    <n v="452"/>
    <s v="P-1441"/>
    <x v="181"/>
    <s v="TIS-1430"/>
    <s v="STT Group sucursal colombia SA"/>
    <x v="0"/>
    <s v="01"/>
    <x v="4"/>
    <s v="Asignación profesional Bateria Psicosocial"/>
    <n v="17"/>
    <n v="40000"/>
    <m/>
    <n v="680000"/>
    <n v="129200"/>
    <n v="809200"/>
  </r>
  <r>
    <n v="453"/>
    <s v="P-1442"/>
    <x v="181"/>
    <s v="TIS-1431"/>
    <s v="STT Group sucursal colombia SA"/>
    <x v="0"/>
    <s v="01"/>
    <x v="4"/>
    <s v="Asignación profesional Bateria Psicosocial"/>
    <n v="40"/>
    <n v="40000"/>
    <m/>
    <n v="1600000"/>
    <n v="304000"/>
    <n v="1904000"/>
  </r>
  <r>
    <n v="454"/>
    <s v="P-1443"/>
    <x v="182"/>
    <s v="TIS-1432"/>
    <s v="MARCEGAGLIA COLOMBIA SAS"/>
    <x v="0"/>
    <s v="10"/>
    <x v="11"/>
    <s v="Corresponde al saldo del 20% por el total de los servicios prestados Factura Anticipo TIS1397 06/08/2024_x000a_Factura Avance 30% TIS1416 10/09/2024"/>
    <n v="1"/>
    <n v="2408000"/>
    <m/>
    <n v="2408000"/>
    <n v="457520"/>
    <n v="2865520"/>
  </r>
  <r>
    <n v="455"/>
    <s v="P-1444"/>
    <x v="182"/>
    <s v="TIS-1433"/>
    <s v="TRANSPORTES ESPECIALES ALIADOS S.A.S"/>
    <x v="0"/>
    <s v="09"/>
    <x v="9"/>
    <s v="Asignación profesionales para análisis de puesto de trabajo_x000a_Análisis de puesto de trabajo con énfasis Biomecánico_x000a_Estudio de vibraciones cuerpo entero"/>
    <n v="1"/>
    <n v="2400000"/>
    <m/>
    <n v="2400000"/>
    <n v="456000"/>
    <n v="2856000"/>
  </r>
  <r>
    <n v="456"/>
    <s v="P-1445"/>
    <x v="182"/>
    <s v="TIS-1434"/>
    <s v="MELOS Y MELOS SAS"/>
    <x v="0"/>
    <s v="01"/>
    <x v="4"/>
    <s v="Asignación profesional Bateria Psicosocial"/>
    <n v="22"/>
    <n v="35000"/>
    <m/>
    <n v="770000"/>
    <n v="146300"/>
    <n v="916300"/>
  </r>
  <r>
    <n v="457"/>
    <s v="P-1446"/>
    <x v="183"/>
    <s v="TIS-1435"/>
    <s v="FIDEICOMISOS SOCIEDAD FIDUCIARIA DE OCCIDENTE SA"/>
    <x v="0"/>
    <n v="16"/>
    <x v="14"/>
    <s v="Desarrollo de actividades intervención riesgo psicosocial Servicios prestados desde julio a Diciembre de 2024 Aeropuertos de Oriente"/>
    <n v="1"/>
    <n v="7950000"/>
    <m/>
    <n v="7950000"/>
    <n v="1510500"/>
    <n v="9460500"/>
  </r>
  <r>
    <n v="458"/>
    <s v="P-1447"/>
    <x v="183"/>
    <s v="TIS-1436"/>
    <s v="ACTIVOS SAS"/>
    <x v="0"/>
    <s v="06"/>
    <x v="6"/>
    <s v="Auditoría de matrices legales en empresas"/>
    <n v="1"/>
    <n v="11200000"/>
    <m/>
    <n v="11200000"/>
    <n v="2128000"/>
    <n v="13328000"/>
  </r>
  <r>
    <n v="459"/>
    <s v="P-1448"/>
    <x v="183"/>
    <s v="TIS-1437"/>
    <s v="ACTIVOS SAS"/>
    <x v="0"/>
    <s v="05"/>
    <x v="5"/>
    <s v="Talleres para intervención del riesgo psicosocial Julio y Agosto 2024 Conciliación del equilibrio vida laboral y personal"/>
    <n v="4"/>
    <n v="250000"/>
    <m/>
    <n v="1000000"/>
    <n v="190000"/>
    <n v="1190000"/>
  </r>
  <r>
    <n v="460"/>
    <s v="P-1449"/>
    <x v="184"/>
    <s v="TIS-1419"/>
    <s v="CUATRECASAS GONALVES PEREIRA SAS"/>
    <x v="0"/>
    <s v="06"/>
    <x v="6"/>
    <s v="Corresponde al anticipo del 50% por el servicio indicado en la cotización de referencia"/>
    <n v="1"/>
    <n v="250000"/>
    <m/>
    <n v="250000"/>
    <n v="47500"/>
    <n v="297500"/>
  </r>
  <r>
    <n v="461"/>
    <s v="P-1450"/>
    <x v="185"/>
    <s v="TIS-1438"/>
    <s v="CUATRECASAS GONALVES PEREIRA SAS"/>
    <x v="0"/>
    <s v="06"/>
    <x v="6"/>
    <s v="Corresponde al saldo del 50% del valor total del servicio indicado en la cotización relacionada_x000a_Cotización GC-02-2024-395 14/08/2024_x000a_Factura TIS-1419 24/09/2024"/>
    <n v="1"/>
    <n v="250000"/>
    <m/>
    <n v="250000"/>
    <n v="47500"/>
    <n v="297500"/>
  </r>
  <r>
    <n v="462"/>
    <s v="P-1451"/>
    <x v="185"/>
    <s v="TIS-1439"/>
    <s v="QUALITY WATER SERVICE COLOMBIA SAS"/>
    <x v="0"/>
    <s v="01"/>
    <x v="4"/>
    <s v="Asignación profesional Bateria Psicosocial"/>
    <n v="145"/>
    <n v="40000"/>
    <m/>
    <n v="5800000"/>
    <n v="1102000"/>
    <n v="6902000"/>
  </r>
  <r>
    <n v="463"/>
    <s v="P-1452"/>
    <x v="185"/>
    <s v="TIS-1440"/>
    <s v="Comercializadora ERZ SAS"/>
    <x v="0"/>
    <s v="06"/>
    <x v="6"/>
    <s v="Acompañamiento SG-SST correspondiente al periodo Octubre 2024"/>
    <n v="1"/>
    <n v="260000"/>
    <m/>
    <n v="260000"/>
    <n v="49400"/>
    <n v="309400"/>
  </r>
  <r>
    <n v="464"/>
    <s v="P-1453"/>
    <x v="185"/>
    <s v="TIS-1441"/>
    <s v="ROYCO SOLUCIONES SAS"/>
    <x v="0"/>
    <s v="06"/>
    <x v="6"/>
    <s v="Acompañamiento SG-SST correspondiente al periodo Octubre 2024"/>
    <n v="1"/>
    <n v="175000"/>
    <m/>
    <n v="175000"/>
    <n v="33250"/>
    <n v="208250"/>
  </r>
  <r>
    <n v="465"/>
    <s v="P-1454"/>
    <x v="185"/>
    <s v="TIS-1442"/>
    <s v="STAFF SEGUROS AGENCIA LTDA"/>
    <x v="0"/>
    <s v="06"/>
    <x v="6"/>
    <s v="Acompañamiento SG-SST correspondiente al periodo Octubre 2024"/>
    <n v="1"/>
    <n v="300000"/>
    <m/>
    <n v="300000"/>
    <n v="57000"/>
    <n v="357000"/>
  </r>
  <r>
    <n v="466"/>
    <s v="P-1455"/>
    <x v="185"/>
    <s v="TIS-1443"/>
    <s v="DIGITAL MEDIA TECHNOLOGIES COLOMBIA SAS"/>
    <x v="0"/>
    <s v="06"/>
    <x v="6"/>
    <s v="Acompañamiento SG-SST correspondiente al periodo Octubre 2024"/>
    <n v="1"/>
    <n v="300000"/>
    <m/>
    <n v="300000"/>
    <n v="57000"/>
    <n v="357000"/>
  </r>
  <r>
    <n v="467"/>
    <s v="P-1456"/>
    <x v="185"/>
    <s v="TIS-1444"/>
    <s v="GENUINE TECH SAS"/>
    <x v="0"/>
    <s v="06"/>
    <x v="6"/>
    <s v="Acompañamiento SG-SST correspondiente al periodo Octubre 2024"/>
    <n v="1"/>
    <n v="545454"/>
    <m/>
    <n v="545454"/>
    <n v="103636.26"/>
    <n v="649090.26"/>
  </r>
  <r>
    <n v="468"/>
    <s v="P-1457"/>
    <x v="185"/>
    <s v="TIS-1445"/>
    <s v="Inversiones Sajamib SAS"/>
    <x v="0"/>
    <s v="07"/>
    <x v="7"/>
    <s v="Acompañamiento SG-SST correspondiente al periodo Octubre 2024"/>
    <n v="1"/>
    <n v="480000"/>
    <m/>
    <n v="480000"/>
    <n v="0"/>
    <n v="480000"/>
  </r>
  <r>
    <n v="469"/>
    <s v="P-1458"/>
    <x v="185"/>
    <s v="TIS-1446"/>
    <s v="ALVEAR ESCOBAR ASOCIADOS S.A.S"/>
    <x v="0"/>
    <s v="06"/>
    <x v="6"/>
    <s v="Acompañamiento SG-SST correspondiente al periodo 3 2024"/>
    <n v="1"/>
    <n v="190350"/>
    <m/>
    <n v="190350"/>
    <n v="36166.5"/>
    <n v="226516.5"/>
  </r>
  <r>
    <n v="470"/>
    <s v="P-1459"/>
    <x v="186"/>
    <s v="TIS-1447"/>
    <s v="COMPAÑIA DE SEGUROS BOLIVAR S A"/>
    <x v="1"/>
    <s v="06"/>
    <x v="6"/>
    <s v="Asignación profesionales actividades de Bienestar Empresarial BS"/>
    <n v="1"/>
    <n v="1280000"/>
    <m/>
    <n v="1280000"/>
    <n v="243200"/>
    <n v="1523200"/>
  </r>
  <r>
    <n v="471"/>
    <s v="P-1460"/>
    <x v="187"/>
    <s v="TIS-1448"/>
    <s v="COMPAÑIA DE SEGUROS BOLIVAR S A"/>
    <x v="1"/>
    <s v="06"/>
    <x v="6"/>
    <s v="Asignación profesionales actividades de Bienestar Empresarial BV"/>
    <n v="1"/>
    <n v="8330523"/>
    <m/>
    <n v="8330523"/>
    <n v="1582799.37"/>
    <n v="9913322.370000001"/>
  </r>
  <r>
    <n v="472"/>
    <s v="P-1461"/>
    <x v="188"/>
    <s v="TIS-1449"/>
    <s v="Comercializadora ERZ SAS"/>
    <x v="0"/>
    <s v="06"/>
    <x v="6"/>
    <s v="Acompañamiento SG-SST correspondiente al periodo Noviembre 2024"/>
    <n v="1"/>
    <n v="260000"/>
    <m/>
    <n v="260000"/>
    <n v="49400"/>
    <n v="309400"/>
  </r>
  <r>
    <n v="473"/>
    <s v="P-1462"/>
    <x v="188"/>
    <s v="TIS-1450"/>
    <s v="ROYCO SOLUCIONES SAS"/>
    <x v="0"/>
    <s v="06"/>
    <x v="6"/>
    <s v="Acompañamiento SG-SST correspondiente al periodo Noviembre 2024"/>
    <n v="1"/>
    <n v="175000"/>
    <m/>
    <n v="175000"/>
    <n v="33250"/>
    <n v="208250"/>
  </r>
  <r>
    <n v="474"/>
    <s v="P-1463"/>
    <x v="188"/>
    <s v="TIS-1451"/>
    <s v="STAFF SEGUROS AGENCIA LTDA"/>
    <x v="0"/>
    <s v="06"/>
    <x v="6"/>
    <s v="Acompañamiento SG-SST correspondiente al periodo Noviembre 2024"/>
    <n v="1"/>
    <n v="300000"/>
    <m/>
    <n v="300000"/>
    <n v="57000"/>
    <n v="357000"/>
  </r>
  <r>
    <n v="475"/>
    <s v="P-1464"/>
    <x v="188"/>
    <s v="TIS-1452"/>
    <s v="DIGITAL MEDIA TECHNOLOGIES COLOMBIA SAS"/>
    <x v="0"/>
    <s v="06"/>
    <x v="6"/>
    <s v="Acompañamiento SG-SST correspondiente al periodo Noviembre 2024"/>
    <n v="1"/>
    <n v="300000"/>
    <m/>
    <n v="300000"/>
    <n v="57000"/>
    <n v="357000"/>
  </r>
  <r>
    <n v="476"/>
    <s v="P-1465"/>
    <x v="188"/>
    <s v="TIS-1453"/>
    <s v="Inversiones Sajamib SAS"/>
    <x v="0"/>
    <s v="07"/>
    <x v="7"/>
    <s v="Acompañamiento SG-SST Virtual correspondiente al periodo Noviembre 2024"/>
    <n v="1"/>
    <n v="480000"/>
    <m/>
    <n v="480000"/>
    <n v="0"/>
    <n v="480000"/>
  </r>
  <r>
    <n v="477"/>
    <s v="P-1466"/>
    <x v="188"/>
    <s v="TIS-1454"/>
    <s v="GENUINE TECH SAS"/>
    <x v="0"/>
    <s v="06"/>
    <x v="6"/>
    <s v="Acompañamiento SG-SST correspondiente al periodo Noviembre 2024"/>
    <n v="1"/>
    <n v="545454"/>
    <m/>
    <n v="545454"/>
    <n v="103636.26"/>
    <n v="649090.26"/>
  </r>
  <r>
    <n v="478"/>
    <s v="P-1467"/>
    <x v="188"/>
    <s v="NC-40"/>
    <s v="B2B TAX LEGAL S.A.S. BIC"/>
    <x v="0"/>
    <s v="04"/>
    <x v="0"/>
    <s v="Se realizan 2 mediciones de iluminación en lugar de 3 que eran las que estaban contratadas_x000a_Factura Electrónica TIS1408"/>
    <n v="1"/>
    <n v="1000000"/>
    <m/>
    <n v="-1000000"/>
    <n v="-190000"/>
    <n v="-1190000"/>
  </r>
  <r>
    <n v="478"/>
    <s v="P-1467"/>
    <x v="188"/>
    <s v="NC-40"/>
    <s v="B2B TAX LEGAL S.A.S. BIC"/>
    <x v="0"/>
    <s v="10"/>
    <x v="11"/>
    <m/>
    <n v="3"/>
    <n v="2408000"/>
    <m/>
    <n v="-7224000"/>
    <n v="-1372560"/>
    <n v="-8596560"/>
  </r>
  <r>
    <n v="479"/>
    <s v="P-1468"/>
    <x v="188"/>
    <s v="TIS-1455"/>
    <s v="B2B TAX LEGAL S.A.S. BIC"/>
    <x v="0"/>
    <s v="04"/>
    <x v="0"/>
    <s v="Asignación profesionales Medición higiénica - Profesiograma"/>
    <n v="1"/>
    <n v="1200000"/>
    <m/>
    <n v="1200000"/>
    <n v="228000"/>
    <n v="1428000"/>
  </r>
  <r>
    <n v="479"/>
    <s v="P-1468"/>
    <x v="188"/>
    <s v="TIS-1455"/>
    <s v="B2B TAX LEGAL S.A.S. BIC"/>
    <x v="0"/>
    <s v="10"/>
    <x v="11"/>
    <m/>
    <n v="2"/>
    <n v="800000"/>
    <m/>
    <n v="1600000"/>
    <n v="304000"/>
    <n v="1904000"/>
  </r>
  <r>
    <n v="480"/>
    <s v="P-1469"/>
    <x v="189"/>
    <s v="TIS-1456"/>
    <s v="COMPAÑIA DE SEGUROS BOLIVAR S A"/>
    <x v="0"/>
    <s v="06"/>
    <x v="6"/>
    <s v="Asignación profesionales actividades de Bienestar Empresarial BV"/>
    <n v="1"/>
    <n v="779748"/>
    <m/>
    <n v="779748"/>
    <n v="148152.12"/>
    <n v="927900.12"/>
  </r>
  <r>
    <n v="481"/>
    <s v="P-1470"/>
    <x v="190"/>
    <s v="TIS-1457"/>
    <s v="COMPAÑIA DE SEGUROS BOLIVAR S A"/>
    <x v="0"/>
    <s v="06"/>
    <x v="6"/>
    <s v="Asignación profesionales actividades de Bienestar Empresarial BV"/>
    <n v="1"/>
    <n v="220000"/>
    <m/>
    <n v="220000"/>
    <n v="41800"/>
    <n v="261800"/>
  </r>
  <r>
    <n v="482"/>
    <s v="P-1471"/>
    <x v="191"/>
    <s v="NC-41"/>
    <s v="B2B TAX LEGAL S.A.S. BIC"/>
    <x v="0"/>
    <s v="04"/>
    <x v="0"/>
    <s v="ANULACION FE TIS 1408 ERROR EN LOS VALORES"/>
    <n v="1"/>
    <n v="1200000"/>
    <m/>
    <n v="-1200000"/>
    <n v="-228000"/>
    <n v="-1428000"/>
  </r>
  <r>
    <n v="482"/>
    <s v="P-1471"/>
    <x v="191"/>
    <s v="NC-41"/>
    <s v="B2B TAX LEGAL S.A.S. BIC"/>
    <x v="0"/>
    <s v="10"/>
    <x v="11"/>
    <m/>
    <n v="3"/>
    <n v="800000"/>
    <m/>
    <n v="-2400000"/>
    <n v="-456000"/>
    <n v="-2856000"/>
  </r>
  <r>
    <n v="483"/>
    <s v="P-1472"/>
    <x v="191"/>
    <s v="ND1"/>
    <s v="B2B TAX LEGAL S.A.S. BIC"/>
    <x v="0"/>
    <s v="04"/>
    <x v="0"/>
    <s v="ANULACION NC 40 ERROR EN LOS VALORES"/>
    <n v="1"/>
    <n v="1000000"/>
    <m/>
    <n v="1000000"/>
    <n v="190000"/>
    <n v="1190000"/>
  </r>
  <r>
    <n v="483"/>
    <s v="P-1472"/>
    <x v="191"/>
    <s v="ND1"/>
    <s v="B2B TAX LEGAL S.A.S. BIC"/>
    <x v="0"/>
    <s v="10"/>
    <x v="11"/>
    <s v="ANULACION NC 40 ERROR EN LOS VALORES"/>
    <n v="3"/>
    <n v="2408000"/>
    <m/>
    <n v="7224000"/>
    <n v="1372560"/>
    <n v="8596560"/>
  </r>
  <r>
    <n v="484"/>
    <s v="P-1473"/>
    <x v="192"/>
    <s v="NC42"/>
    <s v="COMPAÑIA DE SEGUROS BOLIVAR S A"/>
    <x v="0"/>
    <s v="06"/>
    <x v="6"/>
    <s v="Asignación profesionales actividades de Bienestar Empresarial BV"/>
    <n v="1"/>
    <n v="8330523"/>
    <m/>
    <n v="-8330523"/>
    <n v="-1582799.37"/>
    <n v="-9913322.370000001"/>
  </r>
  <r>
    <n v="485"/>
    <s v="P-1474"/>
    <x v="193"/>
    <s v="NC44"/>
    <s v="COMPAÑIA DE SEGUROS BOLIVAR S A"/>
    <x v="0"/>
    <s v="06"/>
    <x v="6"/>
    <s v="Asignación profesionales actividades de Bienestar Empresarial BV"/>
    <n v="1"/>
    <n v="779748"/>
    <m/>
    <n v="-779748"/>
    <n v="-148152.12"/>
    <n v="-927900.12"/>
  </r>
  <r>
    <n v="486"/>
    <s v="P-1475"/>
    <x v="193"/>
    <s v="NC45"/>
    <s v="COMPAÑIA DE SEGUROS BOLIVAR S A"/>
    <x v="0"/>
    <s v="06"/>
    <x v="6"/>
    <s v="Asignación profesionales actividades de Bienestar Empresarial BS"/>
    <n v="1"/>
    <n v="1280000"/>
    <m/>
    <n v="-1280000"/>
    <n v="-243200"/>
    <n v="-1523200"/>
  </r>
  <r>
    <n v="487"/>
    <s v="P-1476"/>
    <x v="193"/>
    <s v="TIS-1458"/>
    <s v="Comercializadora ERZ SAS"/>
    <x v="0"/>
    <s v="06"/>
    <x v="6"/>
    <s v="Acompañamiento SG-SST correspondiente al periodo Diciembre 2024"/>
    <n v="1"/>
    <n v="260000"/>
    <m/>
    <n v="260000"/>
    <n v="49400"/>
    <n v="309400"/>
  </r>
  <r>
    <n v="488"/>
    <s v="P-1477"/>
    <x v="193"/>
    <s v="TIS-1459"/>
    <s v="ROYCO SOLUCIONES SAS"/>
    <x v="0"/>
    <s v="06"/>
    <x v="6"/>
    <s v="Acompañamiento SG-SST correspondiente al periodo Diciembre 2024"/>
    <n v="1"/>
    <n v="175000"/>
    <m/>
    <n v="175000"/>
    <n v="33250"/>
    <n v="208250"/>
  </r>
  <r>
    <n v="489"/>
    <s v="P-1478"/>
    <x v="193"/>
    <s v="TIS-1460"/>
    <s v="STAFF SEGUROS AGENCIA LTDA"/>
    <x v="0"/>
    <s v="06"/>
    <x v="6"/>
    <s v="Acompañamiento SG-SST correspondiente al periodo Diciembre 2024"/>
    <n v="1"/>
    <n v="300000"/>
    <m/>
    <n v="300000"/>
    <n v="57000"/>
    <n v="357000"/>
  </r>
  <r>
    <n v="490"/>
    <s v="P-1479"/>
    <x v="193"/>
    <s v="TIS-1461"/>
    <s v="DIGITAL MEDIA TECHNOLOGIES COLOMBIA SAS"/>
    <x v="0"/>
    <s v="06"/>
    <x v="6"/>
    <s v="Acompañamiento SG-SST correspondiente al periodo Diciembre 2024"/>
    <n v="1"/>
    <n v="300000"/>
    <m/>
    <n v="300000"/>
    <n v="57000"/>
    <n v="357000"/>
  </r>
  <r>
    <n v="491"/>
    <s v="P-1480"/>
    <x v="193"/>
    <s v="TIS-1462"/>
    <s v="STAFF SEGUROS AGENCIA LTDA"/>
    <x v="0"/>
    <s v="05"/>
    <x v="5"/>
    <s v="Acompañamiento SGSST empresas Oct- Dic 2024"/>
    <n v="3"/>
    <n v="300000"/>
    <m/>
    <n v="900000"/>
    <n v="171000"/>
    <n v="1071000"/>
  </r>
  <r>
    <n v="492"/>
    <s v="P-1481"/>
    <x v="193"/>
    <s v="TIS-1463"/>
    <s v="Inversiones Sajamib SAS"/>
    <x v="0"/>
    <s v="07"/>
    <x v="7"/>
    <s v="Acompañamiento SG-SST correspondiente al periodo Diciembre 2024"/>
    <n v="1"/>
    <n v="480000"/>
    <m/>
    <n v="480000"/>
    <n v="0"/>
    <n v="480000"/>
  </r>
  <r>
    <n v="493"/>
    <s v="P-1482"/>
    <x v="193"/>
    <s v="TIS-1464"/>
    <s v="GENUINE TECH SAS"/>
    <x v="0"/>
    <s v="06"/>
    <x v="6"/>
    <s v="Acompañamiento SG-SST correspondiente al periodo Diciembre 2024"/>
    <n v="1"/>
    <n v="545454"/>
    <m/>
    <n v="545454"/>
    <n v="103636.26"/>
    <n v="649090.26"/>
  </r>
  <r>
    <n v="494"/>
    <s v="P-1483"/>
    <x v="193"/>
    <s v="TIS-1465"/>
    <s v="SMART ENERGY SOLUTIONS SAS"/>
    <x v="0"/>
    <s v="10"/>
    <x v="11"/>
    <s v="Asignación profesional para mediciones higienicas básicas - Iluminación"/>
    <n v="1"/>
    <n v="700000"/>
    <m/>
    <n v="700000"/>
    <n v="133000"/>
    <n v="833000"/>
  </r>
  <r>
    <n v="495"/>
    <s v="P-1484"/>
    <x v="193"/>
    <s v="TIS-1466"/>
    <s v="HF DOTACIONES SAS"/>
    <x v="0"/>
    <s v="06"/>
    <x v="6"/>
    <s v="De la cotización indicada solamente se aprueba el item relacionado con el servicio de auditoria"/>
    <n v="1"/>
    <n v="700000"/>
    <m/>
    <n v="700000"/>
    <n v="133000"/>
    <n v="833000"/>
  </r>
  <r>
    <n v="496"/>
    <s v="P-1485"/>
    <x v="193"/>
    <s v="TIS-1467"/>
    <s v="TRANSPORTES ESPECIALES ALIADOS S.A.S"/>
    <x v="0"/>
    <s v="01"/>
    <x v="4"/>
    <s v="Asignación profesional Bateria Psicosocial 2024"/>
    <n v="338"/>
    <n v="25000"/>
    <m/>
    <n v="8450000"/>
    <n v="1605500"/>
    <n v="10055500"/>
  </r>
  <r>
    <n v="497"/>
    <s v="P-1486"/>
    <x v="193"/>
    <s v="TIS-1468"/>
    <s v="COMPAÑIA DE SEGUROS BOLIVAR S A"/>
    <x v="0"/>
    <s v="06"/>
    <x v="6"/>
    <s v="Asignación profesionales actividades de Bienestar Empresarial BV"/>
    <n v="1"/>
    <n v="9330271"/>
    <m/>
    <n v="9330271"/>
    <n v="1772751.49"/>
    <n v="11103022.49"/>
  </r>
  <r>
    <n v="498"/>
    <s v="P-1487"/>
    <x v="193"/>
    <s v="TIS-1469"/>
    <s v="COMPAÑIA DE SEGUROS BOLIVAR S A"/>
    <x v="1"/>
    <s v="06"/>
    <x v="6"/>
    <s v="Act Bienestar Empresarial_x000a_BS"/>
    <n v="1"/>
    <n v="1552842"/>
    <m/>
    <n v="1552842"/>
    <n v="295039.98"/>
    <n v="1847881.98"/>
  </r>
  <r>
    <n v="499"/>
    <s v="P-1488"/>
    <x v="193"/>
    <s v="TIS-1470"/>
    <s v="ECO DESIGN SERVICES SAS"/>
    <x v="0"/>
    <s v="01"/>
    <x v="4"/>
    <s v="BATERIAS DE RIESGO PSI_x000a_COSOCIAL"/>
    <n v="15"/>
    <n v="48000"/>
    <m/>
    <n v="720000"/>
    <n v="136800"/>
    <n v="856800"/>
  </r>
  <r>
    <n v="500"/>
    <s v="P-1489"/>
    <x v="193"/>
    <s v="TIS-1471"/>
    <s v="Comercializadora ERZ SAS"/>
    <x v="0"/>
    <s v="06"/>
    <x v="6"/>
    <s v="Acompañamiento SG-SST correspondiente al periodo Enero 2025"/>
    <n v="1"/>
    <n v="300000"/>
    <m/>
    <n v="300000"/>
    <n v="57000"/>
    <n v="357000"/>
  </r>
  <r>
    <n v="501"/>
    <s v="P-1490"/>
    <x v="193"/>
    <s v="TIS-1472"/>
    <s v="DIGITAL MEDIA TECHNOLOGIES COLOMBIA SAS"/>
    <x v="0"/>
    <s v="06"/>
    <x v="6"/>
    <s v="Acompañamiento SG-SST correspondiente al periodo Enero 2025"/>
    <n v="1"/>
    <n v="300000"/>
    <m/>
    <n v="300000"/>
    <n v="57000"/>
    <n v="357000"/>
  </r>
  <r>
    <n v="502"/>
    <s v="P-1491"/>
    <x v="193"/>
    <s v="TIS-1473"/>
    <s v="Inversiones Sajamib SAS"/>
    <x v="0"/>
    <s v="07"/>
    <x v="7"/>
    <s v="Disponibilidad actividades SGSST y Curso Virtual BPM"/>
    <n v="1"/>
    <n v="480000"/>
    <m/>
    <n v="480000"/>
    <n v="0"/>
    <n v="480000"/>
  </r>
  <r>
    <n v="503"/>
    <s v="P-1492"/>
    <x v="193"/>
    <s v="TIS-1474"/>
    <s v="ROYCO SOLUCIONES SAS"/>
    <x v="0"/>
    <s v="06"/>
    <x v="6"/>
    <s v="Acompañamiento SG-SST correspondiente al periodo Enero 2025"/>
    <n v="1"/>
    <n v="175000"/>
    <m/>
    <n v="175000"/>
    <n v="33250"/>
    <n v="208250"/>
  </r>
  <r>
    <n v="504"/>
    <s v="P-1493"/>
    <x v="193"/>
    <s v="TIS-1475"/>
    <s v="FET GROUP SAS"/>
    <x v="0"/>
    <s v="09"/>
    <x v="9"/>
    <s v="Análisis puesto de trabajo"/>
    <n v="4"/>
    <n v="200000"/>
    <m/>
    <n v="800000"/>
    <n v="152000"/>
    <n v="952000"/>
  </r>
  <r>
    <n v="504"/>
    <s v="P-1493"/>
    <x v="193"/>
    <s v="TIS-1475"/>
    <s v="FET GROUP SAS"/>
    <x v="0"/>
    <s v="04"/>
    <x v="0"/>
    <s v="PROFESIOGRAMA"/>
    <n v="1"/>
    <n v="600000"/>
    <m/>
    <n v="600000"/>
    <n v="114000"/>
    <n v="714000"/>
  </r>
  <r>
    <n v="504"/>
    <s v="P-1493"/>
    <x v="193"/>
    <s v="TIS-1475"/>
    <s v="FET GROUP SAS"/>
    <x v="0"/>
    <s v="01"/>
    <x v="4"/>
    <s v="BATERIAS DE RIESGO PSI_x000a_COSOCIAL"/>
    <n v="21"/>
    <n v="35000"/>
    <m/>
    <n v="735000"/>
    <n v="139650"/>
    <n v="874650"/>
  </r>
  <r>
    <n v="505"/>
    <s v="P-1494"/>
    <x v="194"/>
    <s v="TIS-1476"/>
    <s v="Comercializadora ERZ SAS"/>
    <x v="0"/>
    <s v="06"/>
    <x v="6"/>
    <s v="Acompañamiento SG-SST correspondiente al periodo Febrero 2024"/>
    <n v="1"/>
    <n v="300000"/>
    <m/>
    <n v="300000"/>
    <n v="57000"/>
    <n v="357000"/>
  </r>
  <r>
    <n v="506"/>
    <s v="P-1495"/>
    <x v="194"/>
    <s v="TIS-1477"/>
    <s v="DIGITAL MEDIA TECHNOLOGIES COLOMBIA SAS"/>
    <x v="0"/>
    <s v="06"/>
    <x v="6"/>
    <s v="Acompañamiento SG-SST correspondiente al periodo Febrero 2024"/>
    <n v="1"/>
    <n v="300000"/>
    <m/>
    <n v="300000"/>
    <n v="57000"/>
    <n v="357000"/>
  </r>
  <r>
    <n v="507"/>
    <s v="P-1496"/>
    <x v="194"/>
    <s v="TIS-1478"/>
    <s v="ROYCO SOLUCIONES SAS"/>
    <x v="0"/>
    <s v="06"/>
    <x v="6"/>
    <s v="Acompañamiento SG-SST correspondiente al periodo Febrero 2025"/>
    <n v="1"/>
    <n v="250000"/>
    <m/>
    <n v="250000"/>
    <n v="47500"/>
    <n v="297500"/>
  </r>
  <r>
    <n v="508"/>
    <s v="P-1497"/>
    <x v="194"/>
    <s v="TIS-1479"/>
    <s v="Inversiones Sajamib SAS"/>
    <x v="0"/>
    <s v="07"/>
    <x v="7"/>
    <s v="Formación virtual SGSST"/>
    <n v="1"/>
    <n v="480000"/>
    <m/>
    <n v="480000"/>
    <n v="0"/>
    <n v="480000"/>
  </r>
  <r>
    <n v="509"/>
    <s v="P-1498"/>
    <x v="194"/>
    <s v="TIS-1480"/>
    <s v="STAFF SEGUROS AGENCIA LTDA"/>
    <x v="0"/>
    <s v="07"/>
    <x v="7"/>
    <s v="Formación virtual SGSST Febrero 2025"/>
    <n v="1"/>
    <n v="1220000"/>
    <m/>
    <n v="1220000"/>
    <n v="0"/>
    <n v="1220000"/>
  </r>
  <r>
    <n v="510"/>
    <s v="P-1499"/>
    <x v="194"/>
    <s v="TIS-1481"/>
    <s v="CHOHO COLOMBIA SAS"/>
    <x v="0"/>
    <s v="10"/>
    <x v="11"/>
    <s v="Comprende anticipo por servicio de medición de material particulado"/>
    <n v="1"/>
    <n v="825000"/>
    <m/>
    <n v="825000"/>
    <n v="156750"/>
    <n v="981750"/>
  </r>
  <r>
    <n v="511"/>
    <s v="P-1500"/>
    <x v="194"/>
    <s v="TIS-1482"/>
    <s v="BTG DE ANTIOQUIA"/>
    <x v="0"/>
    <s v="10"/>
    <x v="11"/>
    <s v="Asignación profesional para mediciones higienicas Luxometría"/>
    <n v="1"/>
    <n v="750000"/>
    <m/>
    <n v="750000"/>
    <n v="142500"/>
    <n v="892500"/>
  </r>
  <r>
    <n v="512"/>
    <s v="P-1501"/>
    <x v="194"/>
    <s v="TIS-1483"/>
    <s v="H &amp; S FRANQUICIAS SAS"/>
    <x v="0"/>
    <s v="09"/>
    <x v="9"/>
    <s v="Asignación profesional para inspección de puesto de trabajo"/>
    <n v="6"/>
    <n v="330000"/>
    <m/>
    <n v="1980000"/>
    <n v="376200"/>
    <n v="2356200"/>
  </r>
  <r>
    <n v="513"/>
    <s v="P-1502"/>
    <x v="194"/>
    <s v="TIS-1484"/>
    <s v="FIDEICOMISOS SOCIEDAD FIDUCIARIA DE OCCIDENTE SA"/>
    <x v="0"/>
    <s v="01"/>
    <x v="4"/>
    <s v="Asignación profesional Bateria Psicosocial 2025"/>
    <n v="257"/>
    <n v="29800"/>
    <m/>
    <n v="7658600"/>
    <n v="1455134"/>
    <n v="9113734"/>
  </r>
  <r>
    <n v="514"/>
    <s v="P-1503"/>
    <x v="194"/>
    <s v="NC-43"/>
    <s v="COMPAÑIA DE SEGUROS BOLIVAR S A"/>
    <x v="0"/>
    <s v="06"/>
    <x v="6"/>
    <s v="Asignación profesionales actividades de Bienestar Empresarial BV"/>
    <n v="1"/>
    <n v="220000"/>
    <m/>
    <n v="-220000"/>
    <n v="-41800"/>
    <n v="-261800"/>
  </r>
  <r>
    <n v="515"/>
    <s v="P-1504"/>
    <x v="195"/>
    <s v="TIS-1360"/>
    <s v="BIO ENDOSCOPE LTDA"/>
    <x v="0"/>
    <s v="06"/>
    <x v="6"/>
    <s v="Autoevaluación EEMM 2023 Implementación SGSST 2024"/>
    <n v="1"/>
    <n v="400000"/>
    <m/>
    <n v="400000"/>
    <n v="76000"/>
    <n v="476000"/>
  </r>
  <r>
    <n v="516"/>
    <s v="P-1505"/>
    <x v="196"/>
    <s v="TIS-1485"/>
    <s v="Comercializadora ERZ SAS"/>
    <x v="0"/>
    <s v="06"/>
    <x v="6"/>
    <s v="Acompañamiento SG-SST correspondiente al periodo Marzo 2025"/>
    <n v="1"/>
    <n v="300000"/>
    <m/>
    <n v="300000"/>
    <n v="57000"/>
    <n v="357000"/>
  </r>
  <r>
    <n v="517"/>
    <s v="P-1506"/>
    <x v="196"/>
    <s v="TIS-1486"/>
    <s v="DIGITAL MEDIA TECHNOLOGIES COLOMBIA SAS"/>
    <x v="0"/>
    <s v="06"/>
    <x v="6"/>
    <s v="Acompañamiento SG-SST correspondiente al periodo Marzo 2025"/>
    <n v="1"/>
    <n v="300000"/>
    <m/>
    <n v="300000"/>
    <n v="57000"/>
    <n v="357000"/>
  </r>
  <r>
    <n v="518"/>
    <s v="P-1507"/>
    <x v="196"/>
    <s v="TIS-1487"/>
    <s v="ROYCO SOLUCIONES SAS"/>
    <x v="0"/>
    <s v="06"/>
    <x v="6"/>
    <s v="Acompañamiento SG-SST correspondiente al periodo Marzo 2025"/>
    <n v="1"/>
    <n v="250000"/>
    <m/>
    <n v="250000"/>
    <n v="47500"/>
    <n v="297500"/>
  </r>
  <r>
    <n v="519"/>
    <s v="P-1508"/>
    <x v="196"/>
    <s v="TIS-1488"/>
    <s v="Inversiones Sajamib SAS"/>
    <x v="0"/>
    <s v="07"/>
    <x v="7"/>
    <s v="Formación virtual SGSST Marzo 2025"/>
    <n v="1"/>
    <n v="480000"/>
    <m/>
    <n v="480000"/>
    <n v="0"/>
    <n v="480000"/>
  </r>
  <r>
    <n v="520"/>
    <s v="P-1509"/>
    <x v="196"/>
    <s v="TIS-1489"/>
    <s v="STAFF SEGUROS AGENCIA LTDA"/>
    <x v="0"/>
    <s v="07"/>
    <x v="7"/>
    <s v="Formación virtual SGSST Marzo 2025"/>
    <n v="1"/>
    <n v="1350000"/>
    <m/>
    <n v="1350000"/>
    <n v="0"/>
    <n v="1350000"/>
  </r>
  <r>
    <n v="521"/>
    <s v="P-1510"/>
    <x v="196"/>
    <s v="TIS-1490"/>
    <s v="CAVACOR S.A.S"/>
    <x v="0"/>
    <s v="06"/>
    <x v="6"/>
    <s v="Autoevaluación EEMM 2023 Implementación SGSST 2024"/>
    <n v="1"/>
    <n v="1000000"/>
    <m/>
    <n v="1000000"/>
    <n v="190000"/>
    <n v="1190000"/>
  </r>
  <r>
    <n v="522"/>
    <s v="P-1511"/>
    <x v="197"/>
    <s v="TIS-1492"/>
    <s v="SUPPLYING TOTAL TALENT SAS"/>
    <x v="0"/>
    <s v="01"/>
    <x v="4"/>
    <s v="Asignación profesional Bateria Psicosocial"/>
    <n v="8"/>
    <n v="40000"/>
    <m/>
    <n v="320000"/>
    <n v="60800"/>
    <n v="380800"/>
  </r>
  <r>
    <n v="523"/>
    <s v="P-1512"/>
    <x v="197"/>
    <s v="TIS-1493"/>
    <s v="Banco de Bogota S.A."/>
    <x v="0"/>
    <s v="01"/>
    <x v="4"/>
    <s v="Avance ejecución BRP"/>
    <n v="1"/>
    <n v="22489987.260000002"/>
    <m/>
    <n v="22489987.260000002"/>
    <n v="4273097.5794000002"/>
    <n v="26763084.839400001"/>
  </r>
  <r>
    <n v="524"/>
    <s v="P-1513"/>
    <x v="198"/>
    <s v="TIS-1491"/>
    <s v="Comercializadora ERZ SAS"/>
    <x v="0"/>
    <s v="06"/>
    <x v="6"/>
    <s v="Elaboración RT y proceso de implementación"/>
    <n v="1"/>
    <n v="1000000"/>
    <m/>
    <n v="1000000"/>
    <n v="190000"/>
    <n v="1190000"/>
  </r>
  <r>
    <n v="525"/>
    <s v="P-1514"/>
    <x v="199"/>
    <s v="TIS-1494"/>
    <s v="HUTERCOL S.A.S."/>
    <x v="0"/>
    <s v="06"/>
    <x v="6"/>
    <s v="Anticipo por servicio de consultoría SG SST del año 2025"/>
    <n v="1"/>
    <n v="1500000"/>
    <m/>
    <n v="1500000"/>
    <n v="285000"/>
    <n v="1785000"/>
  </r>
  <r>
    <n v="526"/>
    <s v="P-1515"/>
    <x v="200"/>
    <n v="0"/>
    <s v="AND TOPOGRAFIA E INGENIERIA SAS"/>
    <x v="1"/>
    <s v="07"/>
    <x v="7"/>
    <s v="Capacitación acompañamiento virtual SST"/>
    <n v="1"/>
    <n v="900000"/>
    <m/>
    <n v="900000"/>
    <n v="0"/>
    <n v="900000"/>
  </r>
  <r>
    <n v="527"/>
    <s v="P-1516"/>
    <x v="201"/>
    <s v="TIS-1495"/>
    <s v="CONTROLAR SALUD INTEGRAL SAS"/>
    <x v="0"/>
    <s v="07"/>
    <x v="7"/>
    <s v="Apoyo virtual ofertas comerciales"/>
    <n v="1"/>
    <n v="3559975"/>
    <m/>
    <n v="3559975"/>
    <n v="0"/>
    <n v="3559975"/>
  </r>
  <r>
    <n v="528"/>
    <s v="P-1517"/>
    <x v="201"/>
    <s v="TIS-1496"/>
    <s v="Banco de Bogota S.A."/>
    <x v="0"/>
    <s v="01"/>
    <x v="4"/>
    <s v="Avance ejecución BRP"/>
    <n v="1"/>
    <n v="26763084.84"/>
    <m/>
    <n v="26763084.84"/>
    <n v="5084986.1195999999"/>
    <n v="31848070.959600002"/>
  </r>
  <r>
    <n v="529"/>
    <s v="P-1518"/>
    <x v="202"/>
    <s v="TIS-1500"/>
    <s v="ROYCO SOLUCIONES SAS"/>
    <x v="0"/>
    <s v="06"/>
    <x v="6"/>
    <s v="Acompañamiento SG-SST correspondiente al mes abril de 2025"/>
    <n v="1"/>
    <n v="250000"/>
    <m/>
    <n v="250000"/>
    <n v="47500"/>
    <n v="297500"/>
  </r>
  <r>
    <n v="530"/>
    <s v="P-1519"/>
    <x v="202"/>
    <s v="TIS-1498"/>
    <s v="Comercializadora ERZ SAS"/>
    <x v="0"/>
    <s v="06"/>
    <x v="6"/>
    <s v="Acompañamiento SG-SST correspondiente al mes abril de 2025"/>
    <n v="1"/>
    <n v="300000"/>
    <m/>
    <n v="300000"/>
    <n v="57000"/>
    <n v="357000"/>
  </r>
  <r>
    <n v="531"/>
    <s v="P-1520"/>
    <x v="202"/>
    <s v="TIS-1499"/>
    <s v="DIGITAL MEDIA TECHNOLOGIES COLOMBIA SAS"/>
    <x v="0"/>
    <s v="06"/>
    <x v="6"/>
    <s v="Acompañamiento SG-SST correspondiente al mes abril de 2025"/>
    <n v="1"/>
    <n v="300000"/>
    <m/>
    <n v="300000"/>
    <n v="57000"/>
    <n v="357000"/>
  </r>
  <r>
    <n v="532"/>
    <s v="P-1521"/>
    <x v="202"/>
    <s v="TIS-1501"/>
    <s v="Inversiones Sajamib SAS"/>
    <x v="0"/>
    <s v="07"/>
    <x v="7"/>
    <s v="Formación virtual SGSST"/>
    <n v="1"/>
    <n v="480000"/>
    <m/>
    <n v="480000"/>
    <n v="0"/>
    <n v="480000"/>
  </r>
  <r>
    <n v="533"/>
    <s v="P-1522"/>
    <x v="202"/>
    <s v="TIS-1502"/>
    <s v="STAFF SEGUROS AGENCIA LTDA"/>
    <x v="0"/>
    <s v="07"/>
    <x v="7"/>
    <s v="Formación virtual SGSST correspondiente al mes de abril de 2025"/>
    <n v="1"/>
    <n v="2105000"/>
    <m/>
    <n v="2105000"/>
    <n v="0"/>
    <n v="2105000"/>
  </r>
  <r>
    <n v="534"/>
    <s v="P-1523"/>
    <x v="202"/>
    <s v="TIS-1503"/>
    <s v="SEGUROS CUBEROS LTDA"/>
    <x v="0"/>
    <s v="05"/>
    <x v="5"/>
    <s v="Capacitación P y P"/>
    <n v="1"/>
    <n v="250000"/>
    <m/>
    <n v="250000"/>
    <n v="47500"/>
    <n v="297500"/>
  </r>
  <r>
    <n v="535"/>
    <s v="P-1524"/>
    <x v="203"/>
    <s v="TIS-1504"/>
    <s v="EVAL.COM CONSULTING SAS"/>
    <x v="0"/>
    <s v="05"/>
    <x v="5"/>
    <s v="Asignación equipo profesional para dictar capacitaciones"/>
    <n v="4"/>
    <n v="200000"/>
    <m/>
    <n v="800000"/>
    <n v="152000"/>
    <n v="952000"/>
  </r>
  <r>
    <n v="536"/>
    <s v="P-1525"/>
    <x v="203"/>
    <s v="TIS-1505"/>
    <s v="BLISTECO S.A.S."/>
    <x v="0"/>
    <s v="01"/>
    <x v="4"/>
    <s v="Asignación profesional Bateria Psicosocial"/>
    <n v="155"/>
    <n v="30000"/>
    <m/>
    <n v="4650000"/>
    <n v="883500"/>
    <n v="5533500"/>
  </r>
  <r>
    <n v="537"/>
    <s v="P-1526"/>
    <x v="203"/>
    <s v="TIS-1506"/>
    <s v="FUNDACION DE EDUCACION SUPERIOR SAN JOSE FESSANJOSE"/>
    <x v="0"/>
    <s v="01"/>
    <x v="4"/>
    <s v="Asignación profesional Bateria Psicosocial"/>
    <n v="250"/>
    <n v="25000"/>
    <m/>
    <n v="6250000"/>
    <n v="1187500"/>
    <n v="7437500"/>
  </r>
  <r>
    <n v="538"/>
    <s v="P-1527"/>
    <x v="203"/>
    <n v="0"/>
    <s v="SIMTEC LB S.A.S."/>
    <x v="0"/>
    <s v="01"/>
    <x v="4"/>
    <s v="Anticipo aplicación bateria psicosocial"/>
    <n v="1"/>
    <n v="700000"/>
    <m/>
    <n v="700000"/>
    <n v="133000"/>
    <n v="833000"/>
  </r>
  <r>
    <n v="539"/>
    <s v="P-1528"/>
    <x v="204"/>
    <s v="TIS-1509"/>
    <s v="DIGITAL MEDIA TECHNOLOGIES COLOMBIA SAS"/>
    <x v="0"/>
    <s v="06"/>
    <x v="6"/>
    <s v="Implementación mayo 2025"/>
    <n v="1"/>
    <n v="300000"/>
    <m/>
    <n v="300000"/>
    <n v="57000"/>
    <n v="357000"/>
  </r>
  <r>
    <n v="540"/>
    <s v="P-1529"/>
    <x v="204"/>
    <s v="TIS-1508"/>
    <s v="Comercializadora ERZ SAS"/>
    <x v="0"/>
    <s v="06"/>
    <x v="6"/>
    <s v="Acompañamiento SG-SST correspondiente al mes mayo de 2025"/>
    <n v="1"/>
    <n v="300000"/>
    <m/>
    <n v="300000"/>
    <n v="57000"/>
    <n v="357000"/>
  </r>
  <r>
    <n v="541"/>
    <s v="P-1530"/>
    <x v="204"/>
    <s v="TIS-1510"/>
    <s v="ROYCO SOLUCIONES SAS"/>
    <x v="0"/>
    <s v="06"/>
    <x v="6"/>
    <s v="Acompañamiento SG-SST correspondiente al mes mayo de 2025"/>
    <n v="1"/>
    <n v="300000"/>
    <m/>
    <n v="300000"/>
    <n v="57000"/>
    <n v="357000"/>
  </r>
  <r>
    <n v="542"/>
    <s v="P-1531"/>
    <x v="204"/>
    <s v="TIS-1511"/>
    <s v="Inversiones Sajamib SAS"/>
    <x v="0"/>
    <s v="07"/>
    <x v="7"/>
    <s v="Formación virtual SGSST correspondiente al mes de mayo de 2025"/>
    <n v="1"/>
    <n v="480000"/>
    <m/>
    <n v="480000"/>
    <n v="0"/>
    <n v="480000"/>
  </r>
  <r>
    <n v="543"/>
    <s v="P-1532"/>
    <x v="204"/>
    <s v="TIS-1512"/>
    <s v="STAFF SEGUROS AGENCIA LTDA"/>
    <x v="0"/>
    <s v="07"/>
    <x v="7"/>
    <s v="Formación virtual SGSST correspondiente al mes de mayo de 2025_x000a_"/>
    <n v="1"/>
    <n v="1200000"/>
    <m/>
    <n v="1200000"/>
    <n v="0"/>
    <n v="1200000"/>
  </r>
  <r>
    <n v="544"/>
    <s v="P-1533"/>
    <x v="204"/>
    <s v="TIS- 1513"/>
    <s v="Banco de Bogota S.A."/>
    <x v="0"/>
    <s v="01"/>
    <x v="4"/>
    <s v="Avance ejecución BRP"/>
    <n v="1"/>
    <n v="26763084.84"/>
    <m/>
    <n v="26763084.84"/>
    <n v="5084986.1195999999"/>
    <n v="31848070.959600002"/>
  </r>
  <r>
    <n v="545"/>
    <s v="P-1534"/>
    <x v="204"/>
    <s v="TIS-1514"/>
    <s v="Comercializadora ERZ SAS"/>
    <x v="0"/>
    <s v="06"/>
    <x v="6"/>
    <s v="Acompañamiento SG-SST correspondiente al mes junio de 2025"/>
    <n v="1"/>
    <n v="300000"/>
    <m/>
    <n v="300000"/>
    <n v="57000"/>
    <n v="357000"/>
  </r>
  <r>
    <n v="546"/>
    <s v="P-1535"/>
    <x v="204"/>
    <s v="TIS-1515"/>
    <s v="ROYCO SOLUCIONES SAS"/>
    <x v="0"/>
    <s v="06"/>
    <x v="6"/>
    <s v="Acompañamiento SG-SST correspondiente al mes junio de 2025"/>
    <n v="1"/>
    <n v="250000"/>
    <m/>
    <n v="250000"/>
    <n v="47500"/>
    <n v="297500"/>
  </r>
  <r>
    <n v="547"/>
    <s v="P-1536"/>
    <x v="204"/>
    <s v="TIS- 1516"/>
    <s v="Inversiones Sajamib SAS"/>
    <x v="0"/>
    <s v="07"/>
    <x v="7"/>
    <s v="Formación virtual SGSST correspondiente al mes de junio de 2025"/>
    <n v="1"/>
    <n v="480000"/>
    <m/>
    <n v="480000"/>
    <n v="0"/>
    <n v="480000"/>
  </r>
  <r>
    <n v="548"/>
    <s v="P-1537"/>
    <x v="204"/>
    <s v="TIS-1517"/>
    <s v="DIGITAL MEDIA TECHNOLOGIES COLOMBIA SAS"/>
    <x v="0"/>
    <s v="06"/>
    <x v="6"/>
    <s v="Acompañamiento SG-SST correspondiente al mes junio de 2025"/>
    <n v="1"/>
    <n v="300000"/>
    <m/>
    <n v="300000"/>
    <n v="57000"/>
    <n v="357000"/>
  </r>
  <r>
    <n v="549"/>
    <s v="P-1538"/>
    <x v="204"/>
    <s v="TIS.1518"/>
    <s v="STAFF SEGUROS AGENCIA LTDA"/>
    <x v="0"/>
    <s v="07"/>
    <x v="7"/>
    <s v="Formación virtual SGSST correspondiente al mes de junio de 2025"/>
    <n v="1"/>
    <n v="1360000"/>
    <m/>
    <n v="1360000"/>
    <n v="0"/>
    <n v="1360000"/>
  </r>
  <r>
    <n v="550"/>
    <s v="P-1539"/>
    <x v="204"/>
    <s v="TIS-1519"/>
    <s v="AND TOPOGRAFIA E INGENIERIA SAS"/>
    <x v="0"/>
    <n v="19"/>
    <x v="17"/>
    <s v="Diseño SG SST y acompañamiento virtual junio de 2025"/>
    <n v="1"/>
    <n v="1800000"/>
    <m/>
    <n v="1800000"/>
    <n v="0"/>
    <n v="1800000"/>
  </r>
  <r>
    <n v="551"/>
    <s v="P-1540"/>
    <x v="204"/>
    <s v="TIS-1520"/>
    <s v="CONTROLAR SALUD INTEGRAL SAS"/>
    <x v="0"/>
    <n v="12"/>
    <x v="8"/>
    <s v="Apoyo virtual ofertas com_x000a_erciales"/>
    <n v="1"/>
    <n v="730000"/>
    <m/>
    <n v="730000"/>
    <n v="0"/>
    <n v="730000"/>
  </r>
  <r>
    <n v="552"/>
    <s v="P-1541"/>
    <x v="204"/>
    <s v="TIS-1521"/>
    <s v="SUPPLYTEC SAS"/>
    <x v="0"/>
    <s v="01"/>
    <x v="4"/>
    <s v="Asignación profesional evaluación psicosocial"/>
    <n v="37"/>
    <n v="30000"/>
    <m/>
    <n v="1110000"/>
    <n v="210900"/>
    <n v="1320900"/>
  </r>
  <r>
    <n v="553"/>
    <s v="P-1542"/>
    <x v="204"/>
    <s v="TIS-1522"/>
    <s v="COMERCIALIZADORA INTERNACIONAL DYNAMIC TRADING CORPORATION S.A.S"/>
    <x v="0"/>
    <s v="01"/>
    <x v="4"/>
    <s v="Asignación profesional evaluación psicosocial"/>
    <n v="10"/>
    <n v="30000"/>
    <m/>
    <n v="300000"/>
    <n v="57000"/>
    <n v="357000"/>
  </r>
  <r>
    <n v="554"/>
    <s v="P-1543"/>
    <x v="205"/>
    <s v="TIS-1523"/>
    <s v="Banco de Bogota S.A."/>
    <x v="1"/>
    <s v="01"/>
    <x v="4"/>
    <s v="Avance ejecución BRP"/>
    <n v="1"/>
    <n v="26763085"/>
    <m/>
    <n v="26763085"/>
    <n v="5084986.1500000004"/>
    <n v="31848071.149999999"/>
  </r>
  <r>
    <n v="555"/>
    <s v="P-1544"/>
    <x v="205"/>
    <s v="TIS-1524"/>
    <s v="ACTIVOS SAS"/>
    <x v="0"/>
    <s v="01"/>
    <x v="4"/>
    <s v="BATERIAS DE RIESGO PS_x000a_ICOSOCIAL"/>
    <n v="675"/>
    <n v="29000"/>
    <m/>
    <n v="19575000"/>
    <n v="3719250"/>
    <n v="23294250"/>
  </r>
  <r>
    <n v="556"/>
    <s v="P-1545"/>
    <x v="206"/>
    <s v="TIS-1525"/>
    <s v="CHECOREPUESTOS S A S"/>
    <x v="0"/>
    <s v="01"/>
    <x v="4"/>
    <s v="BATERIAS DE RIESGO PSI_x000a_COSOCIAL"/>
    <n v="4"/>
    <n v="100000"/>
    <m/>
    <n v="400000"/>
    <n v="76000"/>
    <n v="476000"/>
  </r>
  <r>
    <n v="556"/>
    <s v="P-1545"/>
    <x v="206"/>
    <s v="TIS-1525"/>
    <s v="CHECOREPUESTOS S A S"/>
    <x v="0"/>
    <s v="09"/>
    <x v="9"/>
    <s v="Análisis puesto de trabajo"/>
    <n v="2"/>
    <n v="330000"/>
    <m/>
    <n v="660000"/>
    <n v="125400"/>
    <n v="785400"/>
  </r>
  <r>
    <n v="557"/>
    <s v="P-1546"/>
    <x v="206"/>
    <s v="TIS-1526"/>
    <s v="AEQUALES SAS"/>
    <x v="0"/>
    <s v="09"/>
    <x v="9"/>
    <s v="Análisis puesto de trabajo"/>
    <n v="7"/>
    <n v="200000"/>
    <m/>
    <n v="1400000"/>
    <n v="266000"/>
    <n v="1666000"/>
  </r>
  <r>
    <n v="558"/>
    <s v="P-1547"/>
    <x v="207"/>
    <s v="TIS-1526"/>
    <s v="AEQUALES SAS"/>
    <x v="1"/>
    <s v="09"/>
    <x v="9"/>
    <s v="Análisis puesto de trabajo"/>
    <n v="7"/>
    <n v="200000"/>
    <m/>
    <n v="1400000"/>
    <n v="266000"/>
    <n v="1666000"/>
  </r>
  <r>
    <n v="559"/>
    <s v="P-1548"/>
    <x v="208"/>
    <s v="TIS-1527"/>
    <s v="Comercializadora ERZ SAS"/>
    <x v="0"/>
    <s v="06"/>
    <x v="6"/>
    <s v="Implementacion SGSST"/>
    <n v="1"/>
    <n v="300000"/>
    <m/>
    <n v="300000"/>
    <n v="57000"/>
    <n v="357000"/>
  </r>
  <r>
    <n v="560"/>
    <s v="P-1549"/>
    <x v="208"/>
    <s v="TIS-1528"/>
    <s v="DIGITAL MEDIA TECHNOLOGIES COLOMBIA SAS"/>
    <x v="0"/>
    <s v="06"/>
    <x v="6"/>
    <s v="Implementacion SGSST"/>
    <n v="1"/>
    <n v="300000"/>
    <m/>
    <n v="300000"/>
    <n v="57000"/>
    <n v="357000"/>
  </r>
  <r>
    <n v="561"/>
    <s v="P-1550"/>
    <x v="208"/>
    <s v="TIS-1529"/>
    <s v="ROYCO SOLUCIONES SAS"/>
    <x v="0"/>
    <s v="06"/>
    <x v="6"/>
    <s v="Implementacion SGSST"/>
    <n v="1"/>
    <n v="200000"/>
    <m/>
    <n v="200000"/>
    <n v="38000"/>
    <n v="238000"/>
  </r>
  <r>
    <n v="562"/>
    <s v="P-1551"/>
    <x v="208"/>
    <s v="TIS-1530"/>
    <s v="AND TOPOGRAFIA E INGENIERIA SAS"/>
    <x v="0"/>
    <s v="07"/>
    <x v="7"/>
    <s v="Capacitaciones y acompañ_x000a_amiento Virtual SST"/>
    <n v="1"/>
    <n v="300000"/>
    <m/>
    <n v="300000"/>
    <n v="0"/>
    <n v="300000"/>
  </r>
  <r>
    <n v="563"/>
    <s v="P-1552"/>
    <x v="208"/>
    <s v="TIS-1531"/>
    <s v="Inversiones Sajamib SAS"/>
    <x v="0"/>
    <s v="07"/>
    <x v="7"/>
    <s v="Capacitaciones y acompañ_x000a_amiento Virtual SST"/>
    <n v="1"/>
    <n v="480000"/>
    <m/>
    <n v="480000"/>
    <n v="0"/>
    <n v="480000"/>
  </r>
  <r>
    <n v="564"/>
    <s v="P-1553"/>
    <x v="208"/>
    <s v="TIS-1532"/>
    <s v="STAFF SEGUROS AGENCIA LTDA"/>
    <x v="0"/>
    <s v="07"/>
    <x v="7"/>
    <s v="Capacitaciones y acompañ_x000a_amiento Virtual SST"/>
    <n v="1"/>
    <n v="1790000"/>
    <m/>
    <n v="1790000"/>
    <n v="0"/>
    <n v="1790000"/>
  </r>
  <r>
    <n v="565"/>
    <s v="P-1554"/>
    <x v="208"/>
    <s v="TIS-1533"/>
    <s v="CENTRO DE ATENCION E INVESTIGACION MEDICA S.A.S."/>
    <x v="0"/>
    <s v="06"/>
    <x v="6"/>
    <s v="Implementacion SGSST"/>
    <n v="1"/>
    <n v="1500000"/>
    <m/>
    <n v="1500000"/>
    <n v="285000"/>
    <n v="1785000"/>
  </r>
  <r>
    <n v="566"/>
    <s v="P-1555"/>
    <x v="209"/>
    <s v="TIS-1536"/>
    <s v="SIMTEC LB S.A.S."/>
    <x v="0"/>
    <s v="01"/>
    <x v="4"/>
    <s v="BATERIAS DE RIESGO PS_x000a_ICOSOCIAL"/>
    <n v="35"/>
    <n v="35000"/>
    <m/>
    <n v="1225000"/>
    <n v="232750"/>
    <n v="1457750"/>
  </r>
  <r>
    <n v="567"/>
    <s v="P-1556"/>
    <x v="209"/>
    <s v="TIS-1537"/>
    <s v="CHOHO COLOMBIA SAS"/>
    <x v="0"/>
    <s v="10"/>
    <x v="11"/>
    <s v="MEDICIONES HIGIENICAS"/>
    <n v="1"/>
    <n v="825000"/>
    <m/>
    <n v="825000"/>
    <n v="156750"/>
    <n v="981750"/>
  </r>
  <r>
    <n v="568"/>
    <s v="P-1557"/>
    <x v="209"/>
    <s v="TIS-1538"/>
    <s v="CAVELIER ABOGADOS S.A.S."/>
    <x v="0"/>
    <s v="01"/>
    <x v="4"/>
    <s v="BATERIAS DE RIESGO PS_x000a_ICOSOCIAL"/>
    <n v="78"/>
    <n v="30000"/>
    <m/>
    <n v="2340000"/>
    <n v="444600"/>
    <n v="2784600"/>
  </r>
  <r>
    <n v="569"/>
    <s v="P-1558"/>
    <x v="209"/>
    <s v="NC-47"/>
    <s v="Banco de Bogota S.A."/>
    <x v="1"/>
    <s v="01"/>
    <x v="4"/>
    <s v="Avance ejecución BRP_x000a_REQUISITOS CAMBIARON"/>
    <n v="1"/>
    <n v="26763084.84"/>
    <m/>
    <n v="-26763084.84"/>
    <n v="-5084986.1195999999"/>
    <n v="-31848070.959600002"/>
  </r>
  <r>
    <n v="570"/>
    <s v="P-1559"/>
    <x v="209"/>
    <s v="TIS-1539"/>
    <s v="Banco de Bogota S.A."/>
    <x v="0"/>
    <s v="01"/>
    <x v="4"/>
    <s v="Avance ejecución BRP"/>
    <n v="1"/>
    <n v="56000000"/>
    <m/>
    <n v="56000000"/>
    <n v="10640000"/>
    <n v="66640000"/>
  </r>
  <r>
    <n v="571"/>
    <s v="P-1560"/>
    <x v="209"/>
    <s v="TIS-1535"/>
    <s v="SIMTEC LB S.A.S."/>
    <x v="1"/>
    <s v="01"/>
    <x v="4"/>
    <s v="BATERIAS DE RIESGO PS_x000a_ICOSOCIAL"/>
    <n v="35"/>
    <n v="35000"/>
    <m/>
    <n v="1225000"/>
    <n v="232750"/>
    <n v="1457750"/>
  </r>
  <r>
    <n v="572"/>
    <s v="P-1561"/>
    <x v="209"/>
    <s v="NC46"/>
    <s v="SIMTEC LB S.A.S."/>
    <x v="0"/>
    <s v="01"/>
    <x v="4"/>
    <s v="BATERIAS DE RIESGO PS_x000a_ICOSOCIAL_x000a_ERROR VALOR ANTICIPO"/>
    <n v="35"/>
    <n v="35000"/>
    <m/>
    <n v="-1225000"/>
    <n v="-232750"/>
    <n v="-1457750"/>
  </r>
  <r>
    <n v="573"/>
    <s v="P-1562"/>
    <x v="210"/>
    <s v="TIS-1542"/>
    <s v="Comercializadora ERZ SAS"/>
    <x v="0"/>
    <s v="06"/>
    <x v="6"/>
    <s v="Implementación SG SST agosto/2025"/>
    <n v="1"/>
    <n v="300000"/>
    <m/>
    <n v="300000"/>
    <n v="57000"/>
    <n v="357000"/>
  </r>
  <r>
    <n v="574"/>
    <s v="P-1563"/>
    <x v="210"/>
    <s v="TIS-1543"/>
    <s v="DIGITAL MEDIA TECHNOLOGIES COLOMBIA SAS"/>
    <x v="0"/>
    <s v="06"/>
    <x v="6"/>
    <s v="Acompañamiento SG-SST correspondiente al mes de agosto de 2025"/>
    <n v="1"/>
    <n v="300000"/>
    <m/>
    <n v="300000"/>
    <n v="57000"/>
    <n v="357000"/>
  </r>
  <r>
    <n v="575"/>
    <s v="P-1564"/>
    <x v="210"/>
    <s v="TIS-1544"/>
    <s v="AND TOPOGRAFIA E INGENIERIA SAS"/>
    <x v="0"/>
    <s v="07"/>
    <x v="7"/>
    <s v="Capacitaciones y acompañ_x000a_amiento Virtual SST agosto/2025"/>
    <n v="1"/>
    <n v="300000"/>
    <m/>
    <n v="300000"/>
    <n v="0"/>
    <n v="300000"/>
  </r>
  <r>
    <n v="576"/>
    <s v="P-1565"/>
    <x v="210"/>
    <s v="TIS-1545"/>
    <s v="ROYCO SOLUCIONES SAS"/>
    <x v="3"/>
    <s v="06"/>
    <x v="6"/>
    <s v="Implementacion SGSST agosto/2025"/>
    <n v="1"/>
    <n v="250000"/>
    <m/>
    <n v="250000"/>
    <n v="47500"/>
    <n v="297500"/>
  </r>
  <r>
    <n v="577"/>
    <s v="P-1566"/>
    <x v="210"/>
    <s v="TIS-1546"/>
    <s v="Inversiones Sajamib SAS"/>
    <x v="0"/>
    <s v="07"/>
    <x v="7"/>
    <s v="Capacitaciones y acompañ_x000a_amiento Virtual SST"/>
    <n v="1"/>
    <n v="480000"/>
    <m/>
    <n v="480000"/>
    <n v="0"/>
    <n v="480000"/>
  </r>
  <r>
    <n v="578"/>
    <s v="P-1567"/>
    <x v="210"/>
    <s v="TIS-1547"/>
    <s v="STAFF SEGUROS AGENCIA LTDA"/>
    <x v="0"/>
    <s v="07"/>
    <x v="7"/>
    <s v="Capacitaciones y acompañ_x000a_amiento Virtual SS"/>
    <n v="1"/>
    <n v="1495000"/>
    <m/>
    <n v="1495000"/>
    <n v="0"/>
    <n v="1495000"/>
  </r>
  <r>
    <n v="579"/>
    <s v="P-1568"/>
    <x v="210"/>
    <s v="TIS-1548"/>
    <s v="CENTRO DE ATENCION E INVESTIGACION MEDICA S.A.S."/>
    <x v="0"/>
    <s v="06"/>
    <x v="6"/>
    <s v="Implementacion SGSST mes agosto/2025"/>
    <n v="1"/>
    <n v="1500000"/>
    <m/>
    <n v="1500000"/>
    <n v="285000"/>
    <n v="1785000"/>
  </r>
  <r>
    <n v="580"/>
    <s v="P-1569"/>
    <x v="211"/>
    <s v="TIS-1541"/>
    <s v="GENUINE LAB S.A.S."/>
    <x v="0"/>
    <s v="06"/>
    <x v="6"/>
    <s v="Anticipo SGSST Anual"/>
    <n v="1"/>
    <n v="900000"/>
    <m/>
    <n v="900000"/>
    <n v="171000"/>
    <n v="1071000"/>
  </r>
  <r>
    <n v="581"/>
    <s v="P-1570"/>
    <x v="211"/>
    <s v="TIS-1540"/>
    <s v="SOLUCIONES CREATIVAS Y TURÍSTICAS"/>
    <x v="0"/>
    <n v="13"/>
    <x v="10"/>
    <s v="Anticipo SGSST Anual"/>
    <n v="1"/>
    <n v="1260505"/>
    <m/>
    <n v="1260505"/>
    <n v="239495.95"/>
    <n v="1500000.95"/>
  </r>
  <r>
    <n v="582"/>
    <s v="P-1571"/>
    <x v="212"/>
    <s v="TIS-1559"/>
    <s v="ELKIN EDUARDO ORTIZ ORTIZ"/>
    <x v="0"/>
    <s v="09"/>
    <x v="9"/>
    <s v="Análisis de puesto de trabajo"/>
    <n v="1"/>
    <n v="4950000"/>
    <m/>
    <n v="4950000"/>
    <n v="940500"/>
    <n v="5890500"/>
  </r>
  <r>
    <n v="583"/>
    <s v="P-1572"/>
    <x v="212"/>
    <s v="TIS-1497"/>
    <s v="GAMBLER GROUP S.A.S."/>
    <x v="0"/>
    <s v="01"/>
    <x v="4"/>
    <s v="Asignación profesional"/>
    <n v="46"/>
    <n v="32000"/>
    <m/>
    <n v="1472000"/>
    <n v="279680"/>
    <n v="1751680"/>
  </r>
  <r>
    <n v="583"/>
    <s v="P-1572"/>
    <x v="212"/>
    <s v="TIS-1497"/>
    <s v="GAMBLER GROUP S.A.S."/>
    <x v="0"/>
    <s v="09"/>
    <x v="9"/>
    <s v="Asignación profesional"/>
    <n v="3"/>
    <n v="220000"/>
    <m/>
    <n v="660000"/>
    <n v="125400"/>
    <n v="785400"/>
  </r>
  <r>
    <n v="584"/>
    <s v="P-1573"/>
    <x v="213"/>
    <s v="TIS-1555"/>
    <s v="BIENESTAR SEGUROS &amp; CIA LTDA"/>
    <x v="0"/>
    <s v="10"/>
    <x v="11"/>
    <s v="Asignación profesional sonometría"/>
    <n v="42"/>
    <n v="45000"/>
    <m/>
    <n v="1890000"/>
    <n v="359100"/>
    <n v="2249100"/>
  </r>
  <r>
    <n v="585"/>
    <s v="P-1574"/>
    <x v="214"/>
    <s v="TIS-1550"/>
    <s v="MARKET TEAM S.A.S."/>
    <x v="0"/>
    <s v="01"/>
    <x v="4"/>
    <s v="Asignación profesional batería psicosocial"/>
    <n v="125"/>
    <n v="30000"/>
    <m/>
    <n v="3750000"/>
    <n v="712500"/>
    <n v="4462500"/>
  </r>
  <r>
    <n v="586"/>
    <s v="P-1575"/>
    <x v="215"/>
    <s v="TIS-1551"/>
    <s v="Comercializadora ERZ SAS"/>
    <x v="0"/>
    <s v="06"/>
    <x v="6"/>
    <s v="Acompañamiento SG-SST correspondiente al mes septiembre de 2025"/>
    <n v="1"/>
    <n v="300000"/>
    <m/>
    <n v="300000"/>
    <n v="57000"/>
    <n v="357000"/>
  </r>
  <r>
    <n v="587"/>
    <s v="P-1576"/>
    <x v="215"/>
    <s v="TIS-1552"/>
    <s v="DIGITAL MEDIA TECHNOLOGIES COLOMBIA SAS"/>
    <x v="0"/>
    <s v="06"/>
    <x v="6"/>
    <s v="Acompañamiento SG-SST correspondiente al mes SEPTIEMBRE de 2025"/>
    <n v="1"/>
    <n v="300000"/>
    <m/>
    <n v="300000"/>
    <n v="57000"/>
    <n v="357000"/>
  </r>
  <r>
    <n v="588"/>
    <s v="P-1577"/>
    <x v="215"/>
    <s v="TIS-1553"/>
    <s v="ROYCO SOLUCIONES SAS"/>
    <x v="0"/>
    <s v="06"/>
    <x v="6"/>
    <s v="Acompañamiento SG-SST correspondiente al mes septiembre de 2025"/>
    <n v="1"/>
    <n v="250000"/>
    <m/>
    <n v="250000"/>
    <n v="47500"/>
    <n v="297500"/>
  </r>
  <r>
    <n v="589"/>
    <s v="P-1578"/>
    <x v="215"/>
    <s v="TIS-1554"/>
    <s v="HUTERCOL S.A.S."/>
    <x v="0"/>
    <s v="06"/>
    <x v="6"/>
    <s v="Saldo implementación SG-SST año 2025"/>
    <n v="1"/>
    <n v="1500000"/>
    <m/>
    <n v="1500000"/>
    <n v="285000"/>
    <n v="1785000"/>
  </r>
  <r>
    <n v="590"/>
    <s v="P-1579"/>
    <x v="215"/>
    <s v="TIS-1556"/>
    <s v="Inversiones Sajamib SAS"/>
    <x v="0"/>
    <s v="07"/>
    <x v="7"/>
    <s v="Capacitaciones y acompañ_x000a_amiento Virtual SST septiembre 2025"/>
    <n v="1"/>
    <n v="480000"/>
    <m/>
    <n v="480000"/>
    <n v="0"/>
    <n v="480000"/>
  </r>
  <r>
    <n v="591"/>
    <s v="P-1580"/>
    <x v="215"/>
    <s v="TIS-1557"/>
    <s v="SOLUCIONES CREATIVAS Y TURÍSTICAS"/>
    <x v="0"/>
    <s v="06"/>
    <x v="6"/>
    <s v="Anticipo SGSST Anual"/>
    <n v="1"/>
    <n v="934874"/>
    <m/>
    <n v="934874"/>
    <n v="177626.06"/>
    <n v="1112500.06"/>
  </r>
  <r>
    <n v="592"/>
    <s v="P-1581"/>
    <x v="215"/>
    <s v="TIS-1558"/>
    <s v="CENTRO DE ATENCION E INVESTIGACION MEDICA S.A.S."/>
    <x v="0"/>
    <s v="06"/>
    <x v="6"/>
    <s v="Acompañamiento SG-SST correspondiente al mes septiembre de 2025"/>
    <n v="1"/>
    <n v="1500000"/>
    <m/>
    <n v="1500000"/>
    <n v="285000"/>
    <n v="1785000"/>
  </r>
  <r>
    <n v="593"/>
    <s v="P-1582"/>
    <x v="216"/>
    <s v="TIS-1561"/>
    <s v="FIDEICOMISOS SOCIEDAD FIDUCIARIA DE OCCIDENTE SA"/>
    <x v="0"/>
    <s v="05"/>
    <x v="5"/>
    <s v="Talleres intervención riesgo psicosocial"/>
    <n v="1"/>
    <n v="9830000"/>
    <m/>
    <n v="9830000"/>
    <n v="1867700"/>
    <n v="11697700"/>
  </r>
  <r>
    <n v="594"/>
    <s v="P-1583"/>
    <x v="217"/>
    <s v="TIS-1549"/>
    <s v="Banco de Bogota S.A."/>
    <x v="0"/>
    <s v="01"/>
    <x v="4"/>
    <s v="Avance ejecución BRP"/>
    <n v="1"/>
    <n v="56000000"/>
    <m/>
    <n v="56000000"/>
    <n v="10640000"/>
    <n v="66640000"/>
  </r>
  <r>
    <n v="595"/>
    <s v="P-1584"/>
    <x v="218"/>
    <s v="TIS-1562"/>
    <s v="Banco de Bogota S.A."/>
    <x v="0"/>
    <s v="01"/>
    <x v="4"/>
    <s v="Avance ejecución BRP"/>
    <n v="1"/>
    <n v="56000000"/>
    <m/>
    <n v="56000000"/>
    <n v="10640000"/>
    <n v="66640000"/>
  </r>
  <r>
    <n v="596"/>
    <s v="P-1585"/>
    <x v="219"/>
    <s v="TIS-1563"/>
    <s v="ACTIVOS SAS"/>
    <x v="0"/>
    <s v="06"/>
    <x v="6"/>
    <s v="Auditoría legal"/>
    <n v="1"/>
    <n v="12800000"/>
    <m/>
    <n v="12800000"/>
    <n v="2432000"/>
    <n v="15232000"/>
  </r>
  <r>
    <n v="596"/>
    <s v="P-1585"/>
    <x v="219"/>
    <s v="TIS-1563"/>
    <s v="ACTIVOS SAS"/>
    <x v="0"/>
    <s v="06"/>
    <x v="6"/>
    <s v="AuditoríaSST"/>
    <n v="5"/>
    <n v="1250000"/>
    <m/>
    <n v="6250000"/>
    <n v="1187500"/>
    <n v="7437500"/>
  </r>
  <r>
    <n v="597"/>
    <s v="P-1586"/>
    <x v="219"/>
    <s v="TIS-1564"/>
    <s v="JIREH SHAMMAH SAS"/>
    <x v="0"/>
    <s v="01"/>
    <x v="4"/>
    <s v="BATERIAS DE RIESGO PSI_x000a_COSOCIAL"/>
    <n v="4"/>
    <n v="35000"/>
    <m/>
    <n v="140000"/>
    <n v="26600"/>
    <n v="166600"/>
  </r>
  <r>
    <n v="598"/>
    <s v="P-1587"/>
    <x v="219"/>
    <s v="TIS-1565"/>
    <s v="VALGASIN SAS ESP"/>
    <x v="0"/>
    <s v="01"/>
    <x v="4"/>
    <s v="BATERIAS DE RIESGO PSI_x000a_COSOCIAL"/>
    <n v="23"/>
    <n v="35000"/>
    <m/>
    <n v="805000"/>
    <n v="152950"/>
    <n v="957950"/>
  </r>
  <r>
    <n v="599"/>
    <s v="P-1588"/>
    <x v="220"/>
    <s v="TIS-1567"/>
    <s v="DIGITAL MEDIA TECHNOLOGIES COLOMBIA SAS"/>
    <x v="0"/>
    <s v="06"/>
    <x v="6"/>
    <s v="Acompañamiento SG-SST correspondiente al mes octubre de 2025"/>
    <n v="1"/>
    <n v="300000"/>
    <m/>
    <n v="300000"/>
    <n v="57000"/>
    <n v="357000"/>
  </r>
  <r>
    <n v="600"/>
    <s v="P-1589"/>
    <x v="220"/>
    <s v="TIS-1568"/>
    <s v="ROYCO SOLUCIONES SAS"/>
    <x v="0"/>
    <s v="06"/>
    <x v="6"/>
    <s v="Acompañamiento SG-SST correspondiente al mes octubre de 2025"/>
    <n v="1"/>
    <n v="250000"/>
    <m/>
    <n v="250000"/>
    <n v="47500"/>
    <n v="297500"/>
  </r>
  <r>
    <n v="601"/>
    <s v="P-1590"/>
    <x v="220"/>
    <s v="TIS-1569"/>
    <s v="Inversiones Sajamib SAS"/>
    <x v="0"/>
    <s v="07"/>
    <x v="7"/>
    <s v="Capacitaciones y acompañ_x000a_amiento Virtual SST octubre 2025"/>
    <n v="1"/>
    <n v="480000"/>
    <m/>
    <n v="480000"/>
    <n v="0"/>
    <n v="480000"/>
  </r>
  <r>
    <n v="602"/>
    <s v="P-1591"/>
    <x v="220"/>
    <s v="TIS-1570"/>
    <s v="CENTRO DE ATENCION E INVESTIGACION MEDICA S.A.S."/>
    <x v="0"/>
    <s v="06"/>
    <x v="6"/>
    <s v="Acompañamiento SG-SST correspondiente al mes octubre de 2025"/>
    <n v="1"/>
    <n v="1500000"/>
    <m/>
    <n v="1500000"/>
    <n v="285000"/>
    <n v="1785000"/>
  </r>
  <r>
    <n v="603"/>
    <s v="P-1592"/>
    <x v="220"/>
    <s v="TIS-1571"/>
    <s v="AND TOPOGRAFIA E INGENIERIA SAS"/>
    <x v="0"/>
    <s v="07"/>
    <x v="7"/>
    <s v="Capacitaciones y acompañ_x000a_amiento Virtual SST octubre 2025"/>
    <n v="1"/>
    <n v="300000"/>
    <m/>
    <n v="300000"/>
    <n v="0"/>
    <n v="300000"/>
  </r>
  <r>
    <n v="604"/>
    <s v="P-1593"/>
    <x v="220"/>
    <s v="TIS-1572"/>
    <s v="SOLUCIONES CREATIVAS Y TURÍSTICAS"/>
    <x v="0"/>
    <s v="06"/>
    <x v="6"/>
    <s v="Implementación SGSST m_x000a_ensual"/>
    <n v="1"/>
    <n v="934874"/>
    <m/>
    <n v="934874"/>
    <n v="177626.06"/>
    <n v="1112500.06"/>
  </r>
  <r>
    <n v="605"/>
    <s v="P-1594"/>
    <x v="220"/>
    <s v="TIS-1573"/>
    <s v="GENUINE LAB S.A.S."/>
    <x v="0"/>
    <s v="06"/>
    <x v="6"/>
    <s v="Acompañamiento SG-SST correspondiente al mes octubre de 2025"/>
    <n v="1"/>
    <n v="442500"/>
    <m/>
    <n v="442500"/>
    <n v="84075"/>
    <n v="526575"/>
  </r>
  <r>
    <n v="606"/>
    <s v="P-1595"/>
    <x v="220"/>
    <s v="TIS-1574"/>
    <s v="STAFF SEGUROS AGENCIA LTDA"/>
    <x v="0"/>
    <s v="07"/>
    <x v="7"/>
    <s v="Acompañamiento virtual SG-SST correspondiente al mes octubre de 2025"/>
    <n v="1"/>
    <n v="1572500"/>
    <m/>
    <n v="1572500"/>
    <n v="0"/>
    <n v="1572500"/>
  </r>
  <r>
    <n v="607"/>
    <s v="P-1596"/>
    <x v="221"/>
    <s v="Tis-1592"/>
    <s v="VORTICE S.A.S."/>
    <x v="0"/>
    <s v="01"/>
    <x v="4"/>
    <s v="aplicación batería psicosocial"/>
    <n v="33"/>
    <n v="40000"/>
    <m/>
    <n v="1320000"/>
    <n v="250800"/>
    <n v="1570800"/>
  </r>
  <r>
    <n v="608"/>
    <s v="P-1597"/>
    <x v="221"/>
    <n v="0"/>
    <s v="DIPREM CO S.A.S."/>
    <x v="0"/>
    <s v="10"/>
    <x v="11"/>
    <s v="Sonometría"/>
    <n v="5"/>
    <n v="120000"/>
    <m/>
    <n v="600000"/>
    <n v="114000"/>
    <n v="714000"/>
  </r>
  <r>
    <n v="608"/>
    <s v="P-1597"/>
    <x v="221"/>
    <n v="0"/>
    <s v="DIPREM CO S.A.S."/>
    <x v="0"/>
    <s v="10"/>
    <x v="11"/>
    <s v="Luxometría"/>
    <n v="10"/>
    <n v="50000"/>
    <m/>
    <n v="500000"/>
    <n v="95000"/>
    <n v="595000"/>
  </r>
  <r>
    <n v="609"/>
    <s v="P-1598"/>
    <x v="222"/>
    <s v="TIS-1575"/>
    <s v="Banco de Bogota S.A."/>
    <x v="0"/>
    <s v="01"/>
    <x v="4"/>
    <s v="ACTIVIDADES PARA FOM_x000a_ENTAR SALUD MEDICION_x000a_DE BATERIA DE RIESGO_x000a_PSICOSOCIAL"/>
    <n v="1"/>
    <n v="9214843"/>
    <m/>
    <n v="9214843"/>
    <n v="1750820.17"/>
    <n v="10965663.17"/>
  </r>
  <r>
    <n v="611"/>
    <s v="P-1600"/>
    <x v="223"/>
    <s v="TIS-1507"/>
    <s v="CONTROLAR SALUD INTEGRAL SAS"/>
    <x v="0"/>
    <n v="12"/>
    <x v="8"/>
    <s v="Apoyo virtual ofertas com_x000a_erciales"/>
    <n v="1"/>
    <n v="2000000"/>
    <m/>
    <n v="2000000"/>
    <n v="0"/>
    <n v="2000000"/>
  </r>
  <r>
    <n v="612"/>
    <s v="P-1601"/>
    <x v="223"/>
    <s v="TIS-1534"/>
    <s v="CONTROLAR SALUD INTEGRAL SAS"/>
    <x v="0"/>
    <s v="07"/>
    <x v="7"/>
    <s v="Capacitaciones y acompañ_x000a_amiento Virtual SST"/>
    <n v="1"/>
    <n v="600000"/>
    <m/>
    <n v="600000"/>
    <n v="0"/>
    <n v="600000"/>
  </r>
  <r>
    <n v="613"/>
    <s v="P-1602"/>
    <x v="224"/>
    <s v="TIS-1577"/>
    <s v="SMART ENERGY SOLUTIONS SAS"/>
    <x v="0"/>
    <s v="10"/>
    <x v="11"/>
    <s v="Mediciones de Sonometria"/>
    <n v="1"/>
    <n v="800000"/>
    <m/>
    <n v="800000"/>
    <n v="152000"/>
    <n v="952000"/>
  </r>
  <r>
    <n v="614"/>
    <s v="P-1603"/>
    <x v="225"/>
    <s v="TIS-1576"/>
    <s v="ACTIVOS SAS"/>
    <x v="0"/>
    <s v="06"/>
    <x v="6"/>
    <s v="Asignación profesional simulacro vial"/>
    <n v="1"/>
    <n v="1350000"/>
    <m/>
    <n v="1350000"/>
    <n v="256500"/>
    <n v="1606500"/>
  </r>
  <r>
    <n v="615"/>
    <s v="P-1604"/>
    <x v="225"/>
    <s v="TIS-1578"/>
    <s v="DIGITAL MEDIA TECHNOLOGIES COLOMBIA SAS"/>
    <x v="0"/>
    <s v="06"/>
    <x v="6"/>
    <s v="Acompañamiento SG-SST correspondiente al mes noviembre de 2025"/>
    <n v="1"/>
    <n v="300000"/>
    <m/>
    <n v="300000"/>
    <n v="57000"/>
    <n v="357000"/>
  </r>
  <r>
    <n v="616"/>
    <s v="P-1605"/>
    <x v="225"/>
    <s v="TIS-1579"/>
    <s v="Comercializadora ERZ SAS"/>
    <x v="0"/>
    <s v="06"/>
    <x v="6"/>
    <s v="Acompañamiento SG-SST correspondiente al mes de noviembre de 2025"/>
    <n v="1"/>
    <n v="300000"/>
    <m/>
    <n v="300000"/>
    <n v="57000"/>
    <n v="357000"/>
  </r>
  <r>
    <n v="617"/>
    <s v="P-1606"/>
    <x v="225"/>
    <s v="TIS-1581"/>
    <s v="CENTRO DE ATENCION E INVESTIGACION MEDICA S.A.S."/>
    <x v="0"/>
    <s v="06"/>
    <x v="6"/>
    <s v="Acompañamiento SG-SST correspondiente al mes noviembre de 2025"/>
    <n v="1"/>
    <n v="1500000"/>
    <m/>
    <n v="1500000"/>
    <n v="285000"/>
    <n v="1785000"/>
  </r>
  <r>
    <n v="618"/>
    <s v="P-1607"/>
    <x v="225"/>
    <s v="TIS-1583"/>
    <s v="Inversiones Sajamib SAS"/>
    <x v="0"/>
    <s v="07"/>
    <x v="7"/>
    <s v="Acompañamiento virtual SG-SST correspondiente al mes noviembre de 2025"/>
    <n v="1"/>
    <n v="480000"/>
    <m/>
    <n v="480000"/>
    <n v="0"/>
    <n v="480000"/>
  </r>
  <r>
    <n v="619"/>
    <s v="P-1608"/>
    <x v="225"/>
    <s v="TIS-1584"/>
    <s v="AND TOPOGRAFIA E INGENIERIA SAS"/>
    <x v="0"/>
    <s v="07"/>
    <x v="7"/>
    <s v="Acompañamiento virtual SG-SST correspondiente al mes noviembre de 2025"/>
    <n v="1"/>
    <n v="300000"/>
    <m/>
    <n v="300000"/>
    <n v="0"/>
    <n v="300000"/>
  </r>
  <r>
    <n v="620"/>
    <s v="P-1609"/>
    <x v="225"/>
    <s v="TIS-1582"/>
    <s v="SOLUCIONES CREATIVAS Y TURÍSTICAS"/>
    <x v="0"/>
    <n v="13"/>
    <x v="10"/>
    <s v="Acompañamiento SG-SST correspondiente al mes noviembre de 2025"/>
    <n v="1"/>
    <n v="934874"/>
    <m/>
    <n v="934874"/>
    <n v="177626.06"/>
    <n v="1112500.06"/>
  </r>
  <r>
    <n v="621"/>
    <s v="P-1610"/>
    <x v="225"/>
    <s v="TIS-1585"/>
    <s v="STAFF SEGUROS AGENCIA LTDA"/>
    <x v="0"/>
    <s v="07"/>
    <x v="7"/>
    <s v="Acompañamiento virtual SG-SST correspondiente al mes noviembre de 2025"/>
    <n v="1"/>
    <n v="3210000"/>
    <m/>
    <n v="3210000"/>
    <n v="0"/>
    <n v="3210000"/>
  </r>
  <r>
    <n v="622"/>
    <s v="P-1611"/>
    <x v="225"/>
    <s v="TIS-1586"/>
    <s v="GENUINE LAB S.A.S."/>
    <x v="0"/>
    <s v="06"/>
    <x v="6"/>
    <s v="Acompañamiento SG-SST correspondiente al mes noviembre de 2025"/>
    <n v="1"/>
    <n v="442500"/>
    <m/>
    <n v="442500"/>
    <n v="84075"/>
    <n v="526575"/>
  </r>
  <r>
    <n v="623"/>
    <s v="P-1612"/>
    <x v="225"/>
    <s v="TIS-1580"/>
    <s v="ROYCO SOLUCIONES SAS"/>
    <x v="0"/>
    <s v="06"/>
    <x v="6"/>
    <s v="Acompañamiento SG-SST correspondiente al mes noviembre de 2025"/>
    <n v="1"/>
    <n v="250000"/>
    <m/>
    <n v="250000"/>
    <n v="47500"/>
    <n v="297500"/>
  </r>
  <r>
    <n v="624"/>
    <s v="P-1613"/>
    <x v="226"/>
    <s v="TIS-1594"/>
    <s v="GEARFORM S.A.S."/>
    <x v="0"/>
    <s v="10"/>
    <x v="11"/>
    <s v="Luxometría"/>
    <n v="10"/>
    <n v="60000"/>
    <m/>
    <n v="600000"/>
    <n v="114000"/>
    <n v="714000"/>
  </r>
  <r>
    <n v="624"/>
    <s v="P-1613"/>
    <x v="226"/>
    <s v="TIS-1594"/>
    <s v="GEARFORM S.A.S."/>
    <x v="0"/>
    <s v="10"/>
    <x v="11"/>
    <s v="Sonometría"/>
    <n v="6"/>
    <n v="125000"/>
    <m/>
    <n v="750000"/>
    <n v="142500"/>
    <n v="892500"/>
  </r>
  <r>
    <n v="624"/>
    <s v="P-1613"/>
    <x v="226"/>
    <s v="TIS-1594"/>
    <s v="GEARFORM S.A.S."/>
    <x v="0"/>
    <s v="10"/>
    <x v="11"/>
    <s v="Material particulado"/>
    <n v="6"/>
    <n v="285000"/>
    <m/>
    <n v="1710000"/>
    <n v="324900"/>
    <n v="2034900"/>
  </r>
  <r>
    <n v="625"/>
    <s v="P-1614"/>
    <x v="226"/>
    <s v="TIS-1593"/>
    <s v="PROASCOL S.A."/>
    <x v="0"/>
    <s v="10"/>
    <x v="11"/>
    <s v="Luxometría"/>
    <n v="1"/>
    <n v="650000"/>
    <m/>
    <n v="650000"/>
    <n v="123500"/>
    <n v="773500"/>
  </r>
  <r>
    <n v="626"/>
    <s v="P-1027"/>
    <x v="227"/>
    <s v="TIS-1587"/>
    <s v="SMART ENERGY SOLUTIONS SAS"/>
    <x v="0"/>
    <s v="05"/>
    <x v="5"/>
    <s v="Act Bienestar Empresarial_x000a_BS"/>
    <n v="2"/>
    <n v="350000"/>
    <m/>
    <n v="700000"/>
    <n v="133000"/>
    <n v="833000"/>
  </r>
  <r>
    <n v="626"/>
    <s v="P-1027"/>
    <x v="227"/>
    <s v="TIS-1587"/>
    <s v="SMART ENERGY SOLUTIONS SAS"/>
    <x v="0"/>
    <s v="05"/>
    <x v="5"/>
    <s v="Formación Talleres"/>
    <n v="5"/>
    <n v="206000"/>
    <m/>
    <n v="1030000"/>
    <n v="195700"/>
    <n v="1225700"/>
  </r>
  <r>
    <n v="627"/>
    <s v="P-1028"/>
    <x v="227"/>
    <s v="TIS-1588"/>
    <s v="CONSTRUCCIONES CIVILES JMR S.A.S"/>
    <x v="0"/>
    <n v="13"/>
    <x v="10"/>
    <s v="Diseño SG SST y acompañamiento durante el año 2025"/>
    <n v="1"/>
    <n v="2800000"/>
    <m/>
    <n v="2800000"/>
    <n v="532000"/>
    <n v="3332000"/>
  </r>
  <r>
    <n v="628"/>
    <s v="P-1029"/>
    <x v="227"/>
    <s v="TIS-1589"/>
    <s v="ALVEAR ESCOBAR ASOCIADOS S.A.S"/>
    <x v="0"/>
    <s v="06"/>
    <x v="6"/>
    <s v="Acompañamiento SG-SST correspondiente al año 2025"/>
    <n v="1"/>
    <n v="1000000"/>
    <m/>
    <n v="1000000"/>
    <n v="190000"/>
    <n v="1190000"/>
  </r>
  <r>
    <n v="629"/>
    <s v="P-1030"/>
    <x v="227"/>
    <s v="TIS-1590"/>
    <s v="DIPREM CO S.A.S."/>
    <x v="0"/>
    <s v="10"/>
    <x v="11"/>
    <s v="Asignación profesional mediciones higiénicas luxometría y sonometría"/>
    <n v="1"/>
    <n v="1100000"/>
    <m/>
    <n v="1100000"/>
    <n v="209000"/>
    <n v="1309000"/>
  </r>
  <r>
    <n v="630"/>
    <s v="P-1031"/>
    <x v="227"/>
    <s v="TIS-1591"/>
    <s v="TISANAS ORQUIDEAS S.A.S."/>
    <x v="0"/>
    <s v="10"/>
    <x v="11"/>
    <s v="Asignación profesional de mediciones higiénicas sonometría, material particulado y luxometría"/>
    <n v="1"/>
    <n v="3150000"/>
    <m/>
    <n v="3150000"/>
    <n v="598500"/>
    <n v="3748500"/>
  </r>
  <r>
    <n v="631"/>
    <s v="P-1032"/>
    <x v="228"/>
    <s v="TIS-1596"/>
    <s v="Comercializadora ERZ SAS"/>
    <x v="0"/>
    <s v="06"/>
    <x v="20"/>
    <s v="Visita técnica diagnóstico GTH"/>
    <n v="1"/>
    <n v="360000"/>
    <m/>
    <n v="360000"/>
    <n v="68400"/>
    <n v="428400"/>
  </r>
  <r>
    <n v="632"/>
    <s v="P-1033"/>
    <x v="228"/>
    <s v="TIS-1597"/>
    <s v="HF DOTACIONES SAS"/>
    <x v="0"/>
    <s v="06"/>
    <x v="6"/>
    <s v="Auditoría SST"/>
    <n v="1"/>
    <n v="900000"/>
    <m/>
    <n v="900000"/>
    <n v="171000"/>
    <n v="1071000"/>
  </r>
  <r>
    <n v="633"/>
    <s v="P-1034"/>
    <x v="228"/>
    <s v="TIS-1598"/>
    <s v="Comercializadora ERZ SAS"/>
    <x v="0"/>
    <s v="06"/>
    <x v="6"/>
    <s v="Acompañamiento SG SST correspondiente al periodo diciembre de 2025"/>
    <n v="1"/>
    <n v="300000"/>
    <m/>
    <n v="300000"/>
    <n v="57000"/>
    <n v="357000"/>
  </r>
  <r>
    <n v="634"/>
    <s v="P-1035"/>
    <x v="228"/>
    <s v="TIS-1599"/>
    <s v="PROASCOL S.A."/>
    <x v="0"/>
    <s v="10"/>
    <x v="11"/>
    <s v="Asignación profesional para mediciones higienicas Luxometría_x000a_Cobro de saldo total de cotización. En factura TIS-1593 solamente se cobro una parte"/>
    <n v="1"/>
    <n v="680000"/>
    <m/>
    <n v="680000"/>
    <n v="129200"/>
    <n v="809200"/>
  </r>
  <r>
    <n v="635"/>
    <s v="P-1036"/>
    <x v="228"/>
    <s v="TIS-1595"/>
    <s v="JUNTA NACIONAL DE CALIFICACION DE INVALIDEZ"/>
    <x v="0"/>
    <s v="05"/>
    <x v="5"/>
    <s v="Talleres de intervención Riesgo Psicosocial"/>
    <n v="1"/>
    <n v="4400000"/>
    <m/>
    <n v="4400000"/>
    <n v="836000"/>
    <n v="5236000"/>
  </r>
  <r>
    <n v="636"/>
    <s v="P-1027"/>
    <x v="229"/>
    <n v="0"/>
    <s v="Walsom SAS"/>
    <x v="0"/>
    <s v="01"/>
    <x v="4"/>
    <s v="Asignación profesional batería psicosocial"/>
    <n v="31"/>
    <n v="40000"/>
    <m/>
    <n v="1240000"/>
    <n v="235600"/>
    <n v="1475600"/>
  </r>
  <r>
    <n v="636"/>
    <s v="P-1027"/>
    <x v="229"/>
    <n v="0"/>
    <s v="Walsom SAS"/>
    <x v="0"/>
    <s v="07"/>
    <x v="7"/>
    <s v="Acompañamiento virtual SG-SST correspondiente al mes de septiembre de 2025"/>
    <n v="1"/>
    <n v="2119000"/>
    <m/>
    <n v="2119000"/>
    <n v="0"/>
    <n v="2119000"/>
  </r>
  <r>
    <n v="637"/>
    <s v="P-1028"/>
    <x v="230"/>
    <s v="TIS-1560"/>
    <s v="STAFF SEGUROS AGENCIA LTDA"/>
    <x v="0"/>
    <s v="06"/>
    <x v="6"/>
    <s v="Acompañamiento SG-SST correspondiente al mes diciembre de 2025"/>
    <n v="1"/>
    <n v="300000"/>
    <m/>
    <n v="300000"/>
    <n v="57000"/>
    <n v="357000"/>
  </r>
  <r>
    <n v="638"/>
    <s v="P-1030"/>
    <x v="230"/>
    <s v="TIS-1601"/>
    <s v="AND TOPOGRAFIA E INGENIERIA SAS"/>
    <x v="0"/>
    <s v="07"/>
    <x v="7"/>
    <s v="Acompañamiento virtual SG-SST correspondiente al mes diciembre de 2025"/>
    <n v="1"/>
    <n v="300000"/>
    <m/>
    <n v="300000"/>
    <n v="0"/>
    <n v="300000"/>
  </r>
  <r>
    <n v="639"/>
    <s v="P-1031"/>
    <x v="230"/>
    <s v="TIS-1602"/>
    <s v="Inversiones Sajamib SAS"/>
    <x v="0"/>
    <s v="07"/>
    <x v="7"/>
    <s v="Acompañamiento virtual SG-SST correspondiente al mes diciembre de 2025"/>
    <n v="1"/>
    <n v="480000"/>
    <m/>
    <n v="480000"/>
    <n v="0"/>
    <n v="480000"/>
  </r>
  <r>
    <n v="640"/>
    <s v="P-1032"/>
    <x v="230"/>
    <s v="TIS-1603"/>
    <s v="ROYCO SOLUCIONES SAS"/>
    <x v="0"/>
    <s v="06"/>
    <x v="6"/>
    <s v="Acompañamiento SG-SST correspondiente al mes diciembre de 2025"/>
    <n v="1"/>
    <n v="250000"/>
    <m/>
    <n v="250000"/>
    <n v="47500"/>
    <n v="297500"/>
  </r>
  <r>
    <n v="641"/>
    <s v="P-1033"/>
    <x v="230"/>
    <s v="TIS-1604"/>
    <s v="CENTRO DE ATENCION E INVESTIGACION MEDICA S.A.S."/>
    <x v="0"/>
    <s v="06"/>
    <x v="6"/>
    <s v="Acompañamiento SG-SST correspondiente al mes diciembre de 2025"/>
    <n v="1"/>
    <n v="1500000"/>
    <m/>
    <n v="1500000"/>
    <n v="285000"/>
    <n v="1785000"/>
  </r>
  <r>
    <n v="642"/>
    <s v="P-1034"/>
    <x v="230"/>
    <s v="TIS-1605"/>
    <s v="SOLUCIONES CREATIVAS Y TURÍSTICAS"/>
    <x v="0"/>
    <s v="06"/>
    <x v="6"/>
    <s v="Acompañamiento SG-SST correspondiente al mes diciembre de 2025_x000a_Linea de"/>
    <n v="1"/>
    <n v="934874"/>
    <m/>
    <n v="934874"/>
    <n v="177626.06"/>
    <n v="1112500.06"/>
  </r>
  <r>
    <n v="643"/>
    <s v="P-1035"/>
    <x v="231"/>
    <s v="TIS-1606"/>
    <s v="Comercializadora ERZ SAS"/>
    <x v="0"/>
    <s v="06"/>
    <x v="6"/>
    <s v="Acompañamiento SG-SST correspondiente al mes enero de 2026"/>
    <n v="1"/>
    <n v="300000"/>
    <m/>
    <n v="300000"/>
    <n v="57000"/>
    <n v="357000"/>
  </r>
  <r>
    <n v="644"/>
    <s v="P-1036"/>
    <x v="231"/>
    <s v="TIS-1607"/>
    <s v="ROYCO SOLUCIONES SAS"/>
    <x v="0"/>
    <s v="06"/>
    <x v="6"/>
    <s v="Acompañamiento SG-SST correspondiente al mes enero de 2026"/>
    <n v="1"/>
    <n v="300000"/>
    <m/>
    <n v="300000"/>
    <n v="57000"/>
    <n v="357000"/>
  </r>
  <r>
    <n v="645"/>
    <s v="P-1037"/>
    <x v="231"/>
    <s v="TIS-1608"/>
    <s v="Inversiones Sajamib SAS"/>
    <x v="0"/>
    <s v="07"/>
    <x v="7"/>
    <s v="Acompañamiento SG-SST virtual correspondiente al mes de enero de 2026"/>
    <n v="1"/>
    <n v="480000"/>
    <m/>
    <n v="480000"/>
    <n v="0"/>
    <n v="480000"/>
  </r>
  <r>
    <n v="646"/>
    <s v="P-1038"/>
    <x v="231"/>
    <s v="TIS-1609"/>
    <s v="AND TOPOGRAFIA E INGENIERIA SAS"/>
    <x v="0"/>
    <s v="07"/>
    <x v="7"/>
    <s v="Acompañamiento SG-SST correspondiente al mes enero de 2026"/>
    <n v="1"/>
    <n v="300000"/>
    <m/>
    <n v="300000"/>
    <n v="0"/>
    <n v="300000"/>
  </r>
  <r>
    <n v="647"/>
    <s v="P-1039"/>
    <x v="231"/>
    <s v="TIS-1610"/>
    <s v="CENTRO DE ATENCION E INVESTIGACION MEDICA S.A.S."/>
    <x v="0"/>
    <s v="06"/>
    <x v="6"/>
    <s v="Acompañamiento SG-SST correspondiente al mes enero de 2026"/>
    <n v="1"/>
    <n v="1500000"/>
    <m/>
    <n v="1500000"/>
    <n v="285000"/>
    <n v="1785000"/>
  </r>
  <r>
    <n v="648"/>
    <s v="P-1040"/>
    <x v="231"/>
    <s v="TIS-1611"/>
    <s v="SOLUCIONES CREATIVAS Y TURÍSTICAS"/>
    <x v="0"/>
    <s v="06"/>
    <x v="6"/>
    <s v="Acompañamiento SG-SST correspondiente al mes enero de 2026"/>
    <n v="1"/>
    <n v="934874"/>
    <m/>
    <n v="934874"/>
    <n v="177626.06"/>
    <n v="1112500.06"/>
  </r>
  <r>
    <n v="649"/>
    <s v="P-1041"/>
    <x v="231"/>
    <s v="TIS-1612"/>
    <s v="DIGITAL MEDIA TECHNOLOGIES COLOMBIA SAS"/>
    <x v="0"/>
    <s v="06"/>
    <x v="6"/>
    <s v="Acompañamiento SG-SST correspondiente al mes enero de 2026"/>
    <n v="1"/>
    <n v="300000"/>
    <m/>
    <n v="300000"/>
    <n v="57000"/>
    <n v="357000"/>
  </r>
  <r>
    <n v="650"/>
    <s v="P-1042"/>
    <x v="231"/>
    <s v="TIS-1613"/>
    <s v="PURICOL LTDA"/>
    <x v="0"/>
    <s v="06"/>
    <x v="6"/>
    <s v="Evaluación estándares mínimos 2025"/>
    <n v="1"/>
    <n v="600000"/>
    <m/>
    <n v="600000"/>
    <n v="114000"/>
    <n v="714000"/>
  </r>
  <r>
    <n v="651"/>
    <s v="P-1043"/>
    <x v="231"/>
    <s v="TIS-1614"/>
    <s v="CONTROLAR SALUD INTEGRAL SAS"/>
    <x v="0"/>
    <s v="05"/>
    <x v="5"/>
    <s v="Asignación profesional capacitación American Tennis"/>
    <n v="1"/>
    <n v="600000"/>
    <m/>
    <n v="600000"/>
    <n v="114000"/>
    <n v="714000"/>
  </r>
  <r>
    <n v="652"/>
    <s v="P-1044"/>
    <x v="231"/>
    <s v="TIS-1615"/>
    <s v="EPITHINK HEALTH CONSULTING S.A.S."/>
    <x v="0"/>
    <n v="13"/>
    <x v="10"/>
    <s v="Diseño SG SST"/>
    <n v="1"/>
    <n v="1800000"/>
    <m/>
    <n v="1800000"/>
    <n v="342000"/>
    <n v="2142000"/>
  </r>
  <r>
    <n v="653"/>
    <s v="P-1045"/>
    <x v="232"/>
    <s v="TIS-1616"/>
    <s v="ELKIN EDUARDO ORTIZ ORTIZ"/>
    <x v="0"/>
    <s v="09"/>
    <x v="9"/>
    <s v="Asignación profesional para análisis de puesto de trabajo"/>
    <n v="1"/>
    <n v="5600000"/>
    <m/>
    <n v="5600000"/>
    <n v="1064000"/>
    <n v="6664000"/>
  </r>
  <r>
    <n v="654"/>
    <s v="P-1046"/>
    <x v="232"/>
    <s v="TIS-1617"/>
    <s v="ATECNO S.A.S"/>
    <x v="0"/>
    <s v="01"/>
    <x v="6"/>
    <s v="Acompañamiento SG-SST correspondiente al mes febrero de 2026"/>
    <n v="163"/>
    <n v="30000"/>
    <m/>
    <n v="4890000"/>
    <n v="929100"/>
    <n v="5819100"/>
  </r>
  <r>
    <n v="655"/>
    <s v="P-1047"/>
    <x v="233"/>
    <s v="TIS-1618"/>
    <s v="CONTROLAR SALUD INTEGRAL SAS"/>
    <x v="0"/>
    <n v="12"/>
    <x v="8"/>
    <s v="Apoyo virtual ofertas com_x000a_erciales"/>
    <n v="1"/>
    <n v="2000000"/>
    <m/>
    <n v="2000000"/>
    <n v="0"/>
    <n v="2000000"/>
  </r>
  <r>
    <n v="656"/>
    <s v="P-1048"/>
    <x v="234"/>
    <s v="NCTS100"/>
    <s v="CONTROLAR SALUD INTEGRAL SAS"/>
    <x v="0"/>
    <n v="12"/>
    <x v="8"/>
    <s v="Apoyo virtual ofertas comerciales"/>
    <n v="1"/>
    <n v="2000000"/>
    <m/>
    <n v="-2000000"/>
    <n v="0"/>
    <n v="-2000000"/>
  </r>
  <r>
    <n v="657"/>
    <s v="P-1049"/>
    <x v="234"/>
    <s v="TIS-1619"/>
    <s v="GREEN OAK SAS."/>
    <x v="0"/>
    <s v="10"/>
    <x v="11"/>
    <s v="Asignación profesional para mediciones higienicas Luxometría"/>
    <n v="1"/>
    <n v="700000"/>
    <m/>
    <n v="700000"/>
    <n v="133000"/>
    <n v="833000"/>
  </r>
  <r>
    <n v="658"/>
    <s v="P-1050"/>
    <x v="235"/>
    <s v="TIS-1628"/>
    <s v="HERRAMIENTAS UNIDAS S.A.S."/>
    <x v="0"/>
    <s v="09"/>
    <x v="9"/>
    <s v="Asignación profesional Análisis de Puesto de Trabajo"/>
    <n v="1"/>
    <n v="1300000"/>
    <m/>
    <n v="1300000"/>
    <n v="247000"/>
    <n v="1547000"/>
  </r>
  <r>
    <n v="659"/>
    <s v="P-1051"/>
    <x v="235"/>
    <s v="TIS-1629"/>
    <s v="AVAL VALOR COMPARTIDO S.A.S."/>
    <x v="0"/>
    <s v="01"/>
    <x v="4"/>
    <s v="Asignación profesional Bateria Psicosocial"/>
    <n v="680"/>
    <n v="30000"/>
    <m/>
    <n v="20400000"/>
    <n v="3876000"/>
    <n v="24276000"/>
  </r>
  <r>
    <n v="660"/>
    <s v="P-1052"/>
    <x v="236"/>
    <s v="TIS-1620"/>
    <s v="Comercializadora ERZ SAS"/>
    <x v="0"/>
    <s v="06"/>
    <x v="6"/>
    <s v="Acompañamiento SG-SST correspondiente al mes febrero de 2026"/>
    <n v="1"/>
    <n v="300000"/>
    <m/>
    <n v="300000"/>
    <n v="57000"/>
    <n v="357000"/>
  </r>
  <r>
    <n v="661"/>
    <s v="P-1053"/>
    <x v="236"/>
    <s v="TIS-1621"/>
    <s v="DIGITAL MEDIA TECHNOLOGIES COLOMBIA SAS"/>
    <x v="0"/>
    <s v="06"/>
    <x v="6"/>
    <s v="Acompañamiento SG-SST correspondiente al mes febrero de 2026"/>
    <n v="1"/>
    <n v="300000"/>
    <m/>
    <n v="300000"/>
    <n v="57000"/>
    <n v="357000"/>
  </r>
  <r>
    <n v="662"/>
    <s v="P-1054"/>
    <x v="236"/>
    <s v="TIS-1622"/>
    <s v="ROYCO SOLUCIONES SAS"/>
    <x v="0"/>
    <s v="06"/>
    <x v="6"/>
    <s v="Acompañamiento SG-SST correspondiente al mes febrero de 2026"/>
    <n v="1"/>
    <n v="300000"/>
    <m/>
    <n v="300000"/>
    <n v="57000"/>
    <n v="357000"/>
  </r>
  <r>
    <n v="663"/>
    <s v="P-1055"/>
    <x v="236"/>
    <s v="TIS-1623"/>
    <s v="AND TOPOGRAFIA E INGENIERIA SAS"/>
    <x v="0"/>
    <s v="07"/>
    <x v="7"/>
    <s v="Acompañamiento SG-SST correspondiente al mes febrero de 2026"/>
    <n v="1"/>
    <n v="300000"/>
    <m/>
    <n v="300000"/>
    <n v="0"/>
    <n v="300000"/>
  </r>
  <r>
    <n v="664"/>
    <s v="P-1056"/>
    <x v="236"/>
    <s v="TIS-1624"/>
    <s v="Inversiones Sajamib SAS"/>
    <x v="0"/>
    <s v="07"/>
    <x v="7"/>
    <s v="Acompañamiento SG-SST correspondiente al mes febrero de 2026"/>
    <n v="1"/>
    <n v="480000"/>
    <m/>
    <n v="480000"/>
    <n v="0"/>
    <n v="480000"/>
  </r>
  <r>
    <n v="665"/>
    <s v="P-1057"/>
    <x v="236"/>
    <s v="TIS-1625"/>
    <s v="SOLUCIONES CREATIVAS Y TURÍSTICAS"/>
    <x v="0"/>
    <s v="06"/>
    <x v="6"/>
    <s v="Acompañamiento SG-SST correspondiente al mes febrero de 2026"/>
    <n v="1"/>
    <n v="1000000"/>
    <m/>
    <n v="1000000"/>
    <n v="190000"/>
    <n v="1190000"/>
  </r>
  <r>
    <n v="666"/>
    <s v="P-1058"/>
    <x v="236"/>
    <s v="TIS-1626"/>
    <s v="CENTRO DE ATENCION E INVESTIGACION MEDICA S.A.S."/>
    <x v="0"/>
    <s v="06"/>
    <x v="6"/>
    <s v="Acompañamiento SG-SST correspondiente al mes febrero de 2026"/>
    <n v="1"/>
    <n v="1000000"/>
    <m/>
    <n v="1000000"/>
    <n v="190000"/>
    <n v="1190000"/>
  </r>
  <r>
    <n v="667"/>
    <s v="P-1059"/>
    <x v="236"/>
    <s v="TIS-1627"/>
    <s v="STAFF SEGUROS AGENCIA LTDA"/>
    <x v="0"/>
    <s v="07"/>
    <x v="7"/>
    <s v="Corresponde a: pausas dinámicas, capacitación Cosmoelec, auditoría ATAL, acompañamiento SST planes de trabajo."/>
    <n v="1"/>
    <n v="1730500"/>
    <m/>
    <n v="1730500"/>
    <n v="0"/>
    <n v="1730500"/>
  </r>
  <r>
    <n v="668"/>
    <s v="P-1060"/>
    <x v="236"/>
    <s v="TIS-1566"/>
    <s v="Comercializadora ERZ SAS"/>
    <x v="0"/>
    <s v="06"/>
    <x v="6"/>
    <s v="Acompañamiento SG-SST correspondiente al mes octubre de 2025"/>
    <n v="1"/>
    <n v="300000"/>
    <m/>
    <n v="300000"/>
    <n v="57000"/>
    <n v="357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5">
  <r>
    <n v="1"/>
    <s v="TIS-1008"/>
    <x v="0"/>
    <s v="TIS-1010"/>
    <x v="0"/>
    <x v="0"/>
    <n v="900249638"/>
    <x v="0"/>
    <s v="PJ"/>
    <s v="N"/>
    <n v="480000"/>
    <n v="91200"/>
    <n v="571200"/>
    <n v="513763"/>
    <n v="0.19999999995343387"/>
    <n v="57437"/>
    <n v="52800"/>
    <n v="4636.8"/>
    <n v="0"/>
    <n v="0.1999999999998181"/>
    <n v="571199.80000000005"/>
    <m/>
    <x v="0"/>
    <x v="0"/>
  </r>
  <r>
    <n v="2"/>
    <m/>
    <x v="0"/>
    <s v="NC1"/>
    <x v="1"/>
    <x v="1"/>
    <n v="890901110"/>
    <x v="1"/>
    <s v="PJ"/>
    <s v="N"/>
    <n v="-290000"/>
    <n v="-51300"/>
    <n v="-341300"/>
    <n v="0"/>
    <n v="0"/>
    <n v="-341300"/>
    <n v="-31900"/>
    <n v="-2801.4"/>
    <n v="0"/>
    <n v="-306598.59999999998"/>
    <n v="0"/>
    <m/>
    <x v="0"/>
    <x v="0"/>
  </r>
  <r>
    <n v="3"/>
    <m/>
    <x v="0"/>
    <s v="TIS-1007"/>
    <x v="1"/>
    <x v="1"/>
    <n v="890901110"/>
    <x v="1"/>
    <s v="PJ"/>
    <s v="N"/>
    <n v="290000"/>
    <n v="51300"/>
    <n v="341300"/>
    <n v="0"/>
    <n v="0"/>
    <n v="341300"/>
    <n v="31900"/>
    <n v="2801.4"/>
    <n v="0"/>
    <n v="306598.59999999998"/>
    <n v="0"/>
    <m/>
    <x v="0"/>
    <x v="0"/>
  </r>
  <r>
    <n v="4"/>
    <s v="TIS-1007"/>
    <x v="0"/>
    <s v="TIS-1008"/>
    <x v="1"/>
    <x v="0"/>
    <n v="890901110"/>
    <x v="1"/>
    <s v="PJ"/>
    <s v="N"/>
    <n v="290000"/>
    <n v="51300"/>
    <n v="341300"/>
    <n v="321300"/>
    <n v="0"/>
    <n v="20000"/>
    <n v="31900"/>
    <n v="2801.4"/>
    <n v="0"/>
    <n v="-14701.4"/>
    <n v="341300"/>
    <m/>
    <x v="0"/>
    <x v="0"/>
  </r>
  <r>
    <n v="5"/>
    <s v="TIS-1009"/>
    <x v="1"/>
    <s v="TIS-1024"/>
    <x v="2"/>
    <x v="0"/>
    <n v="52258867"/>
    <x v="2"/>
    <s v="PN"/>
    <s v="N"/>
    <n v="1500000"/>
    <n v="0"/>
    <n v="1500000"/>
    <n v="1500000"/>
    <n v="0"/>
    <n v="0"/>
    <n v="0"/>
    <n v="0"/>
    <n v="0"/>
    <n v="0"/>
    <n v="1500000"/>
    <m/>
    <x v="0"/>
    <x v="0"/>
  </r>
  <r>
    <n v="6"/>
    <s v="TIS-1011"/>
    <x v="2"/>
    <s v="TIS-1009"/>
    <x v="3"/>
    <x v="0"/>
    <n v="74322676"/>
    <x v="3"/>
    <s v="PN"/>
    <s v="N"/>
    <n v="820000"/>
    <n v="155800"/>
    <n v="975800"/>
    <n v="935100"/>
    <n v="40700"/>
    <n v="40700"/>
    <n v="0"/>
    <n v="0"/>
    <n v="0"/>
    <n v="40700"/>
    <n v="935100"/>
    <m/>
    <x v="0"/>
    <x v="0"/>
  </r>
  <r>
    <n v="7"/>
    <s v="TIS-1012"/>
    <x v="2"/>
    <s v="TIS-1016"/>
    <x v="4"/>
    <x v="0"/>
    <n v="901323708"/>
    <x v="4"/>
    <s v="PJ"/>
    <s v="N"/>
    <n v="315000"/>
    <n v="59850"/>
    <n v="374850"/>
    <n v="316426.40000000002"/>
    <n v="20730.699999999953"/>
    <n v="58423.599999999977"/>
    <n v="34650"/>
    <n v="3042.9"/>
    <n v="0"/>
    <n v="20730.699999999975"/>
    <n v="354119.30000000005"/>
    <m/>
    <x v="0"/>
    <x v="0"/>
  </r>
  <r>
    <n v="8"/>
    <s v="TIS-1013"/>
    <x v="3"/>
    <s v="TIS-1013"/>
    <x v="5"/>
    <x v="0"/>
    <n v="900855931"/>
    <x v="5"/>
    <s v="PJ"/>
    <s v="N"/>
    <n v="500000"/>
    <n v="95000"/>
    <n v="595000"/>
    <n v="552223"/>
    <n v="0"/>
    <n v="42777"/>
    <n v="55000"/>
    <n v="4830"/>
    <n v="0"/>
    <n v="-17053"/>
    <n v="595000"/>
    <m/>
    <x v="0"/>
    <x v="0"/>
  </r>
  <r>
    <n v="9"/>
    <s v="P-1019"/>
    <x v="4"/>
    <s v="TIS-1011"/>
    <x v="6"/>
    <x v="0"/>
    <n v="900338774"/>
    <x v="6"/>
    <s v="PJ"/>
    <s v="N"/>
    <n v="280000"/>
    <n v="53200"/>
    <n v="333200"/>
    <n v="493248"/>
    <n v="0"/>
    <n v="-160048"/>
    <n v="30800"/>
    <n v="2704.8"/>
    <n v="0"/>
    <n v="-193552.8"/>
    <n v="333200"/>
    <m/>
    <x v="0"/>
    <x v="0"/>
  </r>
  <r>
    <n v="10"/>
    <s v="TIS-1014"/>
    <x v="5"/>
    <s v="TIS-1019"/>
    <x v="7"/>
    <x v="0"/>
    <n v="800219248"/>
    <x v="7"/>
    <s v="PJ"/>
    <s v="N"/>
    <n v="2352941.0190000003"/>
    <n v="447058.79361000005"/>
    <n v="2799999.8126100004"/>
    <n v="2694117"/>
    <n v="0"/>
    <n v="105882.81261000037"/>
    <n v="258823.51209000003"/>
    <n v="22729.410243540002"/>
    <n v="0"/>
    <n v="-175670.10972353967"/>
    <n v="2799999.8126100004"/>
    <m/>
    <x v="0"/>
    <x v="0"/>
  </r>
  <r>
    <n v="11"/>
    <s v="TIS-1015"/>
    <x v="5"/>
    <s v="TIS-1018"/>
    <x v="4"/>
    <x v="0"/>
    <n v="900320303"/>
    <x v="8"/>
    <s v="PJ"/>
    <s v="N"/>
    <n v="330000"/>
    <n v="62700"/>
    <n v="392700"/>
    <n v="354123"/>
    <n v="0"/>
    <n v="38577"/>
    <n v="36300"/>
    <n v="3187.8"/>
    <n v="0"/>
    <n v="-910.80000000000018"/>
    <n v="392700"/>
    <m/>
    <x v="0"/>
    <x v="0"/>
  </r>
  <r>
    <n v="12"/>
    <m/>
    <x v="5"/>
    <s v="NC2"/>
    <x v="8"/>
    <x v="1"/>
    <n v="800159215"/>
    <x v="9"/>
    <s v="PJ"/>
    <s v="N"/>
    <n v="-1008000"/>
    <n v="-191520"/>
    <n v="-1199520"/>
    <n v="0"/>
    <n v="0"/>
    <n v="-1199520"/>
    <n v="-110880"/>
    <n v="-9737.2800000000007"/>
    <n v="0"/>
    <n v="-1078902.72"/>
    <n v="0"/>
    <m/>
    <x v="0"/>
    <x v="0"/>
  </r>
  <r>
    <n v="13"/>
    <s v="TIS-1016"/>
    <x v="6"/>
    <s v="TIS-1014"/>
    <x v="5"/>
    <x v="0"/>
    <n v="900364830"/>
    <x v="10"/>
    <s v="PJ"/>
    <s v="N"/>
    <n v="320000"/>
    <n v="60800"/>
    <n v="380800"/>
    <n v="343392"/>
    <n v="0"/>
    <n v="37408"/>
    <n v="35200"/>
    <n v="3091.2000000000003"/>
    <n v="0"/>
    <n v="-883.20000000000027"/>
    <n v="380800"/>
    <m/>
    <x v="0"/>
    <x v="0"/>
  </r>
  <r>
    <n v="14"/>
    <s v="TIS-1017"/>
    <x v="7"/>
    <s v="Tis-1020"/>
    <x v="9"/>
    <x v="0"/>
    <n v="860516834"/>
    <x v="11"/>
    <s v="PJ"/>
    <s v="N"/>
    <n v="2322000"/>
    <n v="441180"/>
    <n v="2763180"/>
    <n v="2485000"/>
    <n v="329.47999999998137"/>
    <n v="278180"/>
    <n v="255420"/>
    <n v="22430.52"/>
    <n v="0"/>
    <n v="329.47999999999956"/>
    <n v="2762850.52"/>
    <m/>
    <x v="0"/>
    <x v="0"/>
  </r>
  <r>
    <n v="15"/>
    <s v="TIS-1018"/>
    <x v="7"/>
    <m/>
    <x v="10"/>
    <x v="0"/>
    <n v="52336469"/>
    <x v="12"/>
    <s v="PN"/>
    <s v="N"/>
    <n v="1200000"/>
    <n v="0"/>
    <n v="1200000"/>
    <n v="600000"/>
    <n v="0"/>
    <n v="600000"/>
    <n v="0"/>
    <n v="0"/>
    <n v="0"/>
    <n v="600000"/>
    <n v="600000"/>
    <m/>
    <x v="1"/>
    <x v="0"/>
  </r>
  <r>
    <n v="16"/>
    <s v="P-1018"/>
    <x v="7"/>
    <s v="TIS-1012"/>
    <x v="5"/>
    <x v="0"/>
    <n v="800159215"/>
    <x v="9"/>
    <s v="PJ"/>
    <s v="N"/>
    <n v="3520000"/>
    <n v="668800"/>
    <n v="4188800"/>
    <n v="3777312"/>
    <n v="0"/>
    <n v="411488"/>
    <n v="387200"/>
    <n v="34003.199999999997"/>
    <n v="0"/>
    <n v="-9715.1999999999971"/>
    <n v="4188800"/>
    <m/>
    <x v="0"/>
    <x v="0"/>
  </r>
  <r>
    <n v="17"/>
    <s v="P-1017"/>
    <x v="7"/>
    <s v="TIS-1015"/>
    <x v="5"/>
    <x v="0"/>
    <n v="800028768"/>
    <x v="13"/>
    <s v="PJ"/>
    <s v="N"/>
    <n v="440000"/>
    <n v="83600"/>
    <n v="523600"/>
    <n v="502964"/>
    <n v="0"/>
    <n v="20636"/>
    <n v="48400"/>
    <n v="4250.3999999999996"/>
    <n v="0"/>
    <n v="-32014.400000000001"/>
    <n v="523600"/>
    <s v="Marzo 20 a Marzo 21"/>
    <x v="0"/>
    <x v="0"/>
  </r>
  <r>
    <n v="18"/>
    <m/>
    <x v="7"/>
    <s v="NC3"/>
    <x v="5"/>
    <x v="1"/>
    <n v="800159215"/>
    <x v="9"/>
    <s v="PJ"/>
    <s v="N"/>
    <n v="-3520000"/>
    <n v="-668800"/>
    <n v="-4188800"/>
    <n v="0"/>
    <n v="0"/>
    <n v="-4188800"/>
    <n v="-387200"/>
    <n v="-34003.199999999997"/>
    <n v="0"/>
    <n v="-3767596.8"/>
    <n v="0"/>
    <m/>
    <x v="0"/>
    <x v="0"/>
  </r>
  <r>
    <n v="19"/>
    <s v="TIS-1019"/>
    <x v="8"/>
    <s v="TIS-1022"/>
    <x v="11"/>
    <x v="0"/>
    <n v="901323708"/>
    <x v="4"/>
    <s v="PJ"/>
    <s v="N"/>
    <n v="225000"/>
    <n v="42750"/>
    <n v="267750"/>
    <n v="299357"/>
    <n v="0"/>
    <n v="-31607"/>
    <n v="24750"/>
    <n v="2173.5"/>
    <n v="0"/>
    <n v="-58530.5"/>
    <n v="267750"/>
    <m/>
    <x v="0"/>
    <x v="0"/>
  </r>
  <r>
    <n v="20"/>
    <s v="P-1016"/>
    <x v="9"/>
    <s v="TIS-1017"/>
    <x v="4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0"/>
    <x v="0"/>
  </r>
  <r>
    <n v="21"/>
    <m/>
    <x v="10"/>
    <s v="NC4"/>
    <x v="12"/>
    <x v="0"/>
    <n v="900855931"/>
    <x v="5"/>
    <s v="PJ"/>
    <s v="N"/>
    <n v="-25000"/>
    <n v="-4750"/>
    <n v="-29750"/>
    <n v="0"/>
    <n v="0"/>
    <n v="-29750"/>
    <n v="-2750"/>
    <n v="-241.5"/>
    <n v="0"/>
    <n v="-26758.5"/>
    <n v="0"/>
    <m/>
    <x v="0"/>
    <x v="0"/>
  </r>
  <r>
    <n v="22"/>
    <s v="P-1020"/>
    <x v="11"/>
    <s v="TIS-1026"/>
    <x v="2"/>
    <x v="0"/>
    <n v="900350747"/>
    <x v="15"/>
    <s v="PJ"/>
    <s v="N"/>
    <n v="420000"/>
    <n v="79800"/>
    <n v="499800"/>
    <n v="499800"/>
    <n v="0"/>
    <n v="0"/>
    <n v="0"/>
    <n v="0"/>
    <n v="0"/>
    <n v="0"/>
    <n v="499800"/>
    <m/>
    <x v="0"/>
    <x v="0"/>
  </r>
  <r>
    <n v="23"/>
    <s v="P-1021"/>
    <x v="12"/>
    <s v="Tis-1030"/>
    <x v="13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0"/>
    <x v="0"/>
  </r>
  <r>
    <n v="24"/>
    <s v="P-1022"/>
    <x v="12"/>
    <s v="Tis-1056"/>
    <x v="14"/>
    <x v="0"/>
    <n v="900153132"/>
    <x v="16"/>
    <s v="PJ"/>
    <s v="N"/>
    <n v="1138210"/>
    <n v="185250"/>
    <n v="1323460"/>
    <n v="1323460"/>
    <n v="0"/>
    <n v="0"/>
    <n v="0"/>
    <n v="0"/>
    <n v="0"/>
    <n v="0"/>
    <n v="1323460"/>
    <m/>
    <x v="0"/>
    <x v="0"/>
  </r>
  <r>
    <n v="25"/>
    <s v="P-1015"/>
    <x v="13"/>
    <s v="Tis-1021"/>
    <x v="9"/>
    <x v="0"/>
    <n v="800028768"/>
    <x v="13"/>
    <s v="PJ"/>
    <s v="N"/>
    <n v="220000"/>
    <n v="41800"/>
    <n v="261800"/>
    <n v="251462"/>
    <n v="0"/>
    <n v="10338"/>
    <n v="24200"/>
    <n v="2125.1999999999998"/>
    <n v="0"/>
    <n v="-15987.2"/>
    <n v="261800"/>
    <s v="Acompañamiento abril 2021"/>
    <x v="0"/>
    <x v="0"/>
  </r>
  <r>
    <n v="26"/>
    <s v="P-1023"/>
    <x v="14"/>
    <s v="TIS-1006"/>
    <x v="15"/>
    <x v="0"/>
    <n v="900046954"/>
    <x v="17"/>
    <s v="PJ"/>
    <s v="N"/>
    <n v="1116000"/>
    <n v="212040"/>
    <n v="1328040"/>
    <n v="1197579"/>
    <n v="0"/>
    <n v="130461"/>
    <n v="122760"/>
    <n v="10780.56"/>
    <n v="0"/>
    <n v="-3079.5599999999995"/>
    <n v="1328040"/>
    <m/>
    <x v="2"/>
    <x v="1"/>
  </r>
  <r>
    <n v="27"/>
    <s v="P-1024"/>
    <x v="15"/>
    <s v="TIS-1025"/>
    <x v="2"/>
    <x v="0"/>
    <n v="900555571"/>
    <x v="18"/>
    <s v="PJ"/>
    <s v="N"/>
    <n v="680000"/>
    <n v="129200"/>
    <n v="809200"/>
    <n v="809200"/>
    <n v="0"/>
    <n v="0"/>
    <n v="0"/>
    <n v="0"/>
    <n v="0"/>
    <n v="0"/>
    <n v="809200"/>
    <m/>
    <x v="0"/>
    <x v="0"/>
  </r>
  <r>
    <n v="28"/>
    <m/>
    <x v="16"/>
    <s v="NC5"/>
    <x v="2"/>
    <x v="1"/>
    <n v="900505060"/>
    <x v="19"/>
    <s v="PJ"/>
    <s v="N"/>
    <n v="-4525000"/>
    <n v="-859750"/>
    <n v="-5384750"/>
    <n v="0"/>
    <n v="0"/>
    <n v="-5384750"/>
    <n v="-497750"/>
    <n v="-43711.5"/>
    <n v="0"/>
    <n v="-4843288.5"/>
    <n v="0"/>
    <m/>
    <x v="0"/>
    <x v="0"/>
  </r>
  <r>
    <n v="29"/>
    <s v="P-1043"/>
    <x v="17"/>
    <s v="Tis-1052"/>
    <x v="16"/>
    <x v="0"/>
    <n v="900159244"/>
    <x v="20"/>
    <s v="PJ"/>
    <s v="N"/>
    <n v="570000"/>
    <n v="108300"/>
    <n v="678300"/>
    <n v="620000"/>
    <n v="0"/>
    <n v="58300"/>
    <n v="62700"/>
    <n v="5506.2"/>
    <n v="0"/>
    <n v="-9906.2000000000007"/>
    <n v="678300"/>
    <m/>
    <x v="0"/>
    <x v="0"/>
  </r>
  <r>
    <n v="30"/>
    <s v="P-1014"/>
    <x v="16"/>
    <s v="TIS-1027"/>
    <x v="2"/>
    <x v="0"/>
    <n v="890901110"/>
    <x v="1"/>
    <s v="PJ"/>
    <s v="N"/>
    <n v="110000"/>
    <n v="17100"/>
    <n v="127100"/>
    <n v="119421"/>
    <n v="0"/>
    <n v="7679"/>
    <n v="12100"/>
    <n v="1062.5999999999999"/>
    <n v="0"/>
    <n v="-5483.6"/>
    <n v="127100"/>
    <m/>
    <x v="0"/>
    <x v="0"/>
  </r>
  <r>
    <n v="31"/>
    <s v="P-1013"/>
    <x v="16"/>
    <s v="TIS-1028"/>
    <x v="2"/>
    <x v="0"/>
    <n v="900505060"/>
    <x v="19"/>
    <s v="PJ"/>
    <s v="N"/>
    <n v="4525000"/>
    <n v="859750"/>
    <n v="5384750"/>
    <n v="5031075"/>
    <n v="0"/>
    <n v="353675"/>
    <n v="497750"/>
    <n v="43711.5"/>
    <n v="0"/>
    <n v="-187786.5"/>
    <n v="5384750"/>
    <m/>
    <x v="0"/>
    <x v="0"/>
  </r>
  <r>
    <n v="32"/>
    <s v="P-1025"/>
    <x v="18"/>
    <s v="TIS-1029"/>
    <x v="13"/>
    <x v="0"/>
    <n v="900364830"/>
    <x v="10"/>
    <s v="PJ"/>
    <s v="N"/>
    <n v="270000"/>
    <n v="51300"/>
    <n v="321300"/>
    <n v="289737"/>
    <n v="0"/>
    <n v="31563"/>
    <n v="29700"/>
    <n v="2608.2000000000003"/>
    <n v="0"/>
    <n v="-745.20000000000027"/>
    <n v="321300"/>
    <m/>
    <x v="0"/>
    <x v="0"/>
  </r>
  <r>
    <n v="33"/>
    <s v="P-1026"/>
    <x v="19"/>
    <s v="TIS-1051"/>
    <x v="16"/>
    <x v="0"/>
    <n v="1016071217"/>
    <x v="21"/>
    <s v="I"/>
    <s v="N"/>
    <n v="1200000"/>
    <n v="0"/>
    <n v="1200000"/>
    <n v="1200000"/>
    <n v="0"/>
    <n v="0"/>
    <n v="0"/>
    <n v="0"/>
    <n v="0"/>
    <n v="0"/>
    <n v="1200000"/>
    <m/>
    <x v="0"/>
    <x v="0"/>
  </r>
  <r>
    <n v="34"/>
    <s v="P-1027"/>
    <x v="19"/>
    <s v="TIS-1036"/>
    <x v="17"/>
    <x v="0"/>
    <n v="830108799"/>
    <x v="22"/>
    <s v="PJ"/>
    <s v="N"/>
    <n v="820000"/>
    <n v="155800"/>
    <n v="975800"/>
    <n v="935079"/>
    <n v="0"/>
    <n v="40721"/>
    <n v="90200"/>
    <n v="7921.2"/>
    <n v="0"/>
    <n v="-57400.2"/>
    <n v="975800"/>
    <m/>
    <x v="0"/>
    <x v="0"/>
  </r>
  <r>
    <n v="35"/>
    <s v="P-1028"/>
    <x v="19"/>
    <s v="TIS-1037"/>
    <x v="18"/>
    <x v="0"/>
    <n v="900022013"/>
    <x v="23"/>
    <s v="PJ"/>
    <s v="N"/>
    <n v="4950000"/>
    <n v="940500"/>
    <n v="5890500"/>
    <n v="5311845"/>
    <n v="0"/>
    <n v="578655"/>
    <n v="544500"/>
    <n v="47817"/>
    <n v="0"/>
    <n v="-13662"/>
    <n v="5890500"/>
    <m/>
    <x v="0"/>
    <x v="0"/>
  </r>
  <r>
    <n v="36"/>
    <s v="P-1029"/>
    <x v="20"/>
    <s v="Tis-1040"/>
    <x v="19"/>
    <x v="0"/>
    <n v="800028768"/>
    <x v="13"/>
    <s v="PJ"/>
    <s v="N"/>
    <n v="440000"/>
    <n v="83600"/>
    <n v="523600"/>
    <n v="502984"/>
    <n v="0"/>
    <n v="20616"/>
    <n v="48400"/>
    <n v="4250.3999999999996"/>
    <n v="0"/>
    <n v="-32034.400000000001"/>
    <n v="523600"/>
    <s v="Acompañamiento Mayo y Junio 2021"/>
    <x v="0"/>
    <x v="0"/>
  </r>
  <r>
    <n v="37"/>
    <s v="P-1039"/>
    <x v="21"/>
    <s v="Tis-1042"/>
    <x v="20"/>
    <x v="0"/>
    <n v="800028768"/>
    <x v="13"/>
    <s v="PJ"/>
    <s v="N"/>
    <n v="460000"/>
    <n v="87400"/>
    <n v="547400"/>
    <n v="524556"/>
    <n v="0"/>
    <n v="22844"/>
    <n v="50600"/>
    <n v="4443.6000000000004"/>
    <n v="0"/>
    <n v="-32199.599999999999"/>
    <n v="547400"/>
    <s v="Acompañamiento Julio y Agosto 2021"/>
    <x v="0"/>
    <x v="0"/>
  </r>
  <r>
    <n v="37"/>
    <s v="P-1030"/>
    <x v="20"/>
    <s v="Tis-1031"/>
    <x v="21"/>
    <x v="0"/>
    <n v="830124631"/>
    <x v="24"/>
    <s v="PJ"/>
    <s v="N"/>
    <n v="460000"/>
    <n v="87400"/>
    <n v="547400"/>
    <n v="524556"/>
    <n v="0"/>
    <n v="22844"/>
    <n v="50600"/>
    <n v="4443.6000000000004"/>
    <n v="0"/>
    <n v="-32199.599999999999"/>
    <n v="547400"/>
    <m/>
    <x v="0"/>
    <x v="0"/>
  </r>
  <r>
    <n v="38"/>
    <s v="P-1058"/>
    <x v="22"/>
    <s v="Tis-1060"/>
    <x v="22"/>
    <x v="0"/>
    <n v="830124631"/>
    <x v="24"/>
    <s v="PJ"/>
    <s v="N"/>
    <n v="504000"/>
    <n v="95760"/>
    <n v="599760"/>
    <n v="574731"/>
    <n v="0"/>
    <n v="25029"/>
    <n v="55440"/>
    <n v="4868.6400000000003"/>
    <n v="0"/>
    <n v="-35279.64"/>
    <n v="599760"/>
    <m/>
    <x v="0"/>
    <x v="0"/>
  </r>
  <r>
    <n v="39"/>
    <s v="P-1031"/>
    <x v="23"/>
    <s v="Tis-1061"/>
    <x v="22"/>
    <x v="0"/>
    <n v="860037707"/>
    <x v="25"/>
    <s v="PJ"/>
    <s v="N"/>
    <n v="761600"/>
    <n v="0"/>
    <n v="761600"/>
    <n v="737305"/>
    <n v="0"/>
    <n v="24295"/>
    <n v="83776"/>
    <n v="7357.0560000000005"/>
    <n v="0"/>
    <n v="-66838.055999999997"/>
    <n v="761600"/>
    <m/>
    <x v="0"/>
    <x v="0"/>
  </r>
  <r>
    <n v="40"/>
    <s v="P-1033"/>
    <x v="23"/>
    <s v="Tis-1043"/>
    <x v="23"/>
    <x v="0"/>
    <n v="830105276"/>
    <x v="26"/>
    <s v="PJ"/>
    <s v="N"/>
    <n v="650000"/>
    <n v="123500"/>
    <n v="773500"/>
    <n v="741221"/>
    <n v="0"/>
    <n v="32279"/>
    <n v="71500"/>
    <n v="6279"/>
    <n v="0"/>
    <n v="-45500"/>
    <n v="773500"/>
    <m/>
    <x v="0"/>
    <x v="0"/>
  </r>
  <r>
    <n v="41"/>
    <s v="P-1032"/>
    <x v="24"/>
    <s v="TIS-1033"/>
    <x v="24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0"/>
    <x v="0"/>
  </r>
  <r>
    <n v="42"/>
    <s v="P-1024"/>
    <x v="25"/>
    <s v="TIS-1032"/>
    <x v="25"/>
    <x v="0"/>
    <n v="901337267"/>
    <x v="27"/>
    <s v="PJ"/>
    <s v="N"/>
    <n v="2850000"/>
    <n v="541500"/>
    <n v="3391500"/>
    <n v="3292719"/>
    <n v="0"/>
    <n v="98781"/>
    <n v="313500"/>
    <n v="27531"/>
    <n v="0"/>
    <n v="-242250"/>
    <n v="3391500"/>
    <m/>
    <x v="0"/>
    <x v="0"/>
  </r>
  <r>
    <n v="43"/>
    <s v="P-1034"/>
    <x v="26"/>
    <s v="TIS-1035"/>
    <x v="26"/>
    <x v="0"/>
    <n v="900335662"/>
    <x v="28"/>
    <s v="PJ"/>
    <s v="N"/>
    <n v="400000"/>
    <n v="76000"/>
    <n v="476000"/>
    <n v="432000"/>
    <n v="0"/>
    <n v="44000"/>
    <n v="44000"/>
    <n v="3864"/>
    <n v="0"/>
    <n v="-3864"/>
    <n v="476000"/>
    <m/>
    <x v="0"/>
    <x v="0"/>
  </r>
  <r>
    <n v="44"/>
    <s v="P-1011"/>
    <x v="27"/>
    <s v="TIS-1034"/>
    <x v="26"/>
    <x v="0"/>
    <n v="900311764"/>
    <x v="29"/>
    <s v="PJ"/>
    <s v="N"/>
    <n v="200000"/>
    <n v="38000"/>
    <n v="238000"/>
    <n v="226181"/>
    <n v="0"/>
    <n v="11819"/>
    <n v="22000"/>
    <n v="1932"/>
    <n v="0"/>
    <n v="-12113"/>
    <n v="238000"/>
    <m/>
    <x v="0"/>
    <x v="0"/>
  </r>
  <r>
    <n v="45"/>
    <s v="P-1035"/>
    <x v="28"/>
    <s v="TIS-1062"/>
    <x v="27"/>
    <x v="0"/>
    <n v="900897223"/>
    <x v="30"/>
    <s v="PJ"/>
    <s v="N"/>
    <n v="150000"/>
    <n v="28500"/>
    <n v="178500"/>
    <n v="184450"/>
    <n v="0"/>
    <n v="-5950"/>
    <n v="16500"/>
    <n v="1449"/>
    <n v="0"/>
    <n v="-23899"/>
    <n v="178500"/>
    <m/>
    <x v="0"/>
    <x v="0"/>
  </r>
  <r>
    <n v="46"/>
    <s v="P-1036"/>
    <x v="29"/>
    <s v="Tis-1084"/>
    <x v="28"/>
    <x v="0"/>
    <n v="901234560"/>
    <x v="31"/>
    <s v="PJ"/>
    <s v="N"/>
    <n v="1080000"/>
    <n v="205200"/>
    <n v="1285200"/>
    <n v="1285200"/>
    <n v="0"/>
    <n v="0"/>
    <n v="0"/>
    <n v="0"/>
    <n v="0"/>
    <n v="0"/>
    <n v="1285200"/>
    <m/>
    <x v="0"/>
    <x v="0"/>
  </r>
  <r>
    <n v="47"/>
    <s v="P-1037"/>
    <x v="30"/>
    <s v="Tis-1053"/>
    <x v="16"/>
    <x v="0"/>
    <n v="901030518"/>
    <x v="32"/>
    <s v="PJ"/>
    <s v="N"/>
    <n v="1380000"/>
    <n v="0"/>
    <n v="1380000"/>
    <n v="1320000"/>
    <n v="0"/>
    <n v="60000"/>
    <n v="151800"/>
    <n v="13330.800000000001"/>
    <n v="0"/>
    <n v="-105130.8"/>
    <n v="1380000"/>
    <m/>
    <x v="0"/>
    <x v="0"/>
  </r>
  <r>
    <n v="48"/>
    <s v="P-1028"/>
    <x v="19"/>
    <s v="TIS-1038"/>
    <x v="18"/>
    <x v="0"/>
    <n v="901218098"/>
    <x v="33"/>
    <s v="PJ"/>
    <s v="N"/>
    <n v="1400000"/>
    <n v="266000"/>
    <n v="1666000"/>
    <n v="1502340"/>
    <n v="0"/>
    <n v="163660"/>
    <n v="154000"/>
    <n v="13524"/>
    <n v="0"/>
    <n v="-3864"/>
    <n v="1666000"/>
    <m/>
    <x v="0"/>
    <x v="0"/>
  </r>
  <r>
    <n v="49"/>
    <s v="P-1038"/>
    <x v="21"/>
    <s v="Tis-1050"/>
    <x v="16"/>
    <x v="0"/>
    <n v="800054984"/>
    <x v="34"/>
    <s v="PJ"/>
    <s v="N"/>
    <n v="750000"/>
    <n v="142500"/>
    <n v="892500"/>
    <n v="857326"/>
    <n v="0"/>
    <n v="35174"/>
    <n v="82500"/>
    <n v="7245"/>
    <n v="0"/>
    <n v="-54571"/>
    <n v="892500"/>
    <m/>
    <x v="0"/>
    <x v="0"/>
  </r>
  <r>
    <n v="51"/>
    <s v="P-1040"/>
    <x v="21"/>
    <s v="Tis-1041"/>
    <x v="20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0"/>
    <x v="0"/>
  </r>
  <r>
    <n v="52"/>
    <s v="P-1010"/>
    <x v="21"/>
    <s v="Tis-1039"/>
    <x v="29"/>
    <x v="0"/>
    <n v="900355950"/>
    <x v="35"/>
    <s v="PJ"/>
    <s v="N"/>
    <n v="489299"/>
    <n v="92966.81"/>
    <n v="582265.81000000006"/>
    <n v="557967"/>
    <n v="0"/>
    <n v="24298.810000000056"/>
    <n v="53822.89"/>
    <n v="4726.6283400000002"/>
    <n v="0"/>
    <n v="-34250.708339999946"/>
    <n v="582265.81000000006"/>
    <m/>
    <x v="0"/>
    <x v="0"/>
  </r>
  <r>
    <n v="53"/>
    <s v="P-1041"/>
    <x v="31"/>
    <s v="Tis-1044"/>
    <x v="30"/>
    <x v="0"/>
    <n v="901070126"/>
    <x v="36"/>
    <s v="PJ"/>
    <s v="N"/>
    <n v="2048000"/>
    <n v="297920"/>
    <n v="2345920"/>
    <n v="2264000"/>
    <n v="0"/>
    <n v="81920"/>
    <n v="225280"/>
    <n v="19783.68"/>
    <n v="0"/>
    <n v="-163143.67999999999"/>
    <n v="2345920"/>
    <m/>
    <x v="0"/>
    <x v="0"/>
  </r>
  <r>
    <n v="54"/>
    <s v="P-1042"/>
    <x v="31"/>
    <s v="Tis-1045"/>
    <x v="30"/>
    <x v="0"/>
    <n v="901261401"/>
    <x v="37"/>
    <s v="PJ"/>
    <s v="N"/>
    <n v="2754000"/>
    <n v="432060"/>
    <n v="3186060"/>
    <n v="2870950"/>
    <n v="0"/>
    <n v="315110"/>
    <n v="302940"/>
    <n v="26603.64"/>
    <n v="0"/>
    <n v="-14433.64"/>
    <n v="3186060"/>
    <m/>
    <x v="0"/>
    <x v="0"/>
  </r>
  <r>
    <n v="56"/>
    <s v="P-1044"/>
    <x v="32"/>
    <s v="TIS-1047"/>
    <x v="31"/>
    <x v="0"/>
    <n v="800044402"/>
    <x v="38"/>
    <s v="PJ"/>
    <s v="N"/>
    <n v="1405000"/>
    <n v="266950"/>
    <n v="1671950"/>
    <n v="1636825"/>
    <n v="0"/>
    <n v="35125"/>
    <n v="154550"/>
    <n v="13572.300000000001"/>
    <n v="0"/>
    <n v="-132997.29999999999"/>
    <n v="1671950"/>
    <m/>
    <x v="0"/>
    <x v="0"/>
  </r>
  <r>
    <n v="57"/>
    <s v="P-1045"/>
    <x v="32"/>
    <s v="TIS-1048"/>
    <x v="31"/>
    <x v="0"/>
    <n v="830069880"/>
    <x v="39"/>
    <s v="PJ"/>
    <s v="N"/>
    <n v="590000"/>
    <n v="112100"/>
    <n v="702100"/>
    <n v="678500"/>
    <n v="0"/>
    <n v="23600"/>
    <n v="64900"/>
    <n v="5699.4000000000005"/>
    <n v="0"/>
    <n v="-46999.4"/>
    <n v="702100"/>
    <m/>
    <x v="0"/>
    <x v="0"/>
  </r>
  <r>
    <n v="58"/>
    <s v="P-1046"/>
    <x v="32"/>
    <s v="Tis-1055"/>
    <x v="32"/>
    <x v="0"/>
    <n v="811012461"/>
    <x v="40"/>
    <s v="PJ"/>
    <s v="N"/>
    <n v="1606000"/>
    <n v="305140"/>
    <n v="1911140"/>
    <n v="1734480"/>
    <n v="0"/>
    <n v="176660"/>
    <n v="176660"/>
    <n v="15513.960000000001"/>
    <n v="0"/>
    <n v="-15513.960000000001"/>
    <n v="1911140"/>
    <m/>
    <x v="0"/>
    <x v="0"/>
  </r>
  <r>
    <n v="59"/>
    <s v="P-1047"/>
    <x v="32"/>
    <s v="Tis-1046"/>
    <x v="30"/>
    <x v="0"/>
    <n v="901233425"/>
    <x v="41"/>
    <s v="PJ"/>
    <s v="N"/>
    <n v="855000"/>
    <n v="162450"/>
    <n v="1017450"/>
    <n v="972230"/>
    <n v="0"/>
    <n v="45220"/>
    <n v="94050"/>
    <n v="8259.2999999999993"/>
    <n v="0"/>
    <n v="-57089.3"/>
    <n v="1017450"/>
    <m/>
    <x v="0"/>
    <x v="0"/>
  </r>
  <r>
    <n v="60"/>
    <s v="P-1048"/>
    <x v="32"/>
    <s v="Tis-1058"/>
    <x v="14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0"/>
    <x v="0"/>
  </r>
  <r>
    <n v="61"/>
    <s v="P-1049"/>
    <x v="33"/>
    <s v="Tis-1059"/>
    <x v="14"/>
    <x v="0"/>
    <n v="52385710"/>
    <x v="14"/>
    <s v="PN"/>
    <s v="N"/>
    <n v="150000"/>
    <n v="0"/>
    <n v="150000"/>
    <n v="150000"/>
    <n v="0"/>
    <n v="0"/>
    <n v="0"/>
    <n v="0"/>
    <n v="0"/>
    <n v="0"/>
    <n v="150000"/>
    <m/>
    <x v="0"/>
    <x v="0"/>
  </r>
  <r>
    <n v="62"/>
    <s v="P-1050"/>
    <x v="33"/>
    <s v="Tis-1066"/>
    <x v="33"/>
    <x v="0"/>
    <n v="900942304"/>
    <x v="42"/>
    <s v="PJ"/>
    <s v="N"/>
    <n v="876000"/>
    <n v="166440"/>
    <n v="1042440"/>
    <n v="937618"/>
    <n v="0"/>
    <n v="104822"/>
    <n v="96360"/>
    <n v="8462.16"/>
    <n v="0"/>
    <n v="-0.15999999999985448"/>
    <n v="1042440"/>
    <m/>
    <x v="0"/>
    <x v="0"/>
  </r>
  <r>
    <n v="63"/>
    <s v="P-1051"/>
    <x v="34"/>
    <m/>
    <x v="10"/>
    <x v="1"/>
    <n v="800182918"/>
    <x v="43"/>
    <s v="PJ"/>
    <s v="N"/>
    <n v="450000"/>
    <n v="85500"/>
    <n v="535500"/>
    <n v="0"/>
    <n v="0"/>
    <n v="535500"/>
    <n v="49500"/>
    <n v="4347"/>
    <n v="0"/>
    <n v="481653"/>
    <n v="0"/>
    <m/>
    <x v="1"/>
    <x v="0"/>
  </r>
  <r>
    <n v="64"/>
    <s v="P-1052"/>
    <x v="35"/>
    <s v="TIS-1049"/>
    <x v="34"/>
    <x v="0"/>
    <n v="800028768"/>
    <x v="13"/>
    <s v="PJ"/>
    <s v="N"/>
    <n v="220000"/>
    <n v="41800"/>
    <n v="261800"/>
    <n v="252446"/>
    <n v="0"/>
    <n v="9354"/>
    <n v="24200"/>
    <n v="2125.1999999999998"/>
    <n v="0"/>
    <n v="-16971.2"/>
    <n v="261800"/>
    <s v="Acompañamiento Septiembre 2021"/>
    <x v="0"/>
    <x v="0"/>
  </r>
  <r>
    <n v="65"/>
    <s v="P-1053"/>
    <x v="36"/>
    <s v="TIS-1067"/>
    <x v="33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0"/>
    <x v="0"/>
  </r>
  <r>
    <n v="66"/>
    <s v="P-1054"/>
    <x v="37"/>
    <s v="TIS-1071"/>
    <x v="33"/>
    <x v="0"/>
    <n v="901030518"/>
    <x v="32"/>
    <s v="PJ"/>
    <s v="N"/>
    <n v="322000"/>
    <n v="0"/>
    <n v="322000"/>
    <n v="297000"/>
    <n v="0"/>
    <n v="25000"/>
    <n v="35420"/>
    <n v="3110.52"/>
    <n v="0"/>
    <n v="-13530.52"/>
    <n v="322000"/>
    <m/>
    <x v="0"/>
    <x v="0"/>
  </r>
  <r>
    <n v="67"/>
    <s v="P-1055"/>
    <x v="38"/>
    <s v="TIS-1075"/>
    <x v="35"/>
    <x v="0"/>
    <n v="800182918"/>
    <x v="43"/>
    <s v="PJ"/>
    <s v="N"/>
    <n v="1470000"/>
    <n v="279300"/>
    <n v="1749300"/>
    <n v="1587600"/>
    <n v="0"/>
    <n v="161700"/>
    <n v="161700"/>
    <n v="14200.2"/>
    <n v="0"/>
    <n v="-14200.2"/>
    <n v="1749300"/>
    <m/>
    <x v="0"/>
    <x v="0"/>
  </r>
  <r>
    <n v="68"/>
    <s v="P-1056"/>
    <x v="39"/>
    <s v="Tis-1057"/>
    <x v="14"/>
    <x v="0"/>
    <n v="900396116"/>
    <x v="44"/>
    <s v="PJ"/>
    <s v="N"/>
    <n v="170000"/>
    <n v="32300"/>
    <n v="202300"/>
    <n v="183600"/>
    <n v="0"/>
    <n v="18700"/>
    <n v="18700"/>
    <n v="1642.2"/>
    <n v="0"/>
    <n v="-1642.2"/>
    <n v="202300"/>
    <m/>
    <x v="0"/>
    <x v="0"/>
  </r>
  <r>
    <n v="69"/>
    <s v="P-1057"/>
    <x v="39"/>
    <m/>
    <x v="10"/>
    <x v="1"/>
    <n v="800182918"/>
    <x v="43"/>
    <s v="PJ"/>
    <s v="N"/>
    <n v="450000"/>
    <n v="85500"/>
    <n v="535500"/>
    <n v="0"/>
    <n v="0"/>
    <n v="535500"/>
    <n v="49500"/>
    <n v="4347"/>
    <n v="0"/>
    <n v="481653"/>
    <n v="0"/>
    <m/>
    <x v="1"/>
    <x v="0"/>
  </r>
  <r>
    <n v="70"/>
    <s v="P-1058"/>
    <x v="40"/>
    <s v="T-147"/>
    <x v="36"/>
    <x v="0"/>
    <n v="900416644"/>
    <x v="45"/>
    <s v="PJ"/>
    <s v="N"/>
    <n v="1180000"/>
    <n v="224200"/>
    <n v="1404200"/>
    <n v="1266258"/>
    <n v="0"/>
    <n v="137942"/>
    <n v="129800"/>
    <n v="11398.800000000001"/>
    <n v="0"/>
    <n v="-3256.8000000000011"/>
    <n v="1404200"/>
    <m/>
    <x v="2"/>
    <x v="1"/>
  </r>
  <r>
    <n v="71"/>
    <s v="P-1059"/>
    <x v="41"/>
    <s v="Tis-1073"/>
    <x v="37"/>
    <x v="0"/>
    <n v="811012461"/>
    <x v="40"/>
    <s v="PJ"/>
    <s v="N"/>
    <n v="1199990"/>
    <n v="227998.1"/>
    <n v="1427988.1"/>
    <n v="1295989"/>
    <n v="0"/>
    <n v="131999.10000000009"/>
    <n v="131998.9"/>
    <n v="11591.903400000001"/>
    <n v="0"/>
    <n v="-11591.703399999902"/>
    <n v="1427988.1"/>
    <m/>
    <x v="0"/>
    <x v="0"/>
  </r>
  <r>
    <n v="72"/>
    <s v="P-1060"/>
    <x v="42"/>
    <s v="TIS-1063"/>
    <x v="38"/>
    <x v="0"/>
    <n v="900709916"/>
    <x v="46"/>
    <s v="PJ"/>
    <s v="N"/>
    <n v="525000"/>
    <n v="99750"/>
    <n v="624750"/>
    <n v="624750"/>
    <n v="0"/>
    <n v="0"/>
    <n v="0"/>
    <n v="0"/>
    <n v="0"/>
    <n v="0"/>
    <n v="624750"/>
    <m/>
    <x v="0"/>
    <x v="0"/>
  </r>
  <r>
    <n v="73"/>
    <s v="P-1061"/>
    <x v="42"/>
    <s v="Tis-1083"/>
    <x v="39"/>
    <x v="0"/>
    <n v="9003233661"/>
    <x v="47"/>
    <s v="PJ"/>
    <s v="N"/>
    <n v="462000"/>
    <n v="87780"/>
    <n v="549780"/>
    <n v="528112"/>
    <n v="0"/>
    <n v="21668"/>
    <n v="50820"/>
    <n v="4462.92"/>
    <n v="0"/>
    <n v="-33614.92"/>
    <n v="549780"/>
    <m/>
    <x v="3"/>
    <x v="0"/>
  </r>
  <r>
    <n v="74"/>
    <s v="P-1062"/>
    <x v="42"/>
    <s v="TIS-1077"/>
    <x v="35"/>
    <x v="0"/>
    <n v="830041829"/>
    <x v="48"/>
    <s v="PJ"/>
    <s v="N"/>
    <n v="4275000"/>
    <n v="812250"/>
    <n v="5087250"/>
    <n v="4575703"/>
    <n v="0.5"/>
    <n v="511547"/>
    <n v="470250"/>
    <n v="41296.5"/>
    <n v="0"/>
    <n v="0.5"/>
    <n v="5087249.5"/>
    <m/>
    <x v="0"/>
    <x v="0"/>
  </r>
  <r>
    <n v="75"/>
    <s v="P-1063"/>
    <x v="43"/>
    <m/>
    <x v="10"/>
    <x v="0"/>
    <n v="900855931"/>
    <x v="5"/>
    <s v="PJ"/>
    <s v="N"/>
    <n v="900000"/>
    <n v="171000"/>
    <n v="1071000"/>
    <n v="0"/>
    <n v="0"/>
    <n v="1071000"/>
    <n v="99000"/>
    <n v="8694"/>
    <n v="0"/>
    <n v="963306"/>
    <n v="0"/>
    <m/>
    <x v="1"/>
    <x v="0"/>
  </r>
  <r>
    <n v="76"/>
    <s v="P-1064"/>
    <x v="43"/>
    <s v="TIS-1068"/>
    <x v="33"/>
    <x v="0"/>
    <n v="900396116"/>
    <x v="44"/>
    <s v="PJ"/>
    <s v="N"/>
    <n v="170000"/>
    <n v="32300"/>
    <n v="202300"/>
    <n v="181958"/>
    <n v="0"/>
    <n v="20342"/>
    <n v="18700"/>
    <n v="1642.2"/>
    <n v="0"/>
    <n v="-0.20000000000004547"/>
    <n v="202300"/>
    <m/>
    <x v="0"/>
    <x v="0"/>
  </r>
  <r>
    <n v="77"/>
    <s v="P-1065"/>
    <x v="43"/>
    <s v="TIS-1090"/>
    <x v="40"/>
    <x v="0"/>
    <n v="901030518"/>
    <x v="32"/>
    <s v="PJ"/>
    <s v="N"/>
    <n v="322000"/>
    <n v="0"/>
    <n v="322000"/>
    <n v="306010"/>
    <n v="0"/>
    <n v="15990"/>
    <n v="35420"/>
    <n v="3110.52"/>
    <n v="0"/>
    <n v="-22540.52"/>
    <n v="322000"/>
    <m/>
    <x v="3"/>
    <x v="0"/>
  </r>
  <r>
    <n v="78"/>
    <s v="P-1066"/>
    <x v="43"/>
    <s v="Tis-1069"/>
    <x v="33"/>
    <x v="0"/>
    <n v="800028768"/>
    <x v="13"/>
    <s v="PJ"/>
    <s v="N"/>
    <n v="220000"/>
    <n v="41800"/>
    <n v="261800"/>
    <n v="251482"/>
    <n v="0"/>
    <n v="10318"/>
    <n v="24200"/>
    <n v="2125.1999999999998"/>
    <n v="0"/>
    <n v="-16007.2"/>
    <n v="261800"/>
    <s v="Acompañamiento Octubre 2021"/>
    <x v="0"/>
    <x v="0"/>
  </r>
  <r>
    <n v="79"/>
    <s v="P-1067"/>
    <x v="44"/>
    <s v="Tis-1086"/>
    <x v="41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0"/>
    <x v="0"/>
  </r>
  <r>
    <n v="80"/>
    <s v="P-1068"/>
    <x v="45"/>
    <s v="TIS-1070"/>
    <x v="33"/>
    <x v="0"/>
    <n v="832009861"/>
    <x v="49"/>
    <s v="PJ"/>
    <s v="N"/>
    <n v="1180000"/>
    <n v="224200"/>
    <n v="1404200"/>
    <n v="1404200"/>
    <n v="0"/>
    <n v="0"/>
    <n v="0"/>
    <n v="0"/>
    <n v="0"/>
    <n v="0"/>
    <n v="1404200"/>
    <m/>
    <x v="0"/>
    <x v="0"/>
  </r>
  <r>
    <n v="81"/>
    <s v="P-1069"/>
    <x v="45"/>
    <s v="TIS-1074"/>
    <x v="42"/>
    <x v="0"/>
    <n v="800182918"/>
    <x v="43"/>
    <s v="PJ"/>
    <s v="N"/>
    <n v="900000"/>
    <n v="171000"/>
    <n v="1071000"/>
    <n v="972000"/>
    <n v="0"/>
    <n v="99000"/>
    <n v="99000"/>
    <n v="8694"/>
    <n v="0"/>
    <n v="-8694"/>
    <n v="1071000"/>
    <m/>
    <x v="0"/>
    <x v="0"/>
  </r>
  <r>
    <n v="82"/>
    <s v="P-1070"/>
    <x v="46"/>
    <s v="TIS-1072"/>
    <x v="33"/>
    <x v="0"/>
    <n v="901070126"/>
    <x v="36"/>
    <s v="PJ"/>
    <s v="N"/>
    <n v="200000"/>
    <n v="38000"/>
    <n v="238000"/>
    <n v="230000"/>
    <n v="0"/>
    <n v="8000"/>
    <n v="22000"/>
    <n v="1932"/>
    <n v="0"/>
    <n v="-15932"/>
    <n v="238000"/>
    <m/>
    <x v="0"/>
    <x v="0"/>
  </r>
  <r>
    <n v="83"/>
    <s v="P-1071"/>
    <x v="46"/>
    <s v="TIS-1065"/>
    <x v="33"/>
    <x v="0"/>
    <n v="901261401"/>
    <x v="37"/>
    <s v="PJ"/>
    <s v="N"/>
    <n v="200000"/>
    <n v="38000"/>
    <n v="238000"/>
    <n v="442950"/>
    <n v="0"/>
    <n v="-204950"/>
    <n v="22000"/>
    <n v="1932"/>
    <n v="0"/>
    <n v="-228882"/>
    <n v="238000"/>
    <m/>
    <x v="0"/>
    <x v="0"/>
  </r>
  <r>
    <n v="84"/>
    <s v="P-1072"/>
    <x v="47"/>
    <s v="TIS-1122"/>
    <x v="43"/>
    <x v="0"/>
    <n v="830083023"/>
    <x v="50"/>
    <s v="PJ"/>
    <s v="N"/>
    <n v="308000"/>
    <n v="58520"/>
    <n v="366520"/>
    <n v="352765"/>
    <n v="0"/>
    <n v="13755"/>
    <n v="33880"/>
    <n v="2975.28"/>
    <n v="0"/>
    <n v="-23100.28"/>
    <n v="366520"/>
    <m/>
    <x v="3"/>
    <x v="2"/>
  </r>
  <r>
    <n v="85"/>
    <s v="P-1073"/>
    <x v="48"/>
    <s v="Tis-1076"/>
    <x v="35"/>
    <x v="0"/>
    <n v="800028768"/>
    <x v="13"/>
    <s v="PJ"/>
    <s v="N"/>
    <n v="220000"/>
    <n v="41800"/>
    <n v="261800"/>
    <n v="0"/>
    <n v="261800"/>
    <n v="261800"/>
    <n v="24200"/>
    <n v="2125.1999999999998"/>
    <n v="0"/>
    <n v="235474.8"/>
    <n v="0"/>
    <s v="Acompañamiento Noviembre 2021"/>
    <x v="0"/>
    <x v="0"/>
  </r>
  <r>
    <n v="86"/>
    <s v="P-1074"/>
    <x v="49"/>
    <s v="Tis-1079"/>
    <x v="44"/>
    <x v="1"/>
    <n v="800152665"/>
    <x v="51"/>
    <s v="PJ"/>
    <s v="N"/>
    <n v="540000"/>
    <n v="102600"/>
    <n v="642600"/>
    <n v="0"/>
    <n v="0"/>
    <n v="642600"/>
    <n v="59400"/>
    <n v="5216.4000000000005"/>
    <n v="0"/>
    <n v="577983.6"/>
    <n v="0"/>
    <m/>
    <x v="0"/>
    <x v="0"/>
  </r>
  <r>
    <n v="87"/>
    <s v="P-1075"/>
    <x v="49"/>
    <s v="TIS-1102"/>
    <x v="45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3"/>
    <x v="0"/>
  </r>
  <r>
    <n v="88"/>
    <s v="P-1076"/>
    <x v="49"/>
    <s v="Tis-1078"/>
    <x v="46"/>
    <x v="0"/>
    <n v="800182918"/>
    <x v="43"/>
    <s v="PJ"/>
    <s v="N"/>
    <n v="560000"/>
    <n v="106400"/>
    <n v="666400"/>
    <n v="604800"/>
    <n v="0"/>
    <n v="61600"/>
    <n v="61600"/>
    <n v="5409.6"/>
    <n v="0"/>
    <n v="-5409.6"/>
    <n v="666400"/>
    <m/>
    <x v="0"/>
    <x v="0"/>
  </r>
  <r>
    <n v="89"/>
    <s v="P-1078"/>
    <x v="50"/>
    <s v="Tis-1082"/>
    <x v="47"/>
    <x v="0"/>
    <n v="900813505"/>
    <x v="52"/>
    <s v="PJ"/>
    <s v="N"/>
    <n v="2200000"/>
    <n v="418000"/>
    <n v="2618000"/>
    <n v="2376000"/>
    <n v="0"/>
    <n v="242000"/>
    <n v="242000"/>
    <n v="21252"/>
    <n v="0"/>
    <n v="-21252"/>
    <n v="2618000"/>
    <m/>
    <x v="0"/>
    <x v="0"/>
  </r>
  <r>
    <n v="90"/>
    <s v="P-1077"/>
    <x v="50"/>
    <s v="TIS1101"/>
    <x v="45"/>
    <x v="0"/>
    <n v="800054239"/>
    <x v="53"/>
    <s v="PJ"/>
    <s v="N"/>
    <n v="525000"/>
    <n v="99750"/>
    <n v="624750"/>
    <n v="567000"/>
    <n v="0"/>
    <n v="57750"/>
    <n v="57750"/>
    <n v="5071.5"/>
    <n v="0"/>
    <n v="-5071.5"/>
    <n v="624750"/>
    <m/>
    <x v="3"/>
    <x v="0"/>
  </r>
  <r>
    <n v="91"/>
    <s v="P-1079"/>
    <x v="51"/>
    <s v="Tis-1080"/>
    <x v="48"/>
    <x v="0"/>
    <n v="830135167"/>
    <x v="54"/>
    <s v="PJ"/>
    <s v="N"/>
    <n v="575000"/>
    <n v="109250"/>
    <n v="684250"/>
    <n v="621000"/>
    <n v="0"/>
    <n v="63250"/>
    <n v="63250"/>
    <n v="5554.5"/>
    <n v="0"/>
    <n v="-5554.5"/>
    <n v="684250"/>
    <m/>
    <x v="0"/>
    <x v="0"/>
  </r>
  <r>
    <n v="92"/>
    <s v="P-1080"/>
    <x v="52"/>
    <s v="Tis-1081"/>
    <x v="49"/>
    <x v="0"/>
    <n v="800182918"/>
    <x v="43"/>
    <s v="PJ"/>
    <s v="N"/>
    <n v="450000"/>
    <n v="85500"/>
    <n v="535500"/>
    <n v="486000"/>
    <n v="0"/>
    <n v="49500"/>
    <n v="49500"/>
    <n v="4347"/>
    <n v="0"/>
    <n v="-4347"/>
    <n v="535500"/>
    <m/>
    <x v="0"/>
    <x v="0"/>
  </r>
  <r>
    <n v="93"/>
    <s v="P-1081"/>
    <x v="52"/>
    <s v="Tis-1127"/>
    <x v="50"/>
    <x v="0"/>
    <n v="830086023"/>
    <x v="55"/>
    <s v="PJ"/>
    <s v="N"/>
    <n v="5616000"/>
    <n v="1067040"/>
    <n v="6683040"/>
    <n v="6409705"/>
    <n v="0"/>
    <n v="273335"/>
    <n v="617760"/>
    <n v="54250.559999999998"/>
    <n v="0"/>
    <n v="-398675.56"/>
    <n v="6683040"/>
    <m/>
    <x v="3"/>
    <x v="0"/>
  </r>
  <r>
    <n v="94"/>
    <s v="P-1082"/>
    <x v="53"/>
    <s v="TIS-1093"/>
    <x v="51"/>
    <x v="0"/>
    <n v="900579862"/>
    <x v="56"/>
    <s v="PJ"/>
    <s v="N"/>
    <n v="1050000"/>
    <n v="199500"/>
    <n v="1249500"/>
    <n v="1134000"/>
    <n v="0"/>
    <n v="115500"/>
    <n v="115500"/>
    <n v="10143"/>
    <n v="0"/>
    <n v="-10143"/>
    <n v="1249500"/>
    <s v="se actualiza proforma con fecha del 20dic21"/>
    <x v="3"/>
    <x v="2"/>
  </r>
  <r>
    <n v="95"/>
    <s v="P-1083"/>
    <x v="54"/>
    <s v="TIS-1090"/>
    <x v="40"/>
    <x v="0"/>
    <n v="901030518"/>
    <x v="32"/>
    <s v="PJ"/>
    <s v="N"/>
    <n v="322000"/>
    <n v="0"/>
    <n v="322000"/>
    <n v="306010"/>
    <n v="0"/>
    <n v="15990"/>
    <n v="35420"/>
    <n v="3110.52"/>
    <n v="0"/>
    <n v="-22540.52"/>
    <n v="322000"/>
    <m/>
    <x v="3"/>
    <x v="0"/>
  </r>
  <r>
    <n v="96"/>
    <s v="P-1084"/>
    <x v="55"/>
    <s v="Tis-1085"/>
    <x v="52"/>
    <x v="0"/>
    <n v="900396116"/>
    <x v="44"/>
    <s v="PJ"/>
    <s v="N"/>
    <n v="200000"/>
    <n v="38000"/>
    <n v="238000"/>
    <n v="214068"/>
    <n v="0"/>
    <n v="23932"/>
    <n v="22000"/>
    <n v="1932"/>
    <n v="0"/>
    <n v="0"/>
    <n v="238000"/>
    <m/>
    <x v="3"/>
    <x v="2"/>
  </r>
  <r>
    <n v="97"/>
    <s v="P-1085"/>
    <x v="53"/>
    <s v="TIS-1095"/>
    <x v="53"/>
    <x v="0"/>
    <n v="811012461"/>
    <x v="40"/>
    <s v="PJ"/>
    <s v="N"/>
    <n v="2760000"/>
    <n v="524400"/>
    <n v="3284400"/>
    <n v="2980800"/>
    <n v="0"/>
    <n v="303600"/>
    <n v="303600"/>
    <n v="26661.600000000002"/>
    <n v="0"/>
    <n v="-26661.600000000002"/>
    <n v="3284400"/>
    <m/>
    <x v="3"/>
    <x v="2"/>
  </r>
  <r>
    <n v="98"/>
    <s v="P-1086"/>
    <x v="53"/>
    <s v="TIS-1116"/>
    <x v="54"/>
    <x v="0"/>
    <n v="901030518"/>
    <x v="32"/>
    <s v="PJ"/>
    <s v="N"/>
    <n v="322000"/>
    <n v="0"/>
    <n v="322000"/>
    <n v="322000"/>
    <n v="0"/>
    <n v="0"/>
    <n v="0"/>
    <n v="0"/>
    <n v="0"/>
    <n v="0"/>
    <n v="322000"/>
    <m/>
    <x v="3"/>
    <x v="2"/>
  </r>
  <r>
    <n v="99"/>
    <s v="P-1087"/>
    <x v="53"/>
    <s v="TIS-1087"/>
    <x v="55"/>
    <x v="0"/>
    <n v="800182918"/>
    <x v="43"/>
    <s v="PJ"/>
    <s v="N"/>
    <n v="450000"/>
    <n v="85500"/>
    <n v="535500"/>
    <n v="486000"/>
    <n v="0"/>
    <n v="49500"/>
    <n v="49500"/>
    <n v="4347"/>
    <n v="0"/>
    <n v="-4347"/>
    <n v="535500"/>
    <m/>
    <x v="3"/>
    <x v="2"/>
  </r>
  <r>
    <n v="100"/>
    <s v="P-1088"/>
    <x v="53"/>
    <s v="TIS-1089"/>
    <x v="56"/>
    <x v="0"/>
    <n v="890802678"/>
    <x v="57"/>
    <s v="PJ"/>
    <s v="N"/>
    <n v="1156000"/>
    <n v="219640"/>
    <n v="1375640"/>
    <n v="1353950"/>
    <n v="0"/>
    <n v="21690"/>
    <n v="127160"/>
    <n v="0"/>
    <n v="0"/>
    <n v="-105470"/>
    <n v="1375640"/>
    <m/>
    <x v="3"/>
    <x v="2"/>
  </r>
  <r>
    <n v="101"/>
    <s v="P-1089"/>
    <x v="56"/>
    <s v="TIS-1094"/>
    <x v="53"/>
    <x v="0"/>
    <n v="900641244"/>
    <x v="58"/>
    <s v="PJ"/>
    <s v="N"/>
    <n v="3720000"/>
    <n v="706800"/>
    <n v="4426800"/>
    <n v="3991932"/>
    <n v="0"/>
    <n v="434868"/>
    <n v="409200"/>
    <n v="25668"/>
    <n v="0"/>
    <n v="0"/>
    <n v="4426800"/>
    <m/>
    <x v="3"/>
    <x v="2"/>
  </r>
  <r>
    <n v="102"/>
    <s v="P-1090"/>
    <x v="57"/>
    <s v="TIS-1010"/>
    <x v="57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3"/>
    <x v="2"/>
  </r>
  <r>
    <n v="103"/>
    <s v="P-1091"/>
    <x v="58"/>
    <s v="NC10"/>
    <x v="40"/>
    <x v="1"/>
    <n v="800152665"/>
    <x v="51"/>
    <s v="PJ"/>
    <s v="N"/>
    <n v="-540000"/>
    <n v="-102600"/>
    <n v="-642600"/>
    <n v="0"/>
    <n v="0"/>
    <n v="-642600"/>
    <n v="-59400"/>
    <n v="-5216.4000000000005"/>
    <n v="0"/>
    <n v="-577983.6"/>
    <n v="0"/>
    <m/>
    <x v="3"/>
    <x v="2"/>
  </r>
  <r>
    <n v="104"/>
    <s v="P-1092"/>
    <x v="59"/>
    <s v="TIS-1142"/>
    <x v="58"/>
    <x v="0"/>
    <n v="900693605"/>
    <x v="59"/>
    <s v="PJ"/>
    <s v="N"/>
    <n v="1009000"/>
    <n v="191710"/>
    <n v="1200710"/>
    <n v="1080000"/>
    <n v="0"/>
    <n v="120710"/>
    <n v="110990"/>
    <n v="9746.94"/>
    <n v="0"/>
    <n v="-26.940000000000509"/>
    <n v="1200710"/>
    <m/>
    <x v="3"/>
    <x v="2"/>
  </r>
  <r>
    <n v="105"/>
    <s v="P-1093"/>
    <x v="60"/>
    <s v="Tis-1091"/>
    <x v="59"/>
    <x v="0"/>
    <n v="804007055"/>
    <x v="60"/>
    <s v="PJ"/>
    <s v="N"/>
    <n v="375000"/>
    <n v="71250"/>
    <n v="446250"/>
    <n v="401752"/>
    <n v="0"/>
    <n v="44498"/>
    <n v="41250"/>
    <n v="3622.5"/>
    <n v="0"/>
    <n v="-374.5"/>
    <n v="446250"/>
    <m/>
    <x v="3"/>
    <x v="2"/>
  </r>
  <r>
    <n v="106"/>
    <s v="P-1094"/>
    <x v="61"/>
    <s v="TIS-1092"/>
    <x v="60"/>
    <x v="1"/>
    <n v="900579862"/>
    <x v="56"/>
    <s v="PJ"/>
    <s v="N"/>
    <n v="840000"/>
    <n v="159600"/>
    <n v="999600"/>
    <n v="0"/>
    <n v="0"/>
    <n v="999600"/>
    <n v="92400"/>
    <n v="8114.4000000000005"/>
    <n v="0"/>
    <n v="899085.6"/>
    <n v="0"/>
    <m/>
    <x v="3"/>
    <x v="2"/>
  </r>
  <r>
    <n v="107"/>
    <s v="P-1095"/>
    <x v="61"/>
    <s v="NC-11"/>
    <x v="51"/>
    <x v="1"/>
    <n v="900579862"/>
    <x v="56"/>
    <s v="PJ"/>
    <s v="N"/>
    <n v="-840000"/>
    <n v="-159600"/>
    <n v="-999600"/>
    <n v="0"/>
    <n v="0"/>
    <n v="-999600"/>
    <n v="-92400"/>
    <n v="-8114.4000000000005"/>
    <n v="0"/>
    <n v="-899085.6"/>
    <n v="0"/>
    <m/>
    <x v="3"/>
    <x v="2"/>
  </r>
  <r>
    <n v="108"/>
    <s v="P-1096"/>
    <x v="61"/>
    <s v="NC-10"/>
    <x v="40"/>
    <x v="1"/>
    <n v="800152665"/>
    <x v="51"/>
    <s v="PJ"/>
    <s v="N"/>
    <n v="-540000"/>
    <n v="-102600"/>
    <n v="-642600"/>
    <n v="0"/>
    <n v="0"/>
    <n v="-642600"/>
    <n v="-59400"/>
    <n v="-5216.4000000000005"/>
    <n v="0"/>
    <n v="-577983.6"/>
    <n v="0"/>
    <m/>
    <x v="3"/>
    <x v="2"/>
  </r>
  <r>
    <n v="109"/>
    <s v="P-1097"/>
    <x v="62"/>
    <s v="TIS-1107"/>
    <x v="61"/>
    <x v="0"/>
    <n v="39537015"/>
    <x v="61"/>
    <s v="PN"/>
    <s v="N"/>
    <n v="200000"/>
    <n v="0"/>
    <n v="200000"/>
    <n v="200000"/>
    <n v="0"/>
    <n v="0"/>
    <n v="0"/>
    <n v="0"/>
    <n v="0"/>
    <n v="0"/>
    <n v="200000"/>
    <m/>
    <x v="3"/>
    <x v="2"/>
  </r>
  <r>
    <n v="110"/>
    <s v="P-1098"/>
    <x v="63"/>
    <s v="TIS-1098"/>
    <x v="62"/>
    <x v="0"/>
    <n v="900444251"/>
    <x v="62"/>
    <s v="PJ"/>
    <s v="N"/>
    <n v="2880000"/>
    <n v="547200"/>
    <n v="3427200"/>
    <n v="3284179"/>
    <n v="0"/>
    <n v="143021"/>
    <n v="316800"/>
    <n v="27820.799999999999"/>
    <n v="0"/>
    <n v="-201599.8"/>
    <n v="3427200"/>
    <m/>
    <x v="3"/>
    <x v="2"/>
  </r>
  <r>
    <n v="111"/>
    <s v="P-1099"/>
    <x v="64"/>
    <s v="TIS-1100"/>
    <x v="63"/>
    <x v="0"/>
    <n v="900396116"/>
    <x v="44"/>
    <s v="PJ"/>
    <s v="N"/>
    <n v="200000"/>
    <n v="38000"/>
    <n v="238000"/>
    <n v="214068"/>
    <n v="0"/>
    <n v="23932"/>
    <n v="22000"/>
    <n v="1932"/>
    <n v="0"/>
    <n v="0"/>
    <n v="238000"/>
    <m/>
    <x v="3"/>
    <x v="2"/>
  </r>
  <r>
    <n v="112"/>
    <s v="P-1100"/>
    <x v="64"/>
    <s v="TIS-1117"/>
    <x v="54"/>
    <x v="0"/>
    <n v="901030518"/>
    <x v="32"/>
    <s v="PJ"/>
    <s v="N"/>
    <n v="322000"/>
    <n v="0"/>
    <n v="322000"/>
    <n v="353980"/>
    <n v="0"/>
    <n v="-31980"/>
    <n v="35420"/>
    <n v="3110.52"/>
    <n v="0"/>
    <n v="-70510.52"/>
    <n v="322000"/>
    <m/>
    <x v="3"/>
    <x v="2"/>
  </r>
  <r>
    <n v="113"/>
    <s v="P-1101"/>
    <x v="57"/>
    <s v="TIS-1120"/>
    <x v="64"/>
    <x v="0"/>
    <n v="800028768"/>
    <x v="13"/>
    <s v="PJ"/>
    <s v="N"/>
    <n v="880000"/>
    <n v="167200"/>
    <n v="1047200"/>
    <n v="1048410"/>
    <n v="0"/>
    <n v="-1210"/>
    <n v="96800"/>
    <n v="8500.7999999999993"/>
    <n v="0"/>
    <n v="-106510.8"/>
    <n v="1047200"/>
    <s v="Acompañamiento Enero a abril 2022"/>
    <x v="3"/>
    <x v="2"/>
  </r>
  <r>
    <n v="114"/>
    <s v="P-1102"/>
    <x v="64"/>
    <s v="TIS-1103"/>
    <x v="45"/>
    <x v="0"/>
    <n v="800182918"/>
    <x v="43"/>
    <s v="PJ"/>
    <s v="N"/>
    <n v="450000"/>
    <n v="85500"/>
    <n v="535500"/>
    <n v="486000"/>
    <n v="0"/>
    <n v="49500"/>
    <n v="49500"/>
    <n v="4347"/>
    <n v="0"/>
    <n v="-4347"/>
    <n v="535500"/>
    <m/>
    <x v="3"/>
    <x v="2"/>
  </r>
  <r>
    <n v="115"/>
    <s v="P-1103"/>
    <x v="64"/>
    <s v="Tis-1097"/>
    <x v="65"/>
    <x v="1"/>
    <n v="811012461"/>
    <x v="40"/>
    <s v="PJ"/>
    <s v="N"/>
    <n v="9200000"/>
    <n v="1748000"/>
    <n v="10948000"/>
    <n v="0"/>
    <n v="0"/>
    <n v="10948000"/>
    <n v="1012000"/>
    <n v="88872"/>
    <n v="0"/>
    <n v="9847128"/>
    <n v="0"/>
    <m/>
    <x v="3"/>
    <x v="2"/>
  </r>
  <r>
    <n v="116"/>
    <s v="P-1104"/>
    <x v="64"/>
    <s v="NC13"/>
    <x v="65"/>
    <x v="1"/>
    <n v="811012461"/>
    <x v="40"/>
    <s v="PJ"/>
    <s v="N"/>
    <n v="-2760000"/>
    <n v="-524400"/>
    <n v="-3284400"/>
    <n v="0"/>
    <n v="0"/>
    <n v="-3284400"/>
    <n v="-303600"/>
    <n v="-26661.600000000002"/>
    <n v="0"/>
    <n v="-2954138.4"/>
    <n v="0"/>
    <m/>
    <x v="3"/>
    <x v="2"/>
  </r>
  <r>
    <n v="117"/>
    <s v="P-1105"/>
    <x v="65"/>
    <s v="TIS-1099"/>
    <x v="61"/>
    <x v="0"/>
    <n v="901217662"/>
    <x v="63"/>
    <s v="PJ"/>
    <s v="N"/>
    <n v="1351500"/>
    <n v="256785"/>
    <n v="1608285"/>
    <n v="1543413"/>
    <n v="0"/>
    <n v="64872"/>
    <n v="148665"/>
    <n v="13055.49"/>
    <n v="0"/>
    <n v="-96848.49"/>
    <n v="1608285"/>
    <m/>
    <x v="3"/>
    <x v="2"/>
  </r>
  <r>
    <n v="118"/>
    <s v="P-1106"/>
    <x v="57"/>
    <s v="TIS-1096"/>
    <x v="66"/>
    <x v="0"/>
    <n v="800183564"/>
    <x v="64"/>
    <s v="PJ"/>
    <s v="N"/>
    <n v="450000"/>
    <n v="85500"/>
    <n v="535500"/>
    <n v="513153"/>
    <n v="0"/>
    <n v="22347"/>
    <n v="49500"/>
    <n v="4347"/>
    <n v="0"/>
    <n v="-31500"/>
    <n v="535500"/>
    <m/>
    <x v="3"/>
    <x v="2"/>
  </r>
  <r>
    <n v="119"/>
    <s v="P-1107"/>
    <x v="66"/>
    <s v="Tis-1097"/>
    <x v="65"/>
    <x v="0"/>
    <n v="811012461"/>
    <x v="40"/>
    <s v="PJ"/>
    <s v="N"/>
    <n v="6440000"/>
    <n v="1223600"/>
    <n v="7663600"/>
    <n v="7047200"/>
    <n v="0"/>
    <n v="616400"/>
    <n v="708400"/>
    <n v="62210.400000000001"/>
    <n v="0"/>
    <n v="-154210.4"/>
    <n v="7663600"/>
    <m/>
    <x v="3"/>
    <x v="2"/>
  </r>
  <r>
    <n v="120"/>
    <s v="P-1108"/>
    <x v="57"/>
    <s v="Tis-1104"/>
    <x v="45"/>
    <x v="0"/>
    <n v="800182918"/>
    <x v="43"/>
    <s v="PJ"/>
    <s v="N"/>
    <n v="450000"/>
    <n v="85500"/>
    <n v="535500"/>
    <n v="486000"/>
    <n v="0"/>
    <n v="49500"/>
    <n v="49500"/>
    <n v="4347"/>
    <n v="0"/>
    <n v="-4347"/>
    <n v="535500"/>
    <m/>
    <x v="3"/>
    <x v="2"/>
  </r>
  <r>
    <n v="121"/>
    <s v="P-1109"/>
    <x v="57"/>
    <s v="TIS-1105"/>
    <x v="45"/>
    <x v="0"/>
    <n v="830056068"/>
    <x v="65"/>
    <s v="PJ"/>
    <s v="N"/>
    <n v="175000"/>
    <n v="33250"/>
    <n v="208250"/>
    <n v="208250"/>
    <n v="0"/>
    <n v="0"/>
    <n v="0"/>
    <n v="0"/>
    <n v="0"/>
    <n v="0"/>
    <n v="208250"/>
    <m/>
    <x v="3"/>
    <x v="2"/>
  </r>
  <r>
    <n v="122"/>
    <s v="P-1110"/>
    <x v="57"/>
    <s v="TIS-1106"/>
    <x v="45"/>
    <x v="0"/>
    <n v="901195703"/>
    <x v="66"/>
    <s v="PJ"/>
    <s v="N"/>
    <n v="1386000"/>
    <n v="263340"/>
    <n v="1649340"/>
    <n v="1593900"/>
    <n v="0"/>
    <n v="55440"/>
    <n v="152460"/>
    <n v="13388.76"/>
    <n v="0"/>
    <n v="-110408.76"/>
    <n v="1649340"/>
    <m/>
    <x v="3"/>
    <x v="2"/>
  </r>
  <r>
    <n v="123"/>
    <s v="P-1111"/>
    <x v="67"/>
    <s v="TIS-1108"/>
    <x v="57"/>
    <x v="0"/>
    <n v="804007055"/>
    <x v="60"/>
    <s v="PJ"/>
    <s v="N"/>
    <n v="225000"/>
    <n v="42750"/>
    <n v="267750"/>
    <n v="241201"/>
    <n v="0"/>
    <n v="26549"/>
    <n v="24750"/>
    <n v="2173.5"/>
    <n v="0"/>
    <n v="-374.5"/>
    <n v="267750"/>
    <m/>
    <x v="3"/>
    <x v="2"/>
  </r>
  <r>
    <n v="124"/>
    <s v="P-1112"/>
    <x v="67"/>
    <s v="TIS-1109"/>
    <x v="57"/>
    <x v="0"/>
    <n v="804007055"/>
    <x v="60"/>
    <s v="PJ"/>
    <s v="N"/>
    <n v="150000"/>
    <n v="28500"/>
    <n v="178500"/>
    <n v="160551"/>
    <n v="0"/>
    <n v="17949"/>
    <n v="16500"/>
    <n v="1449"/>
    <n v="0"/>
    <n v="0"/>
    <n v="178500"/>
    <m/>
    <x v="3"/>
    <x v="2"/>
  </r>
  <r>
    <n v="125"/>
    <s v="P-1113"/>
    <x v="68"/>
    <s v="TIS-1111"/>
    <x v="63"/>
    <x v="0"/>
    <n v="900747203"/>
    <x v="67"/>
    <s v="PJ"/>
    <s v="N"/>
    <n v="720000"/>
    <n v="136800"/>
    <n v="856800"/>
    <n v="856800"/>
    <n v="0"/>
    <n v="0"/>
    <n v="0"/>
    <n v="0"/>
    <n v="0"/>
    <n v="0"/>
    <n v="856800"/>
    <m/>
    <x v="3"/>
    <x v="2"/>
  </r>
  <r>
    <n v="126"/>
    <s v="P-1114"/>
    <x v="69"/>
    <s v="Tis-1140"/>
    <x v="67"/>
    <x v="0"/>
    <n v="901286797"/>
    <x v="68"/>
    <s v="PJ"/>
    <s v="N"/>
    <n v="1700000"/>
    <n v="323000"/>
    <n v="2023000"/>
    <n v="3196000"/>
    <n v="0"/>
    <n v="-1173000"/>
    <n v="187000"/>
    <n v="16422"/>
    <n v="0"/>
    <n v="-1376422"/>
    <n v="2023000"/>
    <m/>
    <x v="3"/>
    <x v="2"/>
  </r>
  <r>
    <n v="127"/>
    <s v="P-1115"/>
    <x v="69"/>
    <s v="TIS-1119"/>
    <x v="64"/>
    <x v="0"/>
    <n v="900641244"/>
    <x v="58"/>
    <s v="PJ"/>
    <s v="N"/>
    <n v="723333.61344537814"/>
    <n v="137433.38655462186"/>
    <n v="860767"/>
    <n v="776208"/>
    <n v="0"/>
    <n v="84559"/>
    <n v="79566.697478991598"/>
    <n v="6987.4027058823531"/>
    <n v="0"/>
    <n v="-1995.1001848739515"/>
    <n v="860767"/>
    <m/>
    <x v="3"/>
    <x v="2"/>
  </r>
  <r>
    <n v="128"/>
    <s v="P-1116"/>
    <x v="69"/>
    <s v="Tis-1118"/>
    <x v="54"/>
    <x v="0"/>
    <n v="901030518"/>
    <x v="32"/>
    <s v="PJ"/>
    <s v="N"/>
    <n v="322000"/>
    <n v="0"/>
    <n v="322000"/>
    <n v="322000"/>
    <n v="0"/>
    <n v="0"/>
    <n v="0"/>
    <n v="0"/>
    <n v="0"/>
    <n v="0"/>
    <n v="322000"/>
    <m/>
    <x v="3"/>
    <x v="2"/>
  </r>
  <r>
    <n v="129"/>
    <s v="P-1117"/>
    <x v="70"/>
    <s v="TIS-1113"/>
    <x v="54"/>
    <x v="0"/>
    <n v="830033212"/>
    <x v="69"/>
    <s v="PJ"/>
    <s v="N"/>
    <n v="1050000"/>
    <n v="199500"/>
    <n v="1249500"/>
    <n v="1126650"/>
    <n v="0"/>
    <n v="122850"/>
    <n v="115500"/>
    <n v="10143"/>
    <n v="0"/>
    <n v="-2793"/>
    <n v="1249500"/>
    <m/>
    <x v="3"/>
    <x v="2"/>
  </r>
  <r>
    <n v="130"/>
    <s v="P-1118"/>
    <x v="70"/>
    <s v="TIS-1114"/>
    <x v="54"/>
    <x v="0"/>
    <n v="800182918"/>
    <x v="43"/>
    <s v="PJ"/>
    <s v="N"/>
    <n v="450000"/>
    <n v="85500"/>
    <n v="535500"/>
    <n v="486000"/>
    <n v="0"/>
    <n v="49500"/>
    <n v="49500"/>
    <n v="4347"/>
    <n v="0"/>
    <n v="-4347"/>
    <n v="535500"/>
    <m/>
    <x v="3"/>
    <x v="2"/>
  </r>
  <r>
    <n v="131"/>
    <s v="P-1119"/>
    <x v="70"/>
    <s v="TIS-1115"/>
    <x v="54"/>
    <x v="0"/>
    <n v="900396116"/>
    <x v="44"/>
    <s v="PJ"/>
    <s v="N"/>
    <n v="200000"/>
    <n v="38000"/>
    <n v="238000"/>
    <n v="214068"/>
    <n v="0"/>
    <n v="23932"/>
    <n v="22000"/>
    <n v="1932"/>
    <n v="0"/>
    <n v="0"/>
    <n v="238000"/>
    <m/>
    <x v="3"/>
    <x v="2"/>
  </r>
  <r>
    <n v="132"/>
    <s v="P-1120"/>
    <x v="70"/>
    <s v="TIS-1208"/>
    <x v="68"/>
    <x v="0"/>
    <n v="830137517"/>
    <x v="70"/>
    <s v="PJ"/>
    <s v="N"/>
    <n v="2100000"/>
    <n v="0"/>
    <n v="2100000"/>
    <n v="1995840"/>
    <n v="0"/>
    <n v="104160"/>
    <n v="231000"/>
    <n v="20286"/>
    <n v="0"/>
    <n v="-147126"/>
    <n v="2100000"/>
    <m/>
    <x v="4"/>
    <x v="2"/>
  </r>
  <r>
    <n v="133"/>
    <s v="P-1121"/>
    <x v="71"/>
    <s v="Tis-1125"/>
    <x v="69"/>
    <x v="0"/>
    <n v="901030518"/>
    <x v="32"/>
    <s v="PJ"/>
    <s v="N"/>
    <n v="322000"/>
    <n v="0"/>
    <n v="322000"/>
    <n v="322000"/>
    <n v="0"/>
    <n v="0"/>
    <n v="0"/>
    <n v="0"/>
    <n v="0"/>
    <n v="0"/>
    <n v="322000"/>
    <m/>
    <x v="3"/>
    <x v="2"/>
  </r>
  <r>
    <n v="134"/>
    <s v="P-1122"/>
    <x v="71"/>
    <s v="TIS-1121"/>
    <x v="43"/>
    <x v="0"/>
    <n v="860002964"/>
    <x v="71"/>
    <s v="PJ"/>
    <s v="S"/>
    <n v="67903200"/>
    <n v="12901608"/>
    <n v="80804808"/>
    <n v="75565397.090000004"/>
    <n v="0"/>
    <n v="5239410.9099999964"/>
    <n v="7469352"/>
    <n v="655944.91200000001"/>
    <n v="1935241.2"/>
    <n v="-4821127.2020000033"/>
    <n v="80804808"/>
    <m/>
    <x v="3"/>
    <x v="2"/>
  </r>
  <r>
    <n v="135"/>
    <s v="P-1123"/>
    <x v="71"/>
    <s v="TIS-1134"/>
    <x v="69"/>
    <x v="0"/>
    <n v="900396116"/>
    <x v="44"/>
    <s v="PJ"/>
    <s v="N"/>
    <n v="400000"/>
    <n v="76000"/>
    <n v="476000"/>
    <n v="428136"/>
    <n v="0"/>
    <n v="47864"/>
    <n v="44000"/>
    <n v="3864"/>
    <n v="0"/>
    <n v="0"/>
    <n v="476000"/>
    <m/>
    <x v="3"/>
    <x v="2"/>
  </r>
  <r>
    <n v="136"/>
    <s v="P-1124"/>
    <x v="71"/>
    <s v="TIS-1149"/>
    <x v="70"/>
    <x v="0"/>
    <n v="52385710"/>
    <x v="14"/>
    <s v="PN"/>
    <s v="N"/>
    <n v="300000"/>
    <n v="0"/>
    <n v="300000"/>
    <n v="448000"/>
    <n v="0"/>
    <n v="-148000"/>
    <n v="0"/>
    <n v="0"/>
    <n v="0"/>
    <n v="-148000"/>
    <n v="300000"/>
    <m/>
    <x v="3"/>
    <x v="2"/>
  </r>
  <r>
    <n v="137"/>
    <s v="P-1125"/>
    <x v="71"/>
    <s v="Tis-1124"/>
    <x v="69"/>
    <x v="0"/>
    <n v="900641244"/>
    <x v="58"/>
    <s v="PJ"/>
    <s v="N"/>
    <n v="723333"/>
    <n v="137433.26999999999"/>
    <n v="860766.27"/>
    <n v="776208"/>
    <n v="0"/>
    <n v="84558.270000000019"/>
    <n v="79566.63"/>
    <n v="6987.39678"/>
    <n v="0"/>
    <n v="-1995.7567799999861"/>
    <n v="860766.27"/>
    <m/>
    <x v="3"/>
    <x v="2"/>
  </r>
  <r>
    <n v="138"/>
    <s v="P-1126"/>
    <x v="72"/>
    <s v="Tis-1129"/>
    <x v="71"/>
    <x v="0"/>
    <n v="900465670"/>
    <x v="72"/>
    <s v="PJ"/>
    <s v="N"/>
    <n v="590000"/>
    <n v="112100"/>
    <n v="702100"/>
    <n v="627187"/>
    <n v="4313.5999999999767"/>
    <n v="74913"/>
    <n v="64900"/>
    <n v="5699.4000000000005"/>
    <n v="0"/>
    <n v="4313.5999999999995"/>
    <n v="697786.4"/>
    <m/>
    <x v="3"/>
    <x v="2"/>
  </r>
  <r>
    <n v="139"/>
    <s v="P-1127"/>
    <x v="72"/>
    <s v="Tis-1155"/>
    <x v="72"/>
    <x v="0"/>
    <n v="860012357"/>
    <x v="51"/>
    <s v="PJ"/>
    <s v="S"/>
    <n v="10350000"/>
    <n v="1966500"/>
    <n v="12316500"/>
    <n v="10779525"/>
    <n v="3519"/>
    <n v="1536975"/>
    <n v="1138500"/>
    <n v="99981"/>
    <n v="294975"/>
    <n v="3519"/>
    <n v="12312981"/>
    <m/>
    <x v="3"/>
    <x v="2"/>
  </r>
  <r>
    <n v="140"/>
    <s v="P-1128"/>
    <x v="73"/>
    <s v="TIS-1133"/>
    <x v="73"/>
    <x v="0"/>
    <n v="800182918"/>
    <x v="43"/>
    <s v="PJ"/>
    <s v="N"/>
    <n v="450000"/>
    <n v="85500"/>
    <n v="535500"/>
    <n v="486000"/>
    <n v="0"/>
    <n v="49500"/>
    <n v="49500"/>
    <n v="4347"/>
    <n v="0"/>
    <n v="-4347"/>
    <n v="535500"/>
    <m/>
    <x v="3"/>
    <x v="2"/>
  </r>
  <r>
    <n v="141"/>
    <s v="P-1129"/>
    <x v="73"/>
    <s v="Tis-1135"/>
    <x v="73"/>
    <x v="0"/>
    <n v="830039537"/>
    <x v="73"/>
    <s v="PJ"/>
    <s v="N"/>
    <n v="600000"/>
    <n v="114000"/>
    <n v="714000"/>
    <n v="688333"/>
    <n v="0"/>
    <n v="25667"/>
    <n v="66000"/>
    <n v="5796"/>
    <n v="0"/>
    <n v="-46129"/>
    <n v="714000"/>
    <m/>
    <x v="3"/>
    <x v="2"/>
  </r>
  <r>
    <n v="142"/>
    <s v="P-1130"/>
    <x v="73"/>
    <s v="Tis-1136"/>
    <x v="73"/>
    <x v="0"/>
    <n v="901431960"/>
    <x v="74"/>
    <s v="PJ"/>
    <s v="N"/>
    <n v="1747000"/>
    <n v="331930"/>
    <n v="2078930"/>
    <n v="2078930"/>
    <n v="0"/>
    <n v="0"/>
    <n v="0"/>
    <n v="0"/>
    <n v="0"/>
    <n v="0"/>
    <n v="2078930"/>
    <m/>
    <x v="3"/>
    <x v="2"/>
  </r>
  <r>
    <n v="143"/>
    <s v="P-1131"/>
    <x v="73"/>
    <s v="Tis-1137"/>
    <x v="73"/>
    <x v="0"/>
    <n v="900641244"/>
    <x v="58"/>
    <s v="PJ"/>
    <s v="N"/>
    <n v="723333"/>
    <n v="137433.26999999999"/>
    <n v="860766.27"/>
    <n v="772090"/>
    <n v="2122.2432200000621"/>
    <n v="88676.270000000019"/>
    <n v="79566.63"/>
    <n v="6987.39678"/>
    <n v="0"/>
    <n v="2122.2432200000139"/>
    <n v="858644.02677999996"/>
    <m/>
    <x v="3"/>
    <x v="2"/>
  </r>
  <r>
    <n v="144"/>
    <s v="P-1132"/>
    <x v="74"/>
    <s v="Tis-1138"/>
    <x v="73"/>
    <x v="0"/>
    <n v="901030518"/>
    <x v="32"/>
    <s v="PJ"/>
    <s v="N"/>
    <n v="322000"/>
    <n v="0"/>
    <n v="322000"/>
    <n v="322000"/>
    <n v="0"/>
    <n v="0"/>
    <n v="0"/>
    <n v="0"/>
    <n v="0"/>
    <n v="0"/>
    <n v="322000"/>
    <m/>
    <x v="3"/>
    <x v="2"/>
  </r>
  <r>
    <n v="145"/>
    <s v="P-1133"/>
    <x v="75"/>
    <s v="TIS-1131"/>
    <x v="74"/>
    <x v="0"/>
    <n v="860002964"/>
    <x v="71"/>
    <s v="PJ"/>
    <s v="N"/>
    <n v="22800000"/>
    <n v="4332000"/>
    <n v="27132000"/>
    <n v="25372752"/>
    <n v="0"/>
    <n v="1759248"/>
    <n v="2508000"/>
    <n v="220248"/>
    <n v="0"/>
    <n v="-969000"/>
    <n v="27132000"/>
    <m/>
    <x v="3"/>
    <x v="2"/>
  </r>
  <r>
    <n v="146"/>
    <s v="P-1134"/>
    <x v="76"/>
    <s v="Tis-1132"/>
    <x v="75"/>
    <x v="0"/>
    <n v="900499402"/>
    <x v="75"/>
    <s v="PJ"/>
    <s v="N"/>
    <n v="350000"/>
    <n v="66500"/>
    <n v="416500"/>
    <n v="399119"/>
    <n v="0"/>
    <n v="17381"/>
    <n v="38500"/>
    <n v="3381"/>
    <n v="0"/>
    <n v="-24500"/>
    <n v="416500"/>
    <m/>
    <x v="3"/>
    <x v="2"/>
  </r>
  <r>
    <n v="147"/>
    <s v="P-1135"/>
    <x v="73"/>
    <s v="TIS-1139"/>
    <x v="73"/>
    <x v="0"/>
    <n v="800028768"/>
    <x v="13"/>
    <s v="PJ"/>
    <s v="N"/>
    <n v="220000"/>
    <n v="41800"/>
    <n v="261800"/>
    <n v="199500"/>
    <n v="35974.799999999988"/>
    <n v="62300"/>
    <n v="24200"/>
    <n v="2125.1999999999998"/>
    <n v="0"/>
    <n v="35974.800000000003"/>
    <n v="225825.2"/>
    <m/>
    <x v="3"/>
    <x v="2"/>
  </r>
  <r>
    <n v="148"/>
    <s v="P-1136"/>
    <x v="77"/>
    <m/>
    <x v="10"/>
    <x v="0"/>
    <n v="52385710"/>
    <x v="14"/>
    <s v="PN"/>
    <s v="N"/>
    <n v="1200000"/>
    <n v="0"/>
    <n v="1200000"/>
    <n v="1200000"/>
    <n v="0"/>
    <n v="0"/>
    <n v="0"/>
    <n v="0"/>
    <n v="0"/>
    <n v="0"/>
    <n v="1200000"/>
    <m/>
    <x v="1"/>
    <x v="2"/>
  </r>
  <r>
    <n v="149"/>
    <s v="P-1137"/>
    <x v="78"/>
    <s v="TIS-1150"/>
    <x v="76"/>
    <x v="0"/>
    <n v="900443730"/>
    <x v="76"/>
    <s v="PJ"/>
    <s v="N"/>
    <n v="910000"/>
    <n v="172900"/>
    <n v="1082900"/>
    <n v="1082900"/>
    <n v="0"/>
    <n v="0"/>
    <n v="0"/>
    <n v="0"/>
    <n v="0"/>
    <n v="0"/>
    <n v="1082900"/>
    <m/>
    <x v="3"/>
    <x v="2"/>
  </r>
  <r>
    <n v="150"/>
    <s v="P-1138"/>
    <x v="78"/>
    <s v="TIS-1144"/>
    <x v="70"/>
    <x v="0"/>
    <n v="860002964"/>
    <x v="71"/>
    <s v="PJ"/>
    <s v="N"/>
    <n v="22800000"/>
    <n v="4332000"/>
    <n v="27132000"/>
    <n v="25372752"/>
    <n v="0"/>
    <n v="1759248"/>
    <n v="2508000"/>
    <n v="220248"/>
    <n v="0"/>
    <n v="-969000"/>
    <n v="27132000"/>
    <m/>
    <x v="3"/>
    <x v="2"/>
  </r>
  <r>
    <n v="151"/>
    <s v="P-1139"/>
    <x v="78"/>
    <s v="TIS-1145"/>
    <x v="70"/>
    <x v="0"/>
    <n v="900641244"/>
    <x v="58"/>
    <s v="PJ"/>
    <s v="N"/>
    <n v="723333"/>
    <n v="137433.26999999999"/>
    <n v="860766.27"/>
    <n v="776209"/>
    <n v="0"/>
    <n v="84557.270000000019"/>
    <n v="79566.63"/>
    <n v="6987.39678"/>
    <n v="0"/>
    <n v="-1996.7567799999861"/>
    <n v="860766.27"/>
    <m/>
    <x v="3"/>
    <x v="2"/>
  </r>
  <r>
    <n v="152"/>
    <s v="P-1140"/>
    <x v="78"/>
    <s v="TIS-1146"/>
    <x v="70"/>
    <x v="0"/>
    <n v="900396116"/>
    <x v="44"/>
    <s v="PJ"/>
    <s v="N"/>
    <n v="200000"/>
    <n v="38000"/>
    <n v="238000"/>
    <n v="214068"/>
    <n v="0"/>
    <n v="23932"/>
    <n v="22000"/>
    <n v="1932"/>
    <n v="0"/>
    <n v="0"/>
    <n v="238000"/>
    <m/>
    <x v="3"/>
    <x v="2"/>
  </r>
  <r>
    <n v="153"/>
    <s v="P-1141"/>
    <x v="78"/>
    <s v="TIS-1147"/>
    <x v="70"/>
    <x v="0"/>
    <n v="800182918"/>
    <x v="43"/>
    <s v="PJ"/>
    <s v="N"/>
    <n v="450000"/>
    <n v="85500"/>
    <n v="535500"/>
    <n v="486000"/>
    <n v="0"/>
    <n v="49500"/>
    <n v="49500"/>
    <n v="4347"/>
    <n v="0"/>
    <n v="-4347"/>
    <n v="535500"/>
    <m/>
    <x v="3"/>
    <x v="2"/>
  </r>
  <r>
    <n v="154"/>
    <s v="P-1142"/>
    <x v="78"/>
    <s v="TIS-1148"/>
    <x v="70"/>
    <x v="0"/>
    <n v="800028768"/>
    <x v="13"/>
    <s v="PJ"/>
    <s v="N"/>
    <n v="220000"/>
    <n v="41800"/>
    <n v="261800"/>
    <n v="252000"/>
    <n v="0"/>
    <n v="9800"/>
    <n v="24200"/>
    <n v="2125.1999999999998"/>
    <n v="0"/>
    <n v="-16525.2"/>
    <n v="261800"/>
    <m/>
    <x v="3"/>
    <x v="2"/>
  </r>
  <r>
    <n v="155"/>
    <s v="P-1143"/>
    <x v="79"/>
    <s v="Tis-1157"/>
    <x v="77"/>
    <x v="0"/>
    <n v="830126569"/>
    <x v="77"/>
    <s v="PJ"/>
    <s v="N"/>
    <n v="6460000"/>
    <n v="1227400"/>
    <n v="7687400"/>
    <n v="6792690"/>
    <n v="121706.40000000037"/>
    <n v="894710"/>
    <n v="710600"/>
    <n v="62403.6"/>
    <n v="0"/>
    <n v="121706.4"/>
    <n v="7565693.5999999996"/>
    <m/>
    <x v="3"/>
    <x v="2"/>
  </r>
  <r>
    <n v="156"/>
    <s v="P-1144"/>
    <x v="79"/>
    <s v="Tis-1165"/>
    <x v="78"/>
    <x v="0"/>
    <n v="830053731"/>
    <x v="78"/>
    <s v="PJ"/>
    <s v="N"/>
    <n v="736000"/>
    <n v="139840"/>
    <n v="875840"/>
    <n v="846300"/>
    <n v="0"/>
    <n v="29540"/>
    <n v="80960"/>
    <n v="7109.76"/>
    <n v="0"/>
    <n v="-58529.760000000002"/>
    <n v="875840"/>
    <m/>
    <x v="3"/>
    <x v="2"/>
  </r>
  <r>
    <n v="157"/>
    <s v="P-1145"/>
    <x v="79"/>
    <s v="Tis-1156"/>
    <x v="77"/>
    <x v="0"/>
    <n v="830124778"/>
    <x v="79"/>
    <s v="PJ"/>
    <s v="N"/>
    <n v="2760000"/>
    <n v="524400"/>
    <n v="3284400"/>
    <n v="3284000"/>
    <n v="0"/>
    <n v="400"/>
    <n v="303600"/>
    <n v="26661.600000000002"/>
    <n v="0"/>
    <n v="-329861.59999999998"/>
    <n v="3284400"/>
    <m/>
    <x v="3"/>
    <x v="2"/>
  </r>
  <r>
    <n v="158"/>
    <s v="P-1146"/>
    <x v="80"/>
    <s v="Tis-1166"/>
    <x v="79"/>
    <x v="0"/>
    <n v="901030518"/>
    <x v="32"/>
    <s v="PJ"/>
    <s v="N"/>
    <n v="966000"/>
    <n v="0"/>
    <n v="966000"/>
    <n v="966000"/>
    <n v="0"/>
    <n v="0"/>
    <n v="0"/>
    <n v="0"/>
    <n v="0"/>
    <n v="0"/>
    <n v="966000"/>
    <m/>
    <x v="3"/>
    <x v="2"/>
  </r>
  <r>
    <n v="159"/>
    <s v="P-1147"/>
    <x v="80"/>
    <s v="Tis-1161"/>
    <x v="80"/>
    <x v="0"/>
    <n v="900249638"/>
    <x v="0"/>
    <s v="PJ"/>
    <s v="N"/>
    <n v="529000"/>
    <n v="100510"/>
    <n v="629510"/>
    <n v="629510"/>
    <n v="0"/>
    <n v="0"/>
    <n v="0"/>
    <n v="0"/>
    <n v="0"/>
    <n v="0"/>
    <n v="629510"/>
    <m/>
    <x v="3"/>
    <x v="2"/>
  </r>
  <r>
    <n v="160"/>
    <s v="P-1148"/>
    <x v="81"/>
    <s v="TIS-1164"/>
    <x v="81"/>
    <x v="0"/>
    <n v="830120079"/>
    <x v="80"/>
    <s v="PJ"/>
    <s v="N"/>
    <n v="25200000"/>
    <n v="4788000"/>
    <n v="29988000"/>
    <n v="28737000"/>
    <n v="0"/>
    <n v="1251000"/>
    <n v="2772000"/>
    <n v="243432"/>
    <n v="0"/>
    <n v="-1764432"/>
    <n v="29988000"/>
    <m/>
    <x v="3"/>
    <x v="2"/>
  </r>
  <r>
    <n v="161"/>
    <s v="P-1149"/>
    <x v="82"/>
    <m/>
    <x v="10"/>
    <x v="0"/>
    <n v="901083908"/>
    <x v="81"/>
    <s v="PJ"/>
    <s v="N"/>
    <n v="420000"/>
    <n v="79800"/>
    <n v="499800"/>
    <n v="499800"/>
    <n v="0"/>
    <n v="0"/>
    <n v="0"/>
    <n v="0"/>
    <n v="0"/>
    <n v="0"/>
    <n v="499800"/>
    <m/>
    <x v="1"/>
    <x v="2"/>
  </r>
  <r>
    <n v="162"/>
    <s v="P-1150"/>
    <x v="83"/>
    <s v="TIS-1153"/>
    <x v="10"/>
    <x v="0"/>
    <n v="900232864"/>
    <x v="82"/>
    <s v="PJ"/>
    <s v="N"/>
    <n v="1275000"/>
    <n v="242250"/>
    <n v="1517250"/>
    <n v="1365958.5"/>
    <n v="0"/>
    <n v="151291.5"/>
    <n v="140250"/>
    <n v="12316.5"/>
    <n v="0"/>
    <n v="-1275"/>
    <n v="1517250"/>
    <m/>
    <x v="1"/>
    <x v="2"/>
  </r>
  <r>
    <n v="163"/>
    <s v="P-1151"/>
    <x v="83"/>
    <s v="Tis-1181"/>
    <x v="82"/>
    <x v="1"/>
    <n v="830078222"/>
    <x v="83"/>
    <s v="PJ"/>
    <s v="N"/>
    <n v="225000"/>
    <n v="42750"/>
    <n v="267750"/>
    <n v="0"/>
    <n v="0"/>
    <n v="267750"/>
    <n v="24750"/>
    <n v="2173.5"/>
    <n v="0"/>
    <n v="240826.5"/>
    <n v="0"/>
    <m/>
    <x v="3"/>
    <x v="2"/>
  </r>
  <r>
    <n v="164"/>
    <s v="P-1152"/>
    <x v="84"/>
    <s v="TIS-1176"/>
    <x v="83"/>
    <x v="0"/>
    <n v="900423678"/>
    <x v="84"/>
    <s v="PJ"/>
    <s v="N"/>
    <n v="2450000"/>
    <n v="465500"/>
    <n v="2915500"/>
    <n v="2915500"/>
    <n v="0"/>
    <n v="0"/>
    <n v="0"/>
    <n v="0"/>
    <n v="0"/>
    <n v="0"/>
    <n v="2915500"/>
    <m/>
    <x v="3"/>
    <x v="2"/>
  </r>
  <r>
    <n v="165"/>
    <s v="P-1153"/>
    <x v="85"/>
    <s v="Tis-1180"/>
    <x v="84"/>
    <x v="0"/>
    <n v="900625659"/>
    <x v="85"/>
    <s v="PJ"/>
    <s v="N"/>
    <n v="594000"/>
    <n v="112860"/>
    <n v="706860"/>
    <n v="636376"/>
    <n v="0"/>
    <n v="70484"/>
    <n v="65340"/>
    <n v="5738.04"/>
    <n v="0"/>
    <n v="-594.04"/>
    <n v="706860"/>
    <m/>
    <x v="3"/>
    <x v="2"/>
  </r>
  <r>
    <n v="166"/>
    <s v="P-1154"/>
    <x v="85"/>
    <s v="Tis-1162"/>
    <x v="80"/>
    <x v="0"/>
    <n v="830033212"/>
    <x v="69"/>
    <s v="PJ"/>
    <s v="N"/>
    <n v="1050000"/>
    <n v="199500"/>
    <n v="1249500"/>
    <n v="1126650"/>
    <n v="0"/>
    <n v="122850"/>
    <n v="115500"/>
    <n v="10143"/>
    <n v="0"/>
    <n v="-2793"/>
    <n v="1249500"/>
    <m/>
    <x v="3"/>
    <x v="2"/>
  </r>
  <r>
    <n v="167"/>
    <s v="P-1155"/>
    <x v="85"/>
    <s v="TIS-1160"/>
    <x v="85"/>
    <x v="0"/>
    <n v="900277192"/>
    <x v="86"/>
    <s v="PJ"/>
    <s v="N"/>
    <n v="986000"/>
    <n v="187340"/>
    <n v="1173340"/>
    <n v="1064880"/>
    <n v="0"/>
    <n v="108460"/>
    <n v="108460"/>
    <n v="9524.76"/>
    <n v="0"/>
    <n v="-9524.76"/>
    <n v="1173340"/>
    <m/>
    <x v="3"/>
    <x v="2"/>
  </r>
  <r>
    <n v="168"/>
    <s v="P-1156"/>
    <x v="85"/>
    <s v="TIS-1159"/>
    <x v="85"/>
    <x v="0"/>
    <n v="900396116"/>
    <x v="44"/>
    <s v="PJ"/>
    <s v="N"/>
    <n v="1430000"/>
    <n v="271700"/>
    <n v="1701700"/>
    <n v="1530586"/>
    <n v="0.19999999995343387"/>
    <n v="171114"/>
    <n v="157300"/>
    <n v="13813.800000000001"/>
    <n v="0"/>
    <n v="0.19999999999890861"/>
    <n v="1701699.8"/>
    <m/>
    <x v="3"/>
    <x v="2"/>
  </r>
  <r>
    <n v="169"/>
    <s v="P-1157"/>
    <x v="86"/>
    <s v="TIS-1183"/>
    <x v="86"/>
    <x v="0"/>
    <n v="800028768"/>
    <x v="13"/>
    <s v="PJ"/>
    <s v="N"/>
    <n v="880000"/>
    <n v="167200"/>
    <n v="1047200"/>
    <n v="1005928"/>
    <n v="0"/>
    <n v="41272"/>
    <n v="96800"/>
    <n v="8500.7999999999993"/>
    <n v="0"/>
    <n v="-64028.800000000003"/>
    <n v="1047200"/>
    <m/>
    <x v="3"/>
    <x v="2"/>
  </r>
  <r>
    <n v="170"/>
    <s v="P-1158"/>
    <x v="87"/>
    <m/>
    <x v="10"/>
    <x v="1"/>
    <n v="83005453"/>
    <x v="87"/>
    <s v="PJ"/>
    <s v="N"/>
    <n v="3930592"/>
    <n v="746812.48"/>
    <n v="4677404.4800000004"/>
    <n v="0"/>
    <n v="0"/>
    <n v="4677404.4800000004"/>
    <n v="432365.12"/>
    <n v="37969.51872"/>
    <n v="0"/>
    <n v="4207069.8412800003"/>
    <n v="0"/>
    <s v="Anticipo 50%"/>
    <x v="1"/>
    <x v="2"/>
  </r>
  <r>
    <n v="171"/>
    <s v="P-1159"/>
    <x v="80"/>
    <s v="TIS-1158"/>
    <x v="87"/>
    <x v="0"/>
    <n v="860002964"/>
    <x v="71"/>
    <s v="PJ"/>
    <s v="N"/>
    <n v="22800000"/>
    <n v="4332000"/>
    <n v="27132000"/>
    <n v="25372752"/>
    <n v="0"/>
    <n v="1759248"/>
    <n v="2508000"/>
    <n v="220248"/>
    <n v="0"/>
    <n v="-969000"/>
    <n v="27132000"/>
    <m/>
    <x v="3"/>
    <x v="2"/>
  </r>
  <r>
    <n v="172"/>
    <s v="P-1160"/>
    <x v="88"/>
    <s v="TIS-1163"/>
    <x v="88"/>
    <x v="0"/>
    <n v="860002964"/>
    <x v="71"/>
    <s v="PJ"/>
    <s v="N"/>
    <n v="22800000"/>
    <n v="4332000"/>
    <n v="27132000"/>
    <n v="25372752"/>
    <n v="0"/>
    <n v="1759248"/>
    <n v="2508000"/>
    <n v="220248"/>
    <n v="0"/>
    <n v="-969000"/>
    <n v="27132000"/>
    <m/>
    <x v="3"/>
    <x v="2"/>
  </r>
  <r>
    <n v="173"/>
    <s v="P-1161"/>
    <x v="89"/>
    <s v="TIS-1168"/>
    <x v="79"/>
    <x v="0"/>
    <n v="900641244"/>
    <x v="58"/>
    <s v="PJ"/>
    <s v="N"/>
    <n v="1446666"/>
    <n v="274866.53999999998"/>
    <n v="1721532.54"/>
    <n v="1552420"/>
    <n v="0"/>
    <n v="169112.54000000004"/>
    <n v="159133.26"/>
    <n v="13974.79356"/>
    <n v="0"/>
    <n v="-3995.5135599999721"/>
    <n v="1721532.54"/>
    <m/>
    <x v="3"/>
    <x v="2"/>
  </r>
  <r>
    <n v="174"/>
    <s v="P-1162"/>
    <x v="89"/>
    <s v="TIS-1169"/>
    <x v="79"/>
    <x v="0"/>
    <n v="800028768"/>
    <x v="13"/>
    <s v="PJ"/>
    <s v="N"/>
    <n v="440000"/>
    <n v="83600"/>
    <n v="523600"/>
    <n v="1045364"/>
    <n v="0"/>
    <n v="-521764"/>
    <n v="48400"/>
    <n v="4250.3999999999996"/>
    <n v="0"/>
    <n v="-574414.4"/>
    <n v="523600"/>
    <m/>
    <x v="3"/>
    <x v="2"/>
  </r>
  <r>
    <n v="175"/>
    <s v="P-1163"/>
    <x v="82"/>
    <s v="TIS-1170"/>
    <x v="78"/>
    <x v="0"/>
    <n v="900499402"/>
    <x v="75"/>
    <s v="PJ"/>
    <s v="N"/>
    <n v="350000"/>
    <n v="66500"/>
    <n v="416500"/>
    <n v="374619"/>
    <n v="0"/>
    <n v="41881"/>
    <n v="38500"/>
    <n v="3381"/>
    <n v="0"/>
    <n v="0"/>
    <n v="416500"/>
    <m/>
    <x v="3"/>
    <x v="2"/>
  </r>
  <r>
    <n v="176"/>
    <s v="P-1164"/>
    <x v="82"/>
    <s v="TIS-1171"/>
    <x v="78"/>
    <x v="0"/>
    <n v="800196952"/>
    <x v="88"/>
    <s v="PJ"/>
    <s v="N"/>
    <n v="1134000"/>
    <n v="215460"/>
    <n v="1349460"/>
    <n v="1170489"/>
    <n v="43276.560000000056"/>
    <n v="178971"/>
    <n v="124740"/>
    <n v="10954.44"/>
    <n v="0"/>
    <n v="43276.56"/>
    <n v="1306183.44"/>
    <m/>
    <x v="3"/>
    <x v="2"/>
  </r>
  <r>
    <n v="177"/>
    <s v="P-1165"/>
    <x v="82"/>
    <s v="TIS-1172"/>
    <x v="78"/>
    <x v="0"/>
    <n v="900444852"/>
    <x v="89"/>
    <s v="PJ"/>
    <s v="N"/>
    <n v="4693000"/>
    <n v="891670"/>
    <n v="5584670"/>
    <n v="5351616"/>
    <n v="0"/>
    <n v="233054"/>
    <n v="516230"/>
    <n v="45334.38"/>
    <n v="0"/>
    <n v="-328510.38"/>
    <n v="5584670"/>
    <m/>
    <x v="3"/>
    <x v="2"/>
  </r>
  <r>
    <n v="178"/>
    <s v="P-1166"/>
    <x v="82"/>
    <s v="TIS-1173"/>
    <x v="78"/>
    <x v="0"/>
    <n v="830021100"/>
    <x v="90"/>
    <s v="PJ"/>
    <s v="N"/>
    <n v="3000000"/>
    <n v="570000"/>
    <n v="3570000"/>
    <n v="3450000"/>
    <n v="0"/>
    <n v="120000"/>
    <n v="330000"/>
    <n v="28980"/>
    <n v="0"/>
    <n v="-238980"/>
    <n v="3570000"/>
    <m/>
    <x v="3"/>
    <x v="2"/>
  </r>
  <r>
    <n v="179"/>
    <s v="P-1167"/>
    <x v="82"/>
    <s v="TIS-1174"/>
    <x v="78"/>
    <x v="0"/>
    <n v="1121831186"/>
    <x v="91"/>
    <s v="PN"/>
    <s v="N"/>
    <n v="200000"/>
    <n v="0"/>
    <n v="200000"/>
    <n v="200000"/>
    <n v="0"/>
    <n v="0"/>
    <n v="0"/>
    <n v="0"/>
    <n v="0"/>
    <n v="0"/>
    <n v="200000"/>
    <m/>
    <x v="3"/>
    <x v="2"/>
  </r>
  <r>
    <n v="180"/>
    <s v="P-1168"/>
    <x v="90"/>
    <s v="TIS-1175"/>
    <x v="89"/>
    <x v="0"/>
    <n v="900454322"/>
    <x v="92"/>
    <s v="PJ"/>
    <s v="N"/>
    <n v="1050000"/>
    <n v="199500"/>
    <n v="1249500"/>
    <n v="1197357"/>
    <n v="0"/>
    <n v="52143"/>
    <n v="115500"/>
    <n v="10143"/>
    <n v="0"/>
    <n v="-73500"/>
    <n v="1249500"/>
    <m/>
    <x v="3"/>
    <x v="2"/>
  </r>
  <r>
    <n v="181"/>
    <s v="P-1169"/>
    <x v="91"/>
    <s v="TIS-1178"/>
    <x v="90"/>
    <x v="0"/>
    <n v="860002964"/>
    <x v="71"/>
    <s v="PJ"/>
    <s v="N"/>
    <n v="22800000"/>
    <n v="4332000"/>
    <n v="27132000"/>
    <n v="25372752"/>
    <n v="0"/>
    <n v="1759248"/>
    <n v="2508000"/>
    <n v="220248"/>
    <n v="0"/>
    <n v="-969000"/>
    <n v="27132000"/>
    <m/>
    <x v="3"/>
    <x v="2"/>
  </r>
  <r>
    <n v="182"/>
    <s v="P-1170"/>
    <x v="92"/>
    <s v="TIS-1182"/>
    <x v="91"/>
    <x v="0"/>
    <n v="860002964"/>
    <x v="71"/>
    <s v="PJ"/>
    <s v="N"/>
    <n v="22800000"/>
    <n v="4332000"/>
    <n v="27132000"/>
    <n v="25372752"/>
    <n v="0"/>
    <n v="1759248"/>
    <n v="2508000"/>
    <n v="220248"/>
    <n v="0"/>
    <n v="-969000"/>
    <n v="27132000"/>
    <m/>
    <x v="3"/>
    <x v="2"/>
  </r>
  <r>
    <n v="183"/>
    <s v="P-1171"/>
    <x v="93"/>
    <s v="TIS-1185"/>
    <x v="92"/>
    <x v="0"/>
    <n v="900801391"/>
    <x v="93"/>
    <s v="PJ"/>
    <s v="N"/>
    <n v="600000"/>
    <n v="114000"/>
    <n v="714000"/>
    <n v="642804"/>
    <n v="0"/>
    <n v="71196"/>
    <n v="66000"/>
    <n v="5796"/>
    <n v="0"/>
    <n v="-600"/>
    <n v="714000"/>
    <m/>
    <x v="3"/>
    <x v="2"/>
  </r>
  <r>
    <n v="184"/>
    <s v="P-1172"/>
    <x v="67"/>
    <s v="TIS-1110"/>
    <x v="57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3"/>
    <x v="2"/>
  </r>
  <r>
    <n v="185"/>
    <s v="P-1173"/>
    <x v="94"/>
    <s v="TIS-1112"/>
    <x v="93"/>
    <x v="0"/>
    <n v="900396116"/>
    <x v="44"/>
    <s v="PJ"/>
    <s v="N"/>
    <n v="200000"/>
    <n v="38000"/>
    <n v="238000"/>
    <n v="0"/>
    <n v="238000"/>
    <n v="238000"/>
    <n v="22000"/>
    <n v="1932"/>
    <n v="0"/>
    <n v="214068"/>
    <n v="0"/>
    <m/>
    <x v="3"/>
    <x v="2"/>
  </r>
  <r>
    <n v="186"/>
    <s v="P-1174"/>
    <x v="71"/>
    <s v="TIS-1123"/>
    <x v="69"/>
    <x v="0"/>
    <n v="900396116"/>
    <x v="44"/>
    <s v="PJ"/>
    <s v="N"/>
    <n v="200000"/>
    <n v="0"/>
    <n v="200000"/>
    <n v="0"/>
    <n v="200000"/>
    <n v="200000"/>
    <n v="22000"/>
    <n v="1932"/>
    <n v="0"/>
    <n v="176068"/>
    <n v="0"/>
    <m/>
    <x v="3"/>
    <x v="2"/>
  </r>
  <r>
    <n v="187"/>
    <s v="P-1175"/>
    <x v="56"/>
    <s v="NC9"/>
    <x v="56"/>
    <x v="1"/>
    <n v="890802678"/>
    <x v="57"/>
    <s v="PJ"/>
    <s v="N"/>
    <n v="-1300000"/>
    <n v="-247000"/>
    <n v="-1547000"/>
    <n v="0"/>
    <n v="0"/>
    <n v="-1547000"/>
    <n v="-143000"/>
    <n v="-12558"/>
    <n v="0"/>
    <n v="-1391442"/>
    <n v="0"/>
    <m/>
    <x v="3"/>
    <x v="2"/>
  </r>
  <r>
    <n v="188"/>
    <s v="P-1176"/>
    <x v="56"/>
    <s v="TIS-1088"/>
    <x v="55"/>
    <x v="1"/>
    <n v="890802678"/>
    <x v="57"/>
    <s v="PJ"/>
    <s v="N"/>
    <n v="1300000"/>
    <n v="247000"/>
    <n v="1547000"/>
    <n v="0"/>
    <n v="0"/>
    <n v="1547000"/>
    <n v="143000"/>
    <n v="12558"/>
    <n v="0"/>
    <n v="1391442"/>
    <n v="0"/>
    <m/>
    <x v="3"/>
    <x v="2"/>
  </r>
  <r>
    <n v="189"/>
    <s v="P-1177"/>
    <x v="95"/>
    <s v="TIS-1186"/>
    <x v="94"/>
    <x v="1"/>
    <n v="830057687"/>
    <x v="94"/>
    <s v="PJ"/>
    <s v="N"/>
    <n v="6351600"/>
    <n v="0"/>
    <n v="6351600"/>
    <n v="0"/>
    <n v="0"/>
    <n v="6351600"/>
    <n v="698676"/>
    <n v="61356.455999999998"/>
    <n v="0"/>
    <n v="5591567.5439999998"/>
    <n v="0"/>
    <m/>
    <x v="3"/>
    <x v="2"/>
  </r>
  <r>
    <n v="190"/>
    <s v="P-1218"/>
    <x v="96"/>
    <s v="NC31"/>
    <x v="95"/>
    <x v="1"/>
    <n v="830057687"/>
    <x v="94"/>
    <s v="PJ"/>
    <s v="N"/>
    <n v="-500000"/>
    <n v="-95000"/>
    <n v="-595000"/>
    <n v="500000"/>
    <n v="0"/>
    <n v="-1095000"/>
    <n v="-55000"/>
    <n v="-4830"/>
    <n v="0"/>
    <n v="-1035170"/>
    <n v="0"/>
    <m/>
    <x v="4"/>
    <x v="2"/>
  </r>
  <r>
    <n v="190"/>
    <s v="P-1178"/>
    <x v="93"/>
    <s v="TIS-1184"/>
    <x v="92"/>
    <x v="0"/>
    <n v="900013039"/>
    <x v="95"/>
    <s v="PJ"/>
    <s v="N"/>
    <n v="-500000"/>
    <n v="-95000"/>
    <n v="-595000"/>
    <n v="500000"/>
    <n v="0"/>
    <n v="-1095000"/>
    <n v="-55000"/>
    <n v="-4830"/>
    <n v="0"/>
    <n v="-1035170"/>
    <n v="-595000"/>
    <m/>
    <x v="3"/>
    <x v="2"/>
  </r>
  <r>
    <n v="191"/>
    <s v="P-1179"/>
    <x v="97"/>
    <s v="TIS-1126"/>
    <x v="96"/>
    <x v="1"/>
    <n v="830086023"/>
    <x v="55"/>
    <s v="PJ"/>
    <s v="N"/>
    <n v="5616000"/>
    <n v="1067040"/>
    <n v="6683040"/>
    <n v="0"/>
    <n v="0"/>
    <n v="6683040"/>
    <n v="617760"/>
    <n v="54250.559999999998"/>
    <n v="0"/>
    <n v="6011029.4400000004"/>
    <n v="0"/>
    <m/>
    <x v="3"/>
    <x v="2"/>
  </r>
  <r>
    <n v="192"/>
    <s v="P-1180"/>
    <x v="98"/>
    <s v="NC15"/>
    <x v="50"/>
    <x v="1"/>
    <n v="830086023"/>
    <x v="55"/>
    <s v="PJ"/>
    <s v="N"/>
    <n v="-5616000"/>
    <n v="-1067040"/>
    <n v="-6683040"/>
    <n v="0"/>
    <n v="0"/>
    <n v="-6683040"/>
    <n v="-617760"/>
    <n v="-54250.559999999998"/>
    <n v="0"/>
    <n v="-6011029.4400000004"/>
    <n v="0"/>
    <m/>
    <x v="3"/>
    <x v="2"/>
  </r>
  <r>
    <n v="193"/>
    <s v="P-1181"/>
    <x v="72"/>
    <s v="TIS-1128"/>
    <x v="71"/>
    <x v="1"/>
    <n v="860012357"/>
    <x v="51"/>
    <s v="PJ"/>
    <s v="N"/>
    <n v="14875000"/>
    <n v="2826250"/>
    <n v="17701250"/>
    <n v="0"/>
    <n v="0"/>
    <n v="17701250"/>
    <n v="1636250"/>
    <n v="143692.5"/>
    <n v="0"/>
    <n v="15921307.5"/>
    <n v="0"/>
    <m/>
    <x v="3"/>
    <x v="2"/>
  </r>
  <r>
    <n v="194"/>
    <s v="P-1182"/>
    <x v="75"/>
    <s v="NC16"/>
    <x v="74"/>
    <x v="1"/>
    <n v="860012357"/>
    <x v="51"/>
    <s v="PJ"/>
    <s v="N"/>
    <n v="-14875000"/>
    <n v="-2826250"/>
    <n v="-17701250"/>
    <n v="0"/>
    <n v="0"/>
    <n v="-17701250"/>
    <n v="-1636250"/>
    <n v="-143692.5"/>
    <n v="0"/>
    <n v="-15921307.5"/>
    <n v="0"/>
    <m/>
    <x v="3"/>
    <x v="2"/>
  </r>
  <r>
    <n v="195"/>
    <s v="P-1183"/>
    <x v="99"/>
    <s v="TIS-1141"/>
    <x v="58"/>
    <x v="1"/>
    <n v="860012357"/>
    <x v="51"/>
    <s v="PJ"/>
    <s v="N"/>
    <n v="10350000"/>
    <n v="1966500"/>
    <n v="12316500"/>
    <n v="0"/>
    <n v="0"/>
    <n v="12316500"/>
    <n v="1138500"/>
    <n v="99981"/>
    <n v="0"/>
    <n v="11078019"/>
    <n v="0"/>
    <m/>
    <x v="3"/>
    <x v="2"/>
  </r>
  <r>
    <n v="196"/>
    <s v="P-1184"/>
    <x v="99"/>
    <s v="NC18"/>
    <x v="58"/>
    <x v="1"/>
    <n v="860012357"/>
    <x v="51"/>
    <s v="PJ"/>
    <s v="N"/>
    <n v="-10350000"/>
    <n v="-1966500"/>
    <n v="-12316500"/>
    <n v="0"/>
    <n v="0"/>
    <n v="-12316500"/>
    <n v="-1138500"/>
    <n v="-99981"/>
    <n v="0"/>
    <n v="-11078019"/>
    <n v="0"/>
    <m/>
    <x v="3"/>
    <x v="2"/>
  </r>
  <r>
    <n v="197"/>
    <s v="P-1185"/>
    <x v="77"/>
    <s v="TIS-1143"/>
    <x v="70"/>
    <x v="1"/>
    <n v="860012357"/>
    <x v="51"/>
    <s v="PJ"/>
    <s v="N"/>
    <n v="10350000"/>
    <n v="1966500"/>
    <n v="12316500"/>
    <n v="0"/>
    <n v="0"/>
    <n v="12316500"/>
    <n v="1138500"/>
    <n v="99981"/>
    <n v="0"/>
    <n v="11078019"/>
    <n v="0"/>
    <m/>
    <x v="3"/>
    <x v="2"/>
  </r>
  <r>
    <n v="198"/>
    <s v="P-1186"/>
    <x v="77"/>
    <s v="NC19"/>
    <x v="70"/>
    <x v="1"/>
    <n v="860012357"/>
    <x v="51"/>
    <s v="PJ"/>
    <s v="N"/>
    <n v="-10350000"/>
    <n v="-1966500"/>
    <n v="-12316500"/>
    <n v="0"/>
    <n v="0"/>
    <n v="-12316500"/>
    <n v="-1138500"/>
    <n v="-99981"/>
    <n v="0"/>
    <n v="-11078019"/>
    <n v="0"/>
    <m/>
    <x v="3"/>
    <x v="2"/>
  </r>
  <r>
    <n v="199"/>
    <s v="P-1187"/>
    <x v="100"/>
    <s v="TIS-1151"/>
    <x v="97"/>
    <x v="1"/>
    <n v="860002964"/>
    <x v="71"/>
    <s v="PJ"/>
    <s v="N"/>
    <n v="22800000"/>
    <n v="4332000"/>
    <n v="27132000"/>
    <n v="0"/>
    <n v="0"/>
    <n v="27132000"/>
    <n v="2508000"/>
    <n v="220248"/>
    <n v="0"/>
    <n v="24403752"/>
    <n v="0"/>
    <s v="NC22"/>
    <x v="3"/>
    <x v="2"/>
  </r>
  <r>
    <n v="200"/>
    <s v="P-1188"/>
    <x v="80"/>
    <s v="NC22"/>
    <x v="87"/>
    <x v="1"/>
    <n v="860002964"/>
    <x v="71"/>
    <s v="PJ"/>
    <s v="N"/>
    <n v="-22800000"/>
    <n v="-4332000"/>
    <n v="-27132000"/>
    <n v="0"/>
    <n v="0"/>
    <n v="-27132000"/>
    <n v="-2508000"/>
    <n v="-220248"/>
    <n v="0"/>
    <n v="-24403752"/>
    <n v="0"/>
    <s v="Tis-1151"/>
    <x v="3"/>
    <x v="2"/>
  </r>
  <r>
    <n v="201"/>
    <s v="P-1189"/>
    <x v="101"/>
    <s v="TIS-1152"/>
    <x v="98"/>
    <x v="1"/>
    <n v="830078222"/>
    <x v="83"/>
    <s v="PJ"/>
    <s v="N"/>
    <n v="225000"/>
    <n v="42750"/>
    <n v="267750"/>
    <n v="0"/>
    <n v="0"/>
    <n v="267750"/>
    <n v="24750"/>
    <n v="2173.5"/>
    <n v="0"/>
    <n v="240826.5"/>
    <n v="0"/>
    <m/>
    <x v="3"/>
    <x v="2"/>
  </r>
  <r>
    <n v="202"/>
    <s v="P-1190"/>
    <x v="101"/>
    <s v="NC20"/>
    <x v="98"/>
    <x v="1"/>
    <n v="830078222"/>
    <x v="83"/>
    <s v="PJ"/>
    <s v="N"/>
    <n v="-225000"/>
    <n v="-42750"/>
    <n v="-267750"/>
    <n v="0"/>
    <n v="0"/>
    <n v="-267750"/>
    <n v="-24750"/>
    <n v="-2173.5"/>
    <n v="0"/>
    <n v="-240826.5"/>
    <n v="0"/>
    <m/>
    <x v="3"/>
    <x v="2"/>
  </r>
  <r>
    <n v="203"/>
    <s v="P-1191"/>
    <x v="101"/>
    <s v="TIS-1154"/>
    <x v="98"/>
    <x v="1"/>
    <n v="830078222"/>
    <x v="83"/>
    <s v="PJ"/>
    <s v="N"/>
    <n v="225000"/>
    <n v="42750"/>
    <n v="267750"/>
    <n v="0"/>
    <n v="0"/>
    <n v="267750"/>
    <n v="24750"/>
    <n v="2173.5"/>
    <n v="0"/>
    <n v="240826.5"/>
    <n v="0"/>
    <m/>
    <x v="3"/>
    <x v="2"/>
  </r>
  <r>
    <n v="204"/>
    <s v="P-1192"/>
    <x v="102"/>
    <s v="TIS-1179"/>
    <x v="99"/>
    <x v="0"/>
    <n v="830078222"/>
    <x v="83"/>
    <s v="PJ"/>
    <s v="N"/>
    <n v="225000"/>
    <n v="42750"/>
    <n v="267750"/>
    <n v="241276"/>
    <n v="0"/>
    <n v="26474"/>
    <n v="24750"/>
    <n v="2173.5"/>
    <n v="0"/>
    <n v="-449.5"/>
    <n v="267750"/>
    <m/>
    <x v="3"/>
    <x v="2"/>
  </r>
  <r>
    <n v="205"/>
    <s v="P-1193"/>
    <x v="102"/>
    <s v="NC25"/>
    <x v="99"/>
    <x v="1"/>
    <n v="830078222"/>
    <x v="83"/>
    <s v="PJ"/>
    <s v="N"/>
    <n v="-225000"/>
    <n v="-42750"/>
    <n v="-267750"/>
    <n v="0"/>
    <n v="0"/>
    <n v="-267750"/>
    <n v="-24750"/>
    <n v="-2173.5"/>
    <n v="0"/>
    <n v="-240826.5"/>
    <n v="0"/>
    <m/>
    <x v="3"/>
    <x v="2"/>
  </r>
  <r>
    <n v="206"/>
    <s v="P-1194"/>
    <x v="103"/>
    <s v="TIS-1177"/>
    <x v="100"/>
    <x v="0"/>
    <n v="55158870"/>
    <x v="96"/>
    <s v="PN"/>
    <s v="N"/>
    <n v="200000"/>
    <n v="0"/>
    <n v="200000"/>
    <n v="200000"/>
    <n v="0"/>
    <n v="0"/>
    <n v="0"/>
    <n v="0"/>
    <n v="0"/>
    <n v="0"/>
    <n v="200000"/>
    <m/>
    <x v="3"/>
    <x v="2"/>
  </r>
  <r>
    <n v="207"/>
    <s v="P-1195"/>
    <x v="89"/>
    <s v="TIS-1167"/>
    <x v="79"/>
    <x v="0"/>
    <n v="800182918"/>
    <x v="43"/>
    <s v="PJ"/>
    <s v="N"/>
    <n v="450000"/>
    <n v="85500"/>
    <n v="535500"/>
    <n v="486000"/>
    <n v="0"/>
    <n v="49500"/>
    <n v="49500"/>
    <n v="4347"/>
    <n v="0"/>
    <n v="-4347"/>
    <n v="535500"/>
    <m/>
    <x v="3"/>
    <x v="2"/>
  </r>
  <r>
    <n v="208"/>
    <s v="P-1196"/>
    <x v="96"/>
    <s v="Tis-1189"/>
    <x v="101"/>
    <x v="0"/>
    <n v="900641244"/>
    <x v="58"/>
    <s v="PJ"/>
    <s v="N"/>
    <n v="1446666"/>
    <n v="274866.53999999998"/>
    <n v="1721532.54"/>
    <n v="1552420"/>
    <n v="0"/>
    <n v="169112.54000000004"/>
    <n v="159133.26"/>
    <n v="13974.79356"/>
    <n v="0"/>
    <n v="-3995.5135599999721"/>
    <n v="1721532.54"/>
    <m/>
    <x v="3"/>
    <x v="2"/>
  </r>
  <r>
    <n v="209"/>
    <s v="P-1197"/>
    <x v="96"/>
    <s v="Tis-1188"/>
    <x v="101"/>
    <x v="0"/>
    <n v="901030518"/>
    <x v="32"/>
    <s v="PJ"/>
    <s v="N"/>
    <n v="966000"/>
    <n v="0"/>
    <n v="966000"/>
    <n v="966000"/>
    <n v="0"/>
    <n v="0"/>
    <n v="0"/>
    <n v="0"/>
    <n v="0"/>
    <n v="0"/>
    <n v="966000"/>
    <m/>
    <x v="3"/>
    <x v="2"/>
  </r>
  <r>
    <n v="210"/>
    <s v="P-1198"/>
    <x v="96"/>
    <s v="Tis-1190"/>
    <x v="101"/>
    <x v="1"/>
    <n v="900396116"/>
    <x v="44"/>
    <s v="PJ"/>
    <s v="N"/>
    <n v="800000"/>
    <n v="0"/>
    <n v="800000"/>
    <n v="0"/>
    <n v="0"/>
    <n v="800000"/>
    <n v="88000"/>
    <n v="7728"/>
    <n v="0"/>
    <n v="704272"/>
    <n v="0"/>
    <m/>
    <x v="3"/>
    <x v="2"/>
  </r>
  <r>
    <n v="211"/>
    <s v="P-1199"/>
    <x v="104"/>
    <s v="Tis-1187"/>
    <x v="102"/>
    <x v="1"/>
    <n v="901034790"/>
    <x v="97"/>
    <s v="PJ"/>
    <s v="N"/>
    <n v="6241166"/>
    <n v="1185821.54"/>
    <n v="7426987.54"/>
    <n v="0"/>
    <n v="0"/>
    <n v="7426987.54"/>
    <n v="686528.26"/>
    <n v="60289.663560000001"/>
    <n v="0"/>
    <n v="6680169.61644"/>
    <n v="0"/>
    <m/>
    <x v="3"/>
    <x v="2"/>
  </r>
  <r>
    <n v="212"/>
    <s v="P-1200"/>
    <x v="104"/>
    <s v="Tis-1192"/>
    <x v="101"/>
    <x v="0"/>
    <n v="860009161"/>
    <x v="98"/>
    <s v="PJ"/>
    <s v="N"/>
    <n v="1566000"/>
    <n v="297540"/>
    <n v="1863540"/>
    <n v="1677718"/>
    <n v="0"/>
    <n v="185822"/>
    <n v="172260"/>
    <n v="15127.56"/>
    <n v="0"/>
    <n v="-1565.5599999999995"/>
    <n v="1863540"/>
    <m/>
    <x v="3"/>
    <x v="2"/>
  </r>
  <r>
    <n v="213"/>
    <s v="P-1201"/>
    <x v="105"/>
    <s v="Tis-1191"/>
    <x v="102"/>
    <x v="1"/>
    <n v="860002964"/>
    <x v="71"/>
    <s v="PJ"/>
    <s v="N"/>
    <n v="22800000"/>
    <n v="4332000"/>
    <n v="27132000"/>
    <n v="0"/>
    <n v="0"/>
    <n v="27132000"/>
    <n v="2508000"/>
    <n v="220248"/>
    <n v="0"/>
    <n v="24403752"/>
    <n v="0"/>
    <m/>
    <x v="3"/>
    <x v="2"/>
  </r>
  <r>
    <n v="214"/>
    <s v="P-1202"/>
    <x v="106"/>
    <s v="NC27"/>
    <x v="103"/>
    <x v="1"/>
    <n v="860002964"/>
    <x v="71"/>
    <s v="PJ"/>
    <s v="N"/>
    <n v="-22800000"/>
    <n v="-4332000"/>
    <n v="-27132000"/>
    <n v="0"/>
    <n v="0"/>
    <n v="-27132000"/>
    <n v="-2508000"/>
    <n v="-220248"/>
    <n v="0"/>
    <n v="-24403752"/>
    <n v="0"/>
    <m/>
    <x v="3"/>
    <x v="2"/>
  </r>
  <r>
    <n v="215"/>
    <s v="P-1203"/>
    <x v="106"/>
    <s v="Tis-1196"/>
    <x v="103"/>
    <x v="0"/>
    <n v="860002964"/>
    <x v="71"/>
    <s v="PJ"/>
    <s v="N"/>
    <n v="21640800"/>
    <n v="4111752"/>
    <n v="25752552"/>
    <n v="24082747.870000001"/>
    <n v="0"/>
    <n v="1669804.129999999"/>
    <n v="2380488"/>
    <n v="209050.128"/>
    <n v="0"/>
    <n v="-919733.99800000107"/>
    <n v="25752552"/>
    <m/>
    <x v="3"/>
    <x v="2"/>
  </r>
  <r>
    <n v="216"/>
    <s v="P-1204"/>
    <x v="107"/>
    <s v="TIS-1193"/>
    <x v="104"/>
    <x v="0"/>
    <n v="830017648"/>
    <x v="99"/>
    <s v="PJ"/>
    <s v="N"/>
    <n v="2280000"/>
    <n v="433200"/>
    <n v="2713200"/>
    <n v="2377675"/>
    <n v="62700.200000000186"/>
    <n v="335525"/>
    <n v="250800"/>
    <n v="22024.799999999999"/>
    <n v="0"/>
    <n v="62700.2"/>
    <n v="2650499.7999999998"/>
    <m/>
    <x v="3"/>
    <x v="3"/>
  </r>
  <r>
    <n v="217"/>
    <s v="P-1205"/>
    <x v="107"/>
    <s v="TIS-1194"/>
    <x v="105"/>
    <x v="0"/>
    <n v="900499402"/>
    <x v="75"/>
    <s v="PJ"/>
    <s v="N"/>
    <n v="650000"/>
    <n v="123500"/>
    <n v="773500"/>
    <n v="741221"/>
    <n v="0"/>
    <n v="32279"/>
    <n v="71500"/>
    <n v="6279"/>
    <n v="0"/>
    <n v="-45500"/>
    <n v="773500"/>
    <m/>
    <x v="3"/>
    <x v="3"/>
  </r>
  <r>
    <n v="218"/>
    <s v="P-1206"/>
    <x v="107"/>
    <s v="TIS-1195"/>
    <x v="103"/>
    <x v="0"/>
    <n v="830026741"/>
    <x v="100"/>
    <s v="PJ"/>
    <s v="N"/>
    <n v="8200000"/>
    <n v="1558000"/>
    <n v="9758000"/>
    <n v="8856000"/>
    <n v="0"/>
    <n v="902000"/>
    <n v="902000"/>
    <n v="79212"/>
    <n v="0"/>
    <n v="-79212"/>
    <n v="9758000"/>
    <m/>
    <x v="3"/>
    <x v="3"/>
  </r>
  <r>
    <n v="219"/>
    <s v="P-1207"/>
    <x v="107"/>
    <s v="TIS-1197"/>
    <x v="106"/>
    <x v="0"/>
    <n v="900448599"/>
    <x v="101"/>
    <s v="PJ"/>
    <s v="N"/>
    <n v="620000"/>
    <n v="117800"/>
    <n v="737800"/>
    <n v="708722"/>
    <n v="0"/>
    <n v="29078"/>
    <n v="68200"/>
    <n v="5989.2"/>
    <n v="0"/>
    <n v="-45111.199999999997"/>
    <n v="737800"/>
    <m/>
    <x v="3"/>
    <x v="3"/>
  </r>
  <r>
    <n v="220"/>
    <s v="P-1208"/>
    <x v="107"/>
    <s v="TIS-1198"/>
    <x v="106"/>
    <x v="0"/>
    <n v="900245701"/>
    <x v="102"/>
    <s v="PJ"/>
    <s v="N"/>
    <n v="1200000"/>
    <n v="228000"/>
    <n v="1428000"/>
    <n v="1368448"/>
    <n v="0"/>
    <n v="59552"/>
    <n v="132000"/>
    <n v="11592"/>
    <n v="0"/>
    <n v="-84040"/>
    <n v="1428000"/>
    <m/>
    <x v="3"/>
    <x v="3"/>
  </r>
  <r>
    <n v="221"/>
    <s v="P-1209"/>
    <x v="107"/>
    <s v="TIS-1199"/>
    <x v="107"/>
    <x v="0"/>
    <n v="900022013"/>
    <x v="23"/>
    <s v="PJ"/>
    <s v="N"/>
    <n v="3250000"/>
    <n v="617500"/>
    <n v="3867500"/>
    <n v="3487575"/>
    <n v="0"/>
    <n v="379925"/>
    <n v="357500"/>
    <n v="31395"/>
    <n v="0"/>
    <n v="-8970"/>
    <n v="3867500"/>
    <m/>
    <x v="3"/>
    <x v="3"/>
  </r>
  <r>
    <n v="222"/>
    <s v="P-1210"/>
    <x v="107"/>
    <s v="TIS-1204"/>
    <x v="108"/>
    <x v="0"/>
    <n v="830078301"/>
    <x v="103"/>
    <s v="PJ"/>
    <s v="N"/>
    <n v="696000"/>
    <n v="132240"/>
    <n v="828240"/>
    <n v="621754"/>
    <n v="123202.64000000001"/>
    <n v="206486"/>
    <n v="76560"/>
    <n v="6723.3600000000006"/>
    <n v="0"/>
    <n v="123202.64"/>
    <n v="705037.36"/>
    <m/>
    <x v="3"/>
    <x v="3"/>
  </r>
  <r>
    <n v="223"/>
    <s v="P-1211"/>
    <x v="107"/>
    <s v="TIS-1200"/>
    <x v="107"/>
    <x v="0"/>
    <n v="901218098"/>
    <x v="33"/>
    <s v="PJ"/>
    <s v="N"/>
    <n v="3250000"/>
    <n v="617500"/>
    <n v="3867500"/>
    <n v="3487575"/>
    <n v="0"/>
    <n v="379925"/>
    <n v="357500"/>
    <n v="31395"/>
    <n v="0"/>
    <n v="-8970"/>
    <n v="3867500"/>
    <m/>
    <x v="3"/>
    <x v="3"/>
  </r>
  <r>
    <n v="224"/>
    <s v="P-1212"/>
    <x v="107"/>
    <s v="TIS-1201"/>
    <x v="109"/>
    <x v="1"/>
    <n v="860006628"/>
    <x v="104"/>
    <s v="PJ"/>
    <s v="N"/>
    <n v="9000000"/>
    <n v="1710000"/>
    <n v="10710000"/>
    <n v="0"/>
    <n v="0"/>
    <n v="10710000"/>
    <n v="990000"/>
    <n v="86940"/>
    <n v="0"/>
    <n v="9633060"/>
    <n v="0"/>
    <m/>
    <x v="3"/>
    <x v="3"/>
  </r>
  <r>
    <n v="225"/>
    <s v="P-1213"/>
    <x v="107"/>
    <s v="NC32"/>
    <x v="110"/>
    <x v="1"/>
    <n v="860006628"/>
    <x v="104"/>
    <s v="PJ"/>
    <s v="N"/>
    <n v="-9000000"/>
    <n v="-1710000"/>
    <n v="-10710000"/>
    <n v="0"/>
    <n v="0"/>
    <n v="-10710000"/>
    <n v="-990000"/>
    <n v="-86940"/>
    <n v="0"/>
    <n v="-9633060"/>
    <n v="0"/>
    <m/>
    <x v="4"/>
    <x v="3"/>
  </r>
  <r>
    <n v="226"/>
    <s v="P-1214"/>
    <x v="107"/>
    <s v="TIS-1205"/>
    <x v="110"/>
    <x v="0"/>
    <n v="860006628"/>
    <x v="104"/>
    <s v="PJ"/>
    <s v="S"/>
    <n v="9000000"/>
    <n v="1710000"/>
    <n v="10710000"/>
    <n v="9401400"/>
    <n v="0"/>
    <n v="1308600"/>
    <n v="990000"/>
    <n v="86940"/>
    <n v="256500"/>
    <n v="-24840"/>
    <n v="10710000"/>
    <m/>
    <x v="4"/>
    <x v="3"/>
  </r>
  <r>
    <n v="227"/>
    <s v="P-1215"/>
    <x v="107"/>
    <s v="TIS-1202"/>
    <x v="108"/>
    <x v="0"/>
    <n v="900396116"/>
    <x v="44"/>
    <s v="PJ"/>
    <s v="N"/>
    <n v="800000"/>
    <n v="0"/>
    <n v="800000"/>
    <n v="704272"/>
    <n v="0"/>
    <n v="95728"/>
    <n v="88000"/>
    <n v="7728"/>
    <n v="0"/>
    <n v="0"/>
    <n v="800000"/>
    <m/>
    <x v="3"/>
    <x v="3"/>
  </r>
  <r>
    <n v="228"/>
    <s v="P-1216"/>
    <x v="107"/>
    <s v="TIS-1203"/>
    <x v="108"/>
    <x v="0"/>
    <n v="830105194"/>
    <x v="105"/>
    <s v="PJ"/>
    <s v="N"/>
    <n v="456000"/>
    <n v="86640"/>
    <n v="542640"/>
    <n v="695098"/>
    <n v="0"/>
    <n v="-152458"/>
    <n v="50160"/>
    <n v="4404.96"/>
    <n v="0"/>
    <n v="-207022.96"/>
    <n v="542640"/>
    <m/>
    <x v="3"/>
    <x v="3"/>
  </r>
  <r>
    <n v="229"/>
    <s v="P-1217"/>
    <x v="107"/>
    <s v="TIS-1206"/>
    <x v="110"/>
    <x v="0"/>
    <n v="900159244"/>
    <x v="20"/>
    <s v="PJ"/>
    <s v="N"/>
    <n v="450000"/>
    <n v="85500"/>
    <n v="535500"/>
    <n v="416500"/>
    <n v="65153"/>
    <n v="119000"/>
    <n v="49500"/>
    <n v="4347"/>
    <n v="0"/>
    <n v="65153"/>
    <n v="470347"/>
    <m/>
    <x v="4"/>
    <x v="3"/>
  </r>
  <r>
    <n v="231"/>
    <s v="P-1219"/>
    <x v="108"/>
    <s v="TIS-1207"/>
    <x v="68"/>
    <x v="0"/>
    <n v="900047626"/>
    <x v="106"/>
    <s v="PJ"/>
    <s v="N"/>
    <n v="975000"/>
    <n v="137750"/>
    <n v="1112750"/>
    <n v="1647147"/>
    <n v="0"/>
    <n v="-534397"/>
    <n v="107250"/>
    <n v="9418.5"/>
    <n v="0"/>
    <n v="-651065.5"/>
    <n v="1112750"/>
    <m/>
    <x v="4"/>
    <x v="3"/>
  </r>
  <r>
    <n v="232"/>
    <s v="P-1220"/>
    <x v="108"/>
    <s v="TIS-1213"/>
    <x v="111"/>
    <x v="0"/>
    <n v="860505170"/>
    <x v="107"/>
    <s v="PJ"/>
    <s v="S"/>
    <n v="37912000"/>
    <n v="7203280"/>
    <n v="45115280"/>
    <n v="39536150"/>
    <n v="7.9999998211860657E-2"/>
    <n v="5579130"/>
    <n v="4170320"/>
    <n v="328317.92"/>
    <n v="1080492"/>
    <n v="8.0000000074505806E-2"/>
    <n v="45115279.920000002"/>
    <m/>
    <x v="4"/>
    <x v="3"/>
  </r>
  <r>
    <n v="233"/>
    <s v="P-1221"/>
    <x v="109"/>
    <s v="TIS-1209"/>
    <x v="112"/>
    <x v="0"/>
    <n v="830064224"/>
    <x v="108"/>
    <s v="PJ"/>
    <s v="N"/>
    <n v="600000"/>
    <n v="114000"/>
    <n v="714000"/>
    <n v="570204"/>
    <n v="72000"/>
    <n v="143796"/>
    <n v="66000"/>
    <n v="5796"/>
    <n v="0"/>
    <n v="72000"/>
    <n v="642000"/>
    <m/>
    <x v="4"/>
    <x v="3"/>
  </r>
  <r>
    <n v="234"/>
    <s v="P-1222"/>
    <x v="110"/>
    <s v="TIS-1210"/>
    <x v="113"/>
    <x v="0"/>
    <n v="901034790"/>
    <x v="97"/>
    <s v="PJ"/>
    <s v="N"/>
    <n v="6241166"/>
    <n v="1185821.54"/>
    <n v="7426987.54"/>
    <n v="6951661"/>
    <n v="0"/>
    <n v="475326.54000000004"/>
    <n v="686528.26"/>
    <n v="60289.663560000001"/>
    <n v="0"/>
    <n v="-271491.38355999999"/>
    <n v="7426987.54"/>
    <m/>
    <x v="4"/>
    <x v="3"/>
  </r>
  <r>
    <n v="235"/>
    <s v="P-1223"/>
    <x v="111"/>
    <s v="TIS-1211"/>
    <x v="114"/>
    <x v="0"/>
    <n v="900396116"/>
    <x v="44"/>
    <s v="PJ"/>
    <s v="N"/>
    <n v="600000"/>
    <n v="114000"/>
    <n v="714000"/>
    <n v="642204"/>
    <n v="0"/>
    <n v="71796"/>
    <n v="66000"/>
    <n v="5796"/>
    <n v="0"/>
    <n v="0"/>
    <n v="714000"/>
    <m/>
    <x v="4"/>
    <x v="3"/>
  </r>
  <r>
    <n v="236"/>
    <s v="P-1224"/>
    <x v="111"/>
    <s v="TIS-1212"/>
    <x v="114"/>
    <x v="0"/>
    <n v="800028768"/>
    <x v="13"/>
    <s v="PJ"/>
    <s v="N"/>
    <n v="520000"/>
    <n v="0"/>
    <n v="520000"/>
    <n v="458501"/>
    <n v="0"/>
    <n v="61499"/>
    <n v="57200"/>
    <n v="5023.2"/>
    <n v="0"/>
    <n v="-724.19999999999982"/>
    <n v="520000"/>
    <m/>
    <x v="4"/>
    <x v="3"/>
  </r>
  <r>
    <n v="237"/>
    <s v="P-1225"/>
    <x v="112"/>
    <s v="TIS-1214"/>
    <x v="115"/>
    <x v="0"/>
    <n v="830057687"/>
    <x v="94"/>
    <s v="PJ"/>
    <s v="N"/>
    <n v="6351600"/>
    <n v="0"/>
    <n v="6351600"/>
    <n v="5597919"/>
    <n v="0"/>
    <n v="753681"/>
    <n v="698676"/>
    <n v="61356.455999999998"/>
    <n v="0"/>
    <n v="-6351.4559999999983"/>
    <n v="6351600"/>
    <s v="HP"/>
    <x v="4"/>
    <x v="3"/>
  </r>
  <r>
    <n v="238"/>
    <s v="P-1226"/>
    <x v="112"/>
    <s v="TIS-1215"/>
    <x v="115"/>
    <x v="0"/>
    <n v="900396116"/>
    <x v="44"/>
    <s v="PJ"/>
    <s v="N"/>
    <n v="300000"/>
    <n v="57000"/>
    <n v="357000"/>
    <n v="321102"/>
    <n v="0"/>
    <n v="35898"/>
    <n v="33000"/>
    <n v="2898"/>
    <n v="0"/>
    <n v="0"/>
    <n v="357000"/>
    <m/>
    <x v="4"/>
    <x v="3"/>
  </r>
  <r>
    <n v="239"/>
    <s v="P-1227"/>
    <x v="112"/>
    <s v="TIS-1216"/>
    <x v="115"/>
    <x v="0"/>
    <n v="901030518"/>
    <x v="32"/>
    <s v="PJ"/>
    <s v="N"/>
    <n v="644000"/>
    <n v="0"/>
    <n v="644000"/>
    <n v="644000"/>
    <n v="0"/>
    <n v="0"/>
    <n v="0"/>
    <n v="0"/>
    <n v="0"/>
    <n v="0"/>
    <n v="644000"/>
    <m/>
    <x v="4"/>
    <x v="3"/>
  </r>
  <r>
    <n v="240"/>
    <s v="P-1228"/>
    <x v="112"/>
    <s v="TIS-1218"/>
    <x v="115"/>
    <x v="0"/>
    <n v="900641244"/>
    <x v="58"/>
    <s v="PJ"/>
    <s v="N"/>
    <n v="1446666"/>
    <n v="0"/>
    <n v="1446666"/>
    <n v="1723268"/>
    <n v="0"/>
    <n v="-276602"/>
    <n v="159133.26"/>
    <n v="13974.79356"/>
    <n v="0"/>
    <n v="-449710.05356000003"/>
    <n v="1446666"/>
    <m/>
    <x v="4"/>
    <x v="3"/>
  </r>
  <r>
    <n v="241"/>
    <s v="P-1229"/>
    <x v="113"/>
    <s v="TIS-1219"/>
    <x v="116"/>
    <x v="0"/>
    <n v="900355950"/>
    <x v="35"/>
    <s v="PJ"/>
    <s v="N"/>
    <n v="503000"/>
    <n v="0"/>
    <n v="503000"/>
    <n v="503000"/>
    <n v="0"/>
    <n v="0"/>
    <n v="0"/>
    <n v="0"/>
    <n v="0"/>
    <n v="0"/>
    <n v="503000"/>
    <m/>
    <x v="4"/>
    <x v="3"/>
  </r>
  <r>
    <n v="242"/>
    <s v="P-1230"/>
    <x v="114"/>
    <s v="TIS-1220"/>
    <x v="117"/>
    <x v="0"/>
    <n v="900396116"/>
    <x v="44"/>
    <s v="PJ"/>
    <s v="N"/>
    <n v="3920000"/>
    <n v="0"/>
    <n v="3920000"/>
    <n v="3554371"/>
    <n v="0"/>
    <n v="365629"/>
    <n v="431200"/>
    <n v="37867.199999999997"/>
    <n v="0"/>
    <n v="-103438.2"/>
    <n v="3920000"/>
    <m/>
    <x v="4"/>
    <x v="3"/>
  </r>
  <r>
    <n v="243"/>
    <s v="P-1231"/>
    <x v="115"/>
    <s v="TIS-1221"/>
    <x v="118"/>
    <x v="0"/>
    <n v="900824665"/>
    <x v="109"/>
    <s v="PJ"/>
    <s v="N"/>
    <n v="360000"/>
    <n v="0"/>
    <n v="360000"/>
    <n v="342482"/>
    <n v="0"/>
    <n v="17518"/>
    <n v="39600"/>
    <n v="3477.6"/>
    <n v="0"/>
    <n v="-25559.599999999999"/>
    <n v="360000"/>
    <m/>
    <x v="4"/>
    <x v="3"/>
  </r>
  <r>
    <n v="244"/>
    <s v="P-1232"/>
    <x v="115"/>
    <s v="TIS-1222"/>
    <x v="118"/>
    <x v="0"/>
    <n v="901000847"/>
    <x v="110"/>
    <s v="PJ"/>
    <s v="N"/>
    <n v="522000"/>
    <n v="0"/>
    <n v="522000"/>
    <n v="464757.48"/>
    <n v="0"/>
    <n v="57242.520000000019"/>
    <n v="57420"/>
    <n v="5042.5200000000004"/>
    <n v="0"/>
    <n v="-5219.9999999999818"/>
    <n v="522000"/>
    <m/>
    <x v="4"/>
    <x v="3"/>
  </r>
  <r>
    <n v="245"/>
    <s v="P-1233"/>
    <x v="116"/>
    <s v="TIS-1223"/>
    <x v="118"/>
    <x v="0"/>
    <n v="900526437"/>
    <x v="111"/>
    <s v="PJ"/>
    <s v="N"/>
    <n v="1140000"/>
    <n v="0"/>
    <n v="1140000"/>
    <n v="1004728"/>
    <n v="0"/>
    <n v="135272"/>
    <n v="125400"/>
    <n v="11012.4"/>
    <n v="0"/>
    <n v="-1140.3999999999996"/>
    <n v="1140000"/>
    <m/>
    <x v="4"/>
    <x v="3"/>
  </r>
  <r>
    <n v="246"/>
    <s v="P-1234"/>
    <x v="117"/>
    <s v="TIS-1224 "/>
    <x v="119"/>
    <x v="0"/>
    <n v="830033212"/>
    <x v="69"/>
    <s v="PJ"/>
    <s v="N"/>
    <n v="1200000"/>
    <n v="228000"/>
    <n v="1428000"/>
    <n v="1287600"/>
    <n v="0"/>
    <n v="140400"/>
    <n v="132000"/>
    <n v="11592"/>
    <n v="0"/>
    <n v="-3192"/>
    <n v="1428000"/>
    <m/>
    <x v="4"/>
    <x v="3"/>
  </r>
  <r>
    <n v="247"/>
    <s v="P-1235"/>
    <x v="118"/>
    <s v="TIS-1225"/>
    <x v="120"/>
    <x v="0"/>
    <n v="900850933"/>
    <x v="112"/>
    <s v="PJ"/>
    <s v="N"/>
    <n v="570000"/>
    <n v="108300"/>
    <n v="678300"/>
    <n v="678300"/>
    <n v="0"/>
    <n v="0"/>
    <n v="0"/>
    <n v="0"/>
    <n v="0"/>
    <n v="0"/>
    <n v="678300"/>
    <m/>
    <x v="4"/>
    <x v="3"/>
  </r>
  <r>
    <n v="248"/>
    <s v="P-1236"/>
    <x v="119"/>
    <s v="TIS-1226 "/>
    <x v="121"/>
    <x v="0"/>
    <n v="900641244"/>
    <x v="58"/>
    <s v="PJ"/>
    <s v="N"/>
    <n v="723333"/>
    <n v="137433.26999999999"/>
    <n v="860766.27"/>
    <n v="831833"/>
    <n v="0"/>
    <n v="28933.270000000019"/>
    <n v="79566.63"/>
    <n v="6987.39678"/>
    <n v="0"/>
    <n v="-57620.756779999989"/>
    <n v="860766.27"/>
    <m/>
    <x v="4"/>
    <x v="3"/>
  </r>
  <r>
    <n v="249"/>
    <s v="P-1237"/>
    <x v="119"/>
    <s v="TIS-1227"/>
    <x v="121"/>
    <x v="0"/>
    <n v="900396116"/>
    <x v="44"/>
    <s v="PJ"/>
    <s v="N"/>
    <n v="300000"/>
    <n v="57000"/>
    <n v="357000"/>
    <n v="321102"/>
    <n v="0"/>
    <n v="35898"/>
    <n v="33000"/>
    <n v="2898"/>
    <n v="0"/>
    <n v="0"/>
    <n v="357000"/>
    <m/>
    <x v="4"/>
    <x v="3"/>
  </r>
  <r>
    <n v="250"/>
    <s v="P-1238"/>
    <x v="119"/>
    <s v="TIS-1228"/>
    <x v="121"/>
    <x v="0"/>
    <n v="800028768"/>
    <x v="13"/>
    <s v="PJ"/>
    <s v="N"/>
    <n v="260000"/>
    <n v="49400"/>
    <n v="309400"/>
    <n v="278899"/>
    <n v="0"/>
    <n v="30501"/>
    <n v="28600"/>
    <n v="2511.6"/>
    <n v="0"/>
    <n v="-610.59999999999991"/>
    <n v="309400"/>
    <m/>
    <x v="4"/>
    <x v="3"/>
  </r>
  <r>
    <n v="251"/>
    <s v="P-1239"/>
    <x v="119"/>
    <s v="TIS-1229"/>
    <x v="121"/>
    <x v="0"/>
    <n v="901030518"/>
    <x v="32"/>
    <s v="PJ"/>
    <s v="N"/>
    <n v="400000"/>
    <n v="0"/>
    <n v="400000"/>
    <n v="400000"/>
    <n v="0"/>
    <n v="0"/>
    <n v="0"/>
    <n v="0"/>
    <n v="0"/>
    <n v="0"/>
    <n v="400000"/>
    <m/>
    <x v="4"/>
    <x v="3"/>
  </r>
  <r>
    <n v="252"/>
    <s v="P-1240"/>
    <x v="119"/>
    <s v="TIS-1230"/>
    <x v="121"/>
    <x v="0"/>
    <n v="900454322"/>
    <x v="92"/>
    <s v="PJ"/>
    <s v="N"/>
    <n v="480000"/>
    <n v="91200"/>
    <n v="571200"/>
    <n v="547363"/>
    <n v="0"/>
    <n v="23837"/>
    <n v="52800"/>
    <n v="4636.8"/>
    <n v="0"/>
    <n v="-33599.800000000003"/>
    <n v="571200"/>
    <m/>
    <x v="4"/>
    <x v="3"/>
  </r>
  <r>
    <n v="253"/>
    <s v="P-1241"/>
    <x v="120"/>
    <s v="TIS-1231"/>
    <x v="122"/>
    <x v="1"/>
    <n v="860001999"/>
    <x v="113"/>
    <s v="PJ"/>
    <s v="N"/>
    <n v="12000000"/>
    <n v="2280000"/>
    <n v="14280000"/>
    <n v="0"/>
    <n v="0"/>
    <n v="14280000"/>
    <n v="1320000"/>
    <n v="115920"/>
    <n v="0"/>
    <n v="12844080"/>
    <n v="0"/>
    <m/>
    <x v="4"/>
    <x v="3"/>
  </r>
  <r>
    <n v="254"/>
    <s v="P-1242"/>
    <x v="121"/>
    <s v="TIS-1232"/>
    <x v="123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4"/>
    <x v="3"/>
  </r>
  <r>
    <n v="255"/>
    <s v="P-1243"/>
    <x v="122"/>
    <s v="TIS-1234"/>
    <x v="124"/>
    <x v="0"/>
    <n v="900232864"/>
    <x v="82"/>
    <s v="PJ"/>
    <s v="N"/>
    <n v="1116000"/>
    <n v="212040"/>
    <n v="1328040"/>
    <n v="1753615.44"/>
    <n v="0"/>
    <n v="-425575.43999999994"/>
    <n v="122760"/>
    <n v="10780.56"/>
    <n v="0"/>
    <n v="-559116"/>
    <n v="1328040"/>
    <m/>
    <x v="4"/>
    <x v="3"/>
  </r>
  <r>
    <n v="256"/>
    <s v="P-1244"/>
    <x v="123"/>
    <s v="TIS-1235"/>
    <x v="125"/>
    <x v="0"/>
    <n v="900505660"/>
    <x v="114"/>
    <s v="PJ"/>
    <s v="N"/>
    <n v="250000"/>
    <n v="47500"/>
    <n v="297500"/>
    <n v="748000"/>
    <n v="0"/>
    <n v="-450500"/>
    <n v="27500"/>
    <n v="2415"/>
    <n v="0"/>
    <n v="-480415"/>
    <n v="297500"/>
    <m/>
    <x v="4"/>
    <x v="3"/>
  </r>
  <r>
    <n v="257"/>
    <s v="P-1245"/>
    <x v="124"/>
    <s v="TIS-1236"/>
    <x v="126"/>
    <x v="0"/>
    <n v="830099436"/>
    <x v="115"/>
    <s v="PJ"/>
    <s v="N"/>
    <n v="2580000"/>
    <n v="490200"/>
    <n v="3070200"/>
    <n v="2944657.2"/>
    <n v="0"/>
    <n v="125542.79999999981"/>
    <n v="283800"/>
    <n v="24922.799999999999"/>
    <n v="0"/>
    <n v="-183180.00000000017"/>
    <n v="3070200"/>
    <m/>
    <x v="4"/>
    <x v="3"/>
  </r>
  <r>
    <n v="258"/>
    <s v="P-1246"/>
    <x v="125"/>
    <s v="TIS-1237"/>
    <x v="127"/>
    <x v="0"/>
    <n v="800028768"/>
    <x v="13"/>
    <s v="PJ"/>
    <s v="N"/>
    <n v="260000"/>
    <n v="49400"/>
    <n v="309400"/>
    <n v="385800"/>
    <n v="0"/>
    <n v="-76400"/>
    <n v="28600"/>
    <n v="2511.6"/>
    <n v="0"/>
    <n v="-107511.6"/>
    <n v="309400"/>
    <m/>
    <x v="4"/>
    <x v="3"/>
  </r>
  <r>
    <n v="259"/>
    <s v="P-1247"/>
    <x v="125"/>
    <s v="TIS-1238"/>
    <x v="127"/>
    <x v="0"/>
    <n v="901030518"/>
    <x v="32"/>
    <s v="PJ"/>
    <s v="N"/>
    <n v="400000"/>
    <n v="0"/>
    <n v="400000"/>
    <n v="400000"/>
    <n v="0"/>
    <n v="0"/>
    <n v="0"/>
    <n v="0"/>
    <n v="0"/>
    <n v="0"/>
    <n v="400000"/>
    <m/>
    <x v="4"/>
    <x v="3"/>
  </r>
  <r>
    <n v="260"/>
    <s v="P-1248"/>
    <x v="125"/>
    <s v="TIS-1239"/>
    <x v="127"/>
    <x v="0"/>
    <n v="900396116"/>
    <x v="44"/>
    <s v="PJ"/>
    <s v="N"/>
    <n v="300000"/>
    <n v="57000"/>
    <n v="357000"/>
    <n v="321102"/>
    <n v="0"/>
    <n v="35898"/>
    <n v="33000"/>
    <n v="2898"/>
    <n v="0"/>
    <n v="0"/>
    <n v="357000"/>
    <m/>
    <x v="4"/>
    <x v="3"/>
  </r>
  <r>
    <n v="261"/>
    <s v="P-1249"/>
    <x v="125"/>
    <s v="TIS-1240"/>
    <x v="127"/>
    <x v="0"/>
    <n v="901342609"/>
    <x v="116"/>
    <s v="PJ"/>
    <s v="N"/>
    <n v="175000"/>
    <n v="33250"/>
    <n v="208250"/>
    <n v="187310"/>
    <n v="0"/>
    <n v="20940"/>
    <n v="19250"/>
    <n v="1690.5"/>
    <n v="0"/>
    <n v="-0.5"/>
    <n v="208250"/>
    <m/>
    <x v="4"/>
    <x v="3"/>
  </r>
  <r>
    <n v="262"/>
    <s v="P-1250"/>
    <x v="125"/>
    <s v="TIS-1241"/>
    <x v="127"/>
    <x v="0"/>
    <n v="60090915"/>
    <x v="117"/>
    <e v="#N/A"/>
    <s v="N"/>
    <n v="18116800"/>
    <n v="3442192"/>
    <n v="21558992"/>
    <n v="20161100"/>
    <e v="#N/A"/>
    <n v="1397892"/>
    <e v="#N/A"/>
    <e v="#N/A"/>
    <n v="0"/>
    <e v="#N/A"/>
    <e v="#N/A"/>
    <m/>
    <x v="4"/>
    <x v="3"/>
  </r>
  <r>
    <n v="263"/>
    <s v="P-1251"/>
    <x v="126"/>
    <s v="TIS-1243"/>
    <x v="128"/>
    <x v="0"/>
    <n v="901005631"/>
    <x v="118"/>
    <s v="PJ"/>
    <s v="N"/>
    <n v="1125000"/>
    <n v="213750"/>
    <n v="1338750"/>
    <n v="1205257"/>
    <n v="0"/>
    <n v="133493"/>
    <n v="123750"/>
    <n v="10867.5"/>
    <n v="0"/>
    <n v="-1124.5"/>
    <n v="1338750"/>
    <m/>
    <x v="4"/>
    <x v="3"/>
  </r>
  <r>
    <n v="264"/>
    <s v="P-1252"/>
    <x v="126"/>
    <s v="TIS-1217"/>
    <x v="115"/>
    <x v="0"/>
    <n v="901342609"/>
    <x v="116"/>
    <s v="PJ"/>
    <s v="N"/>
    <n v="750000"/>
    <n v="0"/>
    <n v="750000"/>
    <n v="667500"/>
    <n v="0"/>
    <n v="82500"/>
    <n v="82500"/>
    <n v="7245"/>
    <n v="0"/>
    <n v="-7245"/>
    <n v="750000"/>
    <m/>
    <x v="4"/>
    <x v="3"/>
  </r>
  <r>
    <n v="265"/>
    <s v="P-1253"/>
    <x v="126"/>
    <s v="TIS-1233"/>
    <x v="129"/>
    <x v="0"/>
    <n v="901139486"/>
    <x v="119"/>
    <s v="PJ"/>
    <s v="N"/>
    <n v="750000"/>
    <n v="142500"/>
    <n v="892500"/>
    <n v="862500"/>
    <n v="0"/>
    <n v="30000"/>
    <n v="82500"/>
    <n v="7245"/>
    <n v="0"/>
    <n v="-59745"/>
    <n v="892500"/>
    <m/>
    <x v="4"/>
    <x v="3"/>
  </r>
  <r>
    <n v="266"/>
    <s v="P-1254"/>
    <x v="126"/>
    <s v="TIS-1245"/>
    <x v="128"/>
    <x v="0"/>
    <n v="830054076"/>
    <x v="120"/>
    <s v="PJ"/>
    <s v="S"/>
    <n v="6956800"/>
    <n v="1321792"/>
    <n v="8278592"/>
    <n v="7254829.3100000005"/>
    <n v="0"/>
    <n v="1023762.6899999995"/>
    <n v="765248"/>
    <n v="67202.687999999995"/>
    <n v="198268.79999999999"/>
    <n v="-6956.7980000005045"/>
    <n v="8278592"/>
    <m/>
    <x v="4"/>
    <x v="3"/>
  </r>
  <r>
    <n v="267"/>
    <s v="P-1255"/>
    <x v="126"/>
    <s v="TIS-1242"/>
    <x v="130"/>
    <x v="0"/>
    <n v="830057687"/>
    <x v="94"/>
    <s v="PJ"/>
    <s v="N"/>
    <n v="1110000"/>
    <n v="210900"/>
    <n v="1320900"/>
    <n v="1266887"/>
    <n v="0"/>
    <n v="54013"/>
    <n v="122100"/>
    <n v="10722.6"/>
    <n v="0"/>
    <n v="-78809.600000000006"/>
    <n v="1320900"/>
    <s v="MSD"/>
    <x v="4"/>
    <x v="3"/>
  </r>
  <r>
    <n v="268"/>
    <s v="P-1256"/>
    <x v="126"/>
    <s v="TIS-1244"/>
    <x v="128"/>
    <x v="1"/>
    <n v="830054076"/>
    <x v="120"/>
    <s v="PJ"/>
    <s v="N"/>
    <n v="6956800"/>
    <n v="0"/>
    <n v="6956800"/>
    <n v="0"/>
    <n v="0"/>
    <n v="6956800"/>
    <n v="765248"/>
    <n v="67202.687999999995"/>
    <n v="0"/>
    <n v="6124349.3119999999"/>
    <n v="0"/>
    <m/>
    <x v="4"/>
    <x v="3"/>
  </r>
  <r>
    <n v="269"/>
    <s v="P-1257"/>
    <x v="127"/>
    <m/>
    <x v="10"/>
    <x v="1"/>
    <n v="830066664"/>
    <x v="121"/>
    <s v="PJ"/>
    <s v="N"/>
    <n v="3146000"/>
    <n v="597740"/>
    <n v="3743740"/>
    <n v="0"/>
    <n v="0"/>
    <n v="3743740"/>
    <n v="346060"/>
    <n v="30390.36"/>
    <n v="0"/>
    <n v="3367289.64"/>
    <n v="0"/>
    <m/>
    <x v="1"/>
    <x v="3"/>
  </r>
  <r>
    <n v="270"/>
    <s v="P-1258"/>
    <x v="127"/>
    <m/>
    <x v="10"/>
    <x v="1"/>
    <n v="832000662"/>
    <x v="122"/>
    <s v="PJ"/>
    <s v="N"/>
    <n v="950000"/>
    <n v="180500"/>
    <n v="1130500"/>
    <n v="0"/>
    <n v="0"/>
    <n v="1130500"/>
    <n v="104500"/>
    <n v="9177"/>
    <n v="0"/>
    <n v="1016823"/>
    <n v="0"/>
    <m/>
    <x v="1"/>
    <x v="3"/>
  </r>
  <r>
    <n v="271"/>
    <s v="P-1259"/>
    <x v="128"/>
    <s v="NC-28"/>
    <x v="131"/>
    <x v="1"/>
    <n v="900396116"/>
    <x v="44"/>
    <s v="PJ"/>
    <s v="N"/>
    <n v="-800000"/>
    <n v="0"/>
    <n v="-800000"/>
    <n v="0"/>
    <n v="0"/>
    <n v="-800000"/>
    <n v="-88000"/>
    <n v="-7728"/>
    <n v="0"/>
    <n v="-704272"/>
    <n v="0"/>
    <s v="TIS-1190"/>
    <x v="4"/>
    <x v="3"/>
  </r>
  <r>
    <n v="272"/>
    <s v="P-1260"/>
    <x v="128"/>
    <s v="NC-29"/>
    <x v="132"/>
    <x v="1"/>
    <n v="901034790"/>
    <x v="97"/>
    <s v="PJ"/>
    <s v="N"/>
    <n v="-5496000"/>
    <n v="-1044240"/>
    <n v="-6540240"/>
    <n v="0"/>
    <n v="0"/>
    <n v="-6540240"/>
    <n v="-604560"/>
    <n v="-53091.360000000001"/>
    <n v="0"/>
    <n v="-5882588.6399999997"/>
    <n v="0"/>
    <s v="TIS-1187"/>
    <x v="4"/>
    <x v="3"/>
  </r>
  <r>
    <n v="273"/>
    <s v="P-1261"/>
    <x v="128"/>
    <s v="NC-30"/>
    <x v="133"/>
    <x v="0"/>
    <n v="901034790"/>
    <x v="97"/>
    <s v="PJ"/>
    <s v="N"/>
    <n v="-745166"/>
    <n v="-141581.54"/>
    <n v="-886747.54"/>
    <n v="0"/>
    <n v="0"/>
    <n v="-886747.54"/>
    <n v="-81968.259999999995"/>
    <n v="-7198.3035600000003"/>
    <n v="0"/>
    <n v="-797580.97644"/>
    <n v="0"/>
    <s v="TIS-1187"/>
    <x v="3"/>
    <x v="3"/>
  </r>
  <r>
    <n v="274"/>
    <s v="P-1262"/>
    <x v="128"/>
    <s v="NC-33"/>
    <x v="134"/>
    <x v="1"/>
    <n v="830054076"/>
    <x v="120"/>
    <s v="PJ"/>
    <s v="N"/>
    <n v="-6956800"/>
    <n v="-1321792"/>
    <n v="-8278592"/>
    <n v="0"/>
    <n v="0"/>
    <n v="-8278592"/>
    <n v="-765248"/>
    <n v="-67202.687999999995"/>
    <n v="0"/>
    <n v="-7446141.3119999999"/>
    <n v="0"/>
    <s v="TIS-1244"/>
    <x v="3"/>
    <x v="3"/>
  </r>
  <r>
    <n v="275"/>
    <s v="P-1263"/>
    <x v="129"/>
    <s v="TIS-1246"/>
    <x v="135"/>
    <x v="0"/>
    <n v="900430367"/>
    <x v="123"/>
    <s v="PJ"/>
    <s v="N"/>
    <n v="900000"/>
    <n v="171000"/>
    <n v="1071000"/>
    <n v="1035535"/>
    <n v="0"/>
    <n v="35465"/>
    <n v="99000"/>
    <n v="8694"/>
    <n v="0"/>
    <n v="-72229"/>
    <n v="1071000"/>
    <s v="TIS-1187"/>
    <x v="4"/>
    <x v="3"/>
  </r>
  <r>
    <n v="276"/>
    <s v="P-1264"/>
    <x v="130"/>
    <s v="TIS-1247"/>
    <x v="136"/>
    <x v="0"/>
    <n v="800028768"/>
    <x v="13"/>
    <s v="PJ"/>
    <s v="N"/>
    <n v="260000"/>
    <n v="49400"/>
    <n v="309400"/>
    <n v="280800"/>
    <n v="0"/>
    <n v="28600"/>
    <n v="28600"/>
    <n v="2511.6"/>
    <n v="0"/>
    <n v="-2511.6"/>
    <n v="309400"/>
    <m/>
    <x v="4"/>
    <x v="3"/>
  </r>
  <r>
    <n v="277"/>
    <s v="P-1265"/>
    <x v="130"/>
    <s v="TIS-1248"/>
    <x v="136"/>
    <x v="0"/>
    <n v="900396116"/>
    <x v="44"/>
    <s v="PJ"/>
    <s v="N"/>
    <n v="300000"/>
    <n v="57000"/>
    <n v="357000"/>
    <n v="321102"/>
    <n v="0"/>
    <n v="35898"/>
    <n v="33000"/>
    <n v="2898"/>
    <n v="0"/>
    <n v="0"/>
    <n v="357000"/>
    <m/>
    <x v="4"/>
    <x v="3"/>
  </r>
  <r>
    <n v="278"/>
    <s v="P-1266"/>
    <x v="130"/>
    <s v="TIS-1249"/>
    <x v="136"/>
    <x v="0"/>
    <n v="901342609"/>
    <x v="116"/>
    <s v="PJ"/>
    <s v="N"/>
    <n v="175000"/>
    <n v="33250"/>
    <n v="208250"/>
    <n v="55871"/>
    <n v="131438.5"/>
    <n v="152379"/>
    <n v="19250"/>
    <n v="1690.5"/>
    <n v="0"/>
    <n v="131438.5"/>
    <n v="76811.5"/>
    <m/>
    <x v="4"/>
    <x v="3"/>
  </r>
  <r>
    <n v="279"/>
    <s v="P-1267"/>
    <x v="130"/>
    <s v="TIS-1250"/>
    <x v="136"/>
    <x v="0"/>
    <n v="900693605"/>
    <x v="59"/>
    <s v="PJ"/>
    <s v="N"/>
    <n v="1000000"/>
    <n v="190000"/>
    <n v="1190000"/>
    <n v="1000000"/>
    <n v="70340"/>
    <n v="190000"/>
    <n v="110000"/>
    <n v="9660"/>
    <n v="0"/>
    <n v="70340"/>
    <n v="1119660"/>
    <m/>
    <x v="4"/>
    <x v="3"/>
  </r>
  <r>
    <n v="280"/>
    <s v="P-1268"/>
    <x v="130"/>
    <s v="TIS-1251"/>
    <x v="136"/>
    <x v="0"/>
    <n v="901030518"/>
    <x v="32"/>
    <s v="PJ"/>
    <s v="N"/>
    <n v="400000"/>
    <n v="0"/>
    <n v="400000"/>
    <n v="400000"/>
    <n v="0"/>
    <n v="0"/>
    <n v="0"/>
    <n v="0"/>
    <n v="0"/>
    <n v="0"/>
    <n v="400000"/>
    <m/>
    <x v="4"/>
    <x v="3"/>
  </r>
  <r>
    <n v="281"/>
    <s v="P-1269"/>
    <x v="130"/>
    <s v="TIS-1252"/>
    <x v="136"/>
    <x v="0"/>
    <n v="900505660"/>
    <x v="114"/>
    <s v="PJ"/>
    <s v="N"/>
    <n v="250000"/>
    <n v="47500"/>
    <n v="297500"/>
    <n v="270000"/>
    <n v="0"/>
    <n v="27500"/>
    <n v="27500"/>
    <n v="2415"/>
    <n v="0"/>
    <n v="-2415"/>
    <n v="297500"/>
    <m/>
    <x v="4"/>
    <x v="3"/>
  </r>
  <r>
    <n v="282"/>
    <s v="P-1270"/>
    <x v="130"/>
    <s v="TIS-1253"/>
    <x v="136"/>
    <x v="0"/>
    <n v="52385710"/>
    <x v="14"/>
    <s v="PN"/>
    <s v="N"/>
    <n v="400000"/>
    <n v="0"/>
    <n v="400000"/>
    <n v="400000"/>
    <n v="0"/>
    <n v="0"/>
    <n v="0"/>
    <n v="0"/>
    <n v="0"/>
    <n v="0"/>
    <n v="400000"/>
    <m/>
    <x v="4"/>
    <x v="3"/>
  </r>
  <r>
    <n v="283"/>
    <s v="P-1271"/>
    <x v="130"/>
    <s v="TIS-1254"/>
    <x v="136"/>
    <x v="0"/>
    <n v="901587935"/>
    <x v="124"/>
    <s v="PJ"/>
    <s v="N"/>
    <n v="585000"/>
    <n v="111150"/>
    <n v="696150"/>
    <n v="672750"/>
    <n v="0"/>
    <n v="23400"/>
    <n v="64350"/>
    <n v="5651.1"/>
    <n v="0"/>
    <n v="-46601.1"/>
    <n v="696150"/>
    <m/>
    <x v="4"/>
    <x v="3"/>
  </r>
  <r>
    <n v="284"/>
    <s v="P-1272"/>
    <x v="131"/>
    <s v="TIS-1255"/>
    <x v="137"/>
    <x v="0"/>
    <n v="830066664"/>
    <x v="121"/>
    <s v="PJ"/>
    <s v="N"/>
    <n v="3016000"/>
    <n v="573040"/>
    <n v="3589040"/>
    <n v="3589040"/>
    <n v="0"/>
    <n v="0"/>
    <n v="0"/>
    <n v="0"/>
    <n v="0"/>
    <n v="0"/>
    <n v="3589040"/>
    <m/>
    <x v="4"/>
    <x v="3"/>
  </r>
  <r>
    <n v="285"/>
    <s v="P-1273"/>
    <x v="132"/>
    <s v="TIS-1257"/>
    <x v="138"/>
    <x v="0"/>
    <n v="900110590"/>
    <x v="125"/>
    <s v="PJ"/>
    <s v="N"/>
    <n v="1290000"/>
    <n v="245100"/>
    <n v="1535100"/>
    <n v="1393200"/>
    <n v="0"/>
    <n v="141900"/>
    <n v="141900"/>
    <n v="12461.4"/>
    <n v="0"/>
    <n v="-12461.4"/>
    <n v="1535100"/>
    <m/>
    <x v="4"/>
    <x v="3"/>
  </r>
  <r>
    <n v="286"/>
    <s v="P-1274"/>
    <x v="133"/>
    <s v="TIS-1258"/>
    <x v="139"/>
    <x v="0"/>
    <n v="900850933"/>
    <x v="112"/>
    <s v="PJ"/>
    <s v="N"/>
    <n v="95000"/>
    <n v="18050"/>
    <n v="113050"/>
    <n v="113050"/>
    <n v="0"/>
    <n v="0"/>
    <n v="0"/>
    <n v="0"/>
    <n v="0"/>
    <n v="0"/>
    <n v="113050"/>
    <m/>
    <x v="4"/>
    <x v="3"/>
  </r>
  <r>
    <n v="287"/>
    <s v="P-1275"/>
    <x v="134"/>
    <s v="TIS-1256"/>
    <x v="140"/>
    <x v="0"/>
    <n v="860001999"/>
    <x v="113"/>
    <s v="PJ"/>
    <s v="S"/>
    <n v="12000000"/>
    <n v="2280000"/>
    <n v="14280000"/>
    <n v="12558000"/>
    <n v="0"/>
    <n v="1722000"/>
    <n v="1320000"/>
    <n v="115920"/>
    <n v="342000"/>
    <n v="-55920"/>
    <n v="14280000"/>
    <m/>
    <x v="4"/>
    <x v="3"/>
  </r>
  <r>
    <n v="288"/>
    <s v="P-1276"/>
    <x v="134"/>
    <s v="NC-34"/>
    <x v="140"/>
    <x v="1"/>
    <n v="860001999"/>
    <x v="113"/>
    <s v="PJ"/>
    <s v="N"/>
    <n v="-12000000"/>
    <n v="-2280000"/>
    <n v="-14280000"/>
    <n v="0"/>
    <n v="0"/>
    <n v="-14280000"/>
    <n v="-1320000"/>
    <n v="-115920"/>
    <n v="0"/>
    <n v="-12844080"/>
    <n v="0"/>
    <s v="TIS-1231"/>
    <x v="4"/>
    <x v="3"/>
  </r>
  <r>
    <n v="289"/>
    <s v="P-1277"/>
    <x v="135"/>
    <m/>
    <x v="10"/>
    <x v="1"/>
    <n v="860014787"/>
    <x v="126"/>
    <s v="PJ"/>
    <s v="N"/>
    <n v="700000"/>
    <n v="133000"/>
    <n v="833000"/>
    <n v="0"/>
    <n v="0"/>
    <n v="833000"/>
    <n v="77000"/>
    <n v="6762"/>
    <n v="0"/>
    <n v="749238"/>
    <n v="0"/>
    <s v="TIS-1187"/>
    <x v="1"/>
    <x v="3"/>
  </r>
  <r>
    <n v="290"/>
    <s v="P-1278"/>
    <x v="136"/>
    <s v="TIS-1259"/>
    <x v="141"/>
    <x v="0"/>
    <n v="800028768"/>
    <x v="13"/>
    <s v="PJ"/>
    <s v="N"/>
    <n v="260000"/>
    <n v="49400"/>
    <n v="309400"/>
    <n v="280800"/>
    <n v="0"/>
    <n v="28600"/>
    <n v="28600"/>
    <n v="2511.6"/>
    <n v="0"/>
    <n v="-2511.6"/>
    <n v="309400"/>
    <s v="TIS-1187"/>
    <x v="4"/>
    <x v="3"/>
  </r>
  <r>
    <n v="291"/>
    <s v="P-1279"/>
    <x v="136"/>
    <s v="TIS-1260"/>
    <x v="141"/>
    <x v="0"/>
    <n v="900396116"/>
    <x v="44"/>
    <s v="PJ"/>
    <s v="N"/>
    <n v="300000"/>
    <n v="57000"/>
    <n v="357000"/>
    <n v="321102"/>
    <n v="0"/>
    <n v="35898"/>
    <n v="33000"/>
    <n v="2898"/>
    <n v="0"/>
    <n v="0"/>
    <n v="357000"/>
    <m/>
    <x v="4"/>
    <x v="3"/>
  </r>
  <r>
    <n v="292"/>
    <s v="P-1280"/>
    <x v="136"/>
    <s v="TIS-1261"/>
    <x v="141"/>
    <x v="0"/>
    <n v="901342609"/>
    <x v="116"/>
    <s v="PJ"/>
    <s v="N"/>
    <n v="175000"/>
    <n v="33250"/>
    <n v="208250"/>
    <n v="199470"/>
    <n v="0"/>
    <n v="8780"/>
    <n v="19250"/>
    <n v="1690.5"/>
    <n v="0"/>
    <n v="-12160.5"/>
    <n v="208250"/>
    <m/>
    <x v="4"/>
    <x v="3"/>
  </r>
  <r>
    <n v="293"/>
    <s v="P-1281"/>
    <x v="136"/>
    <s v="TIS-1262"/>
    <x v="141"/>
    <x v="0"/>
    <n v="900505660"/>
    <x v="114"/>
    <s v="PJ"/>
    <s v="N"/>
    <n v="250000"/>
    <n v="47500"/>
    <n v="297500"/>
    <n v="270000"/>
    <n v="0"/>
    <n v="27500"/>
    <n v="27500"/>
    <n v="2415"/>
    <n v="0"/>
    <n v="-2415"/>
    <n v="297500"/>
    <m/>
    <x v="4"/>
    <x v="3"/>
  </r>
  <r>
    <n v="294"/>
    <s v="P-1282"/>
    <x v="136"/>
    <s v="TIS-1263"/>
    <x v="141"/>
    <x v="0"/>
    <n v="901030518"/>
    <x v="32"/>
    <s v="PJ"/>
    <s v="N"/>
    <n v="400000"/>
    <n v="0"/>
    <n v="400000"/>
    <n v="400000"/>
    <n v="0"/>
    <n v="0"/>
    <n v="0"/>
    <n v="0"/>
    <n v="0"/>
    <n v="0"/>
    <n v="400000"/>
    <m/>
    <x v="4"/>
    <x v="3"/>
  </r>
  <r>
    <n v="295"/>
    <s v="P-1283"/>
    <x v="136"/>
    <s v="TIS-1264"/>
    <x v="141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4"/>
    <x v="3"/>
  </r>
  <r>
    <n v="296"/>
    <s v="P-1284"/>
    <x v="137"/>
    <s v="TIS-1265"/>
    <x v="142"/>
    <x v="0"/>
    <n v="52385710"/>
    <x v="14"/>
    <s v="PN"/>
    <s v="N"/>
    <n v="300000"/>
    <n v="0"/>
    <n v="300000"/>
    <n v="300000"/>
    <n v="0"/>
    <n v="0"/>
    <n v="0"/>
    <n v="0"/>
    <n v="0"/>
    <n v="0"/>
    <n v="300000"/>
    <m/>
    <x v="4"/>
    <x v="3"/>
  </r>
  <r>
    <n v="297"/>
    <s v="P-1285"/>
    <x v="137"/>
    <s v="TIS-1266"/>
    <x v="142"/>
    <x v="0"/>
    <n v="900355950"/>
    <x v="35"/>
    <s v="PJ"/>
    <s v="N"/>
    <n v="648000"/>
    <n v="123120"/>
    <n v="771120"/>
    <n v="771120"/>
    <n v="0"/>
    <n v="0"/>
    <n v="0"/>
    <n v="0"/>
    <n v="0"/>
    <n v="0"/>
    <n v="771120"/>
    <m/>
    <x v="4"/>
    <x v="3"/>
  </r>
  <r>
    <n v="298"/>
    <s v="P-1286"/>
    <x v="138"/>
    <s v="TIS-1267"/>
    <x v="141"/>
    <x v="0"/>
    <n v="832000662"/>
    <x v="122"/>
    <s v="PJ"/>
    <s v="N"/>
    <n v="950000"/>
    <n v="180500"/>
    <n v="1130500"/>
    <n v="1017773"/>
    <n v="0"/>
    <n v="112727"/>
    <n v="104500"/>
    <n v="9177"/>
    <n v="0"/>
    <n v="-950"/>
    <n v="1130500"/>
    <m/>
    <x v="4"/>
    <x v="3"/>
  </r>
  <r>
    <n v="299"/>
    <s v="P-1287"/>
    <x v="138"/>
    <s v="TIS-1268"/>
    <x v="141"/>
    <x v="0"/>
    <n v="900022013"/>
    <x v="23"/>
    <s v="PJ"/>
    <s v="N"/>
    <n v="450000"/>
    <n v="85500"/>
    <n v="535500"/>
    <n v="482895"/>
    <n v="0"/>
    <n v="52605"/>
    <n v="49500"/>
    <n v="4347"/>
    <n v="0"/>
    <n v="-1242"/>
    <n v="535500"/>
    <m/>
    <x v="4"/>
    <x v="3"/>
  </r>
  <r>
    <n v="300"/>
    <s v="P-1288"/>
    <x v="138"/>
    <s v="TIS-1269"/>
    <x v="141"/>
    <x v="0"/>
    <n v="901218098"/>
    <x v="33"/>
    <s v="PJ"/>
    <s v="N"/>
    <n v="450000"/>
    <n v="85500"/>
    <n v="535500"/>
    <n v="482895"/>
    <n v="0"/>
    <n v="52605"/>
    <n v="49500"/>
    <n v="4347"/>
    <n v="0"/>
    <n v="-1242"/>
    <n v="535500"/>
    <m/>
    <x v="4"/>
    <x v="3"/>
  </r>
  <r>
    <n v="301"/>
    <s v="P-1289"/>
    <x v="139"/>
    <s v="TIS-1330"/>
    <x v="143"/>
    <x v="1"/>
    <n v="800159215"/>
    <x v="9"/>
    <s v="PJ"/>
    <s v="N"/>
    <n v="3381000"/>
    <n v="0"/>
    <n v="3381000"/>
    <n v="3858870"/>
    <n v="0"/>
    <n v="-477870"/>
    <n v="371910"/>
    <n v="32660.46"/>
    <n v="0"/>
    <n v="-882440.46"/>
    <n v="0"/>
    <m/>
    <x v="4"/>
    <x v="3"/>
  </r>
  <r>
    <n v="302"/>
    <s v="P-1290"/>
    <x v="140"/>
    <s v="TIS-1270"/>
    <x v="144"/>
    <x v="0"/>
    <n v="800028768"/>
    <x v="13"/>
    <s v="PJ"/>
    <s v="N"/>
    <n v="260000"/>
    <n v="49400"/>
    <n v="309400"/>
    <n v="280800"/>
    <n v="0"/>
    <n v="28600"/>
    <n v="28600"/>
    <n v="2511.6"/>
    <n v="0"/>
    <n v="-2511.6"/>
    <n v="309400"/>
    <m/>
    <x v="4"/>
    <x v="3"/>
  </r>
  <r>
    <n v="303"/>
    <s v="P-1291"/>
    <x v="140"/>
    <s v="TIS-1271"/>
    <x v="144"/>
    <x v="0"/>
    <n v="901342609"/>
    <x v="116"/>
    <s v="PJ"/>
    <s v="N"/>
    <n v="175000"/>
    <n v="33250"/>
    <n v="208250"/>
    <n v="199470"/>
    <n v="0"/>
    <n v="8780"/>
    <n v="19250"/>
    <n v="1690.5"/>
    <n v="0"/>
    <n v="-12160.5"/>
    <n v="208250"/>
    <m/>
    <x v="4"/>
    <x v="3"/>
  </r>
  <r>
    <n v="304"/>
    <s v="P-1292"/>
    <x v="140"/>
    <s v="TIS-1272"/>
    <x v="144"/>
    <x v="0"/>
    <n v="900505660"/>
    <x v="114"/>
    <s v="PJ"/>
    <s v="N"/>
    <n v="250000"/>
    <n v="47500"/>
    <n v="297500"/>
    <n v="270000"/>
    <n v="0"/>
    <n v="27500"/>
    <n v="27500"/>
    <n v="2415"/>
    <n v="0"/>
    <n v="-2415"/>
    <n v="297500"/>
    <m/>
    <x v="4"/>
    <x v="3"/>
  </r>
  <r>
    <n v="305"/>
    <s v="P-1293"/>
    <x v="140"/>
    <s v="TIS-1273"/>
    <x v="144"/>
    <x v="0"/>
    <n v="901030518"/>
    <x v="32"/>
    <s v="PJ"/>
    <s v="N"/>
    <n v="400000"/>
    <n v="0"/>
    <n v="400000"/>
    <n v="400000"/>
    <n v="0"/>
    <n v="0"/>
    <n v="0"/>
    <n v="0"/>
    <n v="0"/>
    <n v="0"/>
    <n v="400000"/>
    <m/>
    <x v="4"/>
    <x v="3"/>
  </r>
  <r>
    <n v="306"/>
    <s v="P-1294"/>
    <x v="140"/>
    <s v="TIS-1274"/>
    <x v="144"/>
    <x v="0"/>
    <n v="52385710"/>
    <x v="14"/>
    <s v="PN"/>
    <s v="N"/>
    <n v="300000"/>
    <n v="0"/>
    <n v="300000"/>
    <n v="300000"/>
    <n v="0"/>
    <n v="0"/>
    <n v="0"/>
    <n v="0"/>
    <n v="0"/>
    <n v="0"/>
    <n v="300000"/>
    <m/>
    <x v="4"/>
    <x v="3"/>
  </r>
  <r>
    <n v="307"/>
    <s v="P-1295"/>
    <x v="140"/>
    <s v="TIS-1275"/>
    <x v="144"/>
    <x v="0"/>
    <n v="900396116"/>
    <x v="44"/>
    <s v="PJ"/>
    <s v="N"/>
    <n v="300000"/>
    <n v="57000"/>
    <n v="357000"/>
    <n v="321102"/>
    <n v="0"/>
    <n v="35898"/>
    <n v="33000"/>
    <n v="2898"/>
    <n v="0"/>
    <n v="0"/>
    <n v="357000"/>
    <m/>
    <x v="4"/>
    <x v="3"/>
  </r>
  <r>
    <n v="308"/>
    <s v="P-1296"/>
    <x v="140"/>
    <s v="TIS-1276"/>
    <x v="144"/>
    <x v="0"/>
    <n v="900396116"/>
    <x v="44"/>
    <s v="PJ"/>
    <s v="N"/>
    <n v="1736000"/>
    <n v="329840"/>
    <n v="2065840"/>
    <n v="1858110"/>
    <n v="0.23999999999068677"/>
    <n v="207730"/>
    <n v="190960"/>
    <n v="16769.760000000002"/>
    <n v="0"/>
    <n v="0.23999999999796273"/>
    <n v="2065839.76"/>
    <m/>
    <x v="4"/>
    <x v="3"/>
  </r>
  <r>
    <n v="309"/>
    <s v="P-1297"/>
    <x v="141"/>
    <s v="TIS-1278"/>
    <x v="145"/>
    <x v="0"/>
    <n v="830078301"/>
    <x v="103"/>
    <s v="PJ"/>
    <s v="N"/>
    <n v="3168000"/>
    <n v="601920"/>
    <n v="3769920"/>
    <n v="3621341"/>
    <n v="0"/>
    <n v="148579"/>
    <n v="348480"/>
    <n v="30602.880000000001"/>
    <n v="0"/>
    <n v="-230503.88"/>
    <n v="3769920"/>
    <m/>
    <x v="4"/>
    <x v="3"/>
  </r>
  <r>
    <n v="310"/>
    <s v="P-1298"/>
    <x v="142"/>
    <s v="TIS-1279"/>
    <x v="146"/>
    <x v="0"/>
    <n v="900526437"/>
    <x v="111"/>
    <s v="PJ"/>
    <s v="N"/>
    <n v="950000"/>
    <n v="180500"/>
    <n v="1130500"/>
    <n v="1017773"/>
    <n v="0"/>
    <n v="112727"/>
    <n v="104500"/>
    <n v="9177"/>
    <n v="0"/>
    <n v="-950"/>
    <n v="1130500"/>
    <m/>
    <x v="4"/>
    <x v="3"/>
  </r>
  <r>
    <n v="311"/>
    <s v="P-1299"/>
    <x v="143"/>
    <s v="TIS-1280"/>
    <x v="147"/>
    <x v="0"/>
    <n v="860014787"/>
    <x v="126"/>
    <s v="PJ"/>
    <s v="N"/>
    <n v="700000"/>
    <n v="133000"/>
    <n v="833000"/>
    <n v="798938"/>
    <n v="0"/>
    <n v="34062"/>
    <n v="77000"/>
    <n v="6762"/>
    <n v="0"/>
    <n v="-49700"/>
    <n v="833000"/>
    <m/>
    <x v="4"/>
    <x v="3"/>
  </r>
  <r>
    <n v="312"/>
    <s v="P-1300"/>
    <x v="144"/>
    <s v="TIS-1281"/>
    <x v="148"/>
    <x v="0"/>
    <n v="800028768"/>
    <x v="13"/>
    <s v="PJ"/>
    <s v="N"/>
    <n v="260000"/>
    <n v="49400"/>
    <n v="309400"/>
    <n v="280800"/>
    <n v="0"/>
    <n v="28600"/>
    <n v="28600"/>
    <n v="2511.6"/>
    <n v="0"/>
    <n v="-2511.6"/>
    <n v="309400"/>
    <m/>
    <x v="4"/>
    <x v="3"/>
  </r>
  <r>
    <n v="313"/>
    <s v="P-1301"/>
    <x v="144"/>
    <s v="TIS-1282"/>
    <x v="148"/>
    <x v="0"/>
    <n v="900396116"/>
    <x v="44"/>
    <s v="PJ"/>
    <s v="N"/>
    <n v="300000"/>
    <n v="57000"/>
    <n v="357000"/>
    <n v="321102"/>
    <n v="0"/>
    <n v="35898"/>
    <n v="33000"/>
    <n v="2898"/>
    <n v="0"/>
    <n v="0"/>
    <n v="357000"/>
    <m/>
    <x v="4"/>
    <x v="3"/>
  </r>
  <r>
    <n v="314"/>
    <s v="P-1302"/>
    <x v="144"/>
    <s v="TIS-1283"/>
    <x v="148"/>
    <x v="0"/>
    <n v="901342609"/>
    <x v="116"/>
    <s v="PJ"/>
    <s v="N"/>
    <n v="175000"/>
    <n v="33250"/>
    <n v="208250"/>
    <n v="201250"/>
    <n v="0"/>
    <n v="7000"/>
    <n v="19250"/>
    <n v="1690.5"/>
    <n v="0"/>
    <n v="-13940.5"/>
    <n v="208250"/>
    <m/>
    <x v="4"/>
    <x v="3"/>
  </r>
  <r>
    <n v="315"/>
    <s v="P-1303"/>
    <x v="144"/>
    <s v="TIS-1284"/>
    <x v="148"/>
    <x v="0"/>
    <n v="900505660"/>
    <x v="114"/>
    <s v="PJ"/>
    <s v="N"/>
    <n v="250000"/>
    <n v="47500"/>
    <n v="297500"/>
    <n v="270000"/>
    <n v="0"/>
    <n v="27500"/>
    <n v="27500"/>
    <n v="2415"/>
    <n v="0"/>
    <n v="-2415"/>
    <n v="297500"/>
    <m/>
    <x v="4"/>
    <x v="3"/>
  </r>
  <r>
    <n v="316"/>
    <s v="P-1304"/>
    <x v="144"/>
    <s v="TIS-1285"/>
    <x v="148"/>
    <x v="0"/>
    <n v="901030518"/>
    <x v="32"/>
    <s v="PJ"/>
    <s v="N"/>
    <n v="400000"/>
    <n v="0"/>
    <n v="400000"/>
    <n v="400000"/>
    <n v="0"/>
    <n v="0"/>
    <n v="0"/>
    <n v="0"/>
    <n v="0"/>
    <n v="0"/>
    <n v="400000"/>
    <m/>
    <x v="4"/>
    <x v="3"/>
  </r>
  <r>
    <n v="317"/>
    <s v="P-1305"/>
    <x v="144"/>
    <s v="TIS-1286"/>
    <x v="148"/>
    <x v="0"/>
    <n v="52385710"/>
    <x v="14"/>
    <s v="PN"/>
    <s v="N"/>
    <n v="300000"/>
    <n v="0"/>
    <n v="300000"/>
    <n v="300000"/>
    <n v="0"/>
    <n v="0"/>
    <n v="0"/>
    <n v="0"/>
    <n v="0"/>
    <n v="0"/>
    <n v="300000"/>
    <m/>
    <x v="4"/>
    <x v="3"/>
  </r>
  <r>
    <n v="318"/>
    <s v="P-1306"/>
    <x v="145"/>
    <s v="TIS-1287"/>
    <x v="149"/>
    <x v="0"/>
    <n v="900444852"/>
    <x v="89"/>
    <s v="PJ"/>
    <s v="N"/>
    <n v="1584000"/>
    <n v="300960"/>
    <n v="1884960"/>
    <n v="1806299"/>
    <n v="0"/>
    <n v="78661"/>
    <n v="174240"/>
    <n v="15301.44"/>
    <n v="0"/>
    <n v="-110880.44"/>
    <n v="1884960"/>
    <m/>
    <x v="4"/>
    <x v="3"/>
  </r>
  <r>
    <n v="319"/>
    <s v="P-1307"/>
    <x v="145"/>
    <s v="TIS-1288"/>
    <x v="149"/>
    <x v="0"/>
    <n v="900396116"/>
    <x v="44"/>
    <s v="PJ"/>
    <s v="N"/>
    <n v="300000"/>
    <n v="57000"/>
    <n v="357000"/>
    <n v="321102"/>
    <n v="0"/>
    <n v="35898"/>
    <n v="33000"/>
    <n v="2898"/>
    <n v="0"/>
    <n v="0"/>
    <n v="357000"/>
    <m/>
    <x v="4"/>
    <x v="3"/>
  </r>
  <r>
    <n v="320"/>
    <s v="P-1308"/>
    <x v="146"/>
    <s v="TIS-1289"/>
    <x v="150"/>
    <x v="0"/>
    <n v="800028768"/>
    <x v="13"/>
    <s v="PJ"/>
    <s v="N"/>
    <n v="260000"/>
    <n v="49400"/>
    <n v="309400"/>
    <n v="280800"/>
    <n v="0"/>
    <n v="28600"/>
    <n v="28600"/>
    <n v="2511.6"/>
    <n v="0"/>
    <n v="-2511.6"/>
    <n v="309400"/>
    <m/>
    <x v="4"/>
    <x v="3"/>
  </r>
  <r>
    <n v="321"/>
    <s v="P-1309"/>
    <x v="146"/>
    <s v="TIS-1290"/>
    <x v="150"/>
    <x v="0"/>
    <n v="900396116"/>
    <x v="44"/>
    <s v="PJ"/>
    <s v="N"/>
    <n v="300000"/>
    <n v="57000"/>
    <n v="357000"/>
    <n v="321102"/>
    <n v="0"/>
    <n v="35898"/>
    <n v="33000"/>
    <n v="2898"/>
    <n v="0"/>
    <n v="0"/>
    <n v="357000"/>
    <m/>
    <x v="4"/>
    <x v="3"/>
  </r>
  <r>
    <n v="322"/>
    <s v="P-1310"/>
    <x v="146"/>
    <s v="TIS-1291"/>
    <x v="150"/>
    <x v="0"/>
    <n v="901342609"/>
    <x v="116"/>
    <s v="PJ"/>
    <s v="N"/>
    <n v="175000"/>
    <n v="33250"/>
    <n v="208250"/>
    <n v="201250"/>
    <n v="0"/>
    <n v="7000"/>
    <n v="19250"/>
    <n v="1690.5"/>
    <n v="0"/>
    <n v="-13940.5"/>
    <n v="208250"/>
    <m/>
    <x v="4"/>
    <x v="3"/>
  </r>
  <r>
    <n v="323"/>
    <s v="P-1311"/>
    <x v="146"/>
    <s v="TIS-1292"/>
    <x v="150"/>
    <x v="0"/>
    <n v="900505660"/>
    <x v="114"/>
    <s v="PJ"/>
    <s v="N"/>
    <n v="250000"/>
    <n v="47500"/>
    <n v="297500"/>
    <n v="270000"/>
    <n v="0"/>
    <n v="27500"/>
    <n v="27500"/>
    <n v="2415"/>
    <n v="0"/>
    <n v="-2415"/>
    <n v="297500"/>
    <m/>
    <x v="4"/>
    <x v="3"/>
  </r>
  <r>
    <n v="324"/>
    <s v="P-1312"/>
    <x v="146"/>
    <s v="TIS-1293"/>
    <x v="150"/>
    <x v="0"/>
    <n v="901030518"/>
    <x v="32"/>
    <s v="PJ"/>
    <s v="N"/>
    <n v="400000"/>
    <n v="0"/>
    <n v="400000"/>
    <n v="400000"/>
    <n v="0"/>
    <n v="0"/>
    <n v="0"/>
    <n v="0"/>
    <n v="0"/>
    <n v="0"/>
    <n v="400000"/>
    <m/>
    <x v="4"/>
    <x v="3"/>
  </r>
  <r>
    <n v="325"/>
    <s v="P-1313"/>
    <x v="146"/>
    <s v="TIS-1294"/>
    <x v="150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4"/>
    <x v="3"/>
  </r>
  <r>
    <n v="326"/>
    <s v="P-1314"/>
    <x v="146"/>
    <s v="TIS-1295"/>
    <x v="150"/>
    <x v="0"/>
    <n v="52385710"/>
    <x v="14"/>
    <s v="PN"/>
    <s v="N"/>
    <n v="300000"/>
    <n v="0"/>
    <n v="300000"/>
    <n v="300000"/>
    <n v="0"/>
    <n v="0"/>
    <n v="0"/>
    <n v="0"/>
    <n v="0"/>
    <n v="0"/>
    <n v="300000"/>
    <m/>
    <x v="4"/>
    <x v="3"/>
  </r>
  <r>
    <n v="327"/>
    <s v="P-1315"/>
    <x v="147"/>
    <s v="TIS-1296"/>
    <x v="151"/>
    <x v="0"/>
    <n v="900694193"/>
    <x v="127"/>
    <n v="0"/>
    <s v="N"/>
    <n v="300000"/>
    <n v="57000"/>
    <n v="357000"/>
    <n v="345000"/>
    <n v="12000"/>
    <n v="12000"/>
    <n v="0"/>
    <n v="0"/>
    <n v="0"/>
    <n v="12000"/>
    <n v="345000"/>
    <m/>
    <x v="4"/>
    <x v="3"/>
  </r>
  <r>
    <n v="328"/>
    <s v="P-1316"/>
    <x v="148"/>
    <s v="TIS-1296"/>
    <x v="151"/>
    <x v="0"/>
    <n v="900625659"/>
    <x v="85"/>
    <s v="PJ"/>
    <s v="N"/>
    <n v="385000"/>
    <n v="73150"/>
    <n v="458150"/>
    <n v="412466"/>
    <n v="0"/>
    <n v="45684"/>
    <n v="42350"/>
    <n v="3719.1"/>
    <n v="0"/>
    <n v="-385.09999999999991"/>
    <n v="458150"/>
    <m/>
    <x v="4"/>
    <x v="3"/>
  </r>
  <r>
    <n v="329"/>
    <s v="P-1317"/>
    <x v="148"/>
    <s v="TIS-1297"/>
    <x v="152"/>
    <x v="0"/>
    <n v="830057687"/>
    <x v="94"/>
    <s v="PJ"/>
    <s v="N"/>
    <n v="34890000"/>
    <n v="6629100"/>
    <n v="41519100"/>
    <n v="39821353"/>
    <n v="0"/>
    <n v="1697747"/>
    <n v="3837900"/>
    <n v="337037.4"/>
    <n v="0"/>
    <n v="-2477190.4"/>
    <n v="41519100"/>
    <m/>
    <x v="4"/>
    <x v="3"/>
  </r>
  <r>
    <n v="330"/>
    <s v="P-1318"/>
    <x v="149"/>
    <s v="TIS-1298"/>
    <x v="152"/>
    <x v="0"/>
    <n v="830064224"/>
    <x v="108"/>
    <s v="PJ"/>
    <s v="N"/>
    <n v="1200000"/>
    <n v="228000"/>
    <n v="1428000"/>
    <n v="1368408"/>
    <n v="0"/>
    <n v="59592"/>
    <n v="132000"/>
    <n v="11592"/>
    <n v="0"/>
    <n v="-84000"/>
    <n v="1428000"/>
    <m/>
    <x v="4"/>
    <x v="3"/>
  </r>
  <r>
    <n v="331"/>
    <s v="P-1319"/>
    <x v="149"/>
    <s v="TIS-1299"/>
    <x v="152"/>
    <x v="0"/>
    <n v="830098290"/>
    <x v="128"/>
    <s v="PJ"/>
    <s v="N"/>
    <n v="3780000"/>
    <n v="718200"/>
    <n v="4498200"/>
    <n v="4220370"/>
    <n v="0"/>
    <n v="277830"/>
    <n v="415800"/>
    <n v="36514.800000000003"/>
    <n v="0"/>
    <n v="-174484.8"/>
    <n v="4498200"/>
    <m/>
    <x v="4"/>
    <x v="3"/>
  </r>
  <r>
    <n v="332"/>
    <s v="P-1320"/>
    <x v="149"/>
    <s v="TIS-1300"/>
    <x v="152"/>
    <x v="0"/>
    <n v="830054076"/>
    <x v="120"/>
    <s v="PJ"/>
    <s v="S"/>
    <n v="11200000"/>
    <n v="2128000"/>
    <n v="13328000"/>
    <n v="11668608"/>
    <n v="0"/>
    <n v="1659392"/>
    <n v="1232000"/>
    <n v="108192"/>
    <n v="319200"/>
    <n v="0"/>
    <n v="13328000"/>
    <m/>
    <x v="4"/>
    <x v="3"/>
  </r>
  <r>
    <n v="333"/>
    <s v="P-1321"/>
    <x v="149"/>
    <s v="TIS-1277"/>
    <x v="145"/>
    <x v="0"/>
    <n v="830033212"/>
    <x v="69"/>
    <s v="PJ"/>
    <s v="N"/>
    <n v="1200000"/>
    <n v="228000"/>
    <n v="1428000"/>
    <n v="1287600"/>
    <n v="0"/>
    <n v="140400"/>
    <n v="132000"/>
    <n v="11592"/>
    <n v="0"/>
    <n v="-3192"/>
    <n v="1428000"/>
    <m/>
    <x v="4"/>
    <x v="3"/>
  </r>
  <r>
    <n v="334"/>
    <s v="P-1322"/>
    <x v="149"/>
    <s v="TIS-1302"/>
    <x v="153"/>
    <x v="0"/>
    <n v="860533955"/>
    <x v="129"/>
    <s v="PJ"/>
    <s v="N"/>
    <n v="825000"/>
    <n v="156750"/>
    <n v="981750"/>
    <n v="0"/>
    <n v="981750"/>
    <n v="981750"/>
    <n v="90750"/>
    <n v="7969.5"/>
    <n v="0"/>
    <n v="883030.5"/>
    <n v="0"/>
    <m/>
    <x v="4"/>
    <x v="3"/>
  </r>
  <r>
    <n v="335"/>
    <s v="P-1323"/>
    <x v="149"/>
    <s v="TIS-1303"/>
    <x v="153"/>
    <x v="0"/>
    <n v="901588265"/>
    <x v="130"/>
    <s v="PJ"/>
    <s v="N"/>
    <n v="2000000"/>
    <n v="380000"/>
    <n v="2380000"/>
    <n v="2160680"/>
    <n v="0"/>
    <n v="219320"/>
    <n v="220000"/>
    <n v="19320"/>
    <n v="0"/>
    <n v="-20000"/>
    <n v="2380000"/>
    <m/>
    <x v="4"/>
    <x v="3"/>
  </r>
  <r>
    <n v="336"/>
    <s v="P-1324"/>
    <x v="149"/>
    <s v="TIS-1304"/>
    <x v="153"/>
    <x v="0"/>
    <n v="800028768"/>
    <x v="13"/>
    <s v="PJ"/>
    <s v="N"/>
    <n v="260000"/>
    <n v="49400"/>
    <n v="309400"/>
    <n v="280800"/>
    <n v="0"/>
    <n v="28600"/>
    <n v="28600"/>
    <n v="2511.6"/>
    <n v="0"/>
    <n v="-2511.6"/>
    <n v="309400"/>
    <m/>
    <x v="4"/>
    <x v="3"/>
  </r>
  <r>
    <n v="337"/>
    <s v="P-1325"/>
    <x v="149"/>
    <s v="TIS-1305"/>
    <x v="153"/>
    <x v="0"/>
    <n v="900396116"/>
    <x v="44"/>
    <s v="PJ"/>
    <s v="N"/>
    <n v="300000"/>
    <n v="57000"/>
    <n v="357000"/>
    <n v="321102"/>
    <n v="0"/>
    <n v="35898"/>
    <n v="33000"/>
    <n v="2898"/>
    <n v="0"/>
    <n v="0"/>
    <n v="357000"/>
    <m/>
    <x v="4"/>
    <x v="3"/>
  </r>
  <r>
    <n v="338"/>
    <s v="P-1326"/>
    <x v="149"/>
    <s v="TIS-1306"/>
    <x v="153"/>
    <x v="0"/>
    <n v="901342609"/>
    <x v="116"/>
    <s v="PJ"/>
    <s v="N"/>
    <n v="175000"/>
    <n v="33250"/>
    <n v="208250"/>
    <n v="201250"/>
    <n v="0"/>
    <n v="7000"/>
    <n v="19250"/>
    <n v="1690.5"/>
    <n v="0"/>
    <n v="-13940.5"/>
    <n v="208250"/>
    <m/>
    <x v="4"/>
    <x v="3"/>
  </r>
  <r>
    <n v="339"/>
    <s v="P-1327"/>
    <x v="149"/>
    <s v="TIS-1307"/>
    <x v="153"/>
    <x v="0"/>
    <n v="901030518"/>
    <x v="32"/>
    <s v="PJ"/>
    <s v="N"/>
    <n v="400000"/>
    <n v="0"/>
    <n v="400000"/>
    <n v="400000"/>
    <n v="0"/>
    <n v="0"/>
    <n v="0"/>
    <n v="0"/>
    <n v="0"/>
    <n v="0"/>
    <n v="400000"/>
    <m/>
    <x v="4"/>
    <x v="3"/>
  </r>
  <r>
    <n v="340"/>
    <s v="P-1328"/>
    <x v="149"/>
    <s v="TIS-1308"/>
    <x v="153"/>
    <x v="0"/>
    <n v="52385710"/>
    <x v="14"/>
    <s v="PN"/>
    <s v="N"/>
    <n v="300000"/>
    <n v="0"/>
    <n v="300000"/>
    <n v="300000"/>
    <n v="0"/>
    <n v="0"/>
    <n v="0"/>
    <n v="0"/>
    <n v="0"/>
    <n v="0"/>
    <n v="300000"/>
    <m/>
    <x v="4"/>
    <x v="3"/>
  </r>
  <r>
    <n v="341"/>
    <s v="P-1329"/>
    <x v="149"/>
    <s v="TIS-1309"/>
    <x v="153"/>
    <x v="0"/>
    <n v="900505660"/>
    <x v="114"/>
    <s v="PJ"/>
    <s v="N"/>
    <n v="250000"/>
    <n v="47500"/>
    <n v="297500"/>
    <n v="270000"/>
    <n v="0"/>
    <n v="27500"/>
    <n v="27500"/>
    <n v="2415"/>
    <n v="0"/>
    <n v="-2415"/>
    <n v="297500"/>
    <m/>
    <x v="4"/>
    <x v="3"/>
  </r>
  <r>
    <n v="342"/>
    <s v="P-1330"/>
    <x v="149"/>
    <s v="TIS-1310"/>
    <x v="153"/>
    <x v="0"/>
    <n v="900300965"/>
    <x v="131"/>
    <s v="PJ"/>
    <s v="N"/>
    <n v="1150000"/>
    <n v="218500"/>
    <n v="1368500"/>
    <n v="1322500"/>
    <n v="0"/>
    <n v="46000"/>
    <n v="126500"/>
    <n v="11109"/>
    <n v="0"/>
    <n v="-91609"/>
    <n v="1368500"/>
    <m/>
    <x v="4"/>
    <x v="3"/>
  </r>
  <r>
    <n v="343"/>
    <s v="P-1331"/>
    <x v="149"/>
    <s v="TIS-1311"/>
    <x v="153"/>
    <x v="0"/>
    <n v="900599432"/>
    <x v="132"/>
    <s v="PJ"/>
    <s v="N"/>
    <n v="900000"/>
    <n v="171000"/>
    <n v="1071000"/>
    <n v="1027206"/>
    <n v="0"/>
    <n v="43794"/>
    <n v="99000"/>
    <n v="8694"/>
    <n v="0"/>
    <n v="-63900"/>
    <n v="1071000"/>
    <m/>
    <x v="4"/>
    <x v="3"/>
  </r>
  <r>
    <n v="344"/>
    <s v="P-1332"/>
    <x v="149"/>
    <s v="TIS-1312"/>
    <x v="153"/>
    <x v="1"/>
    <n v="830026741"/>
    <x v="100"/>
    <s v="PJ"/>
    <s v="N"/>
    <n v="9660000"/>
    <n v="1835400"/>
    <n v="11495400"/>
    <n v="0"/>
    <n v="0"/>
    <n v="11495400"/>
    <n v="1062600"/>
    <n v="93315.6"/>
    <n v="0"/>
    <n v="10339484.4"/>
    <n v="0"/>
    <m/>
    <x v="4"/>
    <x v="3"/>
  </r>
  <r>
    <n v="345"/>
    <s v="P-1333"/>
    <x v="149"/>
    <s v="TIS-1313"/>
    <x v="154"/>
    <x v="0"/>
    <n v="800028768"/>
    <x v="13"/>
    <s v="PJ"/>
    <s v="N"/>
    <n v="260000"/>
    <n v="49400"/>
    <n v="309400"/>
    <n v="280800"/>
    <n v="0"/>
    <n v="28600"/>
    <n v="28600"/>
    <n v="2511.6"/>
    <n v="0"/>
    <n v="-2511.6"/>
    <n v="309400"/>
    <m/>
    <x v="4"/>
    <x v="3"/>
  </r>
  <r>
    <n v="346"/>
    <s v="P-1334"/>
    <x v="149"/>
    <s v="TIS-1314"/>
    <x v="154"/>
    <x v="0"/>
    <n v="900396116"/>
    <x v="44"/>
    <s v="PJ"/>
    <s v="N"/>
    <n v="300000"/>
    <n v="57000"/>
    <n v="357000"/>
    <n v="321102"/>
    <n v="0"/>
    <n v="35898"/>
    <n v="33000"/>
    <n v="2898"/>
    <n v="0"/>
    <n v="0"/>
    <n v="357000"/>
    <m/>
    <x v="4"/>
    <x v="3"/>
  </r>
  <r>
    <n v="347"/>
    <s v="P-1335"/>
    <x v="149"/>
    <s v="TIS-1315"/>
    <x v="154"/>
    <x v="0"/>
    <n v="901342609"/>
    <x v="116"/>
    <s v="PJ"/>
    <s v="N"/>
    <n v="175000"/>
    <n v="33250"/>
    <n v="208250"/>
    <n v="201250"/>
    <n v="0"/>
    <n v="7000"/>
    <n v="19250"/>
    <n v="1690.5"/>
    <n v="0"/>
    <n v="-13940.5"/>
    <n v="208250"/>
    <m/>
    <x v="4"/>
    <x v="3"/>
  </r>
  <r>
    <n v="348"/>
    <s v="P-1336"/>
    <x v="149"/>
    <s v="TIS-1316"/>
    <x v="154"/>
    <x v="0"/>
    <n v="900505660"/>
    <x v="114"/>
    <s v="PJ"/>
    <s v="N"/>
    <n v="250000"/>
    <n v="47500"/>
    <n v="297500"/>
    <n v="270000"/>
    <n v="0"/>
    <n v="27500"/>
    <n v="27500"/>
    <n v="2415"/>
    <n v="0"/>
    <n v="-2415"/>
    <n v="297500"/>
    <m/>
    <x v="4"/>
    <x v="3"/>
  </r>
  <r>
    <n v="349"/>
    <s v="P-1337"/>
    <x v="149"/>
    <s v="TIS-1317"/>
    <x v="154"/>
    <x v="0"/>
    <n v="900355950"/>
    <x v="35"/>
    <s v="PJ"/>
    <s v="N"/>
    <n v="378000"/>
    <n v="71820"/>
    <n v="449820"/>
    <n v="449820"/>
    <n v="0"/>
    <n v="0"/>
    <n v="0"/>
    <n v="0"/>
    <n v="0"/>
    <n v="0"/>
    <n v="449820"/>
    <m/>
    <x v="4"/>
    <x v="3"/>
  </r>
  <r>
    <n v="350"/>
    <s v="P-1338"/>
    <x v="149"/>
    <s v="TIS-1318"/>
    <x v="154"/>
    <x v="0"/>
    <n v="900694193"/>
    <x v="127"/>
    <n v="0"/>
    <s v="N"/>
    <n v="187500"/>
    <n v="35625"/>
    <n v="223125"/>
    <n v="215625"/>
    <n v="7500"/>
    <n v="7500"/>
    <n v="0"/>
    <n v="0"/>
    <n v="0"/>
    <n v="7500"/>
    <n v="215625"/>
    <m/>
    <x v="4"/>
    <x v="3"/>
  </r>
  <r>
    <n v="351"/>
    <s v="P-1339"/>
    <x v="149"/>
    <s v="TIS-1319"/>
    <x v="154"/>
    <x v="0"/>
    <n v="901030518"/>
    <x v="32"/>
    <s v="PJ"/>
    <s v="N"/>
    <n v="400000"/>
    <n v="0"/>
    <n v="400000"/>
    <n v="400000"/>
    <n v="0"/>
    <n v="0"/>
    <n v="0"/>
    <n v="0"/>
    <n v="0"/>
    <n v="0"/>
    <n v="400000"/>
    <m/>
    <x v="4"/>
    <x v="3"/>
  </r>
  <r>
    <n v="352"/>
    <s v="P-1340"/>
    <x v="149"/>
    <s v="TIS-1320"/>
    <x v="154"/>
    <x v="0"/>
    <n v="52385710"/>
    <x v="14"/>
    <s v="PN"/>
    <s v="N"/>
    <n v="300000"/>
    <n v="0"/>
    <n v="300000"/>
    <n v="300000"/>
    <n v="0"/>
    <n v="0"/>
    <n v="0"/>
    <n v="0"/>
    <n v="0"/>
    <n v="0"/>
    <n v="300000"/>
    <m/>
    <x v="4"/>
    <x v="3"/>
  </r>
  <r>
    <n v="353"/>
    <s v="P-1341"/>
    <x v="149"/>
    <s v="TIS-1321"/>
    <x v="154"/>
    <x v="0"/>
    <n v="900133423"/>
    <x v="133"/>
    <s v="PJ"/>
    <s v="N"/>
    <n v="900000"/>
    <n v="171000"/>
    <n v="1071000"/>
    <n v="1071000"/>
    <n v="0"/>
    <n v="0"/>
    <n v="0"/>
    <n v="0"/>
    <n v="0"/>
    <n v="0"/>
    <n v="1071000"/>
    <m/>
    <x v="4"/>
    <x v="3"/>
  </r>
  <r>
    <n v="354"/>
    <s v="P-1342"/>
    <x v="150"/>
    <s v="TIS-1322"/>
    <x v="155"/>
    <x v="0"/>
    <n v="901209021"/>
    <x v="134"/>
    <s v="PJ"/>
    <m/>
    <n v="9660000"/>
    <n v="1835400"/>
    <n v="11495400"/>
    <n v="11051040"/>
    <n v="0"/>
    <n v="444360"/>
    <n v="1062600"/>
    <n v="93315.6"/>
    <n v="0"/>
    <n v="-711555.6"/>
    <n v="11495400"/>
    <m/>
    <x v="4"/>
    <x v="4"/>
  </r>
  <r>
    <n v="355"/>
    <s v="P-1343"/>
    <x v="150"/>
    <s v="TIS-1323"/>
    <x v="156"/>
    <x v="0"/>
    <n v="800028768"/>
    <x v="13"/>
    <s v="PJ"/>
    <m/>
    <n v="260000"/>
    <n v="49400"/>
    <n v="309400"/>
    <n v="280800"/>
    <n v="0"/>
    <n v="28600"/>
    <n v="28600"/>
    <n v="2511.6"/>
    <n v="0"/>
    <n v="-2511.6"/>
    <n v="309400"/>
    <m/>
    <x v="4"/>
    <x v="4"/>
  </r>
  <r>
    <n v="356"/>
    <s v="P-1344"/>
    <x v="150"/>
    <s v="TIS-1324"/>
    <x v="156"/>
    <x v="0"/>
    <n v="900396116"/>
    <x v="44"/>
    <s v="PJ"/>
    <m/>
    <n v="300000"/>
    <n v="57000"/>
    <n v="357000"/>
    <n v="321102"/>
    <n v="0"/>
    <n v="35898"/>
    <n v="33000"/>
    <n v="2898"/>
    <n v="0"/>
    <n v="0"/>
    <n v="357000"/>
    <m/>
    <x v="4"/>
    <x v="4"/>
  </r>
  <r>
    <n v="357"/>
    <s v="P-1345"/>
    <x v="150"/>
    <s v="TIS-1325"/>
    <x v="156"/>
    <x v="0"/>
    <n v="901342609"/>
    <x v="116"/>
    <s v="PJ"/>
    <m/>
    <n v="175000"/>
    <n v="33250"/>
    <n v="208250"/>
    <n v="201250"/>
    <n v="0"/>
    <n v="7000"/>
    <n v="19250"/>
    <n v="1690.5"/>
    <n v="0"/>
    <n v="-13940.5"/>
    <n v="208250"/>
    <m/>
    <x v="4"/>
    <x v="4"/>
  </r>
  <r>
    <n v="358"/>
    <s v="P-1346"/>
    <x v="150"/>
    <s v="TIS-1326"/>
    <x v="156"/>
    <x v="0"/>
    <n v="900505660"/>
    <x v="114"/>
    <s v="PJ"/>
    <m/>
    <n v="250000"/>
    <n v="47500"/>
    <n v="297500"/>
    <n v="270000"/>
    <n v="0"/>
    <n v="27500"/>
    <n v="27500"/>
    <n v="2415"/>
    <n v="0"/>
    <n v="-2415"/>
    <n v="297500"/>
    <m/>
    <x v="4"/>
    <x v="4"/>
  </r>
  <r>
    <n v="359"/>
    <s v="P-1347"/>
    <x v="150"/>
    <s v="TIS-1327"/>
    <x v="156"/>
    <x v="0"/>
    <n v="901030518"/>
    <x v="32"/>
    <s v="PJ"/>
    <m/>
    <n v="400000"/>
    <n v="0"/>
    <n v="400000"/>
    <n v="400000"/>
    <n v="0"/>
    <n v="0"/>
    <n v="0"/>
    <n v="0"/>
    <n v="0"/>
    <n v="0"/>
    <n v="400000"/>
    <m/>
    <x v="4"/>
    <x v="4"/>
  </r>
  <r>
    <n v="360"/>
    <s v="P-1348"/>
    <x v="150"/>
    <s v="TIS-1328"/>
    <x v="156"/>
    <x v="0"/>
    <n v="52385710"/>
    <x v="14"/>
    <s v="PN"/>
    <s v="N"/>
    <n v="900000"/>
    <n v="0"/>
    <n v="900000"/>
    <n v="900000"/>
    <n v="0"/>
    <n v="0"/>
    <n v="0"/>
    <n v="0"/>
    <n v="0"/>
    <n v="0"/>
    <n v="900000"/>
    <m/>
    <x v="4"/>
    <x v="4"/>
  </r>
  <r>
    <n v="361"/>
    <s v="P-1349"/>
    <x v="150"/>
    <s v="TIS-1329"/>
    <x v="156"/>
    <x v="0"/>
    <n v="52385710"/>
    <x v="14"/>
    <s v="PN"/>
    <s v="N"/>
    <n v="300000"/>
    <n v="0"/>
    <n v="300000"/>
    <n v="300000"/>
    <n v="0"/>
    <n v="0"/>
    <n v="0"/>
    <n v="0"/>
    <n v="0"/>
    <n v="0"/>
    <n v="300000"/>
    <m/>
    <x v="4"/>
    <x v="4"/>
  </r>
  <r>
    <n v="362"/>
    <s v="P-1350"/>
    <x v="151"/>
    <s v="NC37"/>
    <x v="10"/>
    <x v="0"/>
    <n v="901034790"/>
    <x v="97"/>
    <s v="PJ"/>
    <m/>
    <n v="-7590000"/>
    <n v="-1442100"/>
    <n v="-9032100"/>
    <n v="0"/>
    <n v="0"/>
    <n v="-9032100"/>
    <n v="-834900"/>
    <n v="-73319.399999999994"/>
    <n v="0"/>
    <m/>
    <n v="0"/>
    <s v="Anula Tis 1365"/>
    <x v="1"/>
    <x v="5"/>
  </r>
  <r>
    <n v="363"/>
    <s v="P-1351"/>
    <x v="152"/>
    <s v="NC39"/>
    <x v="157"/>
    <x v="0"/>
    <n v="901233425"/>
    <x v="41"/>
    <s v="PJ"/>
    <m/>
    <n v="-1080000"/>
    <n v="-205200"/>
    <n v="-1285200"/>
    <n v="0"/>
    <n v="0"/>
    <n v="-1285200"/>
    <n v="-118800"/>
    <n v="-10432.800000000001"/>
    <n v="0"/>
    <n v="-1155967.2"/>
    <n v="0"/>
    <s v="Anula Tis 1417"/>
    <x v="5"/>
    <x v="4"/>
  </r>
  <r>
    <n v="364"/>
    <s v="P-1352"/>
    <x v="153"/>
    <s v="TIS-1332"/>
    <x v="158"/>
    <x v="0"/>
    <n v="901034854"/>
    <x v="135"/>
    <s v="PJ"/>
    <m/>
    <n v="850000"/>
    <n v="161500"/>
    <n v="1011500"/>
    <n v="927078"/>
    <n v="-17289"/>
    <n v="84422"/>
    <n v="93500"/>
    <n v="8211"/>
    <n v="0"/>
    <m/>
    <n v="1028789"/>
    <m/>
    <x v="5"/>
    <x v="4"/>
  </r>
  <r>
    <n v="365"/>
    <s v="P-1353"/>
    <x v="154"/>
    <s v="TIS-1334"/>
    <x v="159"/>
    <x v="0"/>
    <n v="800028768"/>
    <x v="13"/>
    <s v="PJ"/>
    <m/>
    <n v="260000"/>
    <n v="49400"/>
    <n v="309400"/>
    <n v="561600"/>
    <n v="-283311.59999999998"/>
    <n v="-252200"/>
    <n v="28600"/>
    <n v="2511.6"/>
    <n v="0"/>
    <m/>
    <n v="592711.6"/>
    <m/>
    <x v="5"/>
    <x v="4"/>
  </r>
  <r>
    <n v="366"/>
    <s v="P-1354"/>
    <x v="154"/>
    <s v="TIS-1335"/>
    <x v="159"/>
    <x v="0"/>
    <n v="900396116"/>
    <x v="44"/>
    <s v="PJ"/>
    <m/>
    <n v="300000"/>
    <n v="57000"/>
    <n v="357000"/>
    <n v="321102"/>
    <n v="0"/>
    <n v="35898"/>
    <n v="33000"/>
    <n v="2898"/>
    <n v="0"/>
    <m/>
    <n v="357000"/>
    <m/>
    <x v="5"/>
    <x v="4"/>
  </r>
  <r>
    <n v="367"/>
    <s v="P-1355"/>
    <x v="154"/>
    <s v="TIS-1336"/>
    <x v="159"/>
    <x v="0"/>
    <n v="901587426"/>
    <x v="136"/>
    <s v="PJ"/>
    <m/>
    <n v="300000"/>
    <n v="57000"/>
    <n v="357000"/>
    <n v="300000"/>
    <n v="21102"/>
    <n v="57000"/>
    <n v="33000"/>
    <n v="2898"/>
    <n v="0"/>
    <m/>
    <n v="335898"/>
    <m/>
    <x v="5"/>
    <x v="4"/>
  </r>
  <r>
    <n v="368"/>
    <s v="P-1356"/>
    <x v="154"/>
    <s v="TIS-1337"/>
    <x v="159"/>
    <x v="0"/>
    <n v="900505660"/>
    <x v="114"/>
    <s v="PJ"/>
    <m/>
    <n v="250000"/>
    <n v="47500"/>
    <n v="297500"/>
    <n v="270000"/>
    <n v="-2415"/>
    <n v="27500"/>
    <n v="27500"/>
    <n v="2415"/>
    <n v="0"/>
    <m/>
    <n v="299915"/>
    <m/>
    <x v="5"/>
    <x v="4"/>
  </r>
  <r>
    <n v="369"/>
    <s v="P-1357"/>
    <x v="154"/>
    <s v="TIS-1338"/>
    <x v="159"/>
    <x v="0"/>
    <n v="901588265"/>
    <x v="130"/>
    <s v="PJ"/>
    <m/>
    <n v="545454"/>
    <n v="103636.26"/>
    <n v="649090.26"/>
    <n v="622003"/>
    <n v="-38181.765639999881"/>
    <n v="27087.260000000009"/>
    <n v="59999.94"/>
    <n v="5269.0856400000002"/>
    <n v="0"/>
    <m/>
    <n v="687272.02563999989"/>
    <m/>
    <x v="5"/>
    <x v="4"/>
  </r>
  <r>
    <n v="370"/>
    <s v="P-1358"/>
    <x v="154"/>
    <s v="TIS-1339"/>
    <x v="159"/>
    <x v="0"/>
    <n v="901342609"/>
    <x v="116"/>
    <s v="PJ"/>
    <m/>
    <n v="175000"/>
    <n v="33250"/>
    <n v="208250"/>
    <n v="201250"/>
    <n v="-13940.5"/>
    <n v="7000"/>
    <n v="19250"/>
    <n v="1690.5"/>
    <n v="0"/>
    <m/>
    <n v="222190.5"/>
    <m/>
    <x v="5"/>
    <x v="4"/>
  </r>
  <r>
    <n v="371"/>
    <s v="P-1359"/>
    <x v="154"/>
    <s v="TIS-1340"/>
    <x v="159"/>
    <x v="0"/>
    <n v="901030518"/>
    <x v="32"/>
    <s v="PJ"/>
    <m/>
    <n v="400000"/>
    <n v="0"/>
    <n v="400000"/>
    <n v="400000"/>
    <n v="0"/>
    <n v="0"/>
    <n v="0"/>
    <n v="0"/>
    <n v="0"/>
    <m/>
    <n v="400000"/>
    <m/>
    <x v="5"/>
    <x v="4"/>
  </r>
  <r>
    <n v="372"/>
    <s v="P-1360"/>
    <x v="155"/>
    <s v="TIS-1341"/>
    <x v="160"/>
    <x v="0"/>
    <n v="860009161"/>
    <x v="98"/>
    <s v="PJ"/>
    <m/>
    <n v="1620000"/>
    <n v="307800"/>
    <n v="1927800"/>
    <n v="1735571"/>
    <n v="-1620.1999999999534"/>
    <n v="192229"/>
    <n v="178200"/>
    <n v="15649.2"/>
    <n v="0"/>
    <m/>
    <n v="1929420.2"/>
    <m/>
    <x v="5"/>
    <x v="4"/>
  </r>
  <r>
    <n v="373"/>
    <s v="P-1361"/>
    <x v="156"/>
    <s v="TIS-1342"/>
    <x v="161"/>
    <x v="0"/>
    <n v="900249638"/>
    <x v="0"/>
    <s v="PJ"/>
    <m/>
    <n v="304000"/>
    <n v="115520"/>
    <n v="419520"/>
    <n v="693935"/>
    <n v="-310791.64"/>
    <n v="-274415"/>
    <n v="33440"/>
    <n v="2936.64"/>
    <n v="0"/>
    <m/>
    <n v="730311.64"/>
    <m/>
    <x v="5"/>
    <x v="4"/>
  </r>
  <r>
    <n v="374"/>
    <s v="P-1362"/>
    <x v="157"/>
    <s v="TIS-1343"/>
    <x v="162"/>
    <x v="0"/>
    <n v="830031255"/>
    <x v="137"/>
    <s v="PJ"/>
    <m/>
    <n v="600000"/>
    <n v="114000"/>
    <n v="714000"/>
    <n v="714000"/>
    <n v="0"/>
    <n v="0"/>
    <n v="0"/>
    <n v="0"/>
    <n v="0"/>
    <m/>
    <n v="714000"/>
    <m/>
    <x v="5"/>
    <x v="4"/>
  </r>
  <r>
    <n v="375"/>
    <s v="P-1363"/>
    <x v="158"/>
    <s v="TIS-1344"/>
    <x v="163"/>
    <x v="0"/>
    <n v="900607758"/>
    <x v="138"/>
    <s v="PJ"/>
    <m/>
    <n v="1750000"/>
    <n v="332500"/>
    <n v="2082500"/>
    <n v="2012500"/>
    <n v="-139405"/>
    <n v="70000"/>
    <n v="192500"/>
    <n v="16905"/>
    <n v="0"/>
    <m/>
    <n v="2221905"/>
    <m/>
    <x v="5"/>
    <x v="4"/>
  </r>
  <r>
    <n v="376"/>
    <s v="P-1364"/>
    <x v="159"/>
    <s v="TIS-1353"/>
    <x v="164"/>
    <x v="0"/>
    <n v="830033212"/>
    <x v="69"/>
    <s v="PJ"/>
    <m/>
    <n v="1350000"/>
    <n v="256500"/>
    <n v="1606500"/>
    <n v="1448550"/>
    <n v="-3591"/>
    <n v="157950"/>
    <n v="148500"/>
    <n v="13041"/>
    <n v="0"/>
    <m/>
    <n v="1610091"/>
    <m/>
    <x v="5"/>
    <x v="4"/>
  </r>
  <r>
    <n v="377"/>
    <s v="P-1365"/>
    <x v="160"/>
    <s v="TIS-1354"/>
    <x v="165"/>
    <x v="0"/>
    <n v="830110907"/>
    <x v="139"/>
    <s v="PJ"/>
    <m/>
    <n v="2700000"/>
    <n v="513000"/>
    <n v="3213000"/>
    <n v="3213000"/>
    <n v="0"/>
    <n v="0"/>
    <n v="0"/>
    <n v="0"/>
    <n v="0"/>
    <m/>
    <n v="3213000"/>
    <m/>
    <x v="5"/>
    <x v="4"/>
  </r>
  <r>
    <n v="378"/>
    <s v="P-1366"/>
    <x v="161"/>
    <s v="TIS-1350"/>
    <x v="166"/>
    <x v="0"/>
    <n v="901030518"/>
    <x v="32"/>
    <s v="PJ"/>
    <m/>
    <n v="400000"/>
    <n v="0"/>
    <n v="400000"/>
    <n v="400000"/>
    <n v="0"/>
    <n v="0"/>
    <n v="0"/>
    <n v="0"/>
    <n v="0"/>
    <m/>
    <n v="400000"/>
    <m/>
    <x v="5"/>
    <x v="4"/>
  </r>
  <r>
    <n v="379"/>
    <s v="P-1367"/>
    <x v="161"/>
    <s v="TIS-1345"/>
    <x v="166"/>
    <x v="0"/>
    <n v="800028768"/>
    <x v="13"/>
    <s v="PJ"/>
    <m/>
    <n v="260000"/>
    <n v="49400"/>
    <n v="309400"/>
    <n v="280800"/>
    <n v="-2511.5999999999767"/>
    <n v="28600"/>
    <n v="28600"/>
    <n v="2511.6"/>
    <n v="0"/>
    <m/>
    <n v="311911.59999999998"/>
    <m/>
    <x v="5"/>
    <x v="4"/>
  </r>
  <r>
    <n v="380"/>
    <s v="P-1368"/>
    <x v="161"/>
    <s v="TIS-1346"/>
    <x v="166"/>
    <x v="0"/>
    <n v="901342609"/>
    <x v="116"/>
    <s v="PJ"/>
    <m/>
    <n v="175000"/>
    <n v="33250"/>
    <n v="208250"/>
    <n v="201250"/>
    <n v="-13940.5"/>
    <n v="7000"/>
    <n v="19250"/>
    <n v="1690.5"/>
    <n v="0"/>
    <m/>
    <n v="222190.5"/>
    <m/>
    <x v="5"/>
    <x v="4"/>
  </r>
  <r>
    <n v="381"/>
    <s v="P-1369"/>
    <x v="161"/>
    <s v="TIS-1347"/>
    <x v="166"/>
    <x v="0"/>
    <n v="901587426"/>
    <x v="136"/>
    <s v="PJ"/>
    <m/>
    <n v="300000"/>
    <n v="57000"/>
    <n v="357000"/>
    <n v="357000"/>
    <n v="0"/>
    <n v="0"/>
    <n v="0"/>
    <n v="0"/>
    <n v="0"/>
    <m/>
    <n v="357000"/>
    <m/>
    <x v="5"/>
    <x v="4"/>
  </r>
  <r>
    <n v="382"/>
    <s v="P-1370"/>
    <x v="161"/>
    <s v="TIS-1348"/>
    <x v="166"/>
    <x v="0"/>
    <n v="900505660"/>
    <x v="114"/>
    <s v="PJ"/>
    <m/>
    <n v="250000"/>
    <n v="47500"/>
    <n v="297500"/>
    <n v="270000"/>
    <n v="-2415"/>
    <n v="27500"/>
    <n v="27500"/>
    <n v="2415"/>
    <n v="0"/>
    <m/>
    <n v="299915"/>
    <m/>
    <x v="5"/>
    <x v="4"/>
  </r>
  <r>
    <n v="383"/>
    <s v="P-1371"/>
    <x v="161"/>
    <s v="TIS-1349"/>
    <x v="166"/>
    <x v="0"/>
    <n v="901588265"/>
    <x v="130"/>
    <s v="PJ"/>
    <m/>
    <n v="545454"/>
    <n v="103636.26"/>
    <n v="649090.26"/>
    <n v="622003"/>
    <n v="-38181.765639999881"/>
    <n v="27087.260000000009"/>
    <n v="59999.94"/>
    <n v="5269.0856400000002"/>
    <n v="0"/>
    <m/>
    <n v="687272.02563999989"/>
    <m/>
    <x v="5"/>
    <x v="4"/>
  </r>
  <r>
    <n v="384"/>
    <s v="P-1372"/>
    <x v="162"/>
    <s v="TIS-1351"/>
    <x v="166"/>
    <x v="0"/>
    <n v="900693605"/>
    <x v="59"/>
    <s v="PJ"/>
    <m/>
    <n v="1200000"/>
    <n v="228000"/>
    <n v="1428000"/>
    <n v="1380000"/>
    <n v="-95592"/>
    <n v="48000"/>
    <n v="132000"/>
    <n v="11592"/>
    <n v="0"/>
    <m/>
    <n v="1523592"/>
    <m/>
    <x v="5"/>
    <x v="4"/>
  </r>
  <r>
    <n v="385"/>
    <s v="P-1373"/>
    <x v="161"/>
    <s v="TIS-1352"/>
    <x v="166"/>
    <x v="0"/>
    <n v="4446779"/>
    <x v="140"/>
    <s v="PN"/>
    <m/>
    <n v="4950000"/>
    <n v="940500"/>
    <n v="5890500"/>
    <n v="5890500"/>
    <n v="0"/>
    <n v="0"/>
    <n v="0"/>
    <n v="0"/>
    <n v="0"/>
    <m/>
    <n v="5890500"/>
    <m/>
    <x v="5"/>
    <x v="4"/>
  </r>
  <r>
    <n v="386"/>
    <s v="P-1374"/>
    <x v="163"/>
    <s v="TIS-1363"/>
    <x v="167"/>
    <x v="0"/>
    <n v="901030518"/>
    <x v="32"/>
    <s v="PJ"/>
    <m/>
    <n v="400000"/>
    <n v="0"/>
    <n v="400000"/>
    <n v="400000"/>
    <n v="0"/>
    <n v="0"/>
    <n v="0"/>
    <n v="0"/>
    <n v="0"/>
    <m/>
    <n v="400000"/>
    <m/>
    <x v="5"/>
    <x v="4"/>
  </r>
  <r>
    <n v="387"/>
    <s v="P-1375"/>
    <x v="164"/>
    <s v="TIS-1364"/>
    <x v="168"/>
    <x v="0"/>
    <n v="900444251"/>
    <x v="62"/>
    <s v="PJ"/>
    <m/>
    <n v="2340000"/>
    <n v="444600"/>
    <n v="2784600"/>
    <n v="2668396"/>
    <n v="-163800.39999999991"/>
    <n v="116204"/>
    <n v="257400"/>
    <n v="22604.400000000001"/>
    <n v="0"/>
    <m/>
    <n v="2948400.4"/>
    <m/>
    <x v="5"/>
    <x v="4"/>
  </r>
  <r>
    <n v="388"/>
    <s v="P-1376"/>
    <x v="165"/>
    <s v="TIS-1365"/>
    <x v="169"/>
    <x v="1"/>
    <n v="901034790"/>
    <x v="97"/>
    <s v="PJ"/>
    <m/>
    <n v="7590000"/>
    <n v="1442100"/>
    <n v="9032100"/>
    <n v="0"/>
    <n v="0"/>
    <n v="9032100"/>
    <n v="834900"/>
    <n v="73319.399999999994"/>
    <n v="0"/>
    <m/>
    <n v="0"/>
    <m/>
    <x v="5"/>
    <x v="4"/>
  </r>
  <r>
    <n v="389"/>
    <s v="P-1377"/>
    <x v="165"/>
    <s v="TIS-1366"/>
    <x v="169"/>
    <x v="0"/>
    <n v="800028768"/>
    <x v="13"/>
    <s v="PJ"/>
    <m/>
    <n v="260000"/>
    <n v="49400"/>
    <n v="309400"/>
    <n v="291550"/>
    <n v="-13261.599999999977"/>
    <n v="17850"/>
    <n v="28600"/>
    <n v="2511.6"/>
    <n v="0"/>
    <m/>
    <n v="322661.59999999998"/>
    <m/>
    <x v="5"/>
    <x v="4"/>
  </r>
  <r>
    <n v="390"/>
    <s v="P-1378"/>
    <x v="165"/>
    <s v="TIS-1367"/>
    <x v="169"/>
    <x v="0"/>
    <n v="901342609"/>
    <x v="116"/>
    <s v="PJ"/>
    <m/>
    <n v="175000"/>
    <n v="33250"/>
    <n v="208250"/>
    <n v="201250"/>
    <n v="-13940.5"/>
    <n v="7000"/>
    <n v="19250"/>
    <n v="1690.5"/>
    <n v="0"/>
    <m/>
    <n v="222190.5"/>
    <m/>
    <x v="5"/>
    <x v="4"/>
  </r>
  <r>
    <n v="391"/>
    <s v="P-1379"/>
    <x v="165"/>
    <s v="TIS-1368"/>
    <x v="169"/>
    <x v="0"/>
    <n v="901587426"/>
    <x v="136"/>
    <s v="PJ"/>
    <m/>
    <n v="300000"/>
    <n v="57000"/>
    <n v="357000"/>
    <n v="357000"/>
    <n v="0"/>
    <n v="0"/>
    <n v="0"/>
    <n v="0"/>
    <n v="0"/>
    <m/>
    <n v="357000"/>
    <m/>
    <x v="5"/>
    <x v="4"/>
  </r>
  <r>
    <n v="392"/>
    <s v="P-1380"/>
    <x v="165"/>
    <s v="TIS-1369"/>
    <x v="169"/>
    <x v="0"/>
    <n v="900505660"/>
    <x v="114"/>
    <s v="PJ"/>
    <m/>
    <n v="250000"/>
    <n v="47500"/>
    <n v="297500"/>
    <n v="270000"/>
    <n v="-2415"/>
    <n v="27500"/>
    <n v="27500"/>
    <n v="2415"/>
    <n v="0"/>
    <m/>
    <n v="299915"/>
    <m/>
    <x v="5"/>
    <x v="4"/>
  </r>
  <r>
    <n v="393"/>
    <s v="P-1381"/>
    <x v="165"/>
    <s v="TIS-1370"/>
    <x v="169"/>
    <x v="0"/>
    <n v="901030518"/>
    <x v="32"/>
    <s v="PJ"/>
    <m/>
    <n v="400000"/>
    <n v="0"/>
    <n v="400000"/>
    <n v="400000"/>
    <n v="0"/>
    <n v="0"/>
    <n v="0"/>
    <n v="0"/>
    <n v="0"/>
    <m/>
    <n v="400000"/>
    <m/>
    <x v="5"/>
    <x v="4"/>
  </r>
  <r>
    <n v="394"/>
    <s v="P-1382"/>
    <x v="165"/>
    <s v="TIS-1371"/>
    <x v="169"/>
    <x v="0"/>
    <n v="901588265"/>
    <x v="130"/>
    <s v="PJ"/>
    <m/>
    <n v="545454"/>
    <n v="103636.26"/>
    <n v="649090.26"/>
    <n v="622003"/>
    <n v="-38181.765639999881"/>
    <n v="27087.260000000009"/>
    <n v="59999.94"/>
    <n v="5269.0856400000002"/>
    <n v="0"/>
    <m/>
    <n v="687272.02563999989"/>
    <m/>
    <x v="5"/>
    <x v="4"/>
  </r>
  <r>
    <n v="395"/>
    <s v="P-1383"/>
    <x v="165"/>
    <s v="TIS-1372"/>
    <x v="169"/>
    <x v="0"/>
    <n v="900694193"/>
    <x v="127"/>
    <n v="0"/>
    <s v="N"/>
    <n v="5700"/>
    <n v="1083"/>
    <n v="6783"/>
    <n v="0"/>
    <n v="6783"/>
    <n v="6783"/>
    <n v="0"/>
    <n v="0"/>
    <n v="0"/>
    <m/>
    <n v="0"/>
    <m/>
    <x v="5"/>
    <x v="4"/>
  </r>
  <r>
    <n v="396"/>
    <s v="P-1384"/>
    <x v="165"/>
    <s v="TIS-1373"/>
    <x v="169"/>
    <x v="0"/>
    <n v="900694193"/>
    <x v="127"/>
    <n v="0"/>
    <s v="N"/>
    <n v="190350"/>
    <n v="36166.5"/>
    <n v="226516.5"/>
    <n v="222180"/>
    <n v="4336.5"/>
    <n v="4336.5"/>
    <n v="0"/>
    <n v="0"/>
    <n v="0"/>
    <m/>
    <n v="222180"/>
    <m/>
    <x v="5"/>
    <x v="4"/>
  </r>
  <r>
    <n v="397"/>
    <s v="P-1385"/>
    <x v="165"/>
    <s v="TIS-1374"/>
    <x v="169"/>
    <x v="0"/>
    <n v="830031255"/>
    <x v="137"/>
    <s v="PJ"/>
    <m/>
    <n v="600000"/>
    <n v="114000"/>
    <n v="714000"/>
    <n v="714000"/>
    <n v="0"/>
    <n v="0"/>
    <n v="0"/>
    <n v="0"/>
    <n v="0"/>
    <m/>
    <n v="714000"/>
    <m/>
    <x v="5"/>
    <x v="4"/>
  </r>
  <r>
    <n v="399"/>
    <s v="P-1387"/>
    <x v="165"/>
    <s v="TIS-1375"/>
    <x v="169"/>
    <x v="0"/>
    <n v="901034790"/>
    <x v="97"/>
    <s v="PJ"/>
    <m/>
    <n v="6690000"/>
    <n v="1271100"/>
    <n v="7961100"/>
    <n v="7451590"/>
    <n v="-291015.40000000037"/>
    <n v="509510"/>
    <n v="735900"/>
    <n v="64625.4"/>
    <n v="0"/>
    <m/>
    <n v="8252115.4000000004"/>
    <m/>
    <x v="5"/>
    <x v="4"/>
  </r>
  <r>
    <n v="400"/>
    <s v="P-1388"/>
    <x v="166"/>
    <s v="TIS-1376"/>
    <x v="170"/>
    <x v="0"/>
    <n v="800028768"/>
    <x v="13"/>
    <s v="PJ"/>
    <m/>
    <n v="260000"/>
    <n v="49400"/>
    <n v="309400"/>
    <n v="291550"/>
    <n v="-13261.599999999977"/>
    <n v="17850"/>
    <n v="28600"/>
    <n v="2511.6"/>
    <n v="0"/>
    <m/>
    <n v="322661.59999999998"/>
    <m/>
    <x v="5"/>
    <x v="4"/>
  </r>
  <r>
    <n v="401"/>
    <s v="P-1389"/>
    <x v="166"/>
    <s v="TIS-1377"/>
    <x v="170"/>
    <x v="0"/>
    <n v="901342609"/>
    <x v="116"/>
    <s v="PJ"/>
    <m/>
    <n v="175000"/>
    <n v="33250"/>
    <n v="208250"/>
    <n v="201250"/>
    <n v="-13940.5"/>
    <n v="7000"/>
    <n v="19250"/>
    <n v="1690.5"/>
    <n v="0"/>
    <m/>
    <n v="222190.5"/>
    <m/>
    <x v="5"/>
    <x v="4"/>
  </r>
  <r>
    <n v="402"/>
    <s v="P-1391"/>
    <x v="166"/>
    <s v="TIS-1379"/>
    <x v="170"/>
    <x v="0"/>
    <n v="900505660"/>
    <x v="114"/>
    <s v="PJ"/>
    <m/>
    <n v="300000"/>
    <n v="57000"/>
    <n v="357000"/>
    <n v="357000"/>
    <n v="0"/>
    <n v="0"/>
    <n v="0"/>
    <n v="0"/>
    <n v="0"/>
    <m/>
    <n v="357000"/>
    <m/>
    <x v="5"/>
    <x v="4"/>
  </r>
  <r>
    <n v="403"/>
    <s v="P-1392"/>
    <x v="166"/>
    <s v="TIS-1380"/>
    <x v="170"/>
    <x v="0"/>
    <n v="901588265"/>
    <x v="130"/>
    <s v="PJ"/>
    <m/>
    <n v="545454"/>
    <n v="103636.26"/>
    <n v="649090.26"/>
    <n v="622003"/>
    <n v="-38181.765639999881"/>
    <n v="27087.260000000009"/>
    <n v="59999.94"/>
    <n v="5269.0856400000002"/>
    <n v="0"/>
    <m/>
    <n v="687272.02563999989"/>
    <m/>
    <x v="5"/>
    <x v="4"/>
  </r>
  <r>
    <n v="404"/>
    <s v="P-1393"/>
    <x v="166"/>
    <s v="TIS-1381"/>
    <x v="170"/>
    <x v="0"/>
    <n v="860090915"/>
    <x v="141"/>
    <s v="PJ"/>
    <m/>
    <n v="5040000"/>
    <n v="957600"/>
    <n v="5997600"/>
    <n v="5608714"/>
    <n v="-214200.40000000037"/>
    <n v="388886"/>
    <n v="554400"/>
    <n v="48686.400000000001"/>
    <n v="0"/>
    <m/>
    <n v="6211800.4000000004"/>
    <m/>
    <x v="5"/>
    <x v="4"/>
  </r>
  <r>
    <n v="405"/>
    <s v="P-1394"/>
    <x v="166"/>
    <s v="TIS-1382"/>
    <x v="170"/>
    <x v="0"/>
    <n v="900704478"/>
    <x v="142"/>
    <s v="PJ"/>
    <m/>
    <n v="2000000"/>
    <n v="380000"/>
    <n v="2380000"/>
    <n v="2380000"/>
    <n v="0"/>
    <n v="0"/>
    <n v="0"/>
    <n v="0"/>
    <n v="0"/>
    <m/>
    <n v="2380000"/>
    <m/>
    <x v="5"/>
    <x v="4"/>
  </r>
  <r>
    <n v="406"/>
    <s v="P-1395"/>
    <x v="167"/>
    <s v="TIS-1383"/>
    <x v="171"/>
    <x v="0"/>
    <n v="830054076"/>
    <x v="120"/>
    <s v="PJ"/>
    <m/>
    <n v="7950000"/>
    <n v="1510500"/>
    <n v="9460500"/>
    <n v="8282628"/>
    <n v="226575"/>
    <n v="1177872"/>
    <n v="874500"/>
    <n v="76797"/>
    <n v="0"/>
    <m/>
    <n v="9233925"/>
    <m/>
    <x v="5"/>
    <x v="4"/>
  </r>
  <r>
    <n v="407"/>
    <s v="P-1396"/>
    <x v="168"/>
    <s v="TIS-1384"/>
    <x v="172"/>
    <x v="0"/>
    <n v="900136900"/>
    <x v="143"/>
    <s v="PJ"/>
    <m/>
    <n v="500000"/>
    <n v="95000"/>
    <n v="595000"/>
    <n v="557750"/>
    <n v="-22580"/>
    <n v="37250"/>
    <n v="55000"/>
    <n v="4830"/>
    <n v="0"/>
    <m/>
    <n v="617580"/>
    <m/>
    <x v="5"/>
    <x v="4"/>
  </r>
  <r>
    <n v="408"/>
    <s v="P-1397"/>
    <x v="169"/>
    <s v="TIS-1386"/>
    <x v="173"/>
    <x v="0"/>
    <n v="860524219"/>
    <x v="144"/>
    <s v="PJ"/>
    <m/>
    <n v="1000000"/>
    <n v="190000"/>
    <n v="1190000"/>
    <n v="1071340"/>
    <n v="-1000"/>
    <n v="118660"/>
    <n v="110000"/>
    <n v="9660"/>
    <n v="0"/>
    <m/>
    <n v="1191000"/>
    <m/>
    <x v="5"/>
    <x v="4"/>
  </r>
  <r>
    <n v="409"/>
    <s v="P-1398"/>
    <x v="170"/>
    <s v="TIS-1387"/>
    <x v="174"/>
    <x v="0"/>
    <n v="800028768"/>
    <x v="13"/>
    <s v="PJ"/>
    <m/>
    <n v="260000"/>
    <n v="49400"/>
    <n v="309400"/>
    <n v="280800"/>
    <n v="-2511.5999999999767"/>
    <n v="28600"/>
    <n v="28600"/>
    <n v="2511.6"/>
    <n v="0"/>
    <m/>
    <n v="311911.59999999998"/>
    <m/>
    <x v="5"/>
    <x v="4"/>
  </r>
  <r>
    <n v="410"/>
    <s v="P-1399"/>
    <x v="170"/>
    <s v="TIS-1388"/>
    <x v="174"/>
    <x v="0"/>
    <n v="901342609"/>
    <x v="116"/>
    <s v="PJ"/>
    <m/>
    <n v="175000"/>
    <n v="33250"/>
    <n v="208250"/>
    <n v="201250"/>
    <n v="-13940.5"/>
    <n v="7000"/>
    <n v="19250"/>
    <n v="1690.5"/>
    <n v="0"/>
    <m/>
    <n v="222190.5"/>
    <m/>
    <x v="5"/>
    <x v="4"/>
  </r>
  <r>
    <n v="411"/>
    <s v="P-1400"/>
    <x v="170"/>
    <s v="TIS-1389"/>
    <x v="174"/>
    <x v="0"/>
    <n v="901587426"/>
    <x v="136"/>
    <s v="PJ"/>
    <m/>
    <n v="300000"/>
    <n v="57000"/>
    <n v="357000"/>
    <n v="357000"/>
    <n v="0"/>
    <n v="0"/>
    <n v="0"/>
    <n v="0"/>
    <n v="0"/>
    <m/>
    <n v="357000"/>
    <m/>
    <x v="5"/>
    <x v="4"/>
  </r>
  <r>
    <n v="412"/>
    <s v="P-1401"/>
    <x v="170"/>
    <s v="TIS-1390"/>
    <x v="174"/>
    <x v="0"/>
    <n v="901587426"/>
    <x v="136"/>
    <s v="PJ"/>
    <m/>
    <n v="900000"/>
    <n v="171000"/>
    <n v="1071000"/>
    <n v="1071000"/>
    <n v="0"/>
    <n v="0"/>
    <n v="0"/>
    <n v="0"/>
    <n v="0"/>
    <m/>
    <n v="1071000"/>
    <m/>
    <x v="5"/>
    <x v="4"/>
  </r>
  <r>
    <n v="413"/>
    <s v="P-1402"/>
    <x v="170"/>
    <s v="TIS-1391"/>
    <x v="174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5"/>
    <x v="4"/>
  </r>
  <r>
    <n v="414"/>
    <s v="P-1403"/>
    <x v="170"/>
    <s v="TIS-1392"/>
    <x v="174"/>
    <x v="0"/>
    <n v="900355950"/>
    <x v="35"/>
    <s v="PJ"/>
    <s v="N"/>
    <n v="648000"/>
    <n v="123120"/>
    <n v="771120"/>
    <n v="771120"/>
    <n v="0"/>
    <n v="0"/>
    <n v="0"/>
    <n v="0"/>
    <n v="0"/>
    <m/>
    <n v="771120"/>
    <m/>
    <x v="5"/>
    <x v="4"/>
  </r>
  <r>
    <n v="415"/>
    <s v="P-1404"/>
    <x v="170"/>
    <s v="TIS-1393"/>
    <x v="174"/>
    <x v="0"/>
    <n v="901588265"/>
    <x v="130"/>
    <s v="PJ"/>
    <m/>
    <n v="545454"/>
    <n v="103636.26"/>
    <n v="649090.26"/>
    <n v="622003"/>
    <n v="-38181.765639999881"/>
    <n v="27087.260000000009"/>
    <n v="59999.94"/>
    <n v="5269.0856400000002"/>
    <n v="0"/>
    <m/>
    <n v="687272.02563999989"/>
    <m/>
    <x v="5"/>
    <x v="4"/>
  </r>
  <r>
    <n v="416"/>
    <s v="P-1405"/>
    <x v="171"/>
    <s v="TIS-1394"/>
    <x v="175"/>
    <x v="0"/>
    <n v="830105194"/>
    <x v="105"/>
    <s v="PJ"/>
    <m/>
    <n v="600000"/>
    <n v="114000"/>
    <n v="714000"/>
    <n v="684204"/>
    <n v="-42000"/>
    <n v="29796"/>
    <n v="66000"/>
    <n v="5796"/>
    <n v="0"/>
    <m/>
    <n v="756000"/>
    <m/>
    <x v="5"/>
    <x v="4"/>
  </r>
  <r>
    <n v="417"/>
    <s v="P-1406"/>
    <x v="171"/>
    <s v="TIS-1395"/>
    <x v="175"/>
    <x v="0"/>
    <n v="830057687"/>
    <x v="94"/>
    <s v="PJ"/>
    <m/>
    <n v="1060000"/>
    <n v="201400"/>
    <n v="1261400"/>
    <n v="1209820"/>
    <n v="-75259.600000000093"/>
    <n v="51580"/>
    <n v="116600"/>
    <n v="10239.6"/>
    <n v="0"/>
    <m/>
    <n v="1336659.6000000001"/>
    <m/>
    <x v="5"/>
    <x v="4"/>
  </r>
  <r>
    <n v="418"/>
    <s v="P-1407"/>
    <x v="172"/>
    <s v="TIS-1396"/>
    <x v="176"/>
    <x v="0"/>
    <n v="900368599"/>
    <x v="145"/>
    <s v="PJ"/>
    <m/>
    <n v="770000"/>
    <n v="146300"/>
    <n v="916300"/>
    <n v="833200"/>
    <n v="-9038.1999999999534"/>
    <n v="83100"/>
    <n v="84700"/>
    <n v="7438.2"/>
    <n v="0"/>
    <m/>
    <n v="925338.2"/>
    <m/>
    <x v="5"/>
    <x v="4"/>
  </r>
  <r>
    <n v="419"/>
    <s v="P-1408"/>
    <x v="173"/>
    <s v="TIS-1397"/>
    <x v="177"/>
    <x v="0"/>
    <n v="900136900"/>
    <x v="143"/>
    <s v="PJ"/>
    <m/>
    <n v="6020000"/>
    <n v="1143800"/>
    <n v="7163800"/>
    <n v="6293910"/>
    <n v="149536.79999999981"/>
    <n v="869890"/>
    <n v="662200"/>
    <n v="58153.200000000004"/>
    <n v="0"/>
    <m/>
    <n v="7014263.2000000002"/>
    <m/>
    <x v="5"/>
    <x v="4"/>
  </r>
  <r>
    <n v="420"/>
    <s v="P-1409"/>
    <x v="174"/>
    <s v="TIS-1398"/>
    <x v="178"/>
    <x v="0"/>
    <n v="800028768"/>
    <x v="13"/>
    <s v="PJ"/>
    <m/>
    <n v="260000"/>
    <n v="49400"/>
    <n v="309400"/>
    <n v="280800"/>
    <n v="-2511.5999999999767"/>
    <n v="28600"/>
    <n v="28600"/>
    <n v="2511.6"/>
    <n v="0"/>
    <m/>
    <n v="311911.59999999998"/>
    <m/>
    <x v="5"/>
    <x v="4"/>
  </r>
  <r>
    <n v="421"/>
    <s v="P-1410"/>
    <x v="174"/>
    <s v="TIS-1399"/>
    <x v="178"/>
    <x v="0"/>
    <n v="901342609"/>
    <x v="116"/>
    <s v="PJ"/>
    <m/>
    <n v="175000"/>
    <n v="33250"/>
    <n v="208250"/>
    <n v="201250"/>
    <n v="-13940.5"/>
    <n v="7000"/>
    <n v="19250"/>
    <n v="1690.5"/>
    <n v="0"/>
    <m/>
    <n v="222190.5"/>
    <m/>
    <x v="5"/>
    <x v="4"/>
  </r>
  <r>
    <n v="422"/>
    <s v="P-1411"/>
    <x v="174"/>
    <s v="TIS-1400"/>
    <x v="178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5"/>
    <x v="4"/>
  </r>
  <r>
    <n v="423"/>
    <s v="P-1412"/>
    <x v="174"/>
    <s v="TIS-1401"/>
    <x v="178"/>
    <x v="0"/>
    <n v="901587426"/>
    <x v="136"/>
    <s v="PJ"/>
    <m/>
    <n v="300000"/>
    <n v="57000"/>
    <n v="357000"/>
    <n v="357000"/>
    <n v="0"/>
    <n v="0"/>
    <n v="0"/>
    <n v="0"/>
    <n v="0"/>
    <m/>
    <n v="357000"/>
    <m/>
    <x v="5"/>
    <x v="4"/>
  </r>
  <r>
    <n v="424"/>
    <s v="P-1413"/>
    <x v="174"/>
    <s v="TIS-1402"/>
    <x v="178"/>
    <x v="0"/>
    <n v="900505660"/>
    <x v="114"/>
    <s v="PJ"/>
    <m/>
    <n v="300000"/>
    <n v="57000"/>
    <n v="357000"/>
    <n v="594000"/>
    <n v="-272898"/>
    <n v="-237000"/>
    <n v="33000"/>
    <n v="2898"/>
    <n v="0"/>
    <m/>
    <n v="629898"/>
    <m/>
    <x v="5"/>
    <x v="4"/>
  </r>
  <r>
    <n v="425"/>
    <s v="P-1414"/>
    <x v="174"/>
    <s v="TIS-1403"/>
    <x v="178"/>
    <x v="0"/>
    <n v="900694193"/>
    <x v="127"/>
    <n v="0"/>
    <s v="N"/>
    <n v="190350"/>
    <n v="36166.5"/>
    <n v="226516.5"/>
    <n v="218903"/>
    <n v="7613.5"/>
    <n v="7613.5"/>
    <n v="0"/>
    <n v="0"/>
    <n v="0"/>
    <m/>
    <n v="218903"/>
    <m/>
    <x v="5"/>
    <x v="4"/>
  </r>
  <r>
    <n v="426"/>
    <s v="P-1415"/>
    <x v="174"/>
    <s v="TIS-1404"/>
    <x v="178"/>
    <x v="0"/>
    <n v="830033212"/>
    <x v="69"/>
    <s v="PJ"/>
    <m/>
    <n v="1350000"/>
    <n v="256500"/>
    <n v="1606500"/>
    <n v="1448550"/>
    <n v="-3591"/>
    <n v="157950"/>
    <n v="148500"/>
    <n v="13041"/>
    <n v="0"/>
    <m/>
    <n v="1610091"/>
    <m/>
    <x v="5"/>
    <x v="4"/>
  </r>
  <r>
    <n v="427"/>
    <s v="P-1416"/>
    <x v="174"/>
    <s v="TIS-1405"/>
    <x v="178"/>
    <x v="0"/>
    <n v="901588265"/>
    <x v="130"/>
    <s v="PJ"/>
    <m/>
    <n v="545454"/>
    <n v="103636.26"/>
    <n v="649090.26"/>
    <n v="622003"/>
    <n v="-38181.765639999881"/>
    <n v="27087.260000000009"/>
    <n v="59999.94"/>
    <n v="5269.0856400000002"/>
    <n v="0"/>
    <m/>
    <n v="687272.02563999989"/>
    <m/>
    <x v="5"/>
    <x v="4"/>
  </r>
  <r>
    <n v="428"/>
    <s v="P-1417"/>
    <x v="174"/>
    <s v="TIS-1406"/>
    <x v="178"/>
    <x v="0"/>
    <n v="900368599"/>
    <x v="145"/>
    <s v="PJ"/>
    <m/>
    <n v="105000"/>
    <n v="19950"/>
    <n v="124950"/>
    <n v="124950"/>
    <n v="0"/>
    <n v="0"/>
    <n v="0"/>
    <n v="0"/>
    <n v="0"/>
    <m/>
    <n v="124950"/>
    <m/>
    <x v="5"/>
    <x v="4"/>
  </r>
  <r>
    <n v="429"/>
    <s v="P-1418"/>
    <x v="175"/>
    <s v="TIS-1409"/>
    <x v="179"/>
    <x v="0"/>
    <n v="900144283"/>
    <x v="146"/>
    <s v="PJ"/>
    <m/>
    <n v="830000"/>
    <n v="157700"/>
    <n v="987700"/>
    <n v="987700"/>
    <n v="0"/>
    <n v="0"/>
    <n v="0"/>
    <n v="0"/>
    <n v="0"/>
    <m/>
    <n v="987700"/>
    <m/>
    <x v="5"/>
    <x v="4"/>
  </r>
  <r>
    <n v="430"/>
    <s v="P-1419"/>
    <x v="176"/>
    <s v="TIS-1410"/>
    <x v="180"/>
    <x v="0"/>
    <n v="800028768"/>
    <x v="13"/>
    <s v="PJ"/>
    <m/>
    <n v="260000"/>
    <n v="49400"/>
    <n v="309400"/>
    <n v="280800"/>
    <n v="-2511.5999999999767"/>
    <n v="28600"/>
    <n v="28600"/>
    <n v="2511.6"/>
    <n v="0"/>
    <m/>
    <n v="311911.59999999998"/>
    <m/>
    <x v="5"/>
    <x v="4"/>
  </r>
  <r>
    <n v="431"/>
    <s v="P-1420"/>
    <x v="176"/>
    <s v="TIS-1411"/>
    <x v="180"/>
    <x v="0"/>
    <n v="901342609"/>
    <x v="116"/>
    <s v="PJ"/>
    <m/>
    <n v="175000"/>
    <n v="33250"/>
    <n v="208250"/>
    <n v="201250"/>
    <n v="-13940.5"/>
    <n v="7000"/>
    <n v="19250"/>
    <n v="1690.5"/>
    <n v="0"/>
    <m/>
    <n v="222190.5"/>
    <m/>
    <x v="5"/>
    <x v="4"/>
  </r>
  <r>
    <n v="432"/>
    <s v="P-1421"/>
    <x v="176"/>
    <s v="TIS-1412"/>
    <x v="180"/>
    <x v="0"/>
    <n v="901587426"/>
    <x v="136"/>
    <s v="PJ"/>
    <m/>
    <n v="300000"/>
    <n v="57000"/>
    <n v="357000"/>
    <n v="357000"/>
    <n v="0"/>
    <n v="0"/>
    <n v="0"/>
    <n v="0"/>
    <n v="0"/>
    <m/>
    <n v="357000"/>
    <m/>
    <x v="5"/>
    <x v="4"/>
  </r>
  <r>
    <n v="433"/>
    <s v="P-1422"/>
    <x v="176"/>
    <s v="TIS-1413"/>
    <x v="180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5"/>
    <x v="4"/>
  </r>
  <r>
    <n v="434"/>
    <s v="P-1423"/>
    <x v="176"/>
    <s v="TIS-1414"/>
    <x v="180"/>
    <x v="0"/>
    <n v="901588265"/>
    <x v="130"/>
    <s v="PJ"/>
    <m/>
    <n v="545454"/>
    <n v="103636.26"/>
    <n v="649090.26"/>
    <n v="622003"/>
    <n v="-38181.765639999881"/>
    <n v="27087.260000000009"/>
    <n v="59999.94"/>
    <n v="5269.0856400000002"/>
    <n v="0"/>
    <m/>
    <n v="687272.02563999989"/>
    <m/>
    <x v="5"/>
    <x v="4"/>
  </r>
  <r>
    <n v="435"/>
    <s v="P-1424"/>
    <x v="176"/>
    <s v="TIS-1415"/>
    <x v="180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5"/>
    <x v="4"/>
  </r>
  <r>
    <n v="436"/>
    <s v="P-1425"/>
    <x v="176"/>
    <s v="TIS-1416"/>
    <x v="180"/>
    <x v="0"/>
    <n v="900136900"/>
    <x v="143"/>
    <s v="PJ"/>
    <m/>
    <n v="3612000"/>
    <n v="686280"/>
    <n v="4298280"/>
    <n v="3776346"/>
    <n v="89722.080000000075"/>
    <n v="521934"/>
    <n v="397320"/>
    <n v="34891.919999999998"/>
    <n v="0"/>
    <m/>
    <n v="4208557.92"/>
    <m/>
    <x v="5"/>
    <x v="4"/>
  </r>
  <r>
    <n v="437"/>
    <s v="P-1426"/>
    <x v="177"/>
    <s v="TIS-1417"/>
    <x v="181"/>
    <x v="1"/>
    <n v="901233425"/>
    <x v="41"/>
    <s v="PJ"/>
    <m/>
    <n v="1080000"/>
    <n v="205200"/>
    <n v="1285200"/>
    <n v="0"/>
    <n v="0"/>
    <n v="1285200"/>
    <n v="118800"/>
    <n v="10432.800000000001"/>
    <n v="0"/>
    <n v="1155967.2"/>
    <n v="0"/>
    <m/>
    <x v="5"/>
    <x v="4"/>
  </r>
  <r>
    <n v="438"/>
    <s v="P-1427"/>
    <x v="152"/>
    <s v="TIS-1418"/>
    <x v="157"/>
    <x v="0"/>
    <n v="901233425"/>
    <x v="41"/>
    <s v="PJ"/>
    <m/>
    <n v="864000"/>
    <n v="164160"/>
    <n v="1028160"/>
    <n v="1504350"/>
    <n v="0"/>
    <n v="-476190"/>
    <n v="95040"/>
    <n v="8346.24"/>
    <n v="0"/>
    <n v="-579576.24"/>
    <n v="1028160"/>
    <m/>
    <x v="5"/>
    <x v="4"/>
  </r>
  <r>
    <n v="439"/>
    <s v="P-1428"/>
    <x v="178"/>
    <s v="TIS-1420"/>
    <x v="182"/>
    <x v="0"/>
    <n v="830128459"/>
    <x v="147"/>
    <s v="PJ"/>
    <m/>
    <n v="1000000"/>
    <n v="190000"/>
    <n v="1190000"/>
    <n v="1080000"/>
    <n v="-9660"/>
    <n v="110000"/>
    <n v="110000"/>
    <n v="9660"/>
    <n v="0"/>
    <m/>
    <n v="1199660"/>
    <m/>
    <x v="5"/>
    <x v="4"/>
  </r>
  <r>
    <n v="440"/>
    <s v="P-1429"/>
    <x v="179"/>
    <s v="TIS-1421"/>
    <x v="183"/>
    <x v="0"/>
    <n v="800028768"/>
    <x v="13"/>
    <s v="PJ"/>
    <m/>
    <n v="260000"/>
    <n v="49400"/>
    <n v="309400"/>
    <n v="842400"/>
    <n v="-564111.6"/>
    <n v="-533000"/>
    <n v="28600"/>
    <n v="2511.6"/>
    <n v="0"/>
    <m/>
    <n v="873511.6"/>
    <m/>
    <x v="5"/>
    <x v="4"/>
  </r>
  <r>
    <n v="441"/>
    <s v="P-1430"/>
    <x v="179"/>
    <s v="TIS-1422"/>
    <x v="183"/>
    <x v="0"/>
    <n v="901342609"/>
    <x v="116"/>
    <s v="PJ"/>
    <m/>
    <n v="175000"/>
    <n v="33250"/>
    <n v="208250"/>
    <n v="201250"/>
    <n v="-13940.5"/>
    <n v="7000"/>
    <n v="19250"/>
    <n v="1690.5"/>
    <n v="0"/>
    <m/>
    <n v="222190.5"/>
    <m/>
    <x v="5"/>
    <x v="4"/>
  </r>
  <r>
    <n v="442"/>
    <s v="P-1431"/>
    <x v="179"/>
    <s v="TIS-1423"/>
    <x v="183"/>
    <x v="0"/>
    <n v="901587426"/>
    <x v="136"/>
    <s v="PJ"/>
    <m/>
    <n v="300000"/>
    <n v="57000"/>
    <n v="357000"/>
    <n v="34750"/>
    <n v="286352"/>
    <n v="322250"/>
    <n v="33000"/>
    <n v="2898"/>
    <n v="0"/>
    <m/>
    <n v="70648"/>
    <m/>
    <x v="5"/>
    <x v="4"/>
  </r>
  <r>
    <n v="443"/>
    <s v="P-1432"/>
    <x v="179"/>
    <s v="TIS-1424"/>
    <x v="183"/>
    <x v="0"/>
    <n v="901587426"/>
    <x v="136"/>
    <s v="PJ"/>
    <m/>
    <n v="900000"/>
    <n v="171000"/>
    <n v="1071000"/>
    <n v="1071000"/>
    <n v="0"/>
    <n v="0"/>
    <n v="0"/>
    <n v="0"/>
    <n v="0"/>
    <m/>
    <n v="1071000"/>
    <m/>
    <x v="5"/>
    <x v="4"/>
  </r>
  <r>
    <n v="444"/>
    <s v="P-1433"/>
    <x v="179"/>
    <s v="TIS-1425"/>
    <x v="183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5"/>
    <x v="4"/>
  </r>
  <r>
    <n v="445"/>
    <s v="P-1434"/>
    <x v="168"/>
    <s v="TIS-1385"/>
    <x v="172"/>
    <x v="1"/>
    <n v="860090915"/>
    <x v="141"/>
    <s v="PJ"/>
    <m/>
    <n v="5040000"/>
    <n v="957600"/>
    <n v="5997600"/>
    <n v="0"/>
    <n v="0"/>
    <n v="5997600"/>
    <n v="554400"/>
    <n v="48686.400000000001"/>
    <n v="0"/>
    <m/>
    <n v="0"/>
    <m/>
    <x v="5"/>
    <x v="4"/>
  </r>
  <r>
    <n v="446"/>
    <s v="P-1435"/>
    <x v="180"/>
    <s v="TIS-1407"/>
    <x v="184"/>
    <x v="0"/>
    <n v="830128459"/>
    <x v="147"/>
    <s v="PJ"/>
    <m/>
    <n v="3000000"/>
    <n v="570000"/>
    <n v="3570000"/>
    <n v="3240000"/>
    <n v="-28980"/>
    <n v="330000"/>
    <n v="330000"/>
    <n v="28980"/>
    <n v="0"/>
    <m/>
    <n v="3598980"/>
    <m/>
    <x v="5"/>
    <x v="4"/>
  </r>
  <r>
    <n v="447"/>
    <s v="P-1436"/>
    <x v="180"/>
    <s v="TIS-1408"/>
    <x v="184"/>
    <x v="0"/>
    <n v="901417727"/>
    <x v="148"/>
    <s v="PJ"/>
    <m/>
    <n v="3600000"/>
    <n v="684000"/>
    <n v="4284000"/>
    <n v="0"/>
    <m/>
    <n v="4284000"/>
    <n v="396000"/>
    <n v="34776"/>
    <n v="0"/>
    <m/>
    <n v="0"/>
    <m/>
    <x v="5"/>
    <x v="4"/>
  </r>
  <r>
    <n v="448"/>
    <s v="P-1437"/>
    <x v="179"/>
    <s v="TIS-1426"/>
    <x v="183"/>
    <x v="0"/>
    <n v="901588265"/>
    <x v="130"/>
    <s v="PJ"/>
    <m/>
    <n v="545454"/>
    <n v="103636.26"/>
    <n v="649090.26"/>
    <n v="622003"/>
    <n v="-38181.765639999881"/>
    <n v="27087.260000000009"/>
    <n v="59999.94"/>
    <n v="5269.0856400000002"/>
    <n v="0"/>
    <m/>
    <n v="687272.02563999989"/>
    <m/>
    <x v="5"/>
    <x v="4"/>
  </r>
  <r>
    <n v="449"/>
    <s v="P-1438"/>
    <x v="179"/>
    <s v="TIS-1427"/>
    <x v="183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5"/>
    <x v="4"/>
  </r>
  <r>
    <n v="450"/>
    <s v="P-1439"/>
    <x v="181"/>
    <s v="TIS-1428"/>
    <x v="185"/>
    <x v="0"/>
    <n v="901436224"/>
    <x v="149"/>
    <s v="PJ"/>
    <m/>
    <n v="320000"/>
    <n v="60800"/>
    <n v="380800"/>
    <n v="346000"/>
    <n v="-3491.2000000000116"/>
    <n v="34800"/>
    <n v="35200"/>
    <n v="3091.2000000000003"/>
    <n v="0"/>
    <m/>
    <n v="384291.2"/>
    <s v="OC: STT558"/>
    <x v="5"/>
    <x v="4"/>
  </r>
  <r>
    <n v="451"/>
    <s v="P-1440"/>
    <x v="181"/>
    <s v="TIS-1429"/>
    <x v="185"/>
    <x v="0"/>
    <n v="830078222"/>
    <x v="83"/>
    <s v="PJ"/>
    <m/>
    <n v="320000"/>
    <n v="60800"/>
    <n v="380800"/>
    <n v="342828"/>
    <n v="-319.20000000001164"/>
    <n v="37972"/>
    <n v="35200"/>
    <n v="3091.2000000000003"/>
    <n v="0"/>
    <m/>
    <n v="381119.2"/>
    <m/>
    <x v="5"/>
    <x v="4"/>
  </r>
  <r>
    <n v="452"/>
    <s v="P-1441"/>
    <x v="181"/>
    <s v="TIS-1430"/>
    <x v="185"/>
    <x v="0"/>
    <n v="900232864"/>
    <x v="82"/>
    <s v="PJ"/>
    <m/>
    <n v="680000"/>
    <n v="129200"/>
    <n v="809200"/>
    <n v="727831"/>
    <n v="0.19999999995343387"/>
    <n v="81369"/>
    <n v="74800"/>
    <n v="6568.8"/>
    <n v="0"/>
    <n v="0.1999999999998181"/>
    <n v="809199.8"/>
    <m/>
    <x v="5"/>
    <x v="4"/>
  </r>
  <r>
    <n v="453"/>
    <s v="P-1442"/>
    <x v="181"/>
    <s v="TIS-1431"/>
    <x v="185"/>
    <x v="0"/>
    <n v="900232864"/>
    <x v="82"/>
    <s v="PJ"/>
    <m/>
    <n v="1600000"/>
    <n v="304000"/>
    <n v="1904000"/>
    <n v="1711652"/>
    <n v="892"/>
    <n v="192348"/>
    <n v="176000"/>
    <n v="15456"/>
    <n v="0"/>
    <n v="892"/>
    <n v="1903108"/>
    <m/>
    <x v="5"/>
    <x v="4"/>
  </r>
  <r>
    <n v="454"/>
    <s v="P-1443"/>
    <x v="182"/>
    <s v="TIS-1432"/>
    <x v="186"/>
    <x v="0"/>
    <n v="900136900"/>
    <x v="143"/>
    <s v="PJ"/>
    <m/>
    <n v="2408000"/>
    <n v="457520"/>
    <n v="2865520"/>
    <n v="2517564"/>
    <n v="59814.720000000205"/>
    <n v="347956"/>
    <n v="264880"/>
    <n v="23261.279999999999"/>
    <n v="0"/>
    <m/>
    <n v="2805705.28"/>
    <m/>
    <x v="5"/>
    <x v="4"/>
  </r>
  <r>
    <n v="455"/>
    <s v="P-1444"/>
    <x v="182"/>
    <s v="TIS-1433"/>
    <x v="186"/>
    <x v="0"/>
    <n v="900444852"/>
    <x v="89"/>
    <s v="PJ"/>
    <m/>
    <n v="2400000"/>
    <n v="456000"/>
    <n v="2856000"/>
    <n v="2856000"/>
    <n v="0"/>
    <n v="0"/>
    <n v="0"/>
    <n v="0"/>
    <n v="0"/>
    <m/>
    <n v="2856000"/>
    <m/>
    <x v="5"/>
    <x v="4"/>
  </r>
  <r>
    <n v="456"/>
    <s v="P-1445"/>
    <x v="182"/>
    <s v="TIS-1434"/>
    <x v="186"/>
    <x v="0"/>
    <n v="860047214"/>
    <x v="150"/>
    <s v="PJ"/>
    <m/>
    <n v="770000"/>
    <n v="146300"/>
    <n v="916300"/>
    <n v="878832"/>
    <n v="-54670.199999999953"/>
    <n v="37468"/>
    <n v="84700"/>
    <n v="7438.2"/>
    <n v="0"/>
    <m/>
    <n v="970970.2"/>
    <m/>
    <x v="5"/>
    <x v="4"/>
  </r>
  <r>
    <n v="457"/>
    <s v="P-1446"/>
    <x v="183"/>
    <s v="TIS-1435"/>
    <x v="187"/>
    <x v="0"/>
    <n v="830054076"/>
    <x v="120"/>
    <s v="PJ"/>
    <m/>
    <n v="7950000"/>
    <n v="1510500"/>
    <n v="9460500"/>
    <n v="7979035.8200000003"/>
    <n v="530167.1799999997"/>
    <n v="1481464.1799999997"/>
    <n v="874500"/>
    <n v="76797"/>
    <n v="0"/>
    <m/>
    <n v="8930332.8200000003"/>
    <m/>
    <x v="5"/>
    <x v="4"/>
  </r>
  <r>
    <n v="458"/>
    <s v="P-1447"/>
    <x v="183"/>
    <s v="TIS-1436"/>
    <x v="187"/>
    <x v="0"/>
    <n v="860090915"/>
    <x v="141"/>
    <s v="PJ"/>
    <m/>
    <n v="11200000"/>
    <n v="2128000"/>
    <n v="13328000"/>
    <n v="13328000"/>
    <n v="0"/>
    <n v="0"/>
    <n v="0"/>
    <n v="0"/>
    <n v="0"/>
    <m/>
    <n v="13328000"/>
    <m/>
    <x v="5"/>
    <x v="4"/>
  </r>
  <r>
    <n v="459"/>
    <s v="P-1448"/>
    <x v="183"/>
    <s v="TIS-1437"/>
    <x v="187"/>
    <x v="0"/>
    <n v="860090915"/>
    <x v="141"/>
    <s v="PJ"/>
    <m/>
    <n v="1000000"/>
    <n v="190000"/>
    <n v="1190000"/>
    <n v="1070340"/>
    <n v="0"/>
    <n v="119660"/>
    <n v="110000"/>
    <n v="9660"/>
    <n v="0"/>
    <m/>
    <n v="1190000"/>
    <m/>
    <x v="5"/>
    <x v="4"/>
  </r>
  <r>
    <n v="460"/>
    <s v="P-1449"/>
    <x v="184"/>
    <s v="TIS-1419"/>
    <x v="188"/>
    <x v="0"/>
    <n v="901001234"/>
    <x v="151"/>
    <s v="PJ"/>
    <m/>
    <n v="250000"/>
    <n v="47500"/>
    <n v="297500"/>
    <n v="287500"/>
    <n v="-19915"/>
    <n v="10000"/>
    <n v="27500"/>
    <n v="2415"/>
    <n v="0"/>
    <m/>
    <n v="317415"/>
    <m/>
    <x v="5"/>
    <x v="4"/>
  </r>
  <r>
    <n v="461"/>
    <s v="P-1450"/>
    <x v="185"/>
    <s v="TIS-1438"/>
    <x v="189"/>
    <x v="0"/>
    <n v="901001234"/>
    <x v="151"/>
    <s v="PJ"/>
    <m/>
    <n v="250000"/>
    <n v="47500"/>
    <n v="297500"/>
    <n v="0"/>
    <n v="297500"/>
    <n v="297500"/>
    <n v="27500"/>
    <n v="2415"/>
    <n v="0"/>
    <m/>
    <n v="0"/>
    <m/>
    <x v="5"/>
    <x v="4"/>
  </r>
  <r>
    <n v="462"/>
    <s v="P-1451"/>
    <x v="185"/>
    <s v="TIS-1439"/>
    <x v="189"/>
    <x v="0"/>
    <n v="900659017"/>
    <x v="152"/>
    <s v="PJ"/>
    <m/>
    <n v="5800000"/>
    <n v="1102000"/>
    <n v="6902000"/>
    <n v="6613972"/>
    <n v="-406000"/>
    <n v="288028"/>
    <n v="638000"/>
    <n v="56028"/>
    <n v="0"/>
    <m/>
    <n v="7308000"/>
    <m/>
    <x v="5"/>
    <x v="4"/>
  </r>
  <r>
    <n v="463"/>
    <s v="P-1452"/>
    <x v="185"/>
    <s v="TIS-1440"/>
    <x v="189"/>
    <x v="0"/>
    <n v="800028768"/>
    <x v="13"/>
    <s v="PJ"/>
    <m/>
    <n v="260000"/>
    <n v="49400"/>
    <n v="309400"/>
    <n v="280800"/>
    <n v="-2511.5999999999767"/>
    <n v="28600"/>
    <n v="28600"/>
    <n v="2511.6"/>
    <n v="0"/>
    <m/>
    <n v="311911.59999999998"/>
    <m/>
    <x v="5"/>
    <x v="4"/>
  </r>
  <r>
    <n v="464"/>
    <s v="P-1453"/>
    <x v="185"/>
    <s v="TIS-1441"/>
    <x v="189"/>
    <x v="0"/>
    <n v="901342609"/>
    <x v="116"/>
    <s v="PJ"/>
    <m/>
    <n v="175000"/>
    <n v="33250"/>
    <n v="208250"/>
    <n v="201250"/>
    <n v="-13940.5"/>
    <n v="7000"/>
    <n v="19250"/>
    <n v="1690.5"/>
    <n v="0"/>
    <m/>
    <n v="222190.5"/>
    <m/>
    <x v="5"/>
    <x v="4"/>
  </r>
  <r>
    <n v="465"/>
    <s v="P-1454"/>
    <x v="185"/>
    <s v="TIS-1442"/>
    <x v="189"/>
    <x v="0"/>
    <n v="901587426"/>
    <x v="136"/>
    <s v="PJ"/>
    <m/>
    <n v="300000"/>
    <n v="57000"/>
    <n v="357000"/>
    <n v="357000"/>
    <n v="0"/>
    <n v="0"/>
    <n v="0"/>
    <n v="0"/>
    <n v="0"/>
    <m/>
    <n v="357000"/>
    <m/>
    <x v="5"/>
    <x v="4"/>
  </r>
  <r>
    <n v="466"/>
    <s v="P-1455"/>
    <x v="185"/>
    <s v="TIS-1443"/>
    <x v="189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5"/>
    <x v="4"/>
  </r>
  <r>
    <n v="467"/>
    <s v="P-1456"/>
    <x v="185"/>
    <s v="TIS-1444"/>
    <x v="189"/>
    <x v="0"/>
    <n v="901588265"/>
    <x v="130"/>
    <s v="PJ"/>
    <m/>
    <n v="545454"/>
    <n v="103636.26"/>
    <n v="649090.26"/>
    <n v="622003"/>
    <n v="-38181.765639999881"/>
    <n v="27087.260000000009"/>
    <n v="59999.94"/>
    <n v="5269.0856400000002"/>
    <n v="0"/>
    <m/>
    <n v="687272.02563999989"/>
    <m/>
    <x v="5"/>
    <x v="4"/>
  </r>
  <r>
    <n v="468"/>
    <s v="P-1457"/>
    <x v="185"/>
    <s v="TIS-1445"/>
    <x v="189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5"/>
    <x v="4"/>
  </r>
  <r>
    <n v="469"/>
    <s v="P-1458"/>
    <x v="185"/>
    <s v="TIS-1446"/>
    <x v="189"/>
    <x v="0"/>
    <n v="900694193"/>
    <x v="127"/>
    <n v="0"/>
    <m/>
    <n v="190350"/>
    <n v="36166.5"/>
    <n v="226516.5"/>
    <n v="218903"/>
    <n v="7613.5"/>
    <n v="7613.5"/>
    <n v="0"/>
    <n v="0"/>
    <n v="0"/>
    <m/>
    <n v="218903"/>
    <m/>
    <x v="5"/>
    <x v="4"/>
  </r>
  <r>
    <n v="470"/>
    <s v="P-1459"/>
    <x v="186"/>
    <s v="TIS-1447"/>
    <x v="190"/>
    <x v="1"/>
    <n v="860002503"/>
    <x v="153"/>
    <s v="PJ"/>
    <m/>
    <n v="1280000"/>
    <n v="243200"/>
    <n v="1523200"/>
    <n v="0"/>
    <n v="0"/>
    <n v="1523200"/>
    <n v="140800"/>
    <n v="12364.800000000001"/>
    <n v="0"/>
    <m/>
    <n v="0"/>
    <m/>
    <x v="5"/>
    <x v="4"/>
  </r>
  <r>
    <n v="471"/>
    <s v="P-1460"/>
    <x v="187"/>
    <s v="TIS-1448"/>
    <x v="191"/>
    <x v="1"/>
    <n v="860002503"/>
    <x v="153"/>
    <s v="PJ"/>
    <m/>
    <n v="8330523"/>
    <n v="1582799.37"/>
    <n v="9913322.370000001"/>
    <n v="983104"/>
    <n v="0"/>
    <n v="8930218.370000001"/>
    <n v="916357.53"/>
    <n v="80472.852180000002"/>
    <n v="0"/>
    <m/>
    <n v="0"/>
    <m/>
    <x v="5"/>
    <x v="4"/>
  </r>
  <r>
    <n v="472"/>
    <s v="P-1461"/>
    <x v="188"/>
    <s v="TIS-1449"/>
    <x v="192"/>
    <x v="0"/>
    <n v="800028768"/>
    <x v="13"/>
    <s v="PJ"/>
    <m/>
    <n v="260000"/>
    <n v="49400"/>
    <n v="309400"/>
    <n v="280800"/>
    <n v="-2511.5999999999767"/>
    <n v="28600"/>
    <n v="28600"/>
    <n v="2511.6"/>
    <n v="0"/>
    <m/>
    <n v="311911.59999999998"/>
    <m/>
    <x v="5"/>
    <x v="4"/>
  </r>
  <r>
    <n v="473"/>
    <s v="P-1462"/>
    <x v="188"/>
    <s v="TIS-1450"/>
    <x v="192"/>
    <x v="0"/>
    <n v="901342609"/>
    <x v="116"/>
    <s v="PJ"/>
    <m/>
    <n v="175000"/>
    <n v="33250"/>
    <n v="208250"/>
    <n v="201250"/>
    <n v="-13940.5"/>
    <n v="7000"/>
    <n v="19250"/>
    <n v="1690.5"/>
    <n v="0"/>
    <m/>
    <n v="222190.5"/>
    <m/>
    <x v="5"/>
    <x v="4"/>
  </r>
  <r>
    <n v="474"/>
    <s v="P-1463"/>
    <x v="188"/>
    <s v="TIS-1451"/>
    <x v="192"/>
    <x v="0"/>
    <n v="901587426"/>
    <x v="136"/>
    <s v="PJ"/>
    <m/>
    <n v="300000"/>
    <n v="57000"/>
    <n v="357000"/>
    <n v="357000"/>
    <n v="0"/>
    <n v="0"/>
    <n v="0"/>
    <n v="0"/>
    <n v="0"/>
    <m/>
    <n v="357000"/>
    <m/>
    <x v="5"/>
    <x v="4"/>
  </r>
  <r>
    <n v="475"/>
    <s v="P-1464"/>
    <x v="188"/>
    <s v="TIS-1452"/>
    <x v="192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5"/>
    <x v="4"/>
  </r>
  <r>
    <n v="476"/>
    <s v="P-1465"/>
    <x v="188"/>
    <s v="TIS-1453"/>
    <x v="192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5"/>
    <x v="4"/>
  </r>
  <r>
    <n v="477"/>
    <s v="P-1466"/>
    <x v="188"/>
    <s v="TIS-1454"/>
    <x v="192"/>
    <x v="0"/>
    <n v="901588265"/>
    <x v="130"/>
    <s v="PJ"/>
    <m/>
    <n v="545454"/>
    <n v="103636.26"/>
    <n v="649090.26"/>
    <n v="622003"/>
    <n v="-38181.765639999881"/>
    <n v="27087.260000000009"/>
    <n v="59999.94"/>
    <n v="5269.0856400000002"/>
    <n v="0"/>
    <m/>
    <n v="687272.02563999989"/>
    <m/>
    <x v="5"/>
    <x v="4"/>
  </r>
  <r>
    <n v="478"/>
    <s v="P-1467"/>
    <x v="188"/>
    <s v="NC-40"/>
    <x v="192"/>
    <x v="0"/>
    <n v="901417727"/>
    <x v="148"/>
    <s v="PJ"/>
    <m/>
    <n v="-8224000"/>
    <n v="-1562560"/>
    <n v="-9786560"/>
    <n v="0"/>
    <n v="0"/>
    <n v="-9786560"/>
    <n v="-904640"/>
    <n v="-79443.839999999997"/>
    <n v="0"/>
    <m/>
    <n v="0"/>
    <m/>
    <x v="5"/>
    <x v="4"/>
  </r>
  <r>
    <n v="479"/>
    <s v="P-1468"/>
    <x v="188"/>
    <s v="TIS-1455"/>
    <x v="192"/>
    <x v="0"/>
    <n v="901417727"/>
    <x v="148"/>
    <s v="PJ"/>
    <m/>
    <n v="2800000"/>
    <n v="532000"/>
    <n v="3332000"/>
    <n v="3268000"/>
    <n v="-271048"/>
    <n v="64000"/>
    <n v="308000"/>
    <n v="27048"/>
    <n v="0"/>
    <m/>
    <n v="3603048"/>
    <m/>
    <x v="5"/>
    <x v="4"/>
  </r>
  <r>
    <n v="480"/>
    <s v="P-1469"/>
    <x v="189"/>
    <s v="TIS-1456"/>
    <x v="193"/>
    <x v="0"/>
    <n v="860002503"/>
    <x v="153"/>
    <s v="PJ"/>
    <m/>
    <n v="779748"/>
    <n v="148152.12"/>
    <n v="927900.12"/>
    <n v="927900"/>
    <n v="-93304.525680000079"/>
    <n v="0.11999999999534339"/>
    <n v="85772.28"/>
    <n v="7532.3656799999999"/>
    <n v="0"/>
    <m/>
    <n v="1021204.6456800001"/>
    <m/>
    <x v="5"/>
    <x v="4"/>
  </r>
  <r>
    <n v="481"/>
    <s v="P-1470"/>
    <x v="190"/>
    <s v="TIS-1457"/>
    <x v="194"/>
    <x v="0"/>
    <n v="860002503"/>
    <x v="153"/>
    <s v="PJ"/>
    <m/>
    <n v="220000"/>
    <n v="41800"/>
    <n v="261800"/>
    <n v="261800"/>
    <n v="0"/>
    <n v="0"/>
    <n v="0"/>
    <n v="0"/>
    <n v="0"/>
    <m/>
    <n v="261800"/>
    <m/>
    <x v="5"/>
    <x v="4"/>
  </r>
  <r>
    <n v="482"/>
    <s v="P-1471"/>
    <x v="191"/>
    <s v="NC-41"/>
    <x v="195"/>
    <x v="0"/>
    <n v="901417727"/>
    <x v="148"/>
    <s v="PJ"/>
    <m/>
    <n v="-3600000"/>
    <n v="-684000"/>
    <n v="-4284000"/>
    <n v="0"/>
    <n v="0"/>
    <n v="-4284000"/>
    <n v="-396000"/>
    <n v="-34776"/>
    <n v="0"/>
    <m/>
    <n v="0"/>
    <m/>
    <x v="5"/>
    <x v="4"/>
  </r>
  <r>
    <n v="483"/>
    <s v="P-1472"/>
    <x v="191"/>
    <s v="ND1"/>
    <x v="195"/>
    <x v="0"/>
    <n v="901417727"/>
    <x v="148"/>
    <s v="PJ"/>
    <m/>
    <n v="8224000"/>
    <n v="1562560"/>
    <n v="9786560"/>
    <m/>
    <n v="0"/>
    <n v="9786560"/>
    <n v="904640"/>
    <n v="79443.839999999997"/>
    <n v="0"/>
    <m/>
    <n v="0"/>
    <m/>
    <x v="5"/>
    <x v="4"/>
  </r>
  <r>
    <n v="484"/>
    <s v="P-1473"/>
    <x v="192"/>
    <s v="NC42"/>
    <x v="196"/>
    <x v="0"/>
    <n v="860002503"/>
    <x v="153"/>
    <s v="PJ"/>
    <m/>
    <n v="-8330523"/>
    <n v="-1582799.37"/>
    <n v="-9913322.370000001"/>
    <n v="0"/>
    <n v="0"/>
    <n v="-9913322.370000001"/>
    <n v="-916357.53"/>
    <n v="-80472.852180000002"/>
    <n v="0"/>
    <m/>
    <n v="0"/>
    <m/>
    <x v="5"/>
    <x v="4"/>
  </r>
  <r>
    <n v="485"/>
    <s v="P-1474"/>
    <x v="193"/>
    <s v="NC44"/>
    <x v="197"/>
    <x v="0"/>
    <n v="860002503"/>
    <x v="153"/>
    <s v="PJ"/>
    <m/>
    <n v="-779748"/>
    <n v="-148152.12"/>
    <n v="-927900.12"/>
    <n v="0"/>
    <n v="0"/>
    <n v="-927900.12"/>
    <n v="-85772.28"/>
    <n v="-7532.3656799999999"/>
    <n v="0"/>
    <m/>
    <n v="0"/>
    <m/>
    <x v="6"/>
    <x v="5"/>
  </r>
  <r>
    <n v="486"/>
    <s v="P-1475"/>
    <x v="193"/>
    <s v="NC45"/>
    <x v="197"/>
    <x v="0"/>
    <n v="860002503"/>
    <x v="153"/>
    <s v="PJ"/>
    <m/>
    <n v="-1280000"/>
    <n v="-243200"/>
    <n v="-1523200"/>
    <n v="0"/>
    <n v="0"/>
    <n v="-1523200"/>
    <n v="-140800"/>
    <n v="-12364.800000000001"/>
    <n v="0"/>
    <m/>
    <n v="0"/>
    <m/>
    <x v="6"/>
    <x v="5"/>
  </r>
  <r>
    <n v="487"/>
    <s v="P-1476"/>
    <x v="193"/>
    <s v="TIS-1458"/>
    <x v="198"/>
    <x v="0"/>
    <n v="800028768"/>
    <x v="13"/>
    <s v="PJ"/>
    <m/>
    <n v="260000"/>
    <n v="49400"/>
    <n v="309400"/>
    <n v="324000"/>
    <n v="-45711.599999999977"/>
    <n v="-14600"/>
    <n v="28600"/>
    <n v="2511.6"/>
    <n v="0"/>
    <m/>
    <n v="355111.6"/>
    <m/>
    <x v="6"/>
    <x v="5"/>
  </r>
  <r>
    <n v="488"/>
    <s v="P-1477"/>
    <x v="193"/>
    <s v="TIS-1459"/>
    <x v="198"/>
    <x v="0"/>
    <n v="901342609"/>
    <x v="116"/>
    <s v="PJ"/>
    <m/>
    <n v="175000"/>
    <n v="33250"/>
    <n v="208250"/>
    <n v="201250"/>
    <n v="-13940.5"/>
    <n v="7000"/>
    <n v="19250"/>
    <n v="1690.5"/>
    <n v="0"/>
    <m/>
    <n v="222190.5"/>
    <m/>
    <x v="6"/>
    <x v="5"/>
  </r>
  <r>
    <n v="489"/>
    <s v="P-1478"/>
    <x v="193"/>
    <s v="TIS-1460"/>
    <x v="198"/>
    <x v="0"/>
    <n v="901587426"/>
    <x v="136"/>
    <s v="PJ"/>
    <m/>
    <n v="300000"/>
    <n v="57000"/>
    <n v="357000"/>
    <n v="357000"/>
    <n v="0"/>
    <n v="0"/>
    <n v="0"/>
    <n v="0"/>
    <n v="0"/>
    <m/>
    <n v="357000"/>
    <m/>
    <x v="6"/>
    <x v="5"/>
  </r>
  <r>
    <n v="490"/>
    <s v="P-1479"/>
    <x v="193"/>
    <s v="TIS-1461"/>
    <x v="198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491"/>
    <s v="P-1480"/>
    <x v="193"/>
    <s v="TIS-1462"/>
    <x v="198"/>
    <x v="0"/>
    <n v="901587426"/>
    <x v="136"/>
    <s v="PJ"/>
    <m/>
    <n v="900000"/>
    <n v="171000"/>
    <n v="1071000"/>
    <n v="1003000"/>
    <n v="-39694"/>
    <n v="68000"/>
    <n v="99000"/>
    <n v="8694"/>
    <n v="0"/>
    <m/>
    <n v="1110694"/>
    <m/>
    <x v="6"/>
    <x v="5"/>
  </r>
  <r>
    <n v="492"/>
    <s v="P-1481"/>
    <x v="193"/>
    <s v="TIS-1463"/>
    <x v="198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6"/>
    <x v="5"/>
  </r>
  <r>
    <n v="493"/>
    <s v="P-1482"/>
    <x v="193"/>
    <s v="TIS-1464"/>
    <x v="198"/>
    <x v="0"/>
    <n v="901588265"/>
    <x v="130"/>
    <s v="PJ"/>
    <m/>
    <n v="545454"/>
    <n v="103636.26"/>
    <n v="649090.26"/>
    <n v="622003"/>
    <n v="-38181.765639999881"/>
    <n v="27087.260000000009"/>
    <n v="59999.94"/>
    <n v="5269.0856400000002"/>
    <n v="0"/>
    <m/>
    <n v="687272.02563999989"/>
    <m/>
    <x v="6"/>
    <x v="5"/>
  </r>
  <r>
    <n v="494"/>
    <s v="P-1483"/>
    <x v="193"/>
    <s v="TIS-1465"/>
    <x v="198"/>
    <x v="0"/>
    <n v="900728801"/>
    <x v="154"/>
    <s v="PJ"/>
    <m/>
    <n v="700000"/>
    <n v="133000"/>
    <n v="833000"/>
    <n v="798938"/>
    <n v="-49700"/>
    <n v="34062"/>
    <n v="77000"/>
    <n v="6762"/>
    <n v="0"/>
    <m/>
    <n v="882700"/>
    <m/>
    <x v="6"/>
    <x v="5"/>
  </r>
  <r>
    <n v="495"/>
    <s v="P-1484"/>
    <x v="193"/>
    <s v="TIS-1466"/>
    <x v="197"/>
    <x v="0"/>
    <n v="830050882"/>
    <x v="155"/>
    <s v="PJ"/>
    <m/>
    <n v="700000"/>
    <n v="133000"/>
    <n v="833000"/>
    <n v="798238"/>
    <n v="-49000"/>
    <n v="34762"/>
    <n v="77000"/>
    <n v="6762"/>
    <n v="0"/>
    <m/>
    <n v="882000"/>
    <m/>
    <x v="6"/>
    <x v="5"/>
  </r>
  <r>
    <n v="496"/>
    <s v="P-1485"/>
    <x v="193"/>
    <s v="TIS-1467"/>
    <x v="199"/>
    <x v="0"/>
    <n v="900444852"/>
    <x v="89"/>
    <s v="PJ"/>
    <m/>
    <n v="8450000"/>
    <n v="1605500"/>
    <n v="10055500"/>
    <n v="9516689"/>
    <n v="-472316"/>
    <n v="538811"/>
    <n v="929500"/>
    <n v="81627"/>
    <n v="0"/>
    <m/>
    <n v="10527816"/>
    <m/>
    <x v="6"/>
    <x v="5"/>
  </r>
  <r>
    <n v="497"/>
    <s v="P-1486"/>
    <x v="193"/>
    <s v="TIS-1468"/>
    <x v="200"/>
    <x v="0"/>
    <n v="860002503"/>
    <x v="153"/>
    <s v="PJ"/>
    <m/>
    <n v="9330271"/>
    <n v="1772751.49"/>
    <n v="11103022.49"/>
    <n v="9986562"/>
    <n v="0.26214000023901463"/>
    <n v="1116460.4900000002"/>
    <n v="1026329.81"/>
    <n v="90130.417860000001"/>
    <n v="0"/>
    <m/>
    <n v="11103022.22786"/>
    <m/>
    <x v="6"/>
    <x v="5"/>
  </r>
  <r>
    <n v="498"/>
    <s v="P-1487"/>
    <x v="193"/>
    <s v="TIS-1469"/>
    <x v="200"/>
    <x v="1"/>
    <n v="860002503"/>
    <x v="153"/>
    <s v="PJ"/>
    <m/>
    <n v="1552842"/>
    <n v="295039.98"/>
    <n v="1847881.98"/>
    <n v="0"/>
    <n v="0"/>
    <n v="1847881.98"/>
    <n v="170812.62"/>
    <n v="15000.45372"/>
    <n v="0"/>
    <m/>
    <n v="0"/>
    <m/>
    <x v="6"/>
    <x v="5"/>
  </r>
  <r>
    <n v="499"/>
    <s v="P-1488"/>
    <x v="193"/>
    <s v="TIS-1470"/>
    <x v="201"/>
    <x v="0"/>
    <n v="900729853"/>
    <x v="156"/>
    <s v="PJ"/>
    <m/>
    <n v="720000"/>
    <n v="136800"/>
    <n v="856800"/>
    <n v="771365"/>
    <n v="-720.19999999995343"/>
    <n v="85435"/>
    <n v="79200"/>
    <n v="6955.2"/>
    <n v="0"/>
    <m/>
    <n v="857520.2"/>
    <m/>
    <x v="6"/>
    <x v="5"/>
  </r>
  <r>
    <n v="500"/>
    <s v="P-1489"/>
    <x v="193"/>
    <s v="TIS-1471"/>
    <x v="201"/>
    <x v="0"/>
    <n v="800028768"/>
    <x v="13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01"/>
    <s v="P-1490"/>
    <x v="193"/>
    <s v="TIS-1472"/>
    <x v="201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02"/>
    <s v="P-1491"/>
    <x v="193"/>
    <s v="TIS-1473"/>
    <x v="201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6"/>
    <x v="5"/>
  </r>
  <r>
    <n v="503"/>
    <s v="P-1492"/>
    <x v="193"/>
    <s v="TIS-1474"/>
    <x v="201"/>
    <x v="0"/>
    <n v="901342609"/>
    <x v="116"/>
    <s v="PJ"/>
    <m/>
    <n v="175000"/>
    <n v="33250"/>
    <n v="208250"/>
    <n v="201250"/>
    <n v="-13940.5"/>
    <n v="7000"/>
    <n v="19250"/>
    <n v="1690.5"/>
    <n v="0"/>
    <m/>
    <n v="222190.5"/>
    <m/>
    <x v="6"/>
    <x v="5"/>
  </r>
  <r>
    <n v="504"/>
    <s v="P-1493"/>
    <x v="193"/>
    <s v="TIS-1475"/>
    <x v="202"/>
    <x v="0"/>
    <n v="901286797"/>
    <x v="68"/>
    <s v="PJ"/>
    <m/>
    <n v="2135000"/>
    <n v="405650"/>
    <n v="2540650"/>
    <n v="1374450"/>
    <n v="910725.89999999991"/>
    <n v="1166200"/>
    <n v="234850"/>
    <n v="20624.100000000002"/>
    <n v="0"/>
    <m/>
    <n v="1629924.1"/>
    <m/>
    <x v="6"/>
    <x v="5"/>
  </r>
  <r>
    <n v="505"/>
    <s v="P-1494"/>
    <x v="194"/>
    <s v="TIS-1476"/>
    <x v="203"/>
    <x v="0"/>
    <n v="800028768"/>
    <x v="13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06"/>
    <s v="P-1495"/>
    <x v="194"/>
    <s v="TIS-1477"/>
    <x v="203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07"/>
    <s v="P-1496"/>
    <x v="194"/>
    <s v="TIS-1478"/>
    <x v="203"/>
    <x v="0"/>
    <n v="901342609"/>
    <x v="116"/>
    <s v="PJ"/>
    <m/>
    <n v="250000"/>
    <n v="47500"/>
    <n v="297500"/>
    <n v="287500"/>
    <n v="-19915"/>
    <n v="10000"/>
    <n v="27500"/>
    <n v="2415"/>
    <n v="0"/>
    <m/>
    <n v="317415"/>
    <m/>
    <x v="6"/>
    <x v="5"/>
  </r>
  <r>
    <n v="508"/>
    <s v="P-1497"/>
    <x v="194"/>
    <s v="TIS-1479"/>
    <x v="203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6"/>
    <x v="5"/>
  </r>
  <r>
    <n v="509"/>
    <s v="P-1498"/>
    <x v="194"/>
    <s v="TIS-1480"/>
    <x v="203"/>
    <x v="0"/>
    <n v="901587426"/>
    <x v="136"/>
    <s v="PJ"/>
    <m/>
    <n v="1220000"/>
    <n v="0"/>
    <n v="1220000"/>
    <n v="1220000"/>
    <n v="0"/>
    <n v="0"/>
    <n v="0"/>
    <n v="0"/>
    <n v="0"/>
    <m/>
    <n v="1220000"/>
    <m/>
    <x v="6"/>
    <x v="5"/>
  </r>
  <r>
    <n v="510"/>
    <s v="P-1499"/>
    <x v="194"/>
    <s v="TIS-1481"/>
    <x v="203"/>
    <x v="0"/>
    <n v="830143066"/>
    <x v="157"/>
    <s v="PJ"/>
    <m/>
    <n v="825000"/>
    <n v="156750"/>
    <n v="981750"/>
    <n v="883855"/>
    <n v="-824.5"/>
    <n v="97895"/>
    <n v="90750"/>
    <n v="7969.5"/>
    <n v="0"/>
    <m/>
    <n v="982574.5"/>
    <m/>
    <x v="6"/>
    <x v="5"/>
  </r>
  <r>
    <n v="511"/>
    <s v="P-1500"/>
    <x v="194"/>
    <s v="TIS-1482"/>
    <x v="203"/>
    <x v="0"/>
    <n v="900626907"/>
    <x v="158"/>
    <s v="PJ"/>
    <m/>
    <n v="750000"/>
    <n v="142500"/>
    <n v="892500"/>
    <n v="810000"/>
    <n v="-7245"/>
    <n v="82500"/>
    <n v="82500"/>
    <n v="7245"/>
    <n v="0"/>
    <m/>
    <n v="899745"/>
    <m/>
    <x v="6"/>
    <x v="5"/>
  </r>
  <r>
    <n v="512"/>
    <s v="P-1501"/>
    <x v="194"/>
    <s v="TIS-1483"/>
    <x v="203"/>
    <x v="0"/>
    <n v="901218098"/>
    <x v="33"/>
    <s v="PJ"/>
    <m/>
    <n v="1980000"/>
    <n v="376200"/>
    <n v="2356200"/>
    <n v="2130480"/>
    <n v="-11206.799999999814"/>
    <n v="225720"/>
    <n v="217800"/>
    <n v="19126.8"/>
    <n v="0"/>
    <m/>
    <n v="2367406.7999999998"/>
    <m/>
    <x v="6"/>
    <x v="5"/>
  </r>
  <r>
    <n v="513"/>
    <s v="P-1502"/>
    <x v="194"/>
    <s v="TIS-1484"/>
    <x v="204"/>
    <x v="0"/>
    <n v="830054076"/>
    <x v="120"/>
    <s v="PJ"/>
    <m/>
    <n v="7658600"/>
    <n v="1455134"/>
    <n v="9113734"/>
    <n v="8282628"/>
    <n v="-85322.075999999419"/>
    <n v="831106"/>
    <n v="842446"/>
    <n v="73982.076000000001"/>
    <n v="0"/>
    <m/>
    <n v="9199056.0759999994"/>
    <m/>
    <x v="6"/>
    <x v="5"/>
  </r>
  <r>
    <n v="514"/>
    <s v="P-1503"/>
    <x v="194"/>
    <s v="NC-43"/>
    <x v="197"/>
    <x v="0"/>
    <n v="860002503"/>
    <x v="153"/>
    <s v="PJ"/>
    <m/>
    <n v="-220000"/>
    <n v="-41800"/>
    <n v="-261800"/>
    <n v="0"/>
    <n v="0"/>
    <n v="-261800"/>
    <n v="-24200"/>
    <n v="-2125.1999999999998"/>
    <n v="0"/>
    <m/>
    <n v="0"/>
    <m/>
    <x v="6"/>
    <x v="5"/>
  </r>
  <r>
    <n v="515"/>
    <s v="P-1504"/>
    <x v="195"/>
    <s v="TIS-1360"/>
    <x v="205"/>
    <x v="0"/>
    <n v="830145126"/>
    <x v="159"/>
    <s v="PJ"/>
    <m/>
    <n v="400000"/>
    <n v="76000"/>
    <n v="476000"/>
    <n v="456356"/>
    <n v="-28220"/>
    <n v="19644"/>
    <n v="44000"/>
    <n v="3864"/>
    <n v="0"/>
    <m/>
    <n v="504220"/>
    <m/>
    <x v="6"/>
    <x v="5"/>
  </r>
  <r>
    <n v="516"/>
    <s v="P-1505"/>
    <x v="196"/>
    <s v="TIS-1485"/>
    <x v="206"/>
    <x v="0"/>
    <n v="800028768"/>
    <x v="13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17"/>
    <s v="P-1506"/>
    <x v="196"/>
    <s v="TIS-1486"/>
    <x v="206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18"/>
    <s v="P-1507"/>
    <x v="196"/>
    <s v="TIS-1487"/>
    <x v="206"/>
    <x v="0"/>
    <n v="901342609"/>
    <x v="116"/>
    <s v="PJ"/>
    <m/>
    <n v="250000"/>
    <n v="47500"/>
    <n v="297500"/>
    <n v="287500"/>
    <n v="-19915"/>
    <n v="10000"/>
    <n v="27500"/>
    <n v="2415"/>
    <n v="0"/>
    <m/>
    <n v="317415"/>
    <m/>
    <x v="6"/>
    <x v="5"/>
  </r>
  <r>
    <n v="519"/>
    <s v="P-1508"/>
    <x v="196"/>
    <s v="TIS-1488"/>
    <x v="206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6"/>
    <x v="5"/>
  </r>
  <r>
    <n v="520"/>
    <s v="P-1509"/>
    <x v="196"/>
    <s v="TIS-1489"/>
    <x v="206"/>
    <x v="0"/>
    <n v="901587426"/>
    <x v="136"/>
    <s v="PJ"/>
    <m/>
    <n v="1350000"/>
    <n v="0"/>
    <n v="1350000"/>
    <n v="1350000"/>
    <n v="0"/>
    <n v="0"/>
    <n v="0"/>
    <n v="0"/>
    <n v="0"/>
    <m/>
    <n v="1350000"/>
    <m/>
    <x v="6"/>
    <x v="5"/>
  </r>
  <r>
    <n v="521"/>
    <s v="P-1510"/>
    <x v="196"/>
    <s v="TIS-1490"/>
    <x v="206"/>
    <x v="0"/>
    <n v="830137517"/>
    <x v="70"/>
    <s v="PJ"/>
    <m/>
    <n v="1000000"/>
    <n v="190000"/>
    <n v="1190000"/>
    <n v="0"/>
    <n v="1190000"/>
    <n v="1190000"/>
    <n v="110000"/>
    <n v="9660"/>
    <n v="0"/>
    <m/>
    <n v="0"/>
    <m/>
    <x v="6"/>
    <x v="5"/>
  </r>
  <r>
    <n v="522"/>
    <s v="P-1511"/>
    <x v="197"/>
    <s v="TIS-1492"/>
    <x v="207"/>
    <x v="0"/>
    <n v="901436224"/>
    <x v="149"/>
    <s v="PJ"/>
    <m/>
    <n v="320000"/>
    <n v="60800"/>
    <n v="380800"/>
    <n v="342508"/>
    <n v="0.79999999998835847"/>
    <n v="38292"/>
    <n v="35200"/>
    <n v="3091.2000000000003"/>
    <n v="0"/>
    <m/>
    <n v="380799.2"/>
    <s v="OC: STT841"/>
    <x v="6"/>
    <x v="5"/>
  </r>
  <r>
    <n v="523"/>
    <s v="P-1512"/>
    <x v="197"/>
    <s v="TIS-1493"/>
    <x v="208"/>
    <x v="0"/>
    <n v="860002964"/>
    <x v="71"/>
    <s v="PJ"/>
    <m/>
    <n v="22489987.260000002"/>
    <n v="4273097.5794000002"/>
    <n v="26763084.839400001"/>
    <n v="25027757.420000002"/>
    <n v="-955824.45613159984"/>
    <n v="1735327.4193999991"/>
    <n v="2473898.5986000001"/>
    <n v="217253.27693160003"/>
    <n v="0"/>
    <m/>
    <n v="27718909.295531601"/>
    <m/>
    <x v="6"/>
    <x v="5"/>
  </r>
  <r>
    <n v="524"/>
    <s v="P-1513"/>
    <x v="198"/>
    <s v="TIS-1491"/>
    <x v="209"/>
    <x v="0"/>
    <n v="800028768"/>
    <x v="13"/>
    <s v="PJ"/>
    <m/>
    <n v="1000000"/>
    <n v="190000"/>
    <n v="1190000"/>
    <n v="1080000"/>
    <n v="-9660"/>
    <n v="110000"/>
    <n v="110000"/>
    <n v="9660"/>
    <n v="0"/>
    <m/>
    <n v="1199660"/>
    <m/>
    <x v="6"/>
    <x v="5"/>
  </r>
  <r>
    <n v="525"/>
    <s v="P-1514"/>
    <x v="199"/>
    <s v="TIS-1494"/>
    <x v="210"/>
    <x v="0"/>
    <n v="830033212"/>
    <x v="69"/>
    <s v="PJ"/>
    <m/>
    <n v="1500000"/>
    <n v="285000"/>
    <n v="1785000"/>
    <n v="1609500"/>
    <n v="-3990"/>
    <n v="175500"/>
    <n v="165000"/>
    <n v="14490"/>
    <n v="0"/>
    <m/>
    <n v="1788990"/>
    <m/>
    <x v="6"/>
    <x v="5"/>
  </r>
  <r>
    <n v="526"/>
    <s v="P-1515"/>
    <x v="200"/>
    <m/>
    <x v="211"/>
    <x v="1"/>
    <n v="901700940"/>
    <x v="160"/>
    <s v="PJ"/>
    <m/>
    <n v="900000"/>
    <n v="0"/>
    <n v="900000"/>
    <n v="0"/>
    <n v="0"/>
    <n v="900000"/>
    <n v="99000"/>
    <n v="8694"/>
    <n v="0"/>
    <m/>
    <n v="0"/>
    <m/>
    <x v="6"/>
    <x v="5"/>
  </r>
  <r>
    <n v="527"/>
    <s v="P-1516"/>
    <x v="201"/>
    <s v="TIS-1495"/>
    <x v="212"/>
    <x v="0"/>
    <n v="830103479"/>
    <x v="161"/>
    <s v="PJ"/>
    <m/>
    <n v="3559975"/>
    <n v="0"/>
    <n v="3559975"/>
    <n v="1584189"/>
    <n v="1549799.3914999999"/>
    <n v="1975786"/>
    <n v="391597.25"/>
    <n v="34389.358500000002"/>
    <n v="0"/>
    <m/>
    <n v="2010175.6085000001"/>
    <m/>
    <x v="6"/>
    <x v="5"/>
  </r>
  <r>
    <n v="528"/>
    <s v="P-1517"/>
    <x v="201"/>
    <s v="TIS-1496"/>
    <x v="212"/>
    <x v="0"/>
    <n v="860002964"/>
    <x v="71"/>
    <s v="PJ"/>
    <m/>
    <n v="26763084.84"/>
    <n v="5084986.1195999999"/>
    <n v="31848070.959600002"/>
    <n v="29783031.34"/>
    <n v="-1137431.1123544015"/>
    <n v="2065039.6196000017"/>
    <n v="2943939.3324000002"/>
    <n v="258531.39955440001"/>
    <n v="0"/>
    <m/>
    <n v="32985502.071954403"/>
    <m/>
    <x v="6"/>
    <x v="5"/>
  </r>
  <r>
    <n v="529"/>
    <s v="P-1518"/>
    <x v="202"/>
    <s v="TIS-1500"/>
    <x v="213"/>
    <x v="0"/>
    <n v="901342609"/>
    <x v="116"/>
    <s v="PJ"/>
    <m/>
    <n v="250000"/>
    <n v="47500"/>
    <n v="297500"/>
    <n v="287500"/>
    <n v="-19915"/>
    <n v="10000"/>
    <n v="27500"/>
    <n v="2415"/>
    <n v="0"/>
    <m/>
    <n v="317415"/>
    <m/>
    <x v="6"/>
    <x v="5"/>
  </r>
  <r>
    <n v="530"/>
    <s v="P-1519"/>
    <x v="202"/>
    <s v="TIS-1498"/>
    <x v="213"/>
    <x v="0"/>
    <n v="800028768"/>
    <x v="13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31"/>
    <s v="P-1520"/>
    <x v="202"/>
    <s v="TIS-1499"/>
    <x v="213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32"/>
    <s v="P-1521"/>
    <x v="202"/>
    <s v="TIS-1501"/>
    <x v="213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6"/>
    <x v="5"/>
  </r>
  <r>
    <n v="533"/>
    <s v="P-1522"/>
    <x v="202"/>
    <s v="TIS-1502"/>
    <x v="213"/>
    <x v="0"/>
    <n v="901587426"/>
    <x v="136"/>
    <s v="PJ"/>
    <m/>
    <n v="2105000"/>
    <n v="0"/>
    <n v="2105000"/>
    <n v="0"/>
    <n v="2105000"/>
    <n v="2105000"/>
    <n v="231550"/>
    <n v="20334.3"/>
    <n v="0"/>
    <m/>
    <n v="0"/>
    <m/>
    <x v="6"/>
    <x v="5"/>
  </r>
  <r>
    <n v="534"/>
    <s v="P-1523"/>
    <x v="202"/>
    <s v="TIS-1503"/>
    <x v="213"/>
    <x v="0"/>
    <n v="901330870"/>
    <x v="162"/>
    <s v="PJ"/>
    <m/>
    <n v="250000"/>
    <n v="47500"/>
    <n v="297500"/>
    <n v="267585"/>
    <n v="0"/>
    <n v="29915"/>
    <n v="27500"/>
    <n v="2415"/>
    <n v="0"/>
    <m/>
    <n v="297500"/>
    <m/>
    <x v="6"/>
    <x v="5"/>
  </r>
  <r>
    <n v="535"/>
    <s v="P-1524"/>
    <x v="203"/>
    <s v="TIS-1504"/>
    <x v="214"/>
    <x v="0"/>
    <n v="901233425"/>
    <x v="41"/>
    <s v="PJ"/>
    <m/>
    <n v="800000"/>
    <n v="152000"/>
    <n v="952000"/>
    <n v="952000"/>
    <n v="0"/>
    <n v="0"/>
    <n v="0"/>
    <n v="0"/>
    <n v="0"/>
    <m/>
    <n v="952000"/>
    <m/>
    <x v="6"/>
    <x v="5"/>
  </r>
  <r>
    <n v="536"/>
    <s v="P-1525"/>
    <x v="203"/>
    <s v="TIS-1505"/>
    <x v="214"/>
    <x v="0"/>
    <n v="800020808"/>
    <x v="163"/>
    <s v="PJ"/>
    <m/>
    <n v="4650000"/>
    <n v="883500"/>
    <n v="5533500"/>
    <n v="4981731"/>
    <n v="-4650"/>
    <n v="551769"/>
    <n v="511500"/>
    <n v="44919"/>
    <n v="0"/>
    <m/>
    <n v="5538150"/>
    <m/>
    <x v="6"/>
    <x v="5"/>
  </r>
  <r>
    <n v="537"/>
    <s v="P-1526"/>
    <x v="203"/>
    <s v="TIS-1506"/>
    <x v="214"/>
    <x v="0"/>
    <n v="860524219"/>
    <x v="144"/>
    <s v="PJ"/>
    <m/>
    <n v="6250000"/>
    <n v="1187500"/>
    <n v="7437500"/>
    <n v="6695875"/>
    <n v="-6250"/>
    <n v="741625"/>
    <n v="687500"/>
    <n v="60375"/>
    <n v="0"/>
    <m/>
    <n v="7443750"/>
    <m/>
    <x v="6"/>
    <x v="5"/>
  </r>
  <r>
    <n v="538"/>
    <s v="P-1527"/>
    <x v="203"/>
    <m/>
    <x v="215"/>
    <x v="0"/>
    <n v="901293842"/>
    <x v="164"/>
    <s v="PJ"/>
    <m/>
    <n v="700000"/>
    <n v="133000"/>
    <n v="833000"/>
    <n v="0"/>
    <n v="0"/>
    <n v="833000"/>
    <n v="77000"/>
    <n v="6762"/>
    <n v="0"/>
    <m/>
    <n v="0"/>
    <m/>
    <x v="6"/>
    <x v="5"/>
  </r>
  <r>
    <n v="539"/>
    <s v="P-1528"/>
    <x v="204"/>
    <s v="TIS-1509"/>
    <x v="216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40"/>
    <s v="P-1529"/>
    <x v="204"/>
    <s v="TIS-1508"/>
    <x v="217"/>
    <x v="0"/>
    <n v="800028768"/>
    <x v="13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41"/>
    <s v="P-1530"/>
    <x v="204"/>
    <s v="TIS-1510"/>
    <x v="217"/>
    <x v="0"/>
    <n v="901342609"/>
    <x v="116"/>
    <s v="PJ"/>
    <m/>
    <n v="300000"/>
    <n v="57000"/>
    <n v="357000"/>
    <n v="342000"/>
    <n v="-20898"/>
    <n v="15000"/>
    <n v="33000"/>
    <n v="2898"/>
    <n v="0"/>
    <m/>
    <n v="377898"/>
    <m/>
    <x v="6"/>
    <x v="5"/>
  </r>
  <r>
    <n v="542"/>
    <s v="P-1531"/>
    <x v="204"/>
    <s v="TIS-1511"/>
    <x v="217"/>
    <x v="0"/>
    <n v="901030518"/>
    <x v="32"/>
    <s v="PJ"/>
    <m/>
    <n v="480000"/>
    <n v="0"/>
    <n v="480000"/>
    <n v="422563"/>
    <n v="0.20000000001164153"/>
    <n v="57437"/>
    <n v="52800"/>
    <n v="4636.8"/>
    <n v="0"/>
    <m/>
    <n v="479999.8"/>
    <m/>
    <x v="6"/>
    <x v="5"/>
  </r>
  <r>
    <n v="543"/>
    <s v="P-1532"/>
    <x v="204"/>
    <s v="TIS-1512"/>
    <x v="217"/>
    <x v="0"/>
    <n v="901587426"/>
    <x v="136"/>
    <s v="PJ"/>
    <m/>
    <n v="1200000"/>
    <n v="0"/>
    <n v="1200000"/>
    <n v="1200000"/>
    <n v="0"/>
    <n v="0"/>
    <n v="0"/>
    <n v="0"/>
    <n v="0"/>
    <m/>
    <n v="1200000"/>
    <m/>
    <x v="6"/>
    <x v="5"/>
  </r>
  <r>
    <n v="544"/>
    <s v="P-1533"/>
    <x v="204"/>
    <s v="TIS- 1513"/>
    <x v="217"/>
    <x v="0"/>
    <n v="860002964"/>
    <x v="71"/>
    <s v="PJ"/>
    <m/>
    <n v="26763084.84"/>
    <n v="5084986.1195999999"/>
    <n v="31848070.959600002"/>
    <n v="29756268"/>
    <n v="-1110667.7723544016"/>
    <n v="2091802.9596000016"/>
    <n v="2943939.3324000002"/>
    <n v="258531.39955440001"/>
    <n v="0"/>
    <m/>
    <n v="32958738.731954403"/>
    <m/>
    <x v="6"/>
    <x v="5"/>
  </r>
  <r>
    <n v="545"/>
    <s v="P-1534"/>
    <x v="204"/>
    <s v="TIS-1514"/>
    <x v="218"/>
    <x v="0"/>
    <n v="800028768"/>
    <x v="13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46"/>
    <s v="P-1535"/>
    <x v="204"/>
    <s v="TIS-1515"/>
    <x v="218"/>
    <x v="0"/>
    <n v="901342609"/>
    <x v="116"/>
    <s v="PJ"/>
    <m/>
    <n v="250000"/>
    <n v="47500"/>
    <n v="297500"/>
    <n v="287500"/>
    <n v="-19915"/>
    <n v="10000"/>
    <n v="27500"/>
    <n v="2415"/>
    <n v="0"/>
    <m/>
    <n v="317415"/>
    <m/>
    <x v="6"/>
    <x v="5"/>
  </r>
  <r>
    <n v="547"/>
    <s v="P-1536"/>
    <x v="204"/>
    <s v="TIS- 1516"/>
    <x v="218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6"/>
    <x v="5"/>
  </r>
  <r>
    <n v="548"/>
    <s v="P-1537"/>
    <x v="204"/>
    <s v="TIS-1517"/>
    <x v="218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49"/>
    <s v="P-1538"/>
    <x v="204"/>
    <s v="TIS.1518"/>
    <x v="218"/>
    <x v="0"/>
    <n v="901587426"/>
    <x v="136"/>
    <s v="PJ"/>
    <m/>
    <n v="1360000"/>
    <n v="0"/>
    <n v="1360000"/>
    <n v="1360000"/>
    <n v="0"/>
    <n v="0"/>
    <n v="0"/>
    <n v="0"/>
    <n v="0"/>
    <m/>
    <n v="1360000"/>
    <m/>
    <x v="6"/>
    <x v="5"/>
  </r>
  <r>
    <n v="550"/>
    <s v="P-1539"/>
    <x v="204"/>
    <s v="TIS-1519"/>
    <x v="218"/>
    <x v="0"/>
    <n v="901700940"/>
    <x v="160"/>
    <s v="PJ"/>
    <m/>
    <n v="1800000"/>
    <n v="0"/>
    <n v="1800000"/>
    <n v="1586412"/>
    <n v="-1800"/>
    <n v="213588"/>
    <n v="198000"/>
    <n v="17388"/>
    <n v="0"/>
    <m/>
    <n v="1801800"/>
    <m/>
    <x v="6"/>
    <x v="5"/>
  </r>
  <r>
    <n v="551"/>
    <s v="P-1540"/>
    <x v="204"/>
    <s v="TIS-1520"/>
    <x v="218"/>
    <x v="0"/>
    <n v="830103479"/>
    <x v="161"/>
    <s v="PJ"/>
    <m/>
    <n v="730000"/>
    <n v="0"/>
    <n v="730000"/>
    <n v="649700"/>
    <n v="-7051.8000000000466"/>
    <n v="80300"/>
    <n v="80300"/>
    <n v="7051.8"/>
    <n v="0"/>
    <m/>
    <n v="737051.8"/>
    <m/>
    <x v="6"/>
    <x v="5"/>
  </r>
  <r>
    <n v="552"/>
    <s v="P-1541"/>
    <x v="204"/>
    <s v="TIS-1521"/>
    <x v="218"/>
    <x v="0"/>
    <n v="830078301"/>
    <x v="103"/>
    <s v="PJ"/>
    <m/>
    <n v="1110000"/>
    <n v="210900"/>
    <n v="1320900"/>
    <n v="1268841"/>
    <n v="-80763.600000000093"/>
    <n v="52059"/>
    <n v="122100"/>
    <n v="10722.6"/>
    <n v="0"/>
    <m/>
    <n v="1401663.6"/>
    <m/>
    <x v="6"/>
    <x v="5"/>
  </r>
  <r>
    <n v="553"/>
    <s v="P-1542"/>
    <x v="204"/>
    <s v="TIS-1522"/>
    <x v="218"/>
    <x v="0"/>
    <n v="830105194"/>
    <x v="105"/>
    <s v="PJ"/>
    <m/>
    <n v="300000"/>
    <n v="57000"/>
    <n v="357000"/>
    <n v="342102"/>
    <n v="-21000"/>
    <n v="14898"/>
    <n v="33000"/>
    <n v="2898"/>
    <n v="0"/>
    <m/>
    <n v="378000"/>
    <m/>
    <x v="6"/>
    <x v="5"/>
  </r>
  <r>
    <n v="554"/>
    <s v="P-1543"/>
    <x v="205"/>
    <s v="TIS-1523"/>
    <x v="219"/>
    <x v="1"/>
    <n v="860002964"/>
    <x v="71"/>
    <s v="PJ"/>
    <m/>
    <n v="26763085"/>
    <n v="5084986.1500000004"/>
    <n v="31848071.149999999"/>
    <n v="0"/>
    <n v="0"/>
    <n v="31848071.149999999"/>
    <n v="2943939.35"/>
    <n v="258531.40110000002"/>
    <n v="0"/>
    <m/>
    <n v="0"/>
    <m/>
    <x v="6"/>
    <x v="5"/>
  </r>
  <r>
    <n v="555"/>
    <s v="P-1544"/>
    <x v="205"/>
    <s v="TIS-1524"/>
    <x v="220"/>
    <x v="0"/>
    <n v="860090915"/>
    <x v="141"/>
    <s v="PJ"/>
    <m/>
    <n v="19575000"/>
    <n v="3719250"/>
    <n v="23294250"/>
    <n v="20962150"/>
    <n v="-10244.5"/>
    <n v="2332100"/>
    <n v="2153250"/>
    <n v="189094.5"/>
    <n v="0"/>
    <m/>
    <n v="23304494.5"/>
    <m/>
    <x v="6"/>
    <x v="5"/>
  </r>
  <r>
    <n v="556"/>
    <s v="P-1545"/>
    <x v="206"/>
    <s v="TIS-1525"/>
    <x v="221"/>
    <x v="0"/>
    <n v="830058959"/>
    <x v="165"/>
    <s v="PJ"/>
    <m/>
    <n v="1060000"/>
    <n v="201400"/>
    <n v="1261400"/>
    <n v="1219000"/>
    <n v="-84439.600000000093"/>
    <n v="42400"/>
    <n v="116600"/>
    <n v="10239.6"/>
    <n v="0"/>
    <m/>
    <n v="1345839.6"/>
    <m/>
    <x v="6"/>
    <x v="5"/>
  </r>
  <r>
    <n v="557"/>
    <s v="P-1546"/>
    <x v="206"/>
    <s v="TIS-1526"/>
    <x v="221"/>
    <x v="0"/>
    <n v="900794234"/>
    <x v="166"/>
    <s v="PJ"/>
    <m/>
    <n v="1400000"/>
    <n v="266000"/>
    <n v="1666000"/>
    <n v="1610000"/>
    <n v="-111524"/>
    <n v="56000"/>
    <n v="154000"/>
    <n v="13524"/>
    <n v="0"/>
    <m/>
    <n v="1777524"/>
    <m/>
    <x v="6"/>
    <x v="5"/>
  </r>
  <r>
    <n v="558"/>
    <s v="P-1547"/>
    <x v="207"/>
    <s v="TIS-1526"/>
    <x v="221"/>
    <x v="1"/>
    <n v="900794234"/>
    <x v="166"/>
    <s v="PJ"/>
    <m/>
    <n v="1400000"/>
    <n v="266000"/>
    <n v="1666000"/>
    <n v="0"/>
    <n v="0"/>
    <n v="1666000"/>
    <n v="154000"/>
    <n v="13524"/>
    <n v="0"/>
    <m/>
    <n v="0"/>
    <m/>
    <x v="6"/>
    <x v="5"/>
  </r>
  <r>
    <n v="559"/>
    <s v="P-1548"/>
    <x v="208"/>
    <s v="TIS-1527"/>
    <x v="222"/>
    <x v="0"/>
    <n v="800028768"/>
    <x v="13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60"/>
    <s v="P-1549"/>
    <x v="208"/>
    <s v="TIS-1528"/>
    <x v="222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61"/>
    <s v="P-1550"/>
    <x v="208"/>
    <s v="TIS-1529"/>
    <x v="222"/>
    <x v="0"/>
    <n v="901342609"/>
    <x v="116"/>
    <s v="PJ"/>
    <m/>
    <n v="200000"/>
    <n v="38000"/>
    <n v="238000"/>
    <n v="233000"/>
    <n v="-18932"/>
    <n v="5000"/>
    <n v="22000"/>
    <n v="1932"/>
    <n v="0"/>
    <m/>
    <n v="256932"/>
    <m/>
    <x v="6"/>
    <x v="5"/>
  </r>
  <r>
    <n v="562"/>
    <s v="P-1551"/>
    <x v="208"/>
    <s v="TIS-1530"/>
    <x v="222"/>
    <x v="0"/>
    <n v="901700940"/>
    <x v="160"/>
    <s v="PJ"/>
    <m/>
    <n v="300000"/>
    <n v="0"/>
    <n v="300000"/>
    <n v="300000"/>
    <n v="0"/>
    <n v="0"/>
    <n v="0"/>
    <n v="0"/>
    <n v="0"/>
    <m/>
    <n v="300000"/>
    <m/>
    <x v="6"/>
    <x v="5"/>
  </r>
  <r>
    <n v="563"/>
    <s v="P-1552"/>
    <x v="208"/>
    <s v="TIS-1531"/>
    <x v="222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6"/>
    <x v="5"/>
  </r>
  <r>
    <n v="564"/>
    <s v="P-1553"/>
    <x v="208"/>
    <s v="TIS-1532"/>
    <x v="222"/>
    <x v="0"/>
    <n v="901587426"/>
    <x v="136"/>
    <s v="PJ"/>
    <m/>
    <n v="1790000"/>
    <n v="0"/>
    <n v="1790000"/>
    <n v="1701108"/>
    <n v="-125299.39999999991"/>
    <n v="88892"/>
    <n v="196900"/>
    <n v="17291.400000000001"/>
    <n v="0"/>
    <m/>
    <n v="1915299.4"/>
    <m/>
    <x v="6"/>
    <x v="5"/>
  </r>
  <r>
    <n v="565"/>
    <s v="P-1554"/>
    <x v="208"/>
    <s v="TIS-1533"/>
    <x v="222"/>
    <x v="0"/>
    <n v="900187738"/>
    <x v="167"/>
    <s v="PJ"/>
    <m/>
    <n v="1500000"/>
    <n v="285000"/>
    <n v="1785000"/>
    <n v="1723500"/>
    <n v="-117990"/>
    <n v="61500"/>
    <n v="165000"/>
    <n v="14490"/>
    <n v="0"/>
    <m/>
    <n v="1902990"/>
    <m/>
    <x v="6"/>
    <x v="5"/>
  </r>
  <r>
    <n v="566"/>
    <s v="P-1555"/>
    <x v="209"/>
    <s v="TIS-1536"/>
    <x v="223"/>
    <x v="0"/>
    <n v="901293842"/>
    <x v="164"/>
    <s v="PJ"/>
    <m/>
    <n v="1225000"/>
    <n v="232750"/>
    <n v="1457750"/>
    <n v="1457750"/>
    <n v="0"/>
    <n v="0"/>
    <n v="0"/>
    <n v="0"/>
    <n v="0"/>
    <m/>
    <n v="1457750"/>
    <m/>
    <x v="6"/>
    <x v="5"/>
  </r>
  <r>
    <n v="567"/>
    <s v="P-1556"/>
    <x v="209"/>
    <s v="TIS-1537"/>
    <x v="223"/>
    <x v="0"/>
    <n v="830143066"/>
    <x v="157"/>
    <s v="PJ"/>
    <m/>
    <n v="825000"/>
    <n v="156750"/>
    <n v="981750"/>
    <n v="883885"/>
    <n v="-854.5"/>
    <n v="97865"/>
    <n v="90750"/>
    <n v="7969.5"/>
    <n v="0"/>
    <m/>
    <n v="982604.5"/>
    <m/>
    <x v="6"/>
    <x v="5"/>
  </r>
  <r>
    <n v="568"/>
    <s v="P-1557"/>
    <x v="209"/>
    <s v="TIS-1538"/>
    <x v="223"/>
    <x v="0"/>
    <n v="860041367"/>
    <x v="168"/>
    <s v="PJ"/>
    <m/>
    <n v="2340000"/>
    <n v="444600"/>
    <n v="2784600"/>
    <n v="2511054"/>
    <n v="-6458.3999999999069"/>
    <n v="273546"/>
    <n v="257400"/>
    <n v="22604.400000000001"/>
    <n v="0"/>
    <m/>
    <n v="2791058.4"/>
    <m/>
    <x v="6"/>
    <x v="5"/>
  </r>
  <r>
    <n v="569"/>
    <s v="P-1558"/>
    <x v="209"/>
    <s v="NC-47"/>
    <x v="224"/>
    <x v="0"/>
    <n v="860002964"/>
    <x v="71"/>
    <s v="PJ"/>
    <m/>
    <n v="-26763084.84"/>
    <n v="-5084986.1195999999"/>
    <n v="-31848070.959600002"/>
    <n v="0"/>
    <n v="0"/>
    <n v="-31848070.959600002"/>
    <n v="-2943939.3324000002"/>
    <n v="-258531.39955440001"/>
    <n v="0"/>
    <m/>
    <n v="0"/>
    <m/>
    <x v="6"/>
    <x v="5"/>
  </r>
  <r>
    <n v="570"/>
    <s v="P-1559"/>
    <x v="209"/>
    <s v="TIS-1539"/>
    <x v="224"/>
    <x v="0"/>
    <n v="860002964"/>
    <x v="71"/>
    <s v="PJ"/>
    <m/>
    <n v="56000000"/>
    <n v="10640000"/>
    <n v="66640000"/>
    <n v="62263040"/>
    <n v="-2324000"/>
    <n v="4376960"/>
    <n v="6160000"/>
    <n v="540960"/>
    <n v="0"/>
    <m/>
    <n v="68964000"/>
    <m/>
    <x v="6"/>
    <x v="5"/>
  </r>
  <r>
    <n v="571"/>
    <s v="P-1560"/>
    <x v="209"/>
    <s v="TIS-1535"/>
    <x v="223"/>
    <x v="1"/>
    <n v="901293842"/>
    <x v="164"/>
    <s v="PJ"/>
    <m/>
    <n v="1225000"/>
    <n v="232750"/>
    <n v="1457750"/>
    <n v="0"/>
    <n v="0"/>
    <n v="1457750"/>
    <n v="134750"/>
    <n v="11833.5"/>
    <n v="0"/>
    <m/>
    <n v="0"/>
    <m/>
    <x v="6"/>
    <x v="5"/>
  </r>
  <r>
    <n v="572"/>
    <s v="P-1561"/>
    <x v="209"/>
    <s v="NC46"/>
    <x v="223"/>
    <x v="0"/>
    <n v="901293842"/>
    <x v="164"/>
    <s v="PJ"/>
    <m/>
    <n v="-1225000"/>
    <n v="-232750"/>
    <n v="-1457750"/>
    <n v="0"/>
    <n v="0"/>
    <n v="-1457750"/>
    <n v="-134750"/>
    <n v="-11833.5"/>
    <n v="0"/>
    <m/>
    <n v="0"/>
    <m/>
    <x v="6"/>
    <x v="5"/>
  </r>
  <r>
    <n v="573"/>
    <s v="P-1562"/>
    <x v="210"/>
    <s v="TIS-1542"/>
    <x v="225"/>
    <x v="0"/>
    <n v="800028768"/>
    <x v="13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74"/>
    <s v="P-1563"/>
    <x v="210"/>
    <s v="TIS-1543"/>
    <x v="225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75"/>
    <s v="P-1564"/>
    <x v="210"/>
    <s v="TIS-1544"/>
    <x v="225"/>
    <x v="0"/>
    <n v="901700940"/>
    <x v="160"/>
    <s v="PJ"/>
    <m/>
    <n v="300000"/>
    <n v="0"/>
    <n v="300000"/>
    <n v="300000"/>
    <n v="0"/>
    <n v="0"/>
    <n v="0"/>
    <n v="0"/>
    <n v="0"/>
    <m/>
    <n v="300000"/>
    <m/>
    <x v="6"/>
    <x v="5"/>
  </r>
  <r>
    <n v="576"/>
    <s v="P-1565"/>
    <x v="210"/>
    <s v="TIS-1545"/>
    <x v="225"/>
    <x v="2"/>
    <n v="901342609"/>
    <x v="116"/>
    <s v="PJ"/>
    <m/>
    <n v="250000"/>
    <n v="47500"/>
    <n v="297500"/>
    <n v="287500"/>
    <n v="0"/>
    <n v="10000"/>
    <n v="27500"/>
    <n v="2415"/>
    <n v="0"/>
    <m/>
    <n v="0"/>
    <m/>
    <x v="6"/>
    <x v="5"/>
  </r>
  <r>
    <n v="577"/>
    <s v="P-1566"/>
    <x v="210"/>
    <s v="TIS-1546"/>
    <x v="225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6"/>
    <x v="5"/>
  </r>
  <r>
    <n v="578"/>
    <s v="P-1567"/>
    <x v="210"/>
    <s v="TIS-1547"/>
    <x v="225"/>
    <x v="0"/>
    <n v="901587426"/>
    <x v="136"/>
    <s v="PJ"/>
    <m/>
    <n v="1495000"/>
    <n v="0"/>
    <n v="1495000"/>
    <n v="0"/>
    <n v="1495000"/>
    <n v="1495000"/>
    <n v="164450"/>
    <n v="14441.7"/>
    <n v="0"/>
    <m/>
    <n v="0"/>
    <m/>
    <x v="6"/>
    <x v="5"/>
  </r>
  <r>
    <n v="579"/>
    <s v="P-1568"/>
    <x v="210"/>
    <s v="TIS-1548"/>
    <x v="225"/>
    <x v="0"/>
    <n v="900187738"/>
    <x v="167"/>
    <s v="PJ"/>
    <m/>
    <n v="1500000"/>
    <n v="285000"/>
    <n v="1785000"/>
    <n v="1723500"/>
    <n v="-117990"/>
    <n v="61500"/>
    <n v="165000"/>
    <n v="14490"/>
    <n v="0"/>
    <m/>
    <n v="1902990"/>
    <m/>
    <x v="6"/>
    <x v="5"/>
  </r>
  <r>
    <n v="580"/>
    <s v="P-1569"/>
    <x v="211"/>
    <s v="TIS-1541"/>
    <x v="226"/>
    <x v="0"/>
    <n v="901843713"/>
    <x v="169"/>
    <s v="PJ"/>
    <m/>
    <n v="900000"/>
    <n v="171000"/>
    <n v="1071000"/>
    <n v="1035000"/>
    <n v="-71694"/>
    <n v="36000"/>
    <n v="99000"/>
    <n v="8694"/>
    <n v="0"/>
    <m/>
    <n v="1142694"/>
    <m/>
    <x v="6"/>
    <x v="5"/>
  </r>
  <r>
    <n v="581"/>
    <s v="P-1570"/>
    <x v="211"/>
    <s v="TIS-1540"/>
    <x v="227"/>
    <x v="0"/>
    <n v="900903463"/>
    <x v="170"/>
    <s v="PJ"/>
    <m/>
    <n v="1260505"/>
    <n v="239495.95"/>
    <n v="1500000.95"/>
    <n v="1500000"/>
    <n v="-150831.07830000017"/>
    <n v="0.94999999995343387"/>
    <n v="138655.54999999999"/>
    <n v="12176.478300000001"/>
    <n v="0"/>
    <m/>
    <n v="1650832.0283000001"/>
    <m/>
    <x v="6"/>
    <x v="5"/>
  </r>
  <r>
    <n v="582"/>
    <s v="P-1571"/>
    <x v="212"/>
    <s v="TIS-1559"/>
    <x v="228"/>
    <x v="0"/>
    <n v="4446779"/>
    <x v="140"/>
    <s v="PN"/>
    <m/>
    <n v="4950000"/>
    <n v="940500"/>
    <n v="5890500"/>
    <n v="5890500"/>
    <n v="0"/>
    <n v="0"/>
    <n v="0"/>
    <n v="0"/>
    <n v="0"/>
    <m/>
    <n v="5890500"/>
    <m/>
    <x v="6"/>
    <x v="5"/>
  </r>
  <r>
    <n v="583"/>
    <s v="P-1572"/>
    <x v="212"/>
    <s v="TIS-1497"/>
    <x v="229"/>
    <x v="0"/>
    <n v="900072275"/>
    <x v="171"/>
    <s v="PJ"/>
    <m/>
    <n v="2132000"/>
    <n v="405080"/>
    <n v="2537080"/>
    <n v="2431205"/>
    <n v="-149240.12000000011"/>
    <n v="105875"/>
    <n v="234520"/>
    <n v="20595.12"/>
    <n v="0"/>
    <m/>
    <n v="2686320.12"/>
    <m/>
    <x v="6"/>
    <x v="5"/>
  </r>
  <r>
    <n v="584"/>
    <s v="P-1573"/>
    <x v="213"/>
    <m/>
    <x v="10"/>
    <x v="0"/>
    <n v="900566071"/>
    <x v="172"/>
    <s v="PJ"/>
    <m/>
    <n v="1890000"/>
    <n v="359100"/>
    <n v="2249100"/>
    <n v="2211300"/>
    <n v="0"/>
    <n v="37800"/>
    <n v="207900"/>
    <n v="18257.400000000001"/>
    <n v="0"/>
    <m/>
    <n v="2437457.4"/>
    <m/>
    <x v="1"/>
    <x v="5"/>
  </r>
  <r>
    <n v="585"/>
    <s v="P-1574"/>
    <x v="214"/>
    <s v="TIS-1550"/>
    <x v="230"/>
    <x v="0"/>
    <n v="800233648"/>
    <x v="173"/>
    <s v="PJ"/>
    <m/>
    <n v="3750000"/>
    <n v="712500"/>
    <n v="4462500"/>
    <n v="4286625"/>
    <n v="-272850"/>
    <n v="175875"/>
    <n v="412500"/>
    <n v="36225"/>
    <n v="0"/>
    <m/>
    <n v="4735350"/>
    <m/>
    <x v="6"/>
    <x v="5"/>
  </r>
  <r>
    <n v="586"/>
    <s v="P-1575"/>
    <x v="215"/>
    <s v="TIS-1551"/>
    <x v="231"/>
    <x v="0"/>
    <n v="800028768"/>
    <x v="13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87"/>
    <s v="P-1576"/>
    <x v="215"/>
    <s v="TIS-1552"/>
    <x v="231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588"/>
    <s v="P-1577"/>
    <x v="215"/>
    <s v="TIS-1553"/>
    <x v="231"/>
    <x v="0"/>
    <n v="901342609"/>
    <x v="116"/>
    <s v="PJ"/>
    <m/>
    <n v="250000"/>
    <n v="47500"/>
    <n v="297500"/>
    <n v="287500"/>
    <n v="-19915"/>
    <n v="10000"/>
    <n v="27500"/>
    <n v="2415"/>
    <n v="0"/>
    <m/>
    <n v="317415"/>
    <m/>
    <x v="6"/>
    <x v="5"/>
  </r>
  <r>
    <n v="589"/>
    <s v="P-1578"/>
    <x v="215"/>
    <s v="TIS-1554"/>
    <x v="231"/>
    <x v="0"/>
    <n v="830033212"/>
    <x v="69"/>
    <s v="PJ"/>
    <m/>
    <n v="1500000"/>
    <n v="285000"/>
    <n v="1785000"/>
    <n v="1609500"/>
    <n v="-3990"/>
    <n v="175500"/>
    <n v="165000"/>
    <n v="14490"/>
    <n v="0"/>
    <m/>
    <n v="1788990"/>
    <m/>
    <x v="6"/>
    <x v="5"/>
  </r>
  <r>
    <n v="590"/>
    <s v="P-1579"/>
    <x v="215"/>
    <s v="TIS-1556"/>
    <x v="231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6"/>
    <x v="5"/>
  </r>
  <r>
    <n v="591"/>
    <s v="P-1580"/>
    <x v="215"/>
    <s v="TIS-1557"/>
    <x v="231"/>
    <x v="0"/>
    <n v="900903463"/>
    <x v="170"/>
    <s v="PJ"/>
    <m/>
    <n v="934874"/>
    <n v="177626.06"/>
    <n v="1112500.06"/>
    <n v="1009664"/>
    <n v="-9030.9628399999347"/>
    <n v="102836.06000000006"/>
    <n v="102836.14"/>
    <n v="9030.8828400000002"/>
    <n v="0"/>
    <m/>
    <n v="1121531.02284"/>
    <m/>
    <x v="6"/>
    <x v="5"/>
  </r>
  <r>
    <n v="592"/>
    <s v="P-1581"/>
    <x v="215"/>
    <s v="TIS-1558"/>
    <x v="231"/>
    <x v="0"/>
    <n v="900187738"/>
    <x v="167"/>
    <s v="PJ"/>
    <m/>
    <n v="1500000"/>
    <n v="285000"/>
    <n v="1785000"/>
    <n v="1723500"/>
    <n v="-117990"/>
    <n v="61500"/>
    <n v="165000"/>
    <n v="14490"/>
    <n v="0"/>
    <m/>
    <n v="1902990"/>
    <m/>
    <x v="6"/>
    <x v="5"/>
  </r>
  <r>
    <n v="593"/>
    <s v="P-1582"/>
    <x v="216"/>
    <s v="TIS-1561"/>
    <x v="232"/>
    <x v="0"/>
    <n v="830054076"/>
    <x v="120"/>
    <s v="PJ"/>
    <m/>
    <n v="9830000"/>
    <n v="1867700"/>
    <n v="11697700"/>
    <n v="10241287"/>
    <n v="280155.19999999925"/>
    <n v="1456413"/>
    <n v="1081300"/>
    <n v="94957.8"/>
    <n v="0"/>
    <m/>
    <n v="11417544.800000001"/>
    <m/>
    <x v="6"/>
    <x v="5"/>
  </r>
  <r>
    <n v="594"/>
    <s v="P-1583"/>
    <x v="217"/>
    <s v="TIS-1549"/>
    <x v="233"/>
    <x v="0"/>
    <n v="860002964"/>
    <x v="71"/>
    <s v="PJ"/>
    <m/>
    <n v="56000000"/>
    <n v="10640000"/>
    <n v="66640000"/>
    <n v="62263040"/>
    <n v="-2324000"/>
    <n v="4376960"/>
    <n v="6160000"/>
    <n v="540960"/>
    <n v="0"/>
    <m/>
    <n v="68964000"/>
    <m/>
    <x v="6"/>
    <x v="5"/>
  </r>
  <r>
    <n v="595"/>
    <s v="P-1584"/>
    <x v="218"/>
    <s v="TIS-1562"/>
    <x v="234"/>
    <x v="0"/>
    <n v="860002964"/>
    <x v="71"/>
    <s v="PJ"/>
    <m/>
    <n v="56000000"/>
    <n v="10640000"/>
    <n v="66640000"/>
    <n v="62263040"/>
    <n v="-2324000"/>
    <n v="4376960"/>
    <n v="6160000"/>
    <n v="540960"/>
    <n v="0"/>
    <m/>
    <n v="68964000"/>
    <m/>
    <x v="6"/>
    <x v="5"/>
  </r>
  <r>
    <n v="596"/>
    <s v="P-1585"/>
    <x v="219"/>
    <s v="TIS-1563"/>
    <x v="234"/>
    <x v="0"/>
    <n v="860090915"/>
    <x v="141"/>
    <s v="PJ"/>
    <m/>
    <n v="19050000"/>
    <n v="3619500"/>
    <n v="22669500"/>
    <n v="21364575"/>
    <n v="-974598"/>
    <n v="1304925"/>
    <n v="2095500"/>
    <n v="184023"/>
    <n v="0"/>
    <m/>
    <n v="23644098"/>
    <m/>
    <x v="6"/>
    <x v="5"/>
  </r>
  <r>
    <n v="597"/>
    <s v="P-1586"/>
    <x v="219"/>
    <s v="TIS-1564"/>
    <x v="235"/>
    <x v="0"/>
    <n v="900456485"/>
    <x v="174"/>
    <s v="PJ"/>
    <m/>
    <n v="140000"/>
    <n v="26600"/>
    <n v="166600"/>
    <n v="0"/>
    <n v="166600"/>
    <n v="166600"/>
    <n v="15400"/>
    <n v="1352.4"/>
    <n v="0"/>
    <m/>
    <n v="0"/>
    <m/>
    <x v="6"/>
    <x v="5"/>
  </r>
  <r>
    <n v="598"/>
    <s v="P-1587"/>
    <x v="219"/>
    <s v="TIS-1565"/>
    <x v="235"/>
    <x v="0"/>
    <n v="901541715"/>
    <x v="175"/>
    <s v="PJ"/>
    <m/>
    <n v="805000"/>
    <n v="152950"/>
    <n v="957950"/>
    <n v="1078567"/>
    <n v="-216943.30000000005"/>
    <n v="-120617"/>
    <n v="88550"/>
    <n v="7776.3"/>
    <n v="0"/>
    <m/>
    <n v="1174893.3"/>
    <m/>
    <x v="6"/>
    <x v="5"/>
  </r>
  <r>
    <n v="599"/>
    <s v="P-1588"/>
    <x v="220"/>
    <s v="TIS-1567"/>
    <x v="236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600"/>
    <s v="P-1589"/>
    <x v="220"/>
    <s v="TIS-1568"/>
    <x v="236"/>
    <x v="0"/>
    <n v="901342609"/>
    <x v="116"/>
    <s v="PJ"/>
    <m/>
    <n v="250000"/>
    <n v="47500"/>
    <n v="297500"/>
    <n v="287500"/>
    <n v="-19915"/>
    <n v="10000"/>
    <n v="27500"/>
    <n v="2415"/>
    <n v="0"/>
    <m/>
    <n v="317415"/>
    <m/>
    <x v="6"/>
    <x v="5"/>
  </r>
  <r>
    <n v="601"/>
    <s v="P-1590"/>
    <x v="220"/>
    <s v="TIS-1569"/>
    <x v="236"/>
    <x v="0"/>
    <n v="901030518"/>
    <x v="32"/>
    <s v="PJ"/>
    <m/>
    <n v="480000"/>
    <n v="0"/>
    <n v="480000"/>
    <n v="480000"/>
    <n v="0"/>
    <n v="0"/>
    <n v="0"/>
    <n v="0"/>
    <n v="0"/>
    <m/>
    <n v="480000"/>
    <m/>
    <x v="6"/>
    <x v="5"/>
  </r>
  <r>
    <n v="602"/>
    <s v="P-1591"/>
    <x v="220"/>
    <s v="TIS-1570"/>
    <x v="236"/>
    <x v="0"/>
    <n v="900187738"/>
    <x v="167"/>
    <s v="PJ"/>
    <m/>
    <n v="1500000"/>
    <n v="285000"/>
    <n v="1785000"/>
    <n v="1723500"/>
    <n v="-117990"/>
    <n v="61500"/>
    <n v="165000"/>
    <n v="14490"/>
    <n v="0"/>
    <m/>
    <n v="1902990"/>
    <m/>
    <x v="6"/>
    <x v="5"/>
  </r>
  <r>
    <n v="603"/>
    <s v="P-1592"/>
    <x v="220"/>
    <s v="TIS-1571"/>
    <x v="236"/>
    <x v="0"/>
    <n v="901700940"/>
    <x v="160"/>
    <s v="PJ"/>
    <m/>
    <n v="300000"/>
    <n v="0"/>
    <n v="300000"/>
    <n v="0"/>
    <n v="300000"/>
    <n v="300000"/>
    <n v="33000"/>
    <n v="2898"/>
    <n v="0"/>
    <m/>
    <n v="0"/>
    <m/>
    <x v="6"/>
    <x v="5"/>
  </r>
  <r>
    <n v="604"/>
    <s v="P-1593"/>
    <x v="220"/>
    <s v="TIS-1572"/>
    <x v="236"/>
    <x v="0"/>
    <n v="900903463"/>
    <x v="170"/>
    <s v="PJ"/>
    <m/>
    <n v="934874"/>
    <n v="177626.06"/>
    <n v="1112500.06"/>
    <n v="1009664"/>
    <n v="-9030.9628399999347"/>
    <n v="102836.06000000006"/>
    <n v="102836.14"/>
    <n v="9030.8828400000002"/>
    <n v="0"/>
    <m/>
    <n v="1121531.02284"/>
    <m/>
    <x v="6"/>
    <x v="5"/>
  </r>
  <r>
    <n v="605"/>
    <s v="P-1594"/>
    <x v="220"/>
    <s v="TIS-1573"/>
    <x v="236"/>
    <x v="0"/>
    <n v="901843713"/>
    <x v="169"/>
    <s v="PJ"/>
    <m/>
    <n v="442500"/>
    <n v="84075"/>
    <n v="526575"/>
    <n v="508875"/>
    <n v="-35249.550000000047"/>
    <n v="17700"/>
    <n v="48675"/>
    <n v="4274.55"/>
    <n v="0"/>
    <m/>
    <n v="561824.55000000005"/>
    <m/>
    <x v="6"/>
    <x v="5"/>
  </r>
  <r>
    <n v="606"/>
    <s v="P-1595"/>
    <x v="220"/>
    <s v="TIS-1574"/>
    <x v="236"/>
    <x v="0"/>
    <n v="901587426"/>
    <x v="136"/>
    <s v="PJ"/>
    <m/>
    <n v="1572500"/>
    <n v="0"/>
    <n v="1572500"/>
    <n v="0"/>
    <n v="1572500"/>
    <n v="1572500"/>
    <n v="172975"/>
    <n v="15190.35"/>
    <n v="0"/>
    <m/>
    <n v="0"/>
    <m/>
    <x v="6"/>
    <x v="5"/>
  </r>
  <r>
    <n v="607"/>
    <s v="P-1596"/>
    <x v="221"/>
    <s v="Tis-1592"/>
    <x v="237"/>
    <x v="0"/>
    <s v="901307114-9"/>
    <x v="176"/>
    <s v="PJ"/>
    <m/>
    <n v="1320000"/>
    <n v="250800"/>
    <n v="1570800"/>
    <n v="1414168"/>
    <n v="-1319.1999999999534"/>
    <n v="156632"/>
    <n v="145200"/>
    <n v="12751.2"/>
    <n v="0"/>
    <m/>
    <n v="1572119.2"/>
    <m/>
    <x v="6"/>
    <x v="5"/>
  </r>
  <r>
    <n v="608"/>
    <s v="P-1597"/>
    <x v="221"/>
    <s v="TIS-1590"/>
    <x v="238"/>
    <x v="0"/>
    <n v="901312915"/>
    <x v="177"/>
    <s v="PJ"/>
    <m/>
    <n v="1100000"/>
    <n v="209000"/>
    <n v="1309000"/>
    <n v="1309000"/>
    <n v="0"/>
    <n v="0"/>
    <n v="0"/>
    <n v="0"/>
    <n v="0"/>
    <m/>
    <n v="1309000"/>
    <m/>
    <x v="6"/>
    <x v="5"/>
  </r>
  <r>
    <n v="609"/>
    <s v="P-1598"/>
    <x v="222"/>
    <s v="TIS-1575"/>
    <x v="239"/>
    <x v="0"/>
    <n v="860002964"/>
    <x v="71"/>
    <s v="PJ"/>
    <m/>
    <n v="9214843"/>
    <n v="1750820.17"/>
    <n v="10965663.17"/>
    <n v="10255758"/>
    <n v="-392742.94338000007"/>
    <n v="709905.16999999993"/>
    <n v="1013632.73"/>
    <n v="89015.383379999999"/>
    <n v="0"/>
    <m/>
    <n v="11358406.11338"/>
    <m/>
    <x v="6"/>
    <x v="5"/>
  </r>
  <r>
    <n v="611"/>
    <s v="P-1600"/>
    <x v="223"/>
    <s v="TIS-1507"/>
    <x v="240"/>
    <x v="0"/>
    <n v="830103479"/>
    <x v="161"/>
    <s v="PJ"/>
    <m/>
    <n v="2000000"/>
    <n v="0"/>
    <n v="2000000"/>
    <n v="0"/>
    <n v="2000000"/>
    <n v="2000000"/>
    <n v="220000"/>
    <n v="19320"/>
    <n v="0"/>
    <m/>
    <n v="0"/>
    <m/>
    <x v="6"/>
    <x v="5"/>
  </r>
  <r>
    <n v="612"/>
    <s v="P-1601"/>
    <x v="223"/>
    <s v="TIS-1534"/>
    <x v="223"/>
    <x v="0"/>
    <n v="830103479"/>
    <x v="161"/>
    <s v="PJ"/>
    <m/>
    <n v="600000"/>
    <n v="0"/>
    <n v="600000"/>
    <n v="0"/>
    <n v="600000"/>
    <n v="600000"/>
    <n v="66000"/>
    <n v="5796"/>
    <n v="0"/>
    <m/>
    <n v="0"/>
    <m/>
    <x v="6"/>
    <x v="5"/>
  </r>
  <r>
    <n v="613"/>
    <s v="P-1602"/>
    <x v="224"/>
    <s v="TIS-1577"/>
    <x v="241"/>
    <x v="0"/>
    <n v="900728801"/>
    <x v="154"/>
    <s v="PJ"/>
    <m/>
    <n v="800000"/>
    <n v="152000"/>
    <n v="952000"/>
    <n v="913072"/>
    <n v="-56800"/>
    <n v="38928"/>
    <n v="88000"/>
    <n v="7728"/>
    <n v="0"/>
    <m/>
    <n v="1008800"/>
    <m/>
    <x v="6"/>
    <x v="5"/>
  </r>
  <r>
    <n v="614"/>
    <s v="P-1603"/>
    <x v="225"/>
    <s v="TIS-1576"/>
    <x v="241"/>
    <x v="0"/>
    <n v="860090915"/>
    <x v="141"/>
    <s v="PJ"/>
    <m/>
    <n v="1350000"/>
    <n v="256500"/>
    <n v="1606500"/>
    <n v="1514025"/>
    <n v="-69066"/>
    <n v="92475"/>
    <n v="148500"/>
    <n v="13041"/>
    <n v="0"/>
    <m/>
    <n v="1675566"/>
    <m/>
    <x v="6"/>
    <x v="5"/>
  </r>
  <r>
    <n v="615"/>
    <s v="P-1604"/>
    <x v="225"/>
    <s v="TIS-1578"/>
    <x v="242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616"/>
    <s v="P-1605"/>
    <x v="225"/>
    <s v="TIS-1579"/>
    <x v="242"/>
    <x v="0"/>
    <n v="800028768"/>
    <x v="13"/>
    <s v="PJ"/>
    <m/>
    <n v="300000"/>
    <n v="57000"/>
    <n v="357000"/>
    <n v="324000"/>
    <n v="-2898"/>
    <n v="33000"/>
    <n v="33000"/>
    <n v="2898"/>
    <n v="0"/>
    <m/>
    <n v="359898"/>
    <m/>
    <x v="6"/>
    <x v="5"/>
  </r>
  <r>
    <n v="617"/>
    <s v="P-1606"/>
    <x v="225"/>
    <s v="TIS-1581"/>
    <x v="242"/>
    <x v="0"/>
    <n v="900187738"/>
    <x v="167"/>
    <s v="PJ"/>
    <m/>
    <n v="1500000"/>
    <n v="285000"/>
    <n v="1785000"/>
    <n v="1723500"/>
    <n v="-117990"/>
    <n v="61500"/>
    <n v="165000"/>
    <n v="14490"/>
    <n v="0"/>
    <m/>
    <n v="1902990"/>
    <m/>
    <x v="6"/>
    <x v="5"/>
  </r>
  <r>
    <n v="618"/>
    <s v="P-1607"/>
    <x v="225"/>
    <s v="TIS-1583"/>
    <x v="242"/>
    <x v="0"/>
    <n v="901030518"/>
    <x v="32"/>
    <s v="PJ"/>
    <m/>
    <n v="480000"/>
    <n v="0"/>
    <n v="480000"/>
    <n v="0"/>
    <n v="480000"/>
    <n v="480000"/>
    <n v="52800"/>
    <n v="4636.8"/>
    <n v="0"/>
    <m/>
    <n v="0"/>
    <m/>
    <x v="6"/>
    <x v="5"/>
  </r>
  <r>
    <n v="619"/>
    <s v="P-1608"/>
    <x v="225"/>
    <s v="TIS-1584"/>
    <x v="242"/>
    <x v="0"/>
    <n v="901700940"/>
    <x v="160"/>
    <s v="PJ"/>
    <m/>
    <n v="300000"/>
    <n v="0"/>
    <n v="300000"/>
    <n v="300000"/>
    <n v="0"/>
    <n v="0"/>
    <n v="0"/>
    <n v="0"/>
    <n v="0"/>
    <m/>
    <n v="300000"/>
    <m/>
    <x v="6"/>
    <x v="5"/>
  </r>
  <r>
    <n v="620"/>
    <s v="P-1609"/>
    <x v="225"/>
    <s v="TIS-1582"/>
    <x v="242"/>
    <x v="0"/>
    <n v="900903463"/>
    <x v="170"/>
    <s v="PJ"/>
    <m/>
    <n v="934874"/>
    <n v="177626.06"/>
    <n v="1112500.06"/>
    <n v="1009663"/>
    <n v="-9029.9628399999347"/>
    <n v="102837.06000000006"/>
    <n v="102836.14"/>
    <n v="9030.8828400000002"/>
    <n v="0"/>
    <m/>
    <n v="1121530.02284"/>
    <m/>
    <x v="6"/>
    <x v="5"/>
  </r>
  <r>
    <n v="621"/>
    <s v="P-1610"/>
    <x v="225"/>
    <s v="TIS-1585"/>
    <x v="242"/>
    <x v="0"/>
    <n v="901587426"/>
    <x v="136"/>
    <s v="PJ"/>
    <m/>
    <n v="3210000"/>
    <n v="0"/>
    <n v="3210000"/>
    <n v="0"/>
    <n v="3210000"/>
    <n v="3210000"/>
    <n v="353100"/>
    <n v="31008.600000000002"/>
    <n v="0"/>
    <m/>
    <n v="0"/>
    <m/>
    <x v="6"/>
    <x v="5"/>
  </r>
  <r>
    <n v="622"/>
    <s v="P-1611"/>
    <x v="225"/>
    <s v="TIS-1586"/>
    <x v="242"/>
    <x v="0"/>
    <n v="901843713"/>
    <x v="169"/>
    <s v="PJ"/>
    <m/>
    <n v="442500"/>
    <n v="84075"/>
    <n v="526575"/>
    <n v="526575"/>
    <n v="0"/>
    <n v="0"/>
    <n v="0"/>
    <n v="0"/>
    <n v="0"/>
    <m/>
    <n v="526575"/>
    <m/>
    <x v="6"/>
    <x v="5"/>
  </r>
  <r>
    <n v="623"/>
    <s v="P-1612"/>
    <x v="225"/>
    <s v="TIS-1580"/>
    <x v="242"/>
    <x v="0"/>
    <n v="901342609"/>
    <x v="116"/>
    <s v="PJ"/>
    <m/>
    <n v="250000"/>
    <n v="47500"/>
    <n v="297500"/>
    <n v="287500"/>
    <n v="-19915"/>
    <n v="10000"/>
    <n v="27500"/>
    <n v="2415"/>
    <n v="0"/>
    <m/>
    <n v="317415"/>
    <m/>
    <x v="6"/>
    <x v="5"/>
  </r>
  <r>
    <n v="624"/>
    <s v="P-1613"/>
    <x v="226"/>
    <s v="TIS-1594"/>
    <x v="243"/>
    <x v="0"/>
    <n v="901388588"/>
    <x v="178"/>
    <s v="PJ"/>
    <m/>
    <n v="3060000"/>
    <n v="581400"/>
    <n v="3641400"/>
    <n v="3278300"/>
    <n v="-3059.6000000000931"/>
    <n v="363100"/>
    <n v="336600"/>
    <n v="29559.600000000002"/>
    <n v="0"/>
    <m/>
    <n v="3644459.6"/>
    <m/>
    <x v="6"/>
    <x v="5"/>
  </r>
  <r>
    <n v="625"/>
    <s v="P-1614"/>
    <x v="226"/>
    <s v="TIS-1593"/>
    <x v="243"/>
    <x v="0"/>
    <s v="830.013.802-8"/>
    <x v="179"/>
    <s v="PJ"/>
    <m/>
    <n v="650000"/>
    <n v="123500"/>
    <n v="773500"/>
    <n v="707452"/>
    <n v="-11731"/>
    <n v="66048"/>
    <n v="71500"/>
    <n v="6279"/>
    <n v="0"/>
    <m/>
    <n v="785231"/>
    <m/>
    <x v="6"/>
    <x v="5"/>
  </r>
  <r>
    <n v="626"/>
    <s v="P-1027"/>
    <x v="227"/>
    <s v="TIS-1587"/>
    <x v="243"/>
    <x v="0"/>
    <n v="900728801"/>
    <x v="154"/>
    <s v="PJ"/>
    <m/>
    <n v="1730000"/>
    <n v="328700"/>
    <n v="2058700"/>
    <n v="1977563"/>
    <n v="-125874.79999999981"/>
    <n v="81137"/>
    <n v="190300"/>
    <n v="16711.8"/>
    <n v="0"/>
    <m/>
    <n v="2184574.7999999998"/>
    <m/>
    <x v="6"/>
    <x v="5"/>
  </r>
  <r>
    <n v="627"/>
    <s v="P-1028"/>
    <x v="227"/>
    <s v="TIS-1588"/>
    <x v="244"/>
    <x v="0"/>
    <n v="900693605"/>
    <x v="59"/>
    <s v="PJ"/>
    <m/>
    <n v="2800000"/>
    <n v="532000"/>
    <n v="3332000"/>
    <n v="1500000"/>
    <n v="1496952"/>
    <n v="1832000"/>
    <n v="308000"/>
    <n v="27048"/>
    <n v="0"/>
    <m/>
    <n v="1835048"/>
    <m/>
    <x v="6"/>
    <x v="5"/>
  </r>
  <r>
    <n v="628"/>
    <s v="P-1029"/>
    <x v="227"/>
    <s v="TIS-1589"/>
    <x v="244"/>
    <x v="0"/>
    <n v="900694193"/>
    <x v="127"/>
    <n v="0"/>
    <m/>
    <n v="1000000"/>
    <n v="190000"/>
    <n v="1190000"/>
    <n v="1150000"/>
    <n v="40000"/>
    <n v="40000"/>
    <n v="0"/>
    <n v="0"/>
    <n v="0"/>
    <m/>
    <n v="1150000"/>
    <m/>
    <x v="6"/>
    <x v="5"/>
  </r>
  <r>
    <n v="630"/>
    <s v="P-1031"/>
    <x v="227"/>
    <s v="TIS-1591"/>
    <x v="244"/>
    <x v="0"/>
    <n v="860057131"/>
    <x v="180"/>
    <s v="PJ"/>
    <m/>
    <n v="3150000"/>
    <n v="598500"/>
    <n v="3748500"/>
    <n v="3367224"/>
    <n v="4347"/>
    <n v="381276"/>
    <n v="346500"/>
    <n v="30429"/>
    <n v="0"/>
    <m/>
    <n v="3744153"/>
    <m/>
    <x v="6"/>
    <x v="5"/>
  </r>
  <r>
    <n v="631"/>
    <s v="P-1032"/>
    <x v="228"/>
    <s v="TIS-1596"/>
    <x v="245"/>
    <x v="0"/>
    <n v="800028768"/>
    <x v="13"/>
    <s v="PJ"/>
    <m/>
    <n v="360000"/>
    <n v="68400"/>
    <n v="428400"/>
    <n v="388800"/>
    <n v="-3477.5999999999767"/>
    <n v="39600"/>
    <n v="39600"/>
    <n v="3477.6"/>
    <n v="0"/>
    <m/>
    <n v="431877.6"/>
    <m/>
    <x v="6"/>
    <x v="6"/>
  </r>
  <r>
    <n v="632"/>
    <s v="P-1033"/>
    <x v="228"/>
    <s v="TIS-1597"/>
    <x v="246"/>
    <x v="0"/>
    <n v="830050882"/>
    <x v="155"/>
    <s v="PJ"/>
    <m/>
    <n v="900000"/>
    <n v="171000"/>
    <n v="1071000"/>
    <n v="1026306"/>
    <n v="-63000"/>
    <n v="44694"/>
    <n v="99000"/>
    <n v="8694"/>
    <n v="0"/>
    <m/>
    <n v="1134000"/>
    <m/>
    <x v="6"/>
    <x v="6"/>
  </r>
  <r>
    <n v="633"/>
    <s v="P-1034"/>
    <x v="228"/>
    <s v="TIS-1598"/>
    <x v="246"/>
    <x v="0"/>
    <n v="800028768"/>
    <x v="13"/>
    <s v="PJ"/>
    <m/>
    <n v="300000"/>
    <n v="57000"/>
    <n v="357000"/>
    <n v="324000"/>
    <n v="-2898"/>
    <n v="33000"/>
    <n v="33000"/>
    <n v="2898"/>
    <n v="0"/>
    <m/>
    <n v="359898"/>
    <m/>
    <x v="6"/>
    <x v="6"/>
  </r>
  <r>
    <n v="634"/>
    <s v="P-1035"/>
    <x v="228"/>
    <s v="TIS-1599"/>
    <x v="247"/>
    <x v="0"/>
    <n v="830013802"/>
    <x v="179"/>
    <s v="PJ"/>
    <m/>
    <n v="680000"/>
    <n v="129200"/>
    <n v="809200"/>
    <n v="809200"/>
    <n v="0"/>
    <n v="0"/>
    <n v="0"/>
    <n v="0"/>
    <n v="0"/>
    <m/>
    <n v="809200"/>
    <m/>
    <x v="6"/>
    <x v="6"/>
  </r>
  <r>
    <n v="635"/>
    <s v="P-1036"/>
    <x v="228"/>
    <s v="TIS-1595"/>
    <x v="248"/>
    <x v="0"/>
    <n v="830026324"/>
    <x v="181"/>
    <s v="PJ"/>
    <m/>
    <n v="4400000"/>
    <n v="836000"/>
    <n v="5236000"/>
    <n v="9427792"/>
    <n v="-4718296"/>
    <n v="-4191792"/>
    <n v="484000"/>
    <n v="42504"/>
    <n v="0"/>
    <m/>
    <n v="9954296"/>
    <m/>
    <x v="6"/>
    <x v="6"/>
  </r>
  <r>
    <n v="636"/>
    <s v="P-1027"/>
    <x v="229"/>
    <m/>
    <x v="243"/>
    <x v="0"/>
    <n v="860014787"/>
    <x v="126"/>
    <s v="PJ"/>
    <m/>
    <n v="1240000"/>
    <n v="235600"/>
    <n v="1475600"/>
    <n v="737800"/>
    <n v="0"/>
    <n v="737800"/>
    <n v="136400"/>
    <n v="11978.4"/>
    <n v="0"/>
    <m/>
    <n v="886178.4"/>
    <m/>
    <x v="6"/>
    <x v="6"/>
  </r>
  <r>
    <n v="637"/>
    <s v="P-1028"/>
    <x v="230"/>
    <s v="TIS-1560"/>
    <x v="249"/>
    <x v="0"/>
    <n v="901587426"/>
    <x v="136"/>
    <s v="PJ"/>
    <m/>
    <n v="2119000"/>
    <m/>
    <n v="2119000"/>
    <n v="0"/>
    <n v="2119000"/>
    <n v="2119000"/>
    <n v="233090"/>
    <n v="20469.54"/>
    <n v="0"/>
    <m/>
    <n v="0"/>
    <m/>
    <x v="6"/>
    <x v="6"/>
  </r>
  <r>
    <n v="638"/>
    <s v="P-1030"/>
    <x v="230"/>
    <s v="TIS-1601"/>
    <x v="250"/>
    <x v="0"/>
    <n v="901700940"/>
    <x v="160"/>
    <s v="PJ"/>
    <m/>
    <n v="300000"/>
    <n v="0"/>
    <n v="300000"/>
    <n v="0"/>
    <n v="300000"/>
    <n v="300000"/>
    <n v="33000"/>
    <n v="2898"/>
    <n v="0"/>
    <m/>
    <n v="0"/>
    <m/>
    <x v="7"/>
    <x v="6"/>
  </r>
  <r>
    <n v="639"/>
    <s v="P-1031"/>
    <x v="230"/>
    <s v="TIS-1602"/>
    <x v="250"/>
    <x v="0"/>
    <n v="901030518"/>
    <x v="32"/>
    <s v="PJ"/>
    <m/>
    <n v="480000"/>
    <n v="0"/>
    <n v="480000"/>
    <n v="0"/>
    <n v="480000"/>
    <n v="480000"/>
    <n v="52800"/>
    <n v="4636.8"/>
    <n v="0"/>
    <m/>
    <n v="0"/>
    <m/>
    <x v="7"/>
    <x v="6"/>
  </r>
  <r>
    <n v="640"/>
    <s v="P-1032"/>
    <x v="230"/>
    <s v="TIS-1603"/>
    <x v="250"/>
    <x v="0"/>
    <n v="901342609"/>
    <x v="116"/>
    <s v="PJ"/>
    <m/>
    <n v="250000"/>
    <n v="47500"/>
    <n v="297500"/>
    <n v="287500"/>
    <n v="-19915"/>
    <n v="10000"/>
    <n v="27500"/>
    <n v="2415"/>
    <n v="0"/>
    <m/>
    <n v="317415"/>
    <m/>
    <x v="7"/>
    <x v="6"/>
  </r>
  <r>
    <n v="641"/>
    <s v="P-1033"/>
    <x v="230"/>
    <s v="TIS-1604"/>
    <x v="250"/>
    <x v="0"/>
    <n v="900187738"/>
    <x v="167"/>
    <s v="PJ"/>
    <m/>
    <n v="1500000"/>
    <n v="285000"/>
    <n v="1785000"/>
    <n v="1723500"/>
    <n v="-117990"/>
    <n v="61500"/>
    <n v="165000"/>
    <n v="14490"/>
    <n v="0"/>
    <m/>
    <n v="1902990"/>
    <m/>
    <x v="7"/>
    <x v="6"/>
  </r>
  <r>
    <n v="642"/>
    <s v="P-1034"/>
    <x v="230"/>
    <s v="TIS-1605"/>
    <x v="250"/>
    <x v="0"/>
    <n v="900903463"/>
    <x v="170"/>
    <s v="PJ"/>
    <m/>
    <n v="934874"/>
    <n v="177626.06"/>
    <n v="1112500.06"/>
    <n v="1009663"/>
    <n v="-9029.9628399999347"/>
    <n v="102837.06000000006"/>
    <n v="102836.14"/>
    <n v="9030.8828400000002"/>
    <n v="0"/>
    <m/>
    <n v="1121530.02284"/>
    <m/>
    <x v="7"/>
    <x v="6"/>
  </r>
  <r>
    <n v="643"/>
    <s v="P-1035"/>
    <x v="231"/>
    <s v="TIS-1606"/>
    <x v="251"/>
    <x v="0"/>
    <n v="800028768"/>
    <x v="13"/>
    <s v="PJ"/>
    <m/>
    <n v="300000"/>
    <n v="57000"/>
    <n v="357000"/>
    <n v="0"/>
    <n v="357000"/>
    <n v="357000"/>
    <n v="33000"/>
    <n v="2898"/>
    <n v="0"/>
    <m/>
    <n v="0"/>
    <m/>
    <x v="7"/>
    <x v="6"/>
  </r>
  <r>
    <n v="644"/>
    <s v="P-1036"/>
    <x v="231"/>
    <s v="TIS-1607"/>
    <x v="251"/>
    <x v="0"/>
    <n v="901342609"/>
    <x v="116"/>
    <s v="PJ"/>
    <m/>
    <n v="300000"/>
    <n v="57000"/>
    <n v="357000"/>
    <n v="0"/>
    <n v="357000"/>
    <n v="357000"/>
    <n v="33000"/>
    <n v="2898"/>
    <n v="0"/>
    <m/>
    <n v="0"/>
    <m/>
    <x v="7"/>
    <x v="6"/>
  </r>
  <r>
    <n v="645"/>
    <s v="P-1037"/>
    <x v="231"/>
    <s v="TIS-1608"/>
    <x v="251"/>
    <x v="0"/>
    <n v="901030518"/>
    <x v="32"/>
    <s v="PJ"/>
    <m/>
    <n v="480000"/>
    <n v="0"/>
    <n v="480000"/>
    <n v="0"/>
    <n v="480000"/>
    <n v="480000"/>
    <n v="52800"/>
    <n v="4636.8"/>
    <n v="0"/>
    <m/>
    <n v="0"/>
    <m/>
    <x v="7"/>
    <x v="6"/>
  </r>
  <r>
    <n v="646"/>
    <s v="P-1038"/>
    <x v="231"/>
    <s v="TIS-1609"/>
    <x v="251"/>
    <x v="0"/>
    <n v="901700940"/>
    <x v="160"/>
    <s v="PJ"/>
    <m/>
    <n v="300000"/>
    <n v="0"/>
    <n v="300000"/>
    <n v="0"/>
    <n v="300000"/>
    <n v="300000"/>
    <n v="33000"/>
    <n v="2898"/>
    <n v="0"/>
    <m/>
    <n v="0"/>
    <m/>
    <x v="7"/>
    <x v="6"/>
  </r>
  <r>
    <n v="647"/>
    <s v="P-1039"/>
    <x v="231"/>
    <s v="TIS-1610"/>
    <x v="251"/>
    <x v="0"/>
    <n v="900187738"/>
    <x v="167"/>
    <s v="PJ"/>
    <m/>
    <n v="1500000"/>
    <n v="285000"/>
    <n v="1785000"/>
    <n v="1723500"/>
    <n v="-117990"/>
    <n v="61500"/>
    <n v="165000"/>
    <n v="14490"/>
    <n v="0"/>
    <m/>
    <n v="1902990"/>
    <m/>
    <x v="7"/>
    <x v="6"/>
  </r>
  <r>
    <n v="648"/>
    <s v="P-1040"/>
    <x v="231"/>
    <s v="TIS-1611"/>
    <x v="251"/>
    <x v="0"/>
    <n v="900903463"/>
    <x v="170"/>
    <s v="PJ"/>
    <m/>
    <n v="934874"/>
    <n v="177626.06"/>
    <n v="1112500.06"/>
    <n v="1009663"/>
    <n v="-9029.9628399999347"/>
    <n v="102837.06000000006"/>
    <n v="102836.14"/>
    <n v="9030.8828400000002"/>
    <n v="0"/>
    <m/>
    <n v="1121530.02284"/>
    <m/>
    <x v="7"/>
    <x v="6"/>
  </r>
  <r>
    <n v="649"/>
    <s v="P-1041"/>
    <x v="231"/>
    <s v="TIS-1612"/>
    <x v="251"/>
    <x v="0"/>
    <n v="900505660"/>
    <x v="114"/>
    <s v="PJ"/>
    <m/>
    <n v="300000"/>
    <n v="57000"/>
    <n v="357000"/>
    <n v="324000"/>
    <n v="-2898"/>
    <n v="33000"/>
    <n v="33000"/>
    <n v="2898"/>
    <n v="0"/>
    <m/>
    <n v="359898"/>
    <m/>
    <x v="7"/>
    <x v="6"/>
  </r>
  <r>
    <n v="650"/>
    <s v="P-1042"/>
    <x v="231"/>
    <s v="TIS-1613"/>
    <x v="251"/>
    <x v="0"/>
    <n v="900133423"/>
    <x v="133"/>
    <s v="PJ"/>
    <m/>
    <n v="600000"/>
    <n v="114000"/>
    <n v="714000"/>
    <n v="0"/>
    <n v="714000"/>
    <n v="714000"/>
    <n v="66000"/>
    <n v="5796"/>
    <n v="0"/>
    <m/>
    <n v="0"/>
    <m/>
    <x v="7"/>
    <x v="6"/>
  </r>
  <r>
    <n v="651"/>
    <s v="P-1043"/>
    <x v="231"/>
    <s v="TIS-1614"/>
    <x v="251"/>
    <x v="0"/>
    <n v="830103479"/>
    <x v="161"/>
    <s v="PJ"/>
    <m/>
    <n v="600000"/>
    <n v="114000"/>
    <n v="714000"/>
    <n v="0"/>
    <n v="714000"/>
    <n v="714000"/>
    <n v="66000"/>
    <n v="5796"/>
    <n v="0"/>
    <m/>
    <n v="0"/>
    <m/>
    <x v="7"/>
    <x v="6"/>
  </r>
  <r>
    <n v="652"/>
    <s v="P-1044"/>
    <x v="231"/>
    <s v="TIS-1615"/>
    <x v="251"/>
    <x v="0"/>
    <n v="901151199"/>
    <x v="182"/>
    <s v="PJ"/>
    <m/>
    <n v="1800000"/>
    <n v="342000"/>
    <n v="2142000"/>
    <n v="2052612"/>
    <n v="-126000"/>
    <n v="89388"/>
    <n v="198000"/>
    <n v="17388"/>
    <n v="0"/>
    <m/>
    <n v="2268000"/>
    <m/>
    <x v="7"/>
    <x v="6"/>
  </r>
  <r>
    <n v="653"/>
    <s v="P-1045"/>
    <x v="232"/>
    <s v="TIS-1616"/>
    <x v="252"/>
    <x v="0"/>
    <n v="4446779"/>
    <x v="140"/>
    <s v="PN"/>
    <m/>
    <n v="5600000"/>
    <n v="1064000"/>
    <n v="6664000"/>
    <n v="6664000"/>
    <n v="0"/>
    <n v="0"/>
    <n v="0"/>
    <n v="0"/>
    <n v="0"/>
    <m/>
    <n v="6664000"/>
    <m/>
    <x v="7"/>
    <x v="6"/>
  </r>
  <r>
    <n v="654"/>
    <s v="P-1046"/>
    <x v="232"/>
    <s v="TIS-1617"/>
    <x v="252"/>
    <x v="0"/>
    <n v="830057687"/>
    <x v="94"/>
    <s v="PJ"/>
    <m/>
    <n v="4890000"/>
    <n v="929100"/>
    <n v="5819100"/>
    <n v="324000"/>
    <n v="4909962.5999999996"/>
    <n v="5495100"/>
    <n v="537900"/>
    <n v="47237.4"/>
    <n v="0"/>
    <m/>
    <n v="909137.4"/>
    <m/>
    <x v="7"/>
    <x v="6"/>
  </r>
  <r>
    <n v="655"/>
    <s v="P-1047"/>
    <x v="233"/>
    <s v="TIS-1618"/>
    <x v="253"/>
    <x v="0"/>
    <n v="830103479"/>
    <x v="161"/>
    <s v="PJ"/>
    <m/>
    <n v="2000000"/>
    <n v="0"/>
    <n v="2000000"/>
    <n v="0"/>
    <n v="2000000"/>
    <n v="2000000"/>
    <n v="220000"/>
    <n v="19320"/>
    <n v="0"/>
    <m/>
    <n v="0"/>
    <m/>
    <x v="7"/>
    <x v="6"/>
  </r>
  <r>
    <n v="656"/>
    <s v="P-1048"/>
    <x v="234"/>
    <s v="NCTS100"/>
    <x v="253"/>
    <x v="0"/>
    <n v="830103479"/>
    <x v="161"/>
    <s v="PJ"/>
    <m/>
    <n v="-2000000"/>
    <n v="0"/>
    <n v="-2000000"/>
    <n v="0"/>
    <n v="0"/>
    <n v="-2000000"/>
    <n v="-220000"/>
    <n v="-19320"/>
    <n v="0"/>
    <m/>
    <n v="0"/>
    <m/>
    <x v="7"/>
    <x v="6"/>
  </r>
  <r>
    <n v="657"/>
    <s v="P-1049"/>
    <x v="234"/>
    <s v="TIS-1619"/>
    <x v="254"/>
    <x v="0"/>
    <n v="900705806"/>
    <x v="183"/>
    <s v="PJ"/>
    <m/>
    <n v="700000"/>
    <n v="133000"/>
    <n v="833000"/>
    <n v="798938"/>
    <n v="-49700"/>
    <n v="34062"/>
    <n v="77000"/>
    <n v="6762"/>
    <n v="0"/>
    <m/>
    <n v="882700"/>
    <m/>
    <x v="7"/>
    <x v="6"/>
  </r>
  <r>
    <n v="658"/>
    <s v="P-1050"/>
    <x v="235"/>
    <s v="TIS-1628"/>
    <x v="255"/>
    <x v="0"/>
    <n v="860065036"/>
    <x v="184"/>
    <s v="PJ"/>
    <m/>
    <n v="1300000"/>
    <n v="247000"/>
    <n v="1547000"/>
    <n v="1482442"/>
    <n v="-91000"/>
    <n v="64558"/>
    <n v="143000"/>
    <n v="12558"/>
    <n v="0"/>
    <m/>
    <n v="1638000"/>
    <m/>
    <x v="7"/>
    <x v="6"/>
  </r>
  <r>
    <n v="659"/>
    <s v="P-1051"/>
    <x v="235"/>
    <s v="TIS-1629"/>
    <x v="255"/>
    <x v="0"/>
    <n v="901940570"/>
    <x v="185"/>
    <s v="PJ"/>
    <m/>
    <n v="20400000"/>
    <n v="3876000"/>
    <n v="24276000"/>
    <n v="0"/>
    <n v="24276000"/>
    <n v="24276000"/>
    <n v="2244000"/>
    <n v="197064"/>
    <n v="0"/>
    <m/>
    <n v="0"/>
    <m/>
    <x v="7"/>
    <x v="6"/>
  </r>
  <r>
    <n v="660"/>
    <s v="P-1052"/>
    <x v="236"/>
    <s v="TIS-1620"/>
    <x v="256"/>
    <x v="0"/>
    <n v="800028768"/>
    <x v="13"/>
    <s v="PJ"/>
    <m/>
    <n v="300000"/>
    <n v="57000"/>
    <n v="357000"/>
    <n v="0"/>
    <n v="357000"/>
    <n v="357000"/>
    <n v="33000"/>
    <n v="2898"/>
    <n v="0"/>
    <m/>
    <n v="0"/>
    <m/>
    <x v="7"/>
    <x v="6"/>
  </r>
  <r>
    <n v="661"/>
    <s v="P-1053"/>
    <x v="236"/>
    <s v="TIS-1621"/>
    <x v="256"/>
    <x v="0"/>
    <n v="800028768"/>
    <x v="114"/>
    <s v="PJ"/>
    <m/>
    <n v="300000"/>
    <n v="57000"/>
    <n v="357000"/>
    <n v="0"/>
    <n v="357000"/>
    <n v="357000"/>
    <n v="33000"/>
    <n v="2898"/>
    <n v="0"/>
    <m/>
    <n v="0"/>
    <m/>
    <x v="7"/>
    <x v="6"/>
  </r>
  <r>
    <n v="662"/>
    <s v="P-1054"/>
    <x v="236"/>
    <s v="TIS-1622"/>
    <x v="256"/>
    <x v="0"/>
    <n v="901342609"/>
    <x v="116"/>
    <s v="PJ"/>
    <m/>
    <n v="300000"/>
    <n v="57000"/>
    <n v="357000"/>
    <n v="0"/>
    <n v="357000"/>
    <n v="357000"/>
    <n v="33000"/>
    <n v="2898"/>
    <n v="0"/>
    <m/>
    <n v="0"/>
    <m/>
    <x v="7"/>
    <x v="6"/>
  </r>
  <r>
    <n v="663"/>
    <s v="P-1055"/>
    <x v="236"/>
    <s v="TIS-1623"/>
    <x v="256"/>
    <x v="0"/>
    <n v="901700940"/>
    <x v="160"/>
    <s v="PJ"/>
    <m/>
    <n v="300000"/>
    <n v="0"/>
    <n v="300000"/>
    <n v="0"/>
    <n v="300000"/>
    <n v="300000"/>
    <n v="33000"/>
    <n v="2898"/>
    <n v="0"/>
    <m/>
    <n v="0"/>
    <m/>
    <x v="7"/>
    <x v="6"/>
  </r>
  <r>
    <n v="664"/>
    <s v="P-1056"/>
    <x v="236"/>
    <s v="TIS-1624"/>
    <x v="256"/>
    <x v="0"/>
    <n v="901030518"/>
    <x v="32"/>
    <s v="PJ"/>
    <m/>
    <n v="480000"/>
    <n v="0"/>
    <n v="480000"/>
    <n v="0"/>
    <n v="480000"/>
    <n v="480000"/>
    <n v="52800"/>
    <n v="4636.8"/>
    <n v="0"/>
    <m/>
    <n v="0"/>
    <m/>
    <x v="7"/>
    <x v="6"/>
  </r>
  <r>
    <n v="665"/>
    <s v="P-1057"/>
    <x v="236"/>
    <s v="TIS-1625"/>
    <x v="256"/>
    <x v="0"/>
    <n v="900903463"/>
    <x v="170"/>
    <s v="PJ"/>
    <m/>
    <n v="1000000"/>
    <n v="190000"/>
    <n v="1190000"/>
    <n v="0"/>
    <n v="1190000"/>
    <n v="1190000"/>
    <n v="110000"/>
    <n v="9660"/>
    <n v="0"/>
    <m/>
    <n v="0"/>
    <m/>
    <x v="7"/>
    <x v="6"/>
  </r>
  <r>
    <n v="666"/>
    <s v="P-1058"/>
    <x v="236"/>
    <s v="TIS-1626"/>
    <x v="256"/>
    <x v="0"/>
    <n v="900187738"/>
    <x v="167"/>
    <s v="PJ"/>
    <m/>
    <n v="1000000"/>
    <n v="190000"/>
    <n v="1190000"/>
    <n v="0"/>
    <n v="1190000"/>
    <n v="1190000"/>
    <n v="110000"/>
    <n v="9660"/>
    <n v="0"/>
    <m/>
    <n v="0"/>
    <m/>
    <x v="7"/>
    <x v="6"/>
  </r>
  <r>
    <n v="667"/>
    <s v="P-1059"/>
    <x v="236"/>
    <s v="TIS-1627"/>
    <x v="256"/>
    <x v="0"/>
    <n v="901587426"/>
    <x v="136"/>
    <s v="PJ"/>
    <m/>
    <n v="1730500"/>
    <n v="0"/>
    <n v="1730500"/>
    <n v="0"/>
    <n v="1730500"/>
    <n v="1730500"/>
    <n v="190355"/>
    <n v="16716.63"/>
    <n v="0"/>
    <m/>
    <n v="0"/>
    <m/>
    <x v="7"/>
    <x v="6"/>
  </r>
  <r>
    <n v="668"/>
    <s v="P-1060"/>
    <x v="236"/>
    <s v="TIS-1566"/>
    <x v="236"/>
    <x v="0"/>
    <n v="800028768"/>
    <x v="13"/>
    <s v="PJ"/>
    <m/>
    <n v="300000"/>
    <n v="57000"/>
    <n v="357000"/>
    <n v="324000"/>
    <n v="-2898"/>
    <n v="33000"/>
    <n v="33000"/>
    <n v="2898"/>
    <n v="0"/>
    <m/>
    <n v="359898"/>
    <m/>
    <x v="6"/>
    <x v="6"/>
  </r>
  <r>
    <n v="669"/>
    <s v="P-1390"/>
    <x v="166"/>
    <s v="TIS-1378"/>
    <x v="170"/>
    <x v="0"/>
    <n v="901587426"/>
    <x v="136"/>
    <s v="PJ"/>
    <m/>
    <s v=" $           175.000"/>
    <s v=" $            33.250"/>
    <s v=" $            208.250"/>
    <s v=" $            565.250"/>
    <s v=" $            -377.941"/>
    <s v=" $          -357.000"/>
    <s v=" $          19.250"/>
    <s v=" $            1.691"/>
    <s v=" $                 -  "/>
    <e v="#VALUE!"/>
    <s v=" $            586.191"/>
    <m/>
    <x v="5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2">
  <r>
    <n v="110"/>
    <x v="0"/>
    <n v="1713600"/>
    <s v="P-1098"/>
    <s v="TIS-1098"/>
    <s v="MASTERLINE COLOMBIA SOCIEDAD POR ACCIONES SIMPLIFICADA"/>
    <m/>
    <x v="0"/>
  </r>
  <r>
    <n v="70"/>
    <x v="1"/>
    <n v="666400"/>
    <s v="P-1058"/>
    <s v="T-147"/>
    <s v="Arrigui Asociados SAS"/>
    <m/>
    <x v="0"/>
  </r>
  <r>
    <n v="16"/>
    <x v="2"/>
    <n v="2000000"/>
    <s v="P-1018"/>
    <s v="TIS-1012"/>
    <s v="INDU B SAS"/>
    <m/>
    <x v="1"/>
  </r>
  <r>
    <n v="26"/>
    <x v="3"/>
    <n v="1197579"/>
    <s v="P-1023"/>
    <s v="TIS-1006"/>
    <s v="ASEO MOVIL URBANO SAS"/>
    <m/>
    <x v="1"/>
  </r>
  <r>
    <n v="4"/>
    <x v="4"/>
    <n v="321300"/>
    <s v="TIS-1007"/>
    <s v="TIS-1008"/>
    <s v="Constructora Conconcreto S.A."/>
    <m/>
    <x v="1"/>
  </r>
  <r>
    <n v="1"/>
    <x v="5"/>
    <n v="285600"/>
    <s v="TIS-1008"/>
    <s v="TIS-1010"/>
    <s v="Soluciones Avanzadas de Ingeniería SAS"/>
    <m/>
    <x v="1"/>
  </r>
  <r>
    <n v="5"/>
    <x v="6"/>
    <n v="750000"/>
    <s v="TIS-1009"/>
    <s v="TIS-1024"/>
    <s v="Diana Sirley Torres Escalona"/>
    <m/>
    <x v="1"/>
  </r>
  <r>
    <n v="6"/>
    <x v="6"/>
    <n v="935100"/>
    <s v="TIS-1011"/>
    <s v="TIS-1009"/>
    <s v="William Hurtado"/>
    <m/>
    <x v="1"/>
  </r>
  <r>
    <n v="1"/>
    <x v="7"/>
    <n v="228163"/>
    <s v="TIS-1008"/>
    <s v="TIS-1010"/>
    <s v="Soluciones Avanzadas de Ingeniería SAS"/>
    <m/>
    <x v="1"/>
  </r>
  <r>
    <n v="7"/>
    <x v="7"/>
    <n v="338027"/>
    <s v="TIS-1012"/>
    <s v="TIS-1016"/>
    <s v="Consorcio Sistem IM3"/>
    <m/>
    <x v="1"/>
  </r>
  <r>
    <n v="8"/>
    <x v="8"/>
    <n v="250000"/>
    <s v="TIS-1013"/>
    <s v="TIS-1013"/>
    <s v="ANKER CONSULTORIA Y CONSTRUCCION S A S"/>
    <m/>
    <x v="1"/>
  </r>
  <r>
    <n v="9"/>
    <x v="9"/>
    <n v="330848"/>
    <s v="P-1019"/>
    <s v="TIS-1011"/>
    <s v="CONSTRUCCIONES Y SERVICIOS HERMAQUINAS LTDA"/>
    <m/>
    <x v="1"/>
  </r>
  <r>
    <n v="9"/>
    <x v="10"/>
    <n v="162400"/>
    <s v="P-1019"/>
    <s v="TIS-1011"/>
    <s v="CONSTRUCCIONES Y SERVICIOS HERMAQUINAS LTDA"/>
    <m/>
    <x v="1"/>
  </r>
  <r>
    <n v="11"/>
    <x v="11"/>
    <n v="196350"/>
    <s v="TIS-1015"/>
    <s v="TIS-1018"/>
    <s v="CONSTRUCCIONES MONTAJES Y PARTES Electricas SAS"/>
    <m/>
    <x v="1"/>
  </r>
  <r>
    <n v="12"/>
    <x v="11"/>
    <n v="0"/>
    <n v="0"/>
    <s v="NC2"/>
    <s v="INDU B SAS"/>
    <m/>
    <x v="1"/>
  </r>
  <r>
    <n v="10"/>
    <x v="12"/>
    <n v="1400000"/>
    <s v="TIS-1014"/>
    <s v="TIS-1019"/>
    <s v="CORPORACION CLUB PAYANDÉ"/>
    <m/>
    <x v="1"/>
  </r>
  <r>
    <n v="13"/>
    <x v="12"/>
    <n v="343392"/>
    <s v="TIS-1016"/>
    <s v="TIS-1014"/>
    <s v="EUROMETRIC COLOMBIA LTDA "/>
    <m/>
    <x v="1"/>
  </r>
  <r>
    <n v="11"/>
    <x v="13"/>
    <n v="157773"/>
    <s v="TIS-1015"/>
    <s v="TIS-1018"/>
    <s v="CONSTRUCCIONES MONTAJES Y PARTES Electricas SAS"/>
    <m/>
    <x v="1"/>
  </r>
  <r>
    <n v="24"/>
    <x v="14"/>
    <n v="595000"/>
    <s v="P-1022"/>
    <s v="Tis-1056"/>
    <s v="ww pack SAS"/>
    <m/>
    <x v="1"/>
  </r>
  <r>
    <n v="14"/>
    <x v="15"/>
    <n v="1650000"/>
    <s v="TIS-1017"/>
    <s v="Tis-1020"/>
    <s v="Grupo consultor Andino "/>
    <m/>
    <x v="1"/>
  </r>
  <r>
    <n v="18"/>
    <x v="16"/>
    <n v="0"/>
    <n v="0"/>
    <s v="NC3"/>
    <s v="INDU B SAS"/>
    <m/>
    <x v="1"/>
  </r>
  <r>
    <n v="15"/>
    <x v="17"/>
    <n v="400000"/>
    <s v="TIS-1018"/>
    <n v="0"/>
    <s v="Claudia Vargas"/>
    <m/>
    <x v="1"/>
  </r>
  <r>
    <n v="15"/>
    <x v="18"/>
    <n v="200000"/>
    <s v="TIS-1018"/>
    <n v="0"/>
    <s v="Claudia Vargas"/>
    <m/>
    <x v="1"/>
  </r>
  <r>
    <n v="20"/>
    <x v="19"/>
    <n v="900000"/>
    <s v="P-1016"/>
    <s v="TIS-1017"/>
    <s v="Maria del Pilar Alvarado Joya"/>
    <m/>
    <x v="1"/>
  </r>
  <r>
    <n v="16"/>
    <x v="20"/>
    <n v="1777312"/>
    <s v="P-1018"/>
    <s v="TIS-1012"/>
    <s v="INDU B SAS"/>
    <m/>
    <x v="1"/>
  </r>
  <r>
    <n v="8"/>
    <x v="21"/>
    <n v="302223"/>
    <s v="TIS-1013"/>
    <s v="TIS-1013"/>
    <s v="ANKER CONSULTORIA Y CONSTRUCCION S A S"/>
    <m/>
    <x v="1"/>
  </r>
  <r>
    <n v="19"/>
    <x v="21"/>
    <n v="299357"/>
    <s v="TIS-1019"/>
    <s v="TIS-1022"/>
    <s v="Consorcio Sistem IM3"/>
    <m/>
    <x v="1"/>
  </r>
  <r>
    <n v="10"/>
    <x v="22"/>
    <n v="1294117"/>
    <s v="TIS-1014"/>
    <s v="TIS-1019"/>
    <s v="CORPORACION CLUB PAYANDÉ"/>
    <m/>
    <x v="1"/>
  </r>
  <r>
    <n v="37"/>
    <x v="22"/>
    <n v="230000"/>
    <s v="P-1039"/>
    <s v="Tis-1042"/>
    <s v="Comercializadora ERZ SAS"/>
    <m/>
    <x v="1"/>
  </r>
  <r>
    <n v="17"/>
    <x v="23"/>
    <n v="502964"/>
    <s v="P-1017"/>
    <s v="TIS-1015"/>
    <s v="Comercializadora ERZ SAS"/>
    <m/>
    <x v="1"/>
  </r>
  <r>
    <n v="22"/>
    <x v="24"/>
    <n v="499800"/>
    <s v="P-1020"/>
    <s v="TIS-1026"/>
    <s v="IPROMEGA S.A.S."/>
    <m/>
    <x v="1"/>
  </r>
  <r>
    <n v="7"/>
    <x v="25"/>
    <n v="-52909.599999999999"/>
    <s v="TIS-1012"/>
    <s v="TIS-1016"/>
    <s v="Consorcio Sistem IM3"/>
    <s v="Reintegro"/>
    <x v="1"/>
  </r>
  <r>
    <n v="27"/>
    <x v="26"/>
    <n v="809200"/>
    <s v="P-1024"/>
    <s v="TIS-1025"/>
    <s v="SOFTESTING SAS "/>
    <m/>
    <x v="1"/>
  </r>
  <r>
    <n v="5"/>
    <x v="27"/>
    <n v="750000"/>
    <s v="TIS-1009"/>
    <s v="TIS-1024"/>
    <s v="Diana Sirley Torres Escalona"/>
    <m/>
    <x v="1"/>
  </r>
  <r>
    <n v="19"/>
    <x v="27"/>
    <n v="0"/>
    <s v="TIS-1019"/>
    <s v="TIS-1022"/>
    <s v="Consorcio Sistem IM3"/>
    <m/>
    <x v="1"/>
  </r>
  <r>
    <n v="29"/>
    <x v="28"/>
    <n v="620000"/>
    <s v="P-1043"/>
    <s v="Tis-1052"/>
    <s v="SOLDMANT LTDA"/>
    <m/>
    <x v="1"/>
  </r>
  <r>
    <n v="14"/>
    <x v="29"/>
    <n v="835000"/>
    <s v="TIS-1017"/>
    <s v="Tis-1020"/>
    <s v="Grupo consultor Andino "/>
    <m/>
    <x v="1"/>
  </r>
  <r>
    <n v="23"/>
    <x v="30"/>
    <n v="900000"/>
    <s v="P-1021"/>
    <s v="Tis-1030"/>
    <s v="Maria del Pilar Alvarado Joya"/>
    <m/>
    <x v="1"/>
  </r>
  <r>
    <n v="32"/>
    <x v="30"/>
    <n v="289737"/>
    <s v="P-1025"/>
    <s v="TIS-1029"/>
    <s v="EUROMETRIC COLOMBIA LTDA "/>
    <m/>
    <x v="1"/>
  </r>
  <r>
    <n v="35"/>
    <x v="31"/>
    <n v="2366595"/>
    <s v="P-1028"/>
    <s v="TIS-1037"/>
    <s v="INVERSIONES FRANQUIHER S A S"/>
    <m/>
    <x v="1"/>
  </r>
  <r>
    <n v="48"/>
    <x v="31"/>
    <n v="1041250"/>
    <s v="P-1028"/>
    <s v="TIS-1038"/>
    <s v="H &amp; S FRANQUICIAS SAS"/>
    <m/>
    <x v="1"/>
  </r>
  <r>
    <n v="33"/>
    <x v="32"/>
    <n v="600000"/>
    <s v="P-1026"/>
    <s v="TIS-1051"/>
    <s v="Yuri Katerine Moya Castañeda"/>
    <m/>
    <x v="1"/>
  </r>
  <r>
    <n v="39"/>
    <x v="33"/>
    <n v="737305"/>
    <s v="P-1031"/>
    <s v="Tis-1061"/>
    <s v="SBS SEGUROS COLOMBIA S A "/>
    <m/>
    <x v="1"/>
  </r>
  <r>
    <n v="37"/>
    <x v="34"/>
    <n v="294556"/>
    <s v="P-1039"/>
    <s v="Tis-1042"/>
    <s v="Comercializadora ERZ SAS"/>
    <m/>
    <x v="1"/>
  </r>
  <r>
    <n v="38"/>
    <x v="35"/>
    <n v="280000"/>
    <s v="P-1058"/>
    <s v="Tis-1060"/>
    <s v="Ladrillos Ochoa Limitada"/>
    <m/>
    <x v="1"/>
  </r>
  <r>
    <n v="40"/>
    <x v="36"/>
    <n v="357000"/>
    <s v="P-1033"/>
    <s v="Tis-1043"/>
    <s v="EZGO S A"/>
    <m/>
    <x v="1"/>
  </r>
  <r>
    <n v="30"/>
    <x v="37"/>
    <n v="119421"/>
    <s v="P-1014"/>
    <s v="TIS-1027"/>
    <s v="Constructora Conconcreto S.A."/>
    <m/>
    <x v="1"/>
  </r>
  <r>
    <n v="31"/>
    <x v="37"/>
    <n v="5031075"/>
    <s v="P-1013"/>
    <s v="TIS-1028"/>
    <s v="Coljuegos"/>
    <m/>
    <x v="1"/>
  </r>
  <r>
    <n v="41"/>
    <x v="38"/>
    <n v="900000"/>
    <s v="P-1032"/>
    <s v="TIS-1033"/>
    <s v="Maria del Pilar Alvarado Joya"/>
    <m/>
    <x v="1"/>
  </r>
  <r>
    <n v="42"/>
    <x v="39"/>
    <n v="3292719"/>
    <s v="P-1024"/>
    <s v="TIS-1032"/>
    <s v="Pro service Call center"/>
    <m/>
    <x v="1"/>
  </r>
  <r>
    <n v="43"/>
    <x v="40"/>
    <n v="432000"/>
    <s v="P-1034"/>
    <s v="TIS-1035"/>
    <s v="Organizaciones Oliver SAS"/>
    <m/>
    <x v="1"/>
  </r>
  <r>
    <n v="35"/>
    <x v="41"/>
    <n v="2945250"/>
    <s v="P-1028"/>
    <s v="TIS-1037"/>
    <s v="INVERSIONES FRANQUIHER S A S"/>
    <m/>
    <x v="1"/>
  </r>
  <r>
    <n v="48"/>
    <x v="41"/>
    <n v="461090"/>
    <s v="P-1028"/>
    <s v="TIS-1038"/>
    <s v="H &amp; S FRANQUICIAS SAS"/>
    <m/>
    <x v="1"/>
  </r>
  <r>
    <n v="70"/>
    <x v="41"/>
    <n v="599858"/>
    <s v="P-1058"/>
    <s v="T-147"/>
    <s v="Arrigui Asociados SAS"/>
    <m/>
    <x v="1"/>
  </r>
  <r>
    <n v="44"/>
    <x v="42"/>
    <n v="226181"/>
    <s v="P-1011"/>
    <s v="TIS-1034"/>
    <s v="BIOMETROMED SAS"/>
    <m/>
    <x v="1"/>
  </r>
  <r>
    <n v="25"/>
    <x v="43"/>
    <n v="251462"/>
    <s v="P-1015"/>
    <s v="Tis-1021"/>
    <s v="Comercializadora ERZ SAS"/>
    <m/>
    <x v="1"/>
  </r>
  <r>
    <n v="36"/>
    <x v="43"/>
    <n v="502984"/>
    <s v="P-1029"/>
    <s v="Tis-1040"/>
    <s v="Comercializadora ERZ SAS"/>
    <m/>
    <x v="1"/>
  </r>
  <r>
    <n v="46"/>
    <x v="43"/>
    <n v="385560"/>
    <s v="P-1036"/>
    <s v="Tis-1084"/>
    <s v="Antonio Cely SAS"/>
    <m/>
    <x v="1"/>
  </r>
  <r>
    <n v="49"/>
    <x v="44"/>
    <n v="446250"/>
    <s v="P-1038"/>
    <s v="Tis-1050"/>
    <s v="HACIK SOLUCIONES INTEGRALES DE INGENIERIA SAS"/>
    <m/>
    <x v="1"/>
  </r>
  <r>
    <n v="51"/>
    <x v="45"/>
    <n v="900000"/>
    <s v="P-1040"/>
    <s v="Tis-1041"/>
    <s v="Maria del Pilar Alvarado Joya"/>
    <m/>
    <x v="1"/>
  </r>
  <r>
    <n v="53"/>
    <x v="46"/>
    <n v="1450000"/>
    <s v="P-1041"/>
    <s v="Tis-1044"/>
    <s v="NAVAR SOLUCIONES S.A.S"/>
    <m/>
    <x v="1"/>
  </r>
  <r>
    <n v="54"/>
    <x v="47"/>
    <n v="1560090"/>
    <s v="P-1042"/>
    <s v="Tis-1045"/>
    <s v="NAVAR CATERING SERVICES S.A.S ZOMAC"/>
    <m/>
    <x v="1"/>
  </r>
  <r>
    <n v="55"/>
    <x v="48"/>
    <n v="339150"/>
    <e v="#N/A"/>
    <e v="#N/A"/>
    <e v="#N/A"/>
    <m/>
    <x v="1"/>
  </r>
  <r>
    <n v="58"/>
    <x v="48"/>
    <n v="891000"/>
    <s v="P-1046"/>
    <s v="Tis-1055"/>
    <s v="Procesos 2000 S.A.S."/>
    <m/>
    <x v="1"/>
  </r>
  <r>
    <n v="62"/>
    <x v="48"/>
    <n v="468809"/>
    <s v="P-1050"/>
    <s v="Tis-1066"/>
    <s v="BETA LOGISTIC SERVICES SAS"/>
    <m/>
    <x v="1"/>
  </r>
  <r>
    <n v="34"/>
    <x v="49"/>
    <n v="935079"/>
    <s v="P-1027"/>
    <s v="TIS-1036"/>
    <s v="CONSTRUCTORA DE MARCAS S. A. S. "/>
    <m/>
    <x v="1"/>
  </r>
  <r>
    <n v="59"/>
    <x v="49"/>
    <n v="486115"/>
    <s v="P-1047"/>
    <s v="Tis-1046"/>
    <s v="EVAL.COM CONSULTING SAS"/>
    <m/>
    <x v="1"/>
  </r>
  <r>
    <n v="47"/>
    <x v="50"/>
    <n v="1320000"/>
    <s v="P-1037"/>
    <s v="Tis-1053"/>
    <s v="Inversiones Sajamib SAS"/>
    <m/>
    <x v="1"/>
  </r>
  <r>
    <n v="55"/>
    <x v="51"/>
    <n v="203490"/>
    <e v="#N/A"/>
    <e v="#N/A"/>
    <e v="#N/A"/>
    <m/>
    <x v="1"/>
  </r>
  <r>
    <n v="54"/>
    <x v="52"/>
    <n v="331000"/>
    <s v="P-1042"/>
    <s v="Tis-1045"/>
    <s v="NAVAR CATERING SERVICES S.A.S ZOMAC"/>
    <m/>
    <x v="1"/>
  </r>
  <r>
    <n v="54"/>
    <x v="53"/>
    <n v="979860"/>
    <s v="P-1042"/>
    <s v="Tis-1045"/>
    <s v="NAVAR CATERING SERVICES S.A.S ZOMAC"/>
    <m/>
    <x v="1"/>
  </r>
  <r>
    <n v="55"/>
    <x v="54"/>
    <n v="135660"/>
    <e v="#N/A"/>
    <e v="#N/A"/>
    <e v="#N/A"/>
    <m/>
    <x v="1"/>
  </r>
  <r>
    <n v="33"/>
    <x v="55"/>
    <n v="600000"/>
    <s v="P-1026"/>
    <s v="TIS-1051"/>
    <s v="Yuri Katerine Moya Castañeda"/>
    <s v="Efectivo"/>
    <x v="1"/>
  </r>
  <r>
    <n v="40"/>
    <x v="55"/>
    <n v="384221"/>
    <s v="P-1033"/>
    <s v="Tis-1043"/>
    <s v="EZGO S A"/>
    <m/>
    <x v="1"/>
  </r>
  <r>
    <n v="57"/>
    <x v="55"/>
    <n v="678500"/>
    <s v="P-1045"/>
    <s v="TIS-1048"/>
    <s v="FUNDACION FERNANDO BORRERO CAICEDO"/>
    <m/>
    <x v="1"/>
  </r>
  <r>
    <n v="45"/>
    <x v="56"/>
    <n v="150000"/>
    <s v="P-1035"/>
    <s v="TIS-1062"/>
    <s v="HILVERDAFLORIST COLOMBIA S.A.S"/>
    <m/>
    <x v="1"/>
  </r>
  <r>
    <n v="58"/>
    <x v="57"/>
    <n v="843480"/>
    <s v="P-1046"/>
    <s v="Tis-1055"/>
    <s v="Procesos 2000 S.A.S."/>
    <m/>
    <x v="1"/>
  </r>
  <r>
    <n v="49"/>
    <x v="58"/>
    <n v="411076"/>
    <s v="P-1038"/>
    <s v="Tis-1050"/>
    <s v="HACIK SOLUCIONES INTEGRALES DE INGENIERIA SAS"/>
    <m/>
    <x v="1"/>
  </r>
  <r>
    <n v="60"/>
    <x v="58"/>
    <n v="900000"/>
    <s v="P-1048"/>
    <s v="Tis-1058"/>
    <s v="Maria del Pilar Alvarado Joya"/>
    <m/>
    <x v="1"/>
  </r>
  <r>
    <n v="67"/>
    <x v="58"/>
    <n v="735000"/>
    <s v="P-1055"/>
    <s v="TIS-1075"/>
    <s v="RENAL MEDICAL MARKETING LIMITADA"/>
    <m/>
    <x v="1"/>
  </r>
  <r>
    <n v="24"/>
    <x v="59"/>
    <n v="728460"/>
    <s v="P-1022"/>
    <s v="Tis-1056"/>
    <s v="ww pack SAS"/>
    <m/>
    <x v="1"/>
  </r>
  <r>
    <n v="38"/>
    <x v="60"/>
    <n v="294731"/>
    <s v="P-1058"/>
    <s v="Tis-1060"/>
    <s v="Ladrillos Ochoa Limitada"/>
    <m/>
    <x v="1"/>
  </r>
  <r>
    <n v="59"/>
    <x v="60"/>
    <n v="291669"/>
    <s v="P-1047"/>
    <s v="Tis-1046"/>
    <s v="EVAL.COM CONSULTING SAS"/>
    <m/>
    <x v="1"/>
  </r>
  <r>
    <n v="56"/>
    <x v="61"/>
    <n v="1636825"/>
    <s v="P-1044"/>
    <s v="TIS-1047"/>
    <s v="INVERSIONES MEDICAS DE ANTIOQUIA S.A"/>
    <m/>
    <x v="1"/>
  </r>
  <r>
    <n v="73"/>
    <x v="61"/>
    <n v="274890"/>
    <s v="P-1061"/>
    <s v="Tis-1083"/>
    <s v="Aviatek SAS"/>
    <m/>
    <x v="1"/>
  </r>
  <r>
    <n v="71"/>
    <x v="62"/>
    <n v="599995"/>
    <s v="P-1059"/>
    <s v="Tis-1073"/>
    <s v="Procesos 2000 S.A.S."/>
    <m/>
    <x v="1"/>
  </r>
  <r>
    <n v="59"/>
    <x v="63"/>
    <n v="194446"/>
    <s v="P-1047"/>
    <s v="Tis-1046"/>
    <s v="EVAL.COM CONSULTING SAS"/>
    <m/>
    <x v="1"/>
  </r>
  <r>
    <n v="62"/>
    <x v="63"/>
    <n v="468809"/>
    <s v="P-1050"/>
    <s v="Tis-1066"/>
    <s v="BETA LOGISTIC SERVICES SAS"/>
    <m/>
    <x v="1"/>
  </r>
  <r>
    <n v="65"/>
    <x v="64"/>
    <n v="900000"/>
    <s v="P-1053"/>
    <s v="TIS-1067"/>
    <s v="Maria del Pilar Alvarado Joya"/>
    <m/>
    <x v="1"/>
  </r>
  <r>
    <n v="66"/>
    <x v="65"/>
    <n v="297000"/>
    <s v="P-1054"/>
    <s v="TIS-1071"/>
    <s v="Inversiones Sajamib SAS"/>
    <m/>
    <x v="1"/>
  </r>
  <r>
    <n v="68"/>
    <x v="66"/>
    <n v="183600"/>
    <s v="P-1056"/>
    <s v="Tis-1057"/>
    <s v="PRODUCTORA INTERAMERICANA DE PLASTICOS S.A.S."/>
    <m/>
    <x v="1"/>
  </r>
  <r>
    <n v="80"/>
    <x v="66"/>
    <n v="1404200"/>
    <s v="P-1068"/>
    <s v="TIS-1070"/>
    <s v="LACTEOS APPENZELL S.A.S"/>
    <m/>
    <x v="1"/>
  </r>
  <r>
    <n v="83"/>
    <x v="67"/>
    <n v="442950"/>
    <s v="P-1071"/>
    <s v="TIS-1065"/>
    <s v="NAVAR CATERING SERVICES S.A.S ZOMAC"/>
    <m/>
    <x v="1"/>
  </r>
  <r>
    <n v="73"/>
    <x v="68"/>
    <n v="164934"/>
    <s v="P-1061"/>
    <s v="Tis-1083"/>
    <s v="Aviatek SAS"/>
    <m/>
    <x v="1"/>
  </r>
  <r>
    <n v="71"/>
    <x v="69"/>
    <n v="695994"/>
    <s v="P-1059"/>
    <s v="Tis-1073"/>
    <s v="Procesos 2000 S.A.S."/>
    <m/>
    <x v="1"/>
  </r>
  <r>
    <n v="90"/>
    <x v="70"/>
    <n v="380000"/>
    <s v="P-1077"/>
    <s v="TIS1101"/>
    <s v="SERVIPETROLEOS S.A.S"/>
    <m/>
    <x v="1"/>
  </r>
  <r>
    <n v="81"/>
    <x v="71"/>
    <n v="972000"/>
    <s v="P-1069"/>
    <s v="TIS-1074"/>
    <s v="RENAL MEDICAL MARKETING LIMITADA"/>
    <m/>
    <x v="1"/>
  </r>
  <r>
    <n v="72"/>
    <x v="72"/>
    <n v="624750"/>
    <s v="P-1060"/>
    <s v="TIS-1063"/>
    <s v="WOLTA SAS"/>
    <m/>
    <x v="1"/>
  </r>
  <r>
    <n v="76"/>
    <x v="73"/>
    <n v="181958"/>
    <s v="P-1064"/>
    <s v="TIS-1068"/>
    <s v="PRODUCTORA INTERAMERICANA DE PLASTICOS S.A.S."/>
    <m/>
    <x v="1"/>
  </r>
  <r>
    <n v="89"/>
    <x v="74"/>
    <n v="1309000"/>
    <s v="P-1078"/>
    <s v="Tis-1082"/>
    <s v="ASOCIACION RED DE DEFENSORES Y DEFENSORAS DE DERECHOS HUMANOS "/>
    <m/>
    <x v="1"/>
  </r>
  <r>
    <n v="53"/>
    <x v="75"/>
    <n v="814000"/>
    <s v="P-1041"/>
    <s v="Tis-1044"/>
    <s v="NAVAR SOLUCIONES S.A.S"/>
    <m/>
    <x v="1"/>
  </r>
  <r>
    <n v="82"/>
    <x v="75"/>
    <n v="230000"/>
    <s v="P-1070"/>
    <s v="TIS-1072"/>
    <s v="NAVAR SOLUCIONES S.A.S"/>
    <m/>
    <x v="1"/>
  </r>
  <r>
    <n v="88"/>
    <x v="75"/>
    <n v="604800"/>
    <s v="P-1076"/>
    <s v="Tis-1078"/>
    <s v="RENAL MEDICAL MARKETING LIMITADA"/>
    <m/>
    <x v="1"/>
  </r>
  <r>
    <n v="91"/>
    <x v="76"/>
    <n v="342125"/>
    <s v="P-1079"/>
    <s v="Tis-1080"/>
    <s v="PROYECTO COLOMBIA DIVERSA"/>
    <m/>
    <x v="1"/>
  </r>
  <r>
    <n v="50"/>
    <x v="77"/>
    <n v="502000"/>
    <e v="#N/A"/>
    <e v="#N/A"/>
    <e v="#N/A"/>
    <m/>
    <x v="1"/>
  </r>
  <r>
    <n v="64"/>
    <x v="77"/>
    <n v="252446"/>
    <s v="P-1052"/>
    <s v="TIS-1049"/>
    <s v="Comercializadora ERZ SAS"/>
    <m/>
    <x v="1"/>
  </r>
  <r>
    <n v="45"/>
    <x v="78"/>
    <n v="28000"/>
    <s v="P-1035"/>
    <s v="TIS-1062"/>
    <s v="HILVERDAFLORIST COLOMBIA S.A.S"/>
    <s v="Pagado por Maria del Pilar Alvarado"/>
    <x v="1"/>
  </r>
  <r>
    <n v="61"/>
    <x v="78"/>
    <n v="150000"/>
    <s v="P-1049"/>
    <s v="Tis-1059"/>
    <s v="Maria del Pilar Alvarado Joya"/>
    <m/>
    <x v="1"/>
  </r>
  <r>
    <n v="79"/>
    <x v="78"/>
    <n v="900000"/>
    <s v="P-1067"/>
    <s v="Tis-1086"/>
    <s v="Maria del Pilar Alvarado Joya"/>
    <m/>
    <x v="1"/>
  </r>
  <r>
    <n v="92"/>
    <x v="78"/>
    <n v="486000"/>
    <s v="P-1080"/>
    <s v="Tis-1081"/>
    <s v="RENAL MEDICAL MARKETING LIMITADA"/>
    <m/>
    <x v="1"/>
  </r>
  <r>
    <n v="93"/>
    <x v="79"/>
    <n v="3341600"/>
    <s v="P-1081"/>
    <s v="Tis-1127"/>
    <s v="SEQ CONSULTORES LTDA"/>
    <m/>
    <x v="1"/>
  </r>
  <r>
    <n v="89"/>
    <x v="80"/>
    <n v="1067000"/>
    <s v="P-1078"/>
    <s v="Tis-1082"/>
    <s v="ASOCIACION RED DE DEFENSORES Y DEFENSORAS DE DERECHOS HUMANOS "/>
    <m/>
    <x v="1"/>
  </r>
  <r>
    <n v="46"/>
    <x v="81"/>
    <n v="899640"/>
    <s v="P-1036"/>
    <s v="Tis-1084"/>
    <s v="Antonio Cely SAS"/>
    <m/>
    <x v="1"/>
  </r>
  <r>
    <n v="52"/>
    <x v="82"/>
    <n v="557967"/>
    <s v="P-1010"/>
    <s v="Tis-1039"/>
    <s v="TECNOLOGIA DE OFICINA S.A.S."/>
    <m/>
    <x v="2"/>
  </r>
  <r>
    <n v="74"/>
    <x v="83"/>
    <n v="4575703"/>
    <s v="P-1062"/>
    <s v="TIS-1077"/>
    <s v="BOCCHERINI S A "/>
    <m/>
    <x v="2"/>
  </r>
  <r>
    <n v="7"/>
    <x v="84"/>
    <n v="31309"/>
    <s v="TIS-1012"/>
    <s v="TIS-1016"/>
    <s v="Consorcio Sistem IM3"/>
    <m/>
    <x v="2"/>
  </r>
  <r>
    <n v="45"/>
    <x v="85"/>
    <n v="6450"/>
    <s v="P-1035"/>
    <s v="TIS-1062"/>
    <s v="HILVERDAFLORIST COLOMBIA S.A.S"/>
    <m/>
    <x v="2"/>
  </r>
  <r>
    <n v="73"/>
    <x v="86"/>
    <n v="88288"/>
    <s v="P-1061"/>
    <s v="Tis-1083"/>
    <s v="Aviatek SAS"/>
    <m/>
    <x v="2"/>
  </r>
  <r>
    <n v="77"/>
    <x v="86"/>
    <n v="306010"/>
    <s v="P-1065"/>
    <s v="TIS-1090"/>
    <s v="Inversiones Sajamib SAS"/>
    <m/>
    <x v="2"/>
  </r>
  <r>
    <n v="95"/>
    <x v="86"/>
    <n v="306010"/>
    <s v="P-1083"/>
    <s v="TIS-1090"/>
    <s v="Inversiones Sajamib SAS"/>
    <m/>
    <x v="2"/>
  </r>
  <r>
    <n v="94"/>
    <x v="87"/>
    <n v="567000"/>
    <s v="P-1082"/>
    <s v="TIS-1093"/>
    <s v="PILYQ COLOMBIA S.A.S."/>
    <m/>
    <x v="2"/>
  </r>
  <r>
    <n v="100"/>
    <x v="88"/>
    <n v="1353950"/>
    <s v="P-1088"/>
    <s v="TIS-1089"/>
    <s v="Colegio Integrado Nacional Oriente de Caldas"/>
    <m/>
    <x v="2"/>
  </r>
  <r>
    <n v="93"/>
    <x v="89"/>
    <n v="2004900"/>
    <s v="P-1081"/>
    <s v="Tis-1127"/>
    <s v="SEQ CONSULTORES LTDA"/>
    <m/>
    <x v="2"/>
  </r>
  <r>
    <n v="67"/>
    <x v="90"/>
    <n v="852600"/>
    <s v="P-1055"/>
    <s v="TIS-1075"/>
    <s v="RENAL MEDICAL MARKETING LIMITADA"/>
    <m/>
    <x v="2"/>
  </r>
  <r>
    <n v="99"/>
    <x v="90"/>
    <n v="486000"/>
    <s v="P-1087"/>
    <s v="TIS-1087"/>
    <s v="RENAL MEDICAL MARKETING LIMITADA"/>
    <m/>
    <x v="2"/>
  </r>
  <r>
    <n v="101"/>
    <x v="91"/>
    <n v="3991932"/>
    <s v="P-1089"/>
    <s v="TIS-1094"/>
    <s v="PASTRY CHEF PASTELERIA Y COCINA GOURMET SAS"/>
    <m/>
    <x v="2"/>
  </r>
  <r>
    <n v="97"/>
    <x v="92"/>
    <n v="2980800"/>
    <s v="P-1085"/>
    <s v="TIS-1095"/>
    <s v="Procesos 2000 S.A.S."/>
    <m/>
    <x v="2"/>
  </r>
  <r>
    <n v="105"/>
    <x v="93"/>
    <n v="401752"/>
    <s v="P-1093"/>
    <s v="Tis-1091"/>
    <s v="K-2 INGENIERIA S.A.S."/>
    <m/>
    <x v="2"/>
  </r>
  <r>
    <n v="94"/>
    <x v="94"/>
    <n v="340200"/>
    <s v="P-1082"/>
    <s v="TIS-1093"/>
    <s v="PILYQ COLOMBIA S.A.S."/>
    <m/>
    <x v="2"/>
  </r>
  <r>
    <n v="118"/>
    <x v="95"/>
    <n v="225000"/>
    <s v="P-1106"/>
    <s v="TIS-1096"/>
    <s v="VUELTACANELA S.A.S"/>
    <s v="Margarita"/>
    <x v="2"/>
  </r>
  <r>
    <n v="91"/>
    <x v="96"/>
    <n v="278875"/>
    <s v="P-1079"/>
    <s v="Tis-1080"/>
    <s v="PROYECTO COLOMBIA DIVERSA"/>
    <m/>
    <x v="2"/>
  </r>
  <r>
    <n v="98"/>
    <x v="97"/>
    <n v="322000"/>
    <s v="P-1086"/>
    <s v="TIS-1116"/>
    <s v="Inversiones Sajamib SAS"/>
    <m/>
    <x v="2"/>
  </r>
  <r>
    <n v="109"/>
    <x v="97"/>
    <n v="200000"/>
    <s v="P-1097"/>
    <s v="TIS-1107"/>
    <s v="Liz Adriana Granados"/>
    <m/>
    <x v="2"/>
  </r>
  <r>
    <n v="121"/>
    <x v="98"/>
    <n v="104125"/>
    <s v="P-1109"/>
    <s v="TIS-1105"/>
    <s v="Fonseca Abogados Asesoria Empresarial SAS"/>
    <m/>
    <x v="2"/>
  </r>
  <r>
    <n v="87"/>
    <x v="99"/>
    <n v="900000"/>
    <s v="P-1075"/>
    <s v="TIS-1102"/>
    <s v="Maria del Pilar Alvarado Joya"/>
    <m/>
    <x v="2"/>
  </r>
  <r>
    <n v="119"/>
    <x v="100"/>
    <n v="638633"/>
    <s v="P-1107"/>
    <s v="Tis-1097"/>
    <s v="Procesos 2000 S.A.S."/>
    <m/>
    <x v="2"/>
  </r>
  <r>
    <n v="118"/>
    <x v="101"/>
    <n v="288153"/>
    <s v="P-1106"/>
    <s v="TIS-1096"/>
    <s v="VUELTACANELA S.A.S"/>
    <s v="Margarita"/>
    <x v="2"/>
  </r>
  <r>
    <n v="110"/>
    <x v="102"/>
    <n v="1028160"/>
    <s v="P-1098"/>
    <s v="TIS-1098"/>
    <s v="MASTERLINE COLOMBIA SOCIEDAD POR ACCIONES SIMPLIFICADA"/>
    <m/>
    <x v="2"/>
  </r>
  <r>
    <n v="112"/>
    <x v="103"/>
    <n v="31980"/>
    <s v="P-1100"/>
    <s v="TIS-1117"/>
    <s v="Inversiones Sajamib SAS"/>
    <m/>
    <x v="2"/>
  </r>
  <r>
    <n v="117"/>
    <x v="103"/>
    <n v="819910"/>
    <s v="P-1105"/>
    <s v="TIS-1099"/>
    <s v="ENERGINN S.A.S"/>
    <m/>
    <x v="2"/>
  </r>
  <r>
    <n v="126"/>
    <x v="104"/>
    <n v="850000"/>
    <s v="P-1114"/>
    <s v="Tis-1140"/>
    <s v="FET GROUP SAS"/>
    <m/>
    <x v="2"/>
  </r>
  <r>
    <n v="96"/>
    <x v="105"/>
    <n v="214068"/>
    <s v="P-1084"/>
    <s v="Tis-1085"/>
    <s v="PRODUCTORA INTERAMERICANA DE PLASTICOS S.A.S."/>
    <m/>
    <x v="2"/>
  </r>
  <r>
    <n v="111"/>
    <x v="105"/>
    <n v="214068"/>
    <s v="P-1099"/>
    <s v="TIS-1100"/>
    <s v="PRODUCTORA INTERAMERICANA DE PLASTICOS S.A.S."/>
    <m/>
    <x v="2"/>
  </r>
  <r>
    <n v="152"/>
    <x v="105"/>
    <n v="214068"/>
    <s v="P-1140"/>
    <s v="TIS-1146"/>
    <s v="PRODUCTORA INTERAMERICANA DE PLASTICOS S.A.S."/>
    <m/>
    <x v="2"/>
  </r>
  <r>
    <n v="119"/>
    <x v="106"/>
    <n v="638634"/>
    <s v="P-1107"/>
    <s v="Tis-1097"/>
    <s v="Procesos 2000 S.A.S."/>
    <m/>
    <x v="2"/>
  </r>
  <r>
    <n v="132"/>
    <x v="106"/>
    <n v="1000000"/>
    <s v="P-1120"/>
    <s v="TIS-1208"/>
    <s v="CAVACOR S.A.S"/>
    <m/>
    <x v="2"/>
  </r>
  <r>
    <n v="102"/>
    <x v="107"/>
    <n v="900000"/>
    <s v="P-1090"/>
    <s v="TIS-1010"/>
    <s v="Maria del Pilar Alvarado Joya"/>
    <m/>
    <x v="2"/>
  </r>
  <r>
    <n v="121"/>
    <x v="108"/>
    <n v="104125"/>
    <s v="P-1109"/>
    <s v="TIS-1105"/>
    <s v="Fonseca Abogados Asesoria Empresarial SAS"/>
    <m/>
    <x v="2"/>
  </r>
  <r>
    <n v="114"/>
    <x v="109"/>
    <n v="486000"/>
    <s v="P-1102"/>
    <s v="TIS-1103"/>
    <s v="RENAL MEDICAL MARKETING LIMITADA"/>
    <m/>
    <x v="2"/>
  </r>
  <r>
    <n v="120"/>
    <x v="109"/>
    <n v="486000"/>
    <s v="P-1108"/>
    <s v="Tis-1104"/>
    <s v="RENAL MEDICAL MARKETING LIMITADA"/>
    <m/>
    <x v="2"/>
  </r>
  <r>
    <n v="122"/>
    <x v="110"/>
    <n v="1593900"/>
    <s v="P-1110"/>
    <s v="TIS-1106"/>
    <s v="ROCKETFY S.A.S."/>
    <s v="Margarita"/>
    <x v="2"/>
  </r>
  <r>
    <n v="110"/>
    <x v="111"/>
    <n v="542419"/>
    <s v="P-1098"/>
    <s v="TIS-1098"/>
    <s v="MASTERLINE COLOMBIA SOCIEDAD POR ACCIONES SIMPLIFICADA"/>
    <m/>
    <x v="2"/>
  </r>
  <r>
    <n v="117"/>
    <x v="112"/>
    <n v="723503"/>
    <s v="P-1105"/>
    <s v="TIS-1099"/>
    <s v="ENERGINN S.A.S"/>
    <m/>
    <x v="2"/>
  </r>
  <r>
    <n v="112"/>
    <x v="113"/>
    <n v="322000"/>
    <s v="P-1100"/>
    <s v="TIS-1117"/>
    <s v="Inversiones Sajamib SAS"/>
    <m/>
    <x v="2"/>
  </r>
  <r>
    <n v="128"/>
    <x v="113"/>
    <n v="322000"/>
    <s v="P-1116"/>
    <s v="Tis-1118"/>
    <s v="Inversiones Sajamib SAS"/>
    <m/>
    <x v="2"/>
  </r>
  <r>
    <n v="119"/>
    <x v="114"/>
    <n v="638634"/>
    <s v="P-1107"/>
    <s v="Tis-1097"/>
    <s v="Procesos 2000 S.A.S."/>
    <m/>
    <x v="2"/>
  </r>
  <r>
    <n v="149"/>
    <x v="114"/>
    <n v="1082900"/>
    <s v="P-1137"/>
    <s v="TIS-1150"/>
    <s v="LABORATORIO MAXPROTEC S.A.S."/>
    <s v="Margarita"/>
    <x v="2"/>
  </r>
  <r>
    <n v="129"/>
    <x v="115"/>
    <n v="1126650"/>
    <s v="P-1117"/>
    <s v="TIS-1113"/>
    <s v="HUTERCOL S.A.S."/>
    <m/>
    <x v="2"/>
  </r>
  <r>
    <n v="125"/>
    <x v="116"/>
    <n v="856800"/>
    <s v="P-1113"/>
    <s v="TIS-1111"/>
    <s v="BARRO BLANCO FARMS SAS"/>
    <m/>
    <x v="2"/>
  </r>
  <r>
    <n v="123"/>
    <x v="117"/>
    <n v="241201"/>
    <s v="P-1111"/>
    <s v="TIS-1108"/>
    <s v="K-2 INGENIERIA S.A.S."/>
    <m/>
    <x v="2"/>
  </r>
  <r>
    <n v="124"/>
    <x v="117"/>
    <n v="160551"/>
    <s v="P-1112"/>
    <s v="TIS-1109"/>
    <s v="K-2 INGENIERIA S.A.S."/>
    <m/>
    <x v="2"/>
  </r>
  <r>
    <n v="127"/>
    <x v="118"/>
    <n v="776208"/>
    <s v="P-1115"/>
    <s v="TIS-1119"/>
    <s v="PASTRY CHEF PASTELERIA Y COCINA GOURMET SAS"/>
    <m/>
    <x v="2"/>
  </r>
  <r>
    <n v="130"/>
    <x v="118"/>
    <n v="486000"/>
    <s v="P-1118"/>
    <s v="TIS-1114"/>
    <s v="RENAL MEDICAL MARKETING LIMITADA"/>
    <m/>
    <x v="2"/>
  </r>
  <r>
    <n v="94"/>
    <x v="119"/>
    <n v="226800"/>
    <s v="P-1082"/>
    <s v="TIS-1093"/>
    <s v="PILYQ COLOMBIA S.A.S."/>
    <m/>
    <x v="2"/>
  </r>
  <r>
    <n v="131"/>
    <x v="120"/>
    <n v="214068"/>
    <s v="P-1119"/>
    <s v="TIS-1115"/>
    <s v="PRODUCTORA INTERAMERICANA DE PLASTICOS S.A.S."/>
    <m/>
    <x v="2"/>
  </r>
  <r>
    <n v="138"/>
    <x v="120"/>
    <n v="627187"/>
    <s v="P-1126"/>
    <s v="Tis-1129"/>
    <s v="AXIOMATICA SOLUCIONES TECNOLOGICAS SAS"/>
    <s v="Margarita"/>
    <x v="2"/>
  </r>
  <r>
    <n v="84"/>
    <x v="121"/>
    <n v="352765"/>
    <s v="P-1072"/>
    <s v="TIS-1122"/>
    <s v="MICROSITIOS SAS"/>
    <m/>
    <x v="2"/>
  </r>
  <r>
    <n v="93"/>
    <x v="122"/>
    <n v="1063205"/>
    <s v="P-1081"/>
    <s v="Tis-1127"/>
    <s v="SEQ CONSULTORES LTDA"/>
    <m/>
    <x v="2"/>
  </r>
  <r>
    <n v="134"/>
    <x v="123"/>
    <n v="75565397.090000004"/>
    <s v="P-1122"/>
    <s v="TIS-1121"/>
    <s v="Banco de Bogota S.A."/>
    <s v="Margarita"/>
    <x v="2"/>
  </r>
  <r>
    <n v="141"/>
    <x v="123"/>
    <n v="355000"/>
    <s v="P-1129"/>
    <s v="Tis-1135"/>
    <s v="AUTOMOTORES LLANO GRANDE S. A."/>
    <s v="Margarita"/>
    <x v="2"/>
  </r>
  <r>
    <n v="119"/>
    <x v="124"/>
    <n v="638634"/>
    <s v="P-1107"/>
    <s v="Tis-1097"/>
    <s v="Procesos 2000 S.A.S."/>
    <m/>
    <x v="2"/>
  </r>
  <r>
    <n v="137"/>
    <x v="125"/>
    <n v="776208"/>
    <s v="P-1125"/>
    <s v="Tis-1124"/>
    <s v="PASTRY CHEF PASTELERIA Y COCINA GOURMET SAS"/>
    <m/>
    <x v="2"/>
  </r>
  <r>
    <n v="133"/>
    <x v="126"/>
    <n v="322000"/>
    <s v="P-1121"/>
    <s v="Tis-1125"/>
    <s v="Inversiones Sajamib SAS"/>
    <m/>
    <x v="2"/>
  </r>
  <r>
    <n v="136"/>
    <x v="126"/>
    <n v="448000"/>
    <s v="P-1124"/>
    <s v="TIS-1149"/>
    <s v="Maria del Pilar Alvarado Joya"/>
    <m/>
    <x v="2"/>
  </r>
  <r>
    <n v="220"/>
    <x v="127"/>
    <n v="600000"/>
    <s v="P-1208"/>
    <s v="TIS-1198"/>
    <s v="V2S COLOMBIA SAS"/>
    <s v="V2S Margarita"/>
    <x v="2"/>
  </r>
  <r>
    <n v="156"/>
    <x v="128"/>
    <n v="514000"/>
    <s v="P-1144"/>
    <s v="Tis-1165"/>
    <s v="CARNES FRIAS ITALIA SAS"/>
    <s v="carnes frias Italy Margarita"/>
    <x v="2"/>
  </r>
  <r>
    <n v="113"/>
    <x v="129"/>
    <n v="1048410"/>
    <s v="P-1101"/>
    <s v="TIS-1120"/>
    <s v="Comercializadora ERZ SAS"/>
    <m/>
    <x v="2"/>
  </r>
  <r>
    <n v="144"/>
    <x v="129"/>
    <n v="322000"/>
    <s v="P-1132"/>
    <s v="Tis-1138"/>
    <s v="Inversiones Sajamib SAS"/>
    <m/>
    <x v="2"/>
  </r>
  <r>
    <n v="140"/>
    <x v="130"/>
    <n v="486000"/>
    <s v="P-1128"/>
    <s v="TIS-1133"/>
    <s v="RENAL MEDICAL MARKETING LIMITADA"/>
    <m/>
    <x v="2"/>
  </r>
  <r>
    <n v="142"/>
    <x v="130"/>
    <n v="2078930"/>
    <s v="P-1130"/>
    <s v="Tis-1136"/>
    <s v="LC TALLER DE ESCULTURAS SAS"/>
    <s v="Margarita"/>
    <x v="2"/>
  </r>
  <r>
    <n v="175"/>
    <x v="131"/>
    <n v="374619"/>
    <s v="P-1163"/>
    <s v="TIS-1170"/>
    <s v="CONSTRUCCIONES Y AMBIENTE - CONAMBIENTE - S.A.S"/>
    <s v="Margarita"/>
    <x v="2"/>
  </r>
  <r>
    <n v="104"/>
    <x v="132"/>
    <n v="1080000"/>
    <s v="P-1092"/>
    <s v="TIS-1142"/>
    <s v="CONSTRUCCIONES CIVILES JMR S.A.S"/>
    <m/>
    <x v="2"/>
  </r>
  <r>
    <n v="126"/>
    <x v="133"/>
    <n v="1173000"/>
    <s v="P-1114"/>
    <s v="Tis-1140"/>
    <s v="FET GROUP SAS"/>
    <m/>
    <x v="2"/>
  </r>
  <r>
    <n v="126"/>
    <x v="134"/>
    <n v="1173000"/>
    <s v="P-1114"/>
    <s v="Tis-1140"/>
    <s v="FET GROUP SAS"/>
    <m/>
    <x v="2"/>
  </r>
  <r>
    <n v="135"/>
    <x v="135"/>
    <n v="428136"/>
    <s v="P-1123"/>
    <s v="TIS-1134"/>
    <s v="PRODUCTORA INTERAMERICANA DE PLASTICOS S.A.S."/>
    <m/>
    <x v="2"/>
  </r>
  <r>
    <n v="119"/>
    <x v="136"/>
    <n v="638634"/>
    <s v="P-1107"/>
    <s v="Tis-1097"/>
    <s v="Procesos 2000 S.A.S."/>
    <m/>
    <x v="2"/>
  </r>
  <r>
    <n v="141"/>
    <x v="137"/>
    <n v="333333"/>
    <s v="P-1129"/>
    <s v="Tis-1135"/>
    <s v="AUTOMOTORES LLANO GRANDE S. A."/>
    <s v="Margarita"/>
    <x v="2"/>
  </r>
  <r>
    <n v="145"/>
    <x v="137"/>
    <n v="25372752"/>
    <s v="P-1133"/>
    <s v="TIS-1131"/>
    <s v="Banco de Bogota S.A."/>
    <s v="Margarita"/>
    <x v="2"/>
  </r>
  <r>
    <n v="143"/>
    <x v="138"/>
    <n v="772090"/>
    <s v="P-1131"/>
    <s v="Tis-1137"/>
    <s v="PASTRY CHEF PASTELERIA Y COCINA GOURMET SAS"/>
    <m/>
    <x v="2"/>
  </r>
  <r>
    <n v="153"/>
    <x v="139"/>
    <n v="486000"/>
    <s v="P-1141"/>
    <s v="TIS-1147"/>
    <s v="RENAL MEDICAL MARKETING LIMITADA"/>
    <m/>
    <x v="2"/>
  </r>
  <r>
    <n v="162"/>
    <x v="139"/>
    <n v="1365958.5"/>
    <s v="P-1150"/>
    <s v="TIS-1153"/>
    <s v="STT Group sucursal colombia SA"/>
    <s v="Margarita"/>
    <x v="2"/>
  </r>
  <r>
    <n v="176"/>
    <x v="139"/>
    <n v="526500"/>
    <s v="P-1164"/>
    <s v="TIS-1171"/>
    <s v="COEL INGENIERIA LTDA"/>
    <s v="coel ingenieria - Margarita"/>
    <x v="2"/>
  </r>
  <r>
    <n v="148"/>
    <x v="140"/>
    <n v="1200000"/>
    <s v="P-1136"/>
    <n v="0"/>
    <s v="Maria del Pilar Alvarado Joya"/>
    <n v="3140629331"/>
    <x v="2"/>
  </r>
  <r>
    <n v="78"/>
    <x v="141"/>
    <n v="251482"/>
    <s v="P-1066"/>
    <s v="Tis-1069"/>
    <s v="Comercializadora ERZ SAS"/>
    <m/>
    <x v="2"/>
  </r>
  <r>
    <n v="90"/>
    <x v="142"/>
    <n v="187000"/>
    <s v="P-1077"/>
    <s v="TIS1101"/>
    <s v="SERVIPETROLEOS S.A.S"/>
    <m/>
    <x v="2"/>
  </r>
  <r>
    <n v="119"/>
    <x v="142"/>
    <n v="638634"/>
    <s v="P-1107"/>
    <s v="Tis-1097"/>
    <s v="Procesos 2000 S.A.S."/>
    <m/>
    <x v="2"/>
  </r>
  <r>
    <n v="150"/>
    <x v="143"/>
    <n v="25372752"/>
    <s v="P-1138"/>
    <s v="TIS-1144"/>
    <s v="Banco de Bogota S.A."/>
    <s v="Margarita"/>
    <x v="2"/>
  </r>
  <r>
    <n v="155"/>
    <x v="144"/>
    <n v="3500000"/>
    <s v="P-1143"/>
    <s v="Tis-1157"/>
    <s v="Colombiana de Envases Industriales S. A."/>
    <s v="Margarita"/>
    <x v="2"/>
  </r>
  <r>
    <n v="157"/>
    <x v="145"/>
    <n v="3284000"/>
    <s v="P-1145"/>
    <s v="Tis-1156"/>
    <s v="QUICK HELP S.A.S"/>
    <s v="consignacion en efectivo- Margarita"/>
    <x v="2"/>
  </r>
  <r>
    <m/>
    <x v="146"/>
    <n v="300000"/>
    <e v="#N/A"/>
    <e v="#N/A"/>
    <e v="#N/A"/>
    <s v="Staff Seguros julio"/>
    <x v="2"/>
  </r>
  <r>
    <n v="159"/>
    <x v="147"/>
    <n v="629510"/>
    <s v="P-1147"/>
    <s v="Tis-1161"/>
    <s v="Soluciones Avanzadas de Ingeniería SAS"/>
    <s v="Margarita"/>
    <x v="2"/>
  </r>
  <r>
    <n v="139"/>
    <x v="148"/>
    <n v="10779525"/>
    <s v="P-1127"/>
    <s v="Tis-1155"/>
    <s v="Universidad Santo Tomas"/>
    <s v="Margarita"/>
    <x v="2"/>
  </r>
  <r>
    <n v="161"/>
    <x v="149"/>
    <n v="291550"/>
    <s v="P-1149"/>
    <n v="0"/>
    <s v="Inversiones Londoño Sepulveda S.A.S"/>
    <s v="Margarita"/>
    <x v="2"/>
  </r>
  <r>
    <n v="151"/>
    <x v="150"/>
    <n v="776209"/>
    <s v="P-1139"/>
    <s v="TIS-1145"/>
    <s v="PASTRY CHEF PASTELERIA Y COCINA GOURMET SAS"/>
    <m/>
    <x v="2"/>
  </r>
  <r>
    <n v="167"/>
    <x v="151"/>
    <n v="1064880"/>
    <s v="P-1155"/>
    <s v="TIS-1160"/>
    <s v="PACKVISION SAS"/>
    <s v="Packvision - Margarita"/>
    <x v="2"/>
  </r>
  <r>
    <n v="119"/>
    <x v="152"/>
    <n v="638634"/>
    <s v="P-1107"/>
    <s v="Tis-1097"/>
    <s v="Procesos 2000 S.A.S."/>
    <s v="Procesos 2000"/>
    <x v="2"/>
  </r>
  <r>
    <n v="166"/>
    <x v="153"/>
    <n v="1126650"/>
    <s v="P-1154"/>
    <s v="Tis-1162"/>
    <s v="HUTERCOL S.A.S."/>
    <s v="Hutercol"/>
    <x v="2"/>
  </r>
  <r>
    <n v="180"/>
    <x v="154"/>
    <n v="570170"/>
    <s v="P-1168"/>
    <s v="TIS-1175"/>
    <s v="MEMCO SAS"/>
    <s v="Memco - Margarita"/>
    <x v="2"/>
  </r>
  <r>
    <n v="160"/>
    <x v="155"/>
    <n v="28737000"/>
    <s v="P-1148"/>
    <s v="TIS-1164"/>
    <s v="D&amp;G ASESORES LTDA"/>
    <m/>
    <x v="2"/>
  </r>
  <r>
    <n v="146"/>
    <x v="156"/>
    <n v="399119"/>
    <s v="P-1134"/>
    <s v="Tis-1132"/>
    <s v="CONSTRUCCIONES Y AMBIENTE - CONAMBIENTE - S.A.S"/>
    <s v="Margarita"/>
    <x v="2"/>
  </r>
  <r>
    <n v="156"/>
    <x v="156"/>
    <n v="332300"/>
    <s v="P-1144"/>
    <s v="Tis-1165"/>
    <s v="CARNES FRIAS ITALIA SAS"/>
    <m/>
    <x v="2"/>
  </r>
  <r>
    <n v="171"/>
    <x v="156"/>
    <n v="25372752"/>
    <s v="P-1159"/>
    <s v="TIS-1158"/>
    <s v="Banco de Bogota S.A."/>
    <s v="Banco de Bogota"/>
    <x v="2"/>
  </r>
  <r>
    <n v="212"/>
    <x v="157"/>
    <n v="904500"/>
    <s v="P-1200"/>
    <s v="Tis-1192"/>
    <s v="FEDERACION NACIONAL DE COMERCIANTES FENALCO SECCIONAL BOGOTA CUNDINAMARCA"/>
    <s v="Fenalco - Margarita"/>
    <x v="2"/>
  </r>
  <r>
    <n v="231"/>
    <x v="158"/>
    <n v="580125"/>
    <s v="P-1219"/>
    <s v="TIS-1207"/>
    <s v="LABORATORIOS VIDA STEVIA SA"/>
    <s v="Laboratorio vida estebia Margarita"/>
    <x v="2"/>
  </r>
  <r>
    <n v="176"/>
    <x v="159"/>
    <n v="643989"/>
    <s v="P-1164"/>
    <s v="TIS-1171"/>
    <s v="COEL INGENIERIA LTDA"/>
    <s v="coel ingenieria"/>
    <x v="2"/>
  </r>
  <r>
    <n v="207"/>
    <x v="159"/>
    <n v="486000"/>
    <s v="P-1195"/>
    <s v="TIS-1167"/>
    <s v="RENAL MEDICAL MARKETING LIMITADA"/>
    <s v="renalmedical"/>
    <x v="2"/>
  </r>
  <r>
    <m/>
    <x v="159"/>
    <n v="300000"/>
    <e v="#N/A"/>
    <e v="#N/A"/>
    <e v="#N/A"/>
    <s v="Staff seguros"/>
    <x v="2"/>
  </r>
  <r>
    <n v="155"/>
    <x v="160"/>
    <n v="3292690"/>
    <s v="P-1143"/>
    <s v="Tis-1157"/>
    <s v="Colombiana de Envases Industriales S. A."/>
    <s v="Margarita"/>
    <x v="2"/>
  </r>
  <r>
    <n v="158"/>
    <x v="160"/>
    <n v="966000"/>
    <s v="P-1146"/>
    <s v="Tis-1166"/>
    <s v="Inversiones Sajamib SAS"/>
    <m/>
    <x v="2"/>
  </r>
  <r>
    <n v="168"/>
    <x v="161"/>
    <n v="1530586"/>
    <s v="P-1156"/>
    <s v="TIS-1159"/>
    <s v="PRODUCTORA INTERAMERICANA DE PLASTICOS S.A.S."/>
    <s v="Polinter"/>
    <x v="2"/>
  </r>
  <r>
    <n v="164"/>
    <x v="162"/>
    <n v="1457500"/>
    <s v="P-1152"/>
    <s v="TIS-1176"/>
    <s v="GRUPO S I E SAS"/>
    <s v="15474425565 grupo sie - Margarita"/>
    <x v="2"/>
  </r>
  <r>
    <n v="179"/>
    <x v="162"/>
    <n v="200000"/>
    <s v="P-1167"/>
    <s v="TIS-1174"/>
    <s v="NATALIA GUARNIZO VARON"/>
    <s v="Natalia Guarnizo Tis-1174 SIARL"/>
    <x v="2"/>
  </r>
  <r>
    <n v="161"/>
    <x v="163"/>
    <n v="208250"/>
    <s v="P-1149"/>
    <n v="0"/>
    <s v="Inversiones Londoño Sepulveda S.A.S"/>
    <s v="inversiones londono- Margarita"/>
    <x v="2"/>
  </r>
  <r>
    <n v="165"/>
    <x v="163"/>
    <n v="353430"/>
    <s v="P-1153"/>
    <s v="Tis-1180"/>
    <s v="INSTRUMENTACION Y SOLUCIONES PARA LABORATORIO S A S"/>
    <s v="Insolab - Margarita"/>
    <x v="2"/>
  </r>
  <r>
    <n v="172"/>
    <x v="163"/>
    <n v="25372752"/>
    <s v="P-1160"/>
    <s v="TIS-1163"/>
    <s v="Banco de Bogota S.A."/>
    <s v="BdB - Margarita"/>
    <x v="2"/>
  </r>
  <r>
    <n v="177"/>
    <x v="163"/>
    <n v="2675808"/>
    <s v="P-1165"/>
    <s v="TIS-1172"/>
    <s v="TRANSPORTES ESPECIALES ALIADOS S.A.S"/>
    <s v="TEA - Margarita"/>
    <x v="2"/>
  </r>
  <r>
    <n v="183"/>
    <x v="163"/>
    <n v="300000"/>
    <s v="P-1171"/>
    <s v="TIS-1185"/>
    <s v="HIPRA COLOMBIA SAS"/>
    <s v="Hipra colombia - Margarita"/>
    <x v="2"/>
  </r>
  <r>
    <n v="190"/>
    <x v="163"/>
    <n v="250000"/>
    <s v="P-1218"/>
    <s v="NC31"/>
    <s v="ATECNO S.A.S"/>
    <m/>
    <x v="2"/>
  </r>
  <r>
    <n v="119"/>
    <x v="164"/>
    <n v="638634"/>
    <s v="P-1107"/>
    <s v="Tis-1097"/>
    <s v="Procesos 2000 S.A.S."/>
    <m/>
    <x v="2"/>
  </r>
  <r>
    <n v="164"/>
    <x v="165"/>
    <n v="1458000"/>
    <s v="P-1152"/>
    <s v="TIS-1176"/>
    <s v="GRUPO S I E SAS"/>
    <s v="15474425565 grupo sie - Margarita"/>
    <x v="2"/>
  </r>
  <r>
    <n v="206"/>
    <x v="166"/>
    <n v="200000"/>
    <s v="P-1194"/>
    <s v="TIS-1177"/>
    <s v="LILIANA MERCEDES ANDRADE SERRANO"/>
    <n v="7686222289"/>
    <x v="2"/>
  </r>
  <r>
    <n v="180"/>
    <x v="167"/>
    <n v="627187"/>
    <s v="P-1168"/>
    <s v="TIS-1175"/>
    <s v="MEMCO SAS"/>
    <s v="Memco - Margarita"/>
    <x v="2"/>
  </r>
  <r>
    <n v="173"/>
    <x v="168"/>
    <n v="1552420"/>
    <s v="P-1161"/>
    <s v="TIS-1168"/>
    <s v="PASTRY CHEF PASTELERIA Y COCINA GOURMET SAS"/>
    <s v="Pastrychef"/>
    <x v="2"/>
  </r>
  <r>
    <m/>
    <x v="169"/>
    <n v="300000"/>
    <e v="#N/A"/>
    <e v="#N/A"/>
    <e v="#N/A"/>
    <s v="52328513 Leidy Alexandra staff"/>
    <x v="2"/>
  </r>
  <r>
    <n v="181"/>
    <x v="170"/>
    <n v="25372752"/>
    <s v="P-1169"/>
    <s v="TIS-1178"/>
    <s v="Banco de Bogota S.A."/>
    <s v="BdB - Margarita"/>
    <x v="2"/>
  </r>
  <r>
    <n v="222"/>
    <x v="171"/>
    <n v="300000"/>
    <s v="P-1210"/>
    <s v="TIS-1204"/>
    <s v="SUPPLYTEC SAS"/>
    <s v="Supplytec sas"/>
    <x v="2"/>
  </r>
  <r>
    <n v="228"/>
    <x v="171"/>
    <n v="199500"/>
    <s v="P-1216"/>
    <s v="TIS-1203"/>
    <s v="COMERCIALIZADORA INTERNACIONAL DYNAMIC TRADING CORPORATION S.A.S"/>
    <s v="DYCSA"/>
    <x v="2"/>
  </r>
  <r>
    <n v="147"/>
    <x v="172"/>
    <n v="199500"/>
    <s v="P-1135"/>
    <s v="TIS-1139"/>
    <s v="Comercializadora ERZ SAS"/>
    <m/>
    <x v="2"/>
  </r>
  <r>
    <n v="154"/>
    <x v="172"/>
    <n v="252000"/>
    <s v="P-1142"/>
    <s v="TIS-1148"/>
    <s v="Comercializadora ERZ SAS"/>
    <s v="ERZ"/>
    <x v="2"/>
  </r>
  <r>
    <n v="119"/>
    <x v="173"/>
    <n v="638634"/>
    <s v="P-1107"/>
    <s v="Tis-1097"/>
    <s v="Procesos 2000 S.A.S."/>
    <s v="Procesos 2000"/>
    <x v="2"/>
  </r>
  <r>
    <n v="178"/>
    <x v="174"/>
    <n v="3450000"/>
    <s v="P-1166"/>
    <s v="TIS-1173"/>
    <s v="Terminales Automotrices SA"/>
    <s v="TNK 860079174"/>
    <x v="2"/>
  </r>
  <r>
    <n v="232"/>
    <x v="175"/>
    <n v="15430800"/>
    <s v="P-1220"/>
    <s v="TIS-1213"/>
    <s v="Megalinea S.A."/>
    <s v="Megalinea Margarita"/>
    <x v="2"/>
  </r>
  <r>
    <m/>
    <x v="176"/>
    <n v="300000"/>
    <e v="#N/A"/>
    <e v="#N/A"/>
    <e v="#N/A"/>
    <s v="staff seguros"/>
    <x v="2"/>
  </r>
  <r>
    <n v="204"/>
    <x v="177"/>
    <n v="241276"/>
    <s v="P-1192"/>
    <s v="TIS-1179"/>
    <s v="BETA SERVICIOS TEMPORALES S A S"/>
    <s v="beta servicios"/>
    <x v="2"/>
  </r>
  <r>
    <n v="245"/>
    <x v="178"/>
    <n v="850000"/>
    <s v="P-1233"/>
    <s v="TIS-1223"/>
    <s v="EXPRESS CLEAN LAVANDERIA"/>
    <s v="Express and clean Margarita"/>
    <x v="2"/>
  </r>
  <r>
    <n v="119"/>
    <x v="179"/>
    <n v="638634"/>
    <s v="P-1107"/>
    <s v="Tis-1097"/>
    <s v="Procesos 2000 S.A.S."/>
    <m/>
    <x v="2"/>
  </r>
  <r>
    <n v="183"/>
    <x v="179"/>
    <n v="342804"/>
    <s v="P-1171"/>
    <s v="TIS-1185"/>
    <s v="HIPRA COLOMBIA SAS"/>
    <s v="Margarita"/>
    <x v="2"/>
  </r>
  <r>
    <n v="165"/>
    <x v="180"/>
    <n v="282946"/>
    <s v="P-1153"/>
    <s v="Tis-1180"/>
    <s v="INSTRUMENTACION Y SOLUCIONES PARA LABORATORIO S A S"/>
    <s v="Margarita"/>
    <x v="2"/>
  </r>
  <r>
    <n v="229"/>
    <x v="180"/>
    <n v="208250"/>
    <s v="P-1217"/>
    <s v="TIS-1206"/>
    <s v="SOLDMANT LTDA"/>
    <m/>
    <x v="2"/>
  </r>
  <r>
    <n v="182"/>
    <x v="181"/>
    <n v="25372752"/>
    <s v="P-1170"/>
    <s v="TIS-1182"/>
    <s v="Banco de Bogota S.A."/>
    <m/>
    <x v="2"/>
  </r>
  <r>
    <n v="190"/>
    <x v="182"/>
    <n v="250000"/>
    <s v="P-1218"/>
    <s v="NC31"/>
    <s v="ATECNO S.A.S"/>
    <s v="liceo los angeles"/>
    <x v="2"/>
  </r>
  <r>
    <n v="266"/>
    <x v="183"/>
    <n v="4098978.48"/>
    <s v="P-1254"/>
    <s v="TIS-1245"/>
    <s v="FIDEICOMISOS SOCIEDAD FIDUCIARIA DE OCCIDENTE SA"/>
    <s v="Fiduciaria"/>
    <x v="2"/>
  </r>
  <r>
    <n v="216"/>
    <x v="184"/>
    <n v="2377675"/>
    <s v="P-1204"/>
    <s v="TIS-1193"/>
    <s v="INSUMOS VETERINARIOS Y FARMACEUTICOS DE COLOMBIA SAS"/>
    <m/>
    <x v="2"/>
  </r>
  <r>
    <n v="219"/>
    <x v="185"/>
    <n v="561680"/>
    <s v="P-1207"/>
    <s v="TIS-1197"/>
    <s v="FORMADERAS Y CASETONES WP SAS"/>
    <s v="Formaderas factura 1197"/>
    <x v="2"/>
  </r>
  <r>
    <n v="212"/>
    <x v="186"/>
    <n v="773218"/>
    <s v="P-1200"/>
    <s v="Tis-1192"/>
    <s v="FEDERACION NACIONAL DE COMERCIANTES FENALCO SECCIONAL BOGOTA CUNDINAMARCA"/>
    <m/>
    <x v="2"/>
  </r>
  <r>
    <n v="215"/>
    <x v="187"/>
    <n v="24082747.870000001"/>
    <s v="P-1203"/>
    <s v="Tis-1196"/>
    <s v="Banco de Bogota S.A."/>
    <m/>
    <x v="2"/>
  </r>
  <r>
    <n v="169"/>
    <x v="188"/>
    <n v="1005928"/>
    <s v="P-1157"/>
    <s v="TIS-1183"/>
    <s v="Comercializadora ERZ SAS"/>
    <m/>
    <x v="2"/>
  </r>
  <r>
    <n v="209"/>
    <x v="189"/>
    <n v="966000"/>
    <s v="P-1197"/>
    <s v="Tis-1188"/>
    <s v="Inversiones Sajamib SAS"/>
    <m/>
    <x v="2"/>
  </r>
  <r>
    <n v="219"/>
    <x v="189"/>
    <n v="147042"/>
    <s v="P-1207"/>
    <s v="TIS-1197"/>
    <s v="FORMADERAS Y CASETONES WP SAS"/>
    <s v="formaderas"/>
    <x v="2"/>
  </r>
  <r>
    <n v="221"/>
    <x v="190"/>
    <n v="3487575"/>
    <s v="P-1209"/>
    <s v="TIS-1199"/>
    <s v="INVERSIONES FRANQUIHER S A S"/>
    <m/>
    <x v="2"/>
  </r>
  <r>
    <n v="223"/>
    <x v="190"/>
    <n v="3487575"/>
    <s v="P-1211"/>
    <s v="TIS-1200"/>
    <s v="H &amp; S FRANQUICIAS SAS"/>
    <m/>
    <x v="2"/>
  </r>
  <r>
    <n v="119"/>
    <x v="191"/>
    <n v="660861"/>
    <s v="P-1107"/>
    <s v="Tis-1097"/>
    <s v="Procesos 2000 S.A.S."/>
    <m/>
    <x v="2"/>
  </r>
  <r>
    <n v="217"/>
    <x v="192"/>
    <n v="741221"/>
    <s v="P-1205"/>
    <s v="TIS-1194"/>
    <s v="CONSTRUCCIONES Y AMBIENTE - CONAMBIENTE - S.A.S"/>
    <s v="CONSTRUCCIONES Y AMBIENTE - CONAMBIENTE - S.A.S"/>
    <x v="2"/>
  </r>
  <r>
    <n v="208"/>
    <x v="193"/>
    <n v="1552420"/>
    <s v="P-1196"/>
    <s v="Tis-1189"/>
    <s v="PASTRY CHEF PASTELERIA Y COCINA GOURMET SAS"/>
    <m/>
    <x v="3"/>
  </r>
  <r>
    <n v="218"/>
    <x v="193"/>
    <n v="8856000"/>
    <s v="P-1206"/>
    <s v="TIS-1195"/>
    <s v="CONCESIONARIA DEL DESARROLLO VIAL DE LA SABANA"/>
    <s v="DEVISAB"/>
    <x v="3"/>
  </r>
  <r>
    <n v="229"/>
    <x v="194"/>
    <n v="208250"/>
    <s v="P-1217"/>
    <s v="TIS-1206"/>
    <s v="SOLDMANT LTDA"/>
    <s v="Margarita"/>
    <x v="3"/>
  </r>
  <r>
    <n v="184"/>
    <x v="195"/>
    <n v="900000"/>
    <s v="P-1172"/>
    <s v="TIS-1110"/>
    <s v="Maria del Pilar Alvarado Joya"/>
    <s v="Staff"/>
    <x v="3"/>
  </r>
  <r>
    <n v="254"/>
    <x v="195"/>
    <n v="900000"/>
    <s v="P-1242"/>
    <s v="TIS-1232"/>
    <s v="Maria del Pilar Alvarado Joya"/>
    <s v="Staff"/>
    <x v="3"/>
  </r>
  <r>
    <n v="227"/>
    <x v="196"/>
    <n v="704272"/>
    <s v="P-1215"/>
    <s v="TIS-1202"/>
    <s v="PRODUCTORA INTERAMERICANA DE PLASTICOS S.A.S."/>
    <m/>
    <x v="3"/>
  </r>
  <r>
    <n v="222"/>
    <x v="197"/>
    <n v="321754"/>
    <s v="P-1210"/>
    <s v="TIS-1204"/>
    <s v="SUPPLYTEC SAS"/>
    <s v="Margarita"/>
    <x v="3"/>
  </r>
  <r>
    <n v="228"/>
    <x v="197"/>
    <n v="495598"/>
    <s v="P-1216"/>
    <s v="TIS-1203"/>
    <s v="COMERCIALIZADORA INTERNACIONAL DYNAMIC TRADING CORPORATION S.A.S"/>
    <s v="DYCSA - Margarita"/>
    <x v="3"/>
  </r>
  <r>
    <n v="226"/>
    <x v="198"/>
    <n v="9401400"/>
    <s v="P-1214"/>
    <s v="TIS-1205"/>
    <s v="MCCANN ERICKSON CORPORATION S A"/>
    <s v="Mcann"/>
    <x v="3"/>
  </r>
  <r>
    <n v="220"/>
    <x v="199"/>
    <n v="768448"/>
    <s v="P-1208"/>
    <s v="TIS-1198"/>
    <s v="V2S COLOMBIA SAS"/>
    <s v="V2S Margarita"/>
    <x v="3"/>
  </r>
  <r>
    <n v="177"/>
    <x v="200"/>
    <n v="2675808"/>
    <s v="P-1165"/>
    <s v="TIS-1172"/>
    <s v="TRANSPORTES ESPECIALES ALIADOS S.A.S"/>
    <s v="TEA - Margarita"/>
    <x v="3"/>
  </r>
  <r>
    <n v="233"/>
    <x v="201"/>
    <n v="570204"/>
    <s v="P-1221"/>
    <s v="TIS-1209"/>
    <s v="CONPORTUARIO LTDA"/>
    <s v="Conportuario"/>
    <x v="3"/>
  </r>
  <r>
    <n v="231"/>
    <x v="202"/>
    <n v="1067022"/>
    <s v="P-1219"/>
    <s v="TIS-1207"/>
    <s v="LABORATORIOS VIDA STEVIA SA"/>
    <s v="Laboratorios VI - Margarita"/>
    <x v="3"/>
  </r>
  <r>
    <n v="263"/>
    <x v="202"/>
    <n v="669375"/>
    <s v="P-1251"/>
    <s v="TIS-1243"/>
    <s v="JALO RENT SAS "/>
    <s v="Jalo rent SAS"/>
    <x v="3"/>
  </r>
  <r>
    <n v="264"/>
    <x v="203"/>
    <n v="667500"/>
    <s v="P-1252"/>
    <s v="TIS-1217"/>
    <s v="ROYCO SOLUCIONES SAS"/>
    <s v="Royco Soluciones"/>
    <x v="3"/>
  </r>
  <r>
    <n v="234"/>
    <x v="204"/>
    <n v="6951661"/>
    <s v="P-1222"/>
    <s v="TIS-1210"/>
    <s v="INSTITUTO DISTRITAL DE CIENCIA, BIOTECNOLOGIA E INNOVACION EN SALUD"/>
    <s v="IDCBIS - Margarita"/>
    <x v="3"/>
  </r>
  <r>
    <n v="243"/>
    <x v="205"/>
    <n v="342482"/>
    <s v="P-1231"/>
    <s v="TIS-1221"/>
    <s v="CLEAN MAX SAS"/>
    <s v="Clean Max - Margarita"/>
    <x v="3"/>
  </r>
  <r>
    <n v="232"/>
    <x v="206"/>
    <n v="24105350"/>
    <s v="P-1220"/>
    <s v="TIS-1213"/>
    <s v="Megalinea S.A."/>
    <s v="Megalinea - Margarita"/>
    <x v="3"/>
  </r>
  <r>
    <n v="239"/>
    <x v="206"/>
    <n v="644000"/>
    <s v="P-1227"/>
    <s v="TIS-1216"/>
    <s v="Inversiones Sajamib SAS"/>
    <s v="Inv Sajamib"/>
    <x v="3"/>
  </r>
  <r>
    <n v="364"/>
    <x v="207"/>
    <n v="463539"/>
    <s v="P-1352"/>
    <s v="TIS-1332"/>
    <s v="TBTB GLOBAL LAB SAS"/>
    <m/>
    <x v="4"/>
  </r>
  <r>
    <n v="235"/>
    <x v="208"/>
    <n v="642204"/>
    <s v="P-1223"/>
    <s v="TIS-1211"/>
    <s v="PRODUCTORA INTERAMERICANA DE PLASTICOS S.A.S."/>
    <s v="Polinter"/>
    <x v="3"/>
  </r>
  <r>
    <n v="238"/>
    <x v="208"/>
    <n v="321102"/>
    <s v="P-1226"/>
    <s v="TIS-1215"/>
    <s v="PRODUCTORA INTERAMERICANA DE PLASTICOS S.A.S."/>
    <s v="Polinter"/>
    <x v="3"/>
  </r>
  <r>
    <n v="241"/>
    <x v="208"/>
    <n v="503000"/>
    <s v="P-1229"/>
    <s v="TIS-1219"/>
    <s v="TECNOLOGIA DE OFICINA S.A.S."/>
    <s v="Tecnoficinas"/>
    <x v="3"/>
  </r>
  <r>
    <n v="255"/>
    <x v="208"/>
    <n v="558000"/>
    <s v="P-1243"/>
    <s v="TIS-1234"/>
    <s v="STT Group sucursal colombia SA"/>
    <s v="SST Group SUC C"/>
    <x v="3"/>
  </r>
  <r>
    <n v="240"/>
    <x v="209"/>
    <n v="1723268"/>
    <s v="P-1228"/>
    <s v="TIS-1218"/>
    <s v="PASTRY CHEF PASTELERIA Y COCINA GOURMET SAS"/>
    <s v="Pastrychef"/>
    <x v="3"/>
  </r>
  <r>
    <n v="248"/>
    <x v="209"/>
    <n v="831833"/>
    <s v="P-1236"/>
    <s v="TIS-1226 "/>
    <s v="PASTRY CHEF PASTELERIA Y COCINA GOURMET SAS"/>
    <m/>
    <x v="3"/>
  </r>
  <r>
    <n v="246"/>
    <x v="210"/>
    <n v="1287600"/>
    <s v="P-1234"/>
    <s v="TIS-1224 "/>
    <s v="HUTERCOL S.A.S."/>
    <s v="Hutercol"/>
    <x v="3"/>
  </r>
  <r>
    <n v="247"/>
    <x v="211"/>
    <n v="570000"/>
    <s v="P-1235"/>
    <s v="TIS-1225"/>
    <s v="CHILLER PLANT SERVICES SAS"/>
    <s v="CPS SAS"/>
    <x v="3"/>
  </r>
  <r>
    <n v="132"/>
    <x v="212"/>
    <n v="995840"/>
    <s v="P-1120"/>
    <s v="TIS-1208"/>
    <s v="CAVACOR S.A.S"/>
    <s v="cavacor"/>
    <x v="3"/>
  </r>
  <r>
    <n v="245"/>
    <x v="212"/>
    <n v="154728"/>
    <s v="P-1233"/>
    <s v="TIS-1223"/>
    <s v="EXPRESS CLEAN LAVANDERIA"/>
    <s v="Express and clean Margarita"/>
    <x v="3"/>
  </r>
  <r>
    <n v="237"/>
    <x v="213"/>
    <n v="5597919"/>
    <s v="P-1225"/>
    <s v="TIS-1214"/>
    <s v="ATECNO S.A.S"/>
    <s v="Atecno sas"/>
    <x v="3"/>
  </r>
  <r>
    <n v="251"/>
    <x v="213"/>
    <n v="400000"/>
    <s v="P-1239"/>
    <s v="TIS-1229"/>
    <s v="Inversiones Sajamib SAS"/>
    <s v="inversiones sajamib"/>
    <x v="3"/>
  </r>
  <r>
    <n v="252"/>
    <x v="213"/>
    <n v="547363"/>
    <s v="P-1240"/>
    <s v="TIS-1230"/>
    <s v="MEMCO SAS"/>
    <s v="Memco - Margarita"/>
    <x v="3"/>
  </r>
  <r>
    <n v="265"/>
    <x v="214"/>
    <n v="862500"/>
    <s v="P-1253"/>
    <s v="TIS-1233"/>
    <s v="BBC HOLDING SAS"/>
    <s v="bbc holding sas"/>
    <x v="3"/>
  </r>
  <r>
    <n v="284"/>
    <x v="215"/>
    <n v="2350000"/>
    <s v="P-1272"/>
    <s v="TIS-1255"/>
    <s v="ALFONSO URIBE S &amp; CIA SA"/>
    <s v="Alfonso uribe"/>
    <x v="3"/>
  </r>
  <r>
    <n v="298"/>
    <x v="216"/>
    <n v="565250"/>
    <s v="P-1286"/>
    <s v="TIS-1267"/>
    <s v="VENTAS Y MARCAS SAS "/>
    <s v="ventas y marcas"/>
    <x v="3"/>
  </r>
  <r>
    <n v="275"/>
    <x v="217"/>
    <n v="535500"/>
    <s v="P-1263"/>
    <s v="TIS-1246"/>
    <s v="RADIOLOGICAL PROTECTION SERVICES SAS"/>
    <s v="RP services TIS1246"/>
    <x v="3"/>
  </r>
  <r>
    <n v="263"/>
    <x v="218"/>
    <n v="535882"/>
    <s v="P-1251"/>
    <s v="TIS-1243"/>
    <s v="JALO RENT SAS "/>
    <s v="Jalo rent SAS"/>
    <x v="3"/>
  </r>
  <r>
    <n v="257"/>
    <x v="219"/>
    <n v="2944657.2"/>
    <s v="P-1245"/>
    <s v="TIS-1236"/>
    <s v="ETRA INTERANDINA SA"/>
    <m/>
    <x v="3"/>
  </r>
  <r>
    <n v="259"/>
    <x v="220"/>
    <n v="400000"/>
    <s v="P-1247"/>
    <s v="TIS-1238"/>
    <s v="Inversiones Sajamib SAS"/>
    <s v="sajamib"/>
    <x v="3"/>
  </r>
  <r>
    <n v="236"/>
    <x v="221"/>
    <n v="458501"/>
    <s v="P-1224"/>
    <s v="TIS-1212"/>
    <s v="Comercializadora ERZ SAS"/>
    <m/>
    <x v="3"/>
  </r>
  <r>
    <n v="250"/>
    <x v="221"/>
    <n v="278899"/>
    <s v="P-1238"/>
    <s v="TIS-1228"/>
    <s v="Comercializadora ERZ SAS"/>
    <m/>
    <x v="3"/>
  </r>
  <r>
    <n v="258"/>
    <x v="221"/>
    <n v="105000"/>
    <s v="P-1246"/>
    <s v="TIS-1237"/>
    <s v="Comercializadora ERZ SAS"/>
    <m/>
    <x v="3"/>
  </r>
  <r>
    <n v="256"/>
    <x v="222"/>
    <n v="748000"/>
    <s v="P-1244"/>
    <s v="TIS-1235"/>
    <s v="DIGITAL MEDIA TECHNOLOGIES COLOMBIA SAS"/>
    <s v="digital media tecnology"/>
    <x v="3"/>
  </r>
  <r>
    <n v="242"/>
    <x v="223"/>
    <n v="3554371"/>
    <s v="P-1230"/>
    <s v="TIS-1220"/>
    <s v="PRODUCTORA INTERAMERICANA DE PLASTICOS S.A.S."/>
    <m/>
    <x v="3"/>
  </r>
  <r>
    <n v="244"/>
    <x v="223"/>
    <n v="464757.48"/>
    <s v="P-1232"/>
    <s v="TIS-1222"/>
    <s v="SOLUCIONES INDUSTRIALES MONTERREY SAS"/>
    <s v="soluciones Indu"/>
    <x v="3"/>
  </r>
  <r>
    <n v="319"/>
    <x v="223"/>
    <n v="321102"/>
    <s v="P-1307"/>
    <s v="TIS-1288"/>
    <s v="PRODUCTORA INTERAMERICANA DE PLASTICOS S.A.S."/>
    <m/>
    <x v="3"/>
  </r>
  <r>
    <n v="321"/>
    <x v="223"/>
    <n v="321102"/>
    <s v="P-1309"/>
    <s v="TIS-1290"/>
    <s v="PRODUCTORA INTERAMERICANA DE PLASTICOS S.A.S."/>
    <m/>
    <x v="3"/>
  </r>
  <r>
    <n v="255"/>
    <x v="224"/>
    <n v="1195615.44"/>
    <s v="P-1243"/>
    <s v="TIS-1234"/>
    <s v="STT Group sucursal colombia SA"/>
    <s v="SST Group SUC C"/>
    <x v="3"/>
  </r>
  <r>
    <n v="267"/>
    <x v="225"/>
    <n v="1266887"/>
    <s v="P-1255"/>
    <s v="TIS-1242"/>
    <s v="ATECNO S.A.S"/>
    <s v="Atecno sas"/>
    <x v="3"/>
  </r>
  <r>
    <n v="275"/>
    <x v="225"/>
    <n v="500035"/>
    <s v="P-1263"/>
    <s v="TIS-1246"/>
    <s v="RADIOLOGICAL PROTECTION SERVICES SAS"/>
    <m/>
    <x v="3"/>
  </r>
  <r>
    <n v="283"/>
    <x v="226"/>
    <n v="672750"/>
    <s v="P-1271"/>
    <s v="TIS-1254"/>
    <s v="JALO HASHTAG 98 SAS"/>
    <m/>
    <x v="3"/>
  </r>
  <r>
    <n v="262"/>
    <x v="227"/>
    <n v="20161100"/>
    <s v="P-1250"/>
    <s v="TIS-1241"/>
    <e v="#N/A"/>
    <s v="activos SAS"/>
    <x v="3"/>
  </r>
  <r>
    <n v="276"/>
    <x v="228"/>
    <n v="280800"/>
    <s v="P-1264"/>
    <s v="TIS-1247"/>
    <s v="Comercializadora ERZ SAS"/>
    <s v="ERZ"/>
    <x v="3"/>
  </r>
  <r>
    <n v="266"/>
    <x v="229"/>
    <n v="3155850.83"/>
    <s v="P-1254"/>
    <s v="TIS-1245"/>
    <s v="FIDEICOMISOS SOCIEDAD FIDUCIARIA DE OCCIDENTE SA"/>
    <s v="Fideicomisos"/>
    <x v="3"/>
  </r>
  <r>
    <n v="280"/>
    <x v="229"/>
    <n v="400000"/>
    <s v="P-1268"/>
    <s v="TIS-1251"/>
    <s v="Inversiones Sajamib SAS"/>
    <s v="inversiones sajamib"/>
    <x v="3"/>
  </r>
  <r>
    <n v="281"/>
    <x v="230"/>
    <n v="270000"/>
    <s v="P-1269"/>
    <s v="TIS-1252"/>
    <s v="DIGITAL MEDIA TECHNOLOGIES COLOMBIA SAS"/>
    <s v="digital media tecnology"/>
    <x v="3"/>
  </r>
  <r>
    <n v="287"/>
    <x v="231"/>
    <n v="12558000"/>
    <s v="P-1275"/>
    <s v="TIS-1256"/>
    <s v="LUCTA GRANCOLOMBIA SAS"/>
    <s v="Credicorp"/>
    <x v="3"/>
  </r>
  <r>
    <n v="285"/>
    <x v="232"/>
    <n v="1393200"/>
    <s v="P-1273"/>
    <s v="TIS-1257"/>
    <s v="GENERAL RIKS SERVICES SAS "/>
    <s v="GRS TIS1257"/>
    <x v="3"/>
  </r>
  <r>
    <n v="286"/>
    <x v="233"/>
    <n v="113050"/>
    <s v="P-1274"/>
    <s v="TIS-1258"/>
    <s v="CHILLER PLANT SERVICES SAS"/>
    <s v="CPS SAS"/>
    <x v="3"/>
  </r>
  <r>
    <n v="261"/>
    <x v="234"/>
    <n v="187310"/>
    <s v="P-1249"/>
    <s v="TIS-1240"/>
    <s v="ROYCO SOLUCIONES SAS"/>
    <s v="Royco Soluciones"/>
    <x v="3"/>
  </r>
  <r>
    <n v="278"/>
    <x v="234"/>
    <n v="55871"/>
    <s v="P-1266"/>
    <s v="TIS-1249"/>
    <s v="ROYCO SOLUCIONES SAS"/>
    <s v="Royco Soluciones"/>
    <x v="3"/>
  </r>
  <r>
    <n v="299"/>
    <x v="235"/>
    <n v="482895"/>
    <s v="P-1287"/>
    <s v="TIS-1268"/>
    <s v="INVERSIONES FRANQUIHER S A S"/>
    <s v="INV Franquiher"/>
    <x v="3"/>
  </r>
  <r>
    <n v="300"/>
    <x v="235"/>
    <n v="482895"/>
    <s v="P-1288"/>
    <s v="TIS-1269"/>
    <s v="H &amp; S FRANQUICIAS SAS"/>
    <s v="H &amp; S FRANQUICIAS"/>
    <x v="3"/>
  </r>
  <r>
    <n v="258"/>
    <x v="236"/>
    <n v="280800"/>
    <s v="P-1246"/>
    <s v="TIS-1237"/>
    <s v="Comercializadora ERZ SAS"/>
    <s v="ERZ"/>
    <x v="3"/>
  </r>
  <r>
    <n v="291"/>
    <x v="237"/>
    <n v="321102"/>
    <s v="P-1279"/>
    <s v="TIS-1260"/>
    <s v="PRODUCTORA INTERAMERICANA DE PLASTICOS S.A.S."/>
    <s v="Polinter"/>
    <x v="3"/>
  </r>
  <r>
    <n v="293"/>
    <x v="237"/>
    <n v="270000"/>
    <s v="P-1281"/>
    <s v="TIS-1262"/>
    <s v="DIGITAL MEDIA TECHNOLOGIES COLOMBIA SAS"/>
    <s v="digital media tecnology"/>
    <x v="3"/>
  </r>
  <r>
    <n v="311"/>
    <x v="237"/>
    <n v="400000"/>
    <s v="P-1299"/>
    <s v="TIS-1280"/>
    <s v="Walsom SAS"/>
    <s v="walsom sas"/>
    <x v="3"/>
  </r>
  <r>
    <n v="284"/>
    <x v="238"/>
    <n v="1239040"/>
    <s v="P-1272"/>
    <s v="TIS-1255"/>
    <s v="ALFONSO URIBE S &amp; CIA SA"/>
    <s v="Alfonso uribe"/>
    <x v="3"/>
  </r>
  <r>
    <n v="310"/>
    <x v="239"/>
    <n v="500000"/>
    <s v="P-1298"/>
    <s v="TIS-1279"/>
    <s v="EXPRESS CLEAN LAVANDERIA"/>
    <s v="Express &amp; Clean"/>
    <x v="3"/>
  </r>
  <r>
    <n v="249"/>
    <x v="240"/>
    <n v="321102"/>
    <s v="P-1237"/>
    <s v="TIS-1227"/>
    <s v="PRODUCTORA INTERAMERICANA DE PLASTICOS S.A.S."/>
    <s v="Polinter"/>
    <x v="3"/>
  </r>
  <r>
    <n v="298"/>
    <x v="241"/>
    <n v="452523"/>
    <s v="P-1286"/>
    <s v="TIS-1267"/>
    <s v="VENTAS Y MARCAS SAS "/>
    <s v="ventas y marcas"/>
    <x v="3"/>
  </r>
  <r>
    <n v="331"/>
    <x v="242"/>
    <n v="2516850"/>
    <s v="P-1319"/>
    <s v="TIS-1299"/>
    <s v="INDUSTRIA COLOMBIANA DE PERFILES METALICOS S.A."/>
    <s v="Icoperfiles SA"/>
    <x v="3"/>
  </r>
  <r>
    <n v="294"/>
    <x v="243"/>
    <n v="400000"/>
    <s v="P-1282"/>
    <s v="TIS-1263"/>
    <s v="Inversiones Sajamib SAS"/>
    <s v="Sajamib"/>
    <x v="3"/>
  </r>
  <r>
    <n v="309"/>
    <x v="243"/>
    <n v="1584000"/>
    <s v="P-1297"/>
    <s v="TIS-1278"/>
    <s v="SUPPLYTEC SAS"/>
    <s v="Suplytec"/>
    <x v="3"/>
  </r>
  <r>
    <n v="311"/>
    <x v="243"/>
    <n v="398938"/>
    <s v="P-1299"/>
    <s v="TIS-1280"/>
    <s v="Walsom SAS"/>
    <s v="walsom sas"/>
    <x v="3"/>
  </r>
  <r>
    <n v="333"/>
    <x v="244"/>
    <n v="1287600"/>
    <s v="P-1321"/>
    <s v="TIS-1277"/>
    <s v="HUTERCOL S.A.S."/>
    <s v="Hutercol"/>
    <x v="3"/>
  </r>
  <r>
    <n v="304"/>
    <x v="245"/>
    <n v="270000"/>
    <s v="P-1292"/>
    <s v="TIS-1272"/>
    <s v="DIGITAL MEDIA TECHNOLOGIES COLOMBIA SAS"/>
    <s v="Digital Media T"/>
    <x v="3"/>
  </r>
  <r>
    <n v="277"/>
    <x v="246"/>
    <n v="321102"/>
    <s v="P-1265"/>
    <s v="TIS-1248"/>
    <s v="PRODUCTORA INTERAMERICANA DE PLASTICOS S.A.S."/>
    <s v="Polinter"/>
    <x v="3"/>
  </r>
  <r>
    <n v="297"/>
    <x v="247"/>
    <n v="771120"/>
    <s v="P-1285"/>
    <s v="TIS-1266"/>
    <s v="TECNOLOGIA DE OFICINA S.A.S."/>
    <s v="Tecnoficinas"/>
    <x v="3"/>
  </r>
  <r>
    <n v="308"/>
    <x v="248"/>
    <n v="1858110"/>
    <s v="P-1296"/>
    <s v="TIS-1276"/>
    <s v="PRODUCTORA INTERAMERICANA DE PLASTICOS S.A.S."/>
    <s v="polinter"/>
    <x v="3"/>
  </r>
  <r>
    <n v="292"/>
    <x v="249"/>
    <n v="199470"/>
    <s v="P-1280"/>
    <s v="TIS-1261"/>
    <s v="ROYCO SOLUCIONES SAS"/>
    <s v="Royco Soluciones"/>
    <x v="3"/>
  </r>
  <r>
    <n v="303"/>
    <x v="249"/>
    <n v="199470"/>
    <s v="P-1291"/>
    <s v="TIS-1271"/>
    <s v="ROYCO SOLUCIONES SAS"/>
    <s v="Royco Soluciones"/>
    <x v="3"/>
  </r>
  <r>
    <n v="305"/>
    <x v="250"/>
    <n v="400000"/>
    <s v="P-1293"/>
    <s v="TIS-1273"/>
    <s v="Inversiones Sajamib SAS"/>
    <s v="Sajamib"/>
    <x v="3"/>
  </r>
  <r>
    <n v="324"/>
    <x v="250"/>
    <n v="400000"/>
    <s v="P-1312"/>
    <s v="TIS-1293"/>
    <s v="Inversiones Sajamib SAS"/>
    <s v="Sajamib"/>
    <x v="3"/>
  </r>
  <r>
    <n v="260"/>
    <x v="251"/>
    <n v="321102"/>
    <s v="P-1248"/>
    <s v="TIS-1239"/>
    <s v="PRODUCTORA INTERAMERICANA DE PLASTICOS S.A.S."/>
    <s v="Polinter"/>
    <x v="3"/>
  </r>
  <r>
    <n v="315"/>
    <x v="252"/>
    <n v="270000"/>
    <s v="P-1303"/>
    <s v="TIS-1284"/>
    <s v="DIGITAL MEDIA TECHNOLOGIES COLOMBIA SAS"/>
    <s v="Digital Media T"/>
    <x v="3"/>
  </r>
  <r>
    <n v="314"/>
    <x v="253"/>
    <n v="201250"/>
    <s v="P-1302"/>
    <s v="TIS-1283"/>
    <s v="ROYCO SOLUCIONES SAS"/>
    <s v="Royco Soluciones"/>
    <x v="3"/>
  </r>
  <r>
    <n v="310"/>
    <x v="254"/>
    <n v="517773"/>
    <s v="P-1298"/>
    <s v="TIS-1279"/>
    <s v="EXPRESS CLEAN LAVANDERIA"/>
    <s v="Expres &amp; Clean"/>
    <x v="3"/>
  </r>
  <r>
    <n v="360"/>
    <x v="255"/>
    <n v="900000"/>
    <s v="P-1348"/>
    <s v="TIS-1328"/>
    <s v="Maria del Pilar Alvarado Joya"/>
    <s v="Staff"/>
    <x v="3"/>
  </r>
  <r>
    <n v="361"/>
    <x v="255"/>
    <n v="300000"/>
    <s v="P-1349"/>
    <s v="TIS-1329"/>
    <s v="Maria del Pilar Alvarado Joya"/>
    <s v="Staff"/>
    <x v="3"/>
  </r>
  <r>
    <n v="318"/>
    <x v="256"/>
    <n v="1806299"/>
    <s v="P-1306"/>
    <s v="TIS-1287"/>
    <s v="TRANSPORTES ESPECIALES ALIADOS S.A.S"/>
    <s v="Transportes Especiales TEA"/>
    <x v="3"/>
  </r>
  <r>
    <n v="343"/>
    <x v="256"/>
    <n v="536000"/>
    <s v="P-1331"/>
    <s v="TIS-1311"/>
    <s v="BP CAPITAL SAS "/>
    <s v="B Y P capital"/>
    <x v="3"/>
  </r>
  <r>
    <n v="290"/>
    <x v="257"/>
    <n v="280800"/>
    <s v="P-1278"/>
    <s v="TIS-1259"/>
    <s v="Comercializadora ERZ SAS"/>
    <m/>
    <x v="3"/>
  </r>
  <r>
    <n v="302"/>
    <x v="257"/>
    <n v="280800"/>
    <s v="P-1290"/>
    <s v="TIS-1270"/>
    <s v="Comercializadora ERZ SAS"/>
    <m/>
    <x v="3"/>
  </r>
  <r>
    <n v="316"/>
    <x v="258"/>
    <n v="400000"/>
    <s v="P-1304"/>
    <s v="TIS-1285"/>
    <s v="Inversiones Sajamib SAS"/>
    <s v="sajamib"/>
    <x v="3"/>
  </r>
  <r>
    <n v="327"/>
    <x v="259"/>
    <n v="345000"/>
    <s v="P-1315"/>
    <s v="TIS-1296"/>
    <s v="ALVEAR ESCOBAR ASOCIADOS S.A.S"/>
    <s v="Alvear 2 escoba"/>
    <x v="3"/>
  </r>
  <r>
    <n v="323"/>
    <x v="260"/>
    <n v="270000"/>
    <s v="P-1311"/>
    <s v="TIS-1292"/>
    <s v="DIGITAL MEDIA TECHNOLOGIES COLOMBIA SAS"/>
    <s v="Digital Media T"/>
    <x v="3"/>
  </r>
  <r>
    <m/>
    <x v="261"/>
    <n v="207000"/>
    <e v="#N/A"/>
    <e v="#N/A"/>
    <e v="#N/A"/>
    <s v="BackBone Ltda (factura Tis152 de 2020)"/>
    <x v="3"/>
  </r>
  <r>
    <n v="247"/>
    <x v="262"/>
    <n v="108300"/>
    <s v="P-1235"/>
    <s v="TIS-1225"/>
    <s v="CHILLER PLANT SERVICES SAS"/>
    <s v="CPS SAS"/>
    <x v="3"/>
  </r>
  <r>
    <n v="331"/>
    <x v="262"/>
    <n v="1703520"/>
    <s v="P-1319"/>
    <s v="TIS-1299"/>
    <s v="INDUSTRIA COLOMBIANA DE PERFILES METALICOS S.A."/>
    <s v="Icoperfiles SA"/>
    <x v="3"/>
  </r>
  <r>
    <n v="307"/>
    <x v="263"/>
    <n v="321102"/>
    <s v="P-1295"/>
    <s v="TIS-1275"/>
    <s v="PRODUCTORA INTERAMERICANA DE PLASTICOS S.A.S."/>
    <s v="Polinter"/>
    <x v="3"/>
  </r>
  <r>
    <n v="313"/>
    <x v="263"/>
    <n v="321102"/>
    <s v="P-1301"/>
    <s v="TIS-1282"/>
    <s v="PRODUCTORA INTERAMERICANA DE PLASTICOS S.A.S."/>
    <s v="Polinter"/>
    <x v="3"/>
  </r>
  <r>
    <n v="372"/>
    <x v="264"/>
    <n v="1053150"/>
    <s v="P-1360"/>
    <s v="TIS-1341"/>
    <s v="FEDERACION NACIONAL DE COMERCIANTES FENALCO SECCIONAL BOGOTA CUNDINAMARCA"/>
    <s v="federacion Nacional"/>
    <x v="3"/>
  </r>
  <r>
    <n v="322"/>
    <x v="265"/>
    <n v="201250"/>
    <s v="P-1310"/>
    <s v="TIS-1291"/>
    <s v="ROYCO SOLUCIONES SAS"/>
    <s v="Royco Soluciones"/>
    <x v="3"/>
  </r>
  <r>
    <n v="328"/>
    <x v="265"/>
    <n v="412466"/>
    <s v="P-1316"/>
    <s v="TIS-1296"/>
    <s v="INSTRUMENTACION Y SOLUCIONES PARA LABORATORIO S A S"/>
    <s v="Insolab sas"/>
    <x v="3"/>
  </r>
  <r>
    <n v="335"/>
    <x v="266"/>
    <n v="1780680"/>
    <s v="P-1323"/>
    <s v="TIS-1303"/>
    <s v="GENUINE TECH SAS"/>
    <s v="Genuine Tech SA"/>
    <x v="3"/>
  </r>
  <r>
    <n v="341"/>
    <x v="267"/>
    <n v="270000"/>
    <s v="P-1329"/>
    <s v="TIS-1309"/>
    <s v="DIGITAL MEDIA TECHNOLOGIES COLOMBIA SAS"/>
    <s v="Digital Media T"/>
    <x v="3"/>
  </r>
  <r>
    <n v="343"/>
    <x v="267"/>
    <n v="491206"/>
    <s v="P-1331"/>
    <s v="TIS-1311"/>
    <s v="BP CAPITAL SAS "/>
    <s v="B Y P capital"/>
    <x v="3"/>
  </r>
  <r>
    <n v="332"/>
    <x v="268"/>
    <n v="11668608"/>
    <s v="P-1320"/>
    <s v="TIS-1300"/>
    <s v="FIDEICOMISOS SOCIEDAD FIDUCIARIA DE OCCIDENTE SA"/>
    <s v="fideicomisos (aeropuertos de oriente)"/>
    <x v="3"/>
  </r>
  <r>
    <m/>
    <x v="269"/>
    <n v="505750"/>
    <e v="#N/A"/>
    <e v="#N/A"/>
    <e v="#N/A"/>
    <s v="Global lab (sin factura)"/>
    <x v="3"/>
  </r>
  <r>
    <n v="279"/>
    <x v="270"/>
    <n v="1000000"/>
    <s v="P-1267"/>
    <s v="TIS-1250"/>
    <s v="CONSTRUCCIONES CIVILES JMR S.A.S"/>
    <s v="Construcciones"/>
    <x v="3"/>
  </r>
  <r>
    <n v="353"/>
    <x v="270"/>
    <n v="1071000"/>
    <s v="P-1341"/>
    <s v="TIS-1321"/>
    <s v="PURICOL LTDA"/>
    <s v="Puricol"/>
    <x v="3"/>
  </r>
  <r>
    <n v="350"/>
    <x v="271"/>
    <n v="215625"/>
    <s v="P-1338"/>
    <s v="TIS-1318"/>
    <s v="ALVEAR ESCOBAR ASOCIADOS S.A.S"/>
    <s v="Alvear 2 escoba (900694193)"/>
    <x v="3"/>
  </r>
  <r>
    <n v="282"/>
    <x v="272"/>
    <n v="400000"/>
    <s v="P-1270"/>
    <s v="TIS-1253"/>
    <s v="Maria del Pilar Alvarado Joya"/>
    <s v="Staff"/>
    <x v="3"/>
  </r>
  <r>
    <n v="295"/>
    <x v="272"/>
    <n v="900000"/>
    <s v="P-1283"/>
    <s v="TIS-1264"/>
    <s v="Maria del Pilar Alvarado Joya"/>
    <s v="Staff"/>
    <x v="3"/>
  </r>
  <r>
    <n v="296"/>
    <x v="272"/>
    <n v="300000"/>
    <s v="P-1284"/>
    <s v="TIS-1265"/>
    <s v="Maria del Pilar Alvarado Joya"/>
    <s v="Staff"/>
    <x v="3"/>
  </r>
  <r>
    <n v="306"/>
    <x v="272"/>
    <n v="300000"/>
    <s v="P-1294"/>
    <s v="TIS-1274"/>
    <s v="Maria del Pilar Alvarado Joya"/>
    <s v="Staff"/>
    <x v="3"/>
  </r>
  <r>
    <n v="317"/>
    <x v="272"/>
    <n v="300000"/>
    <s v="P-1305"/>
    <s v="TIS-1286"/>
    <s v="Maria del Pilar Alvarado Joya"/>
    <s v="Staff"/>
    <x v="3"/>
  </r>
  <r>
    <n v="325"/>
    <x v="272"/>
    <n v="900000"/>
    <s v="P-1313"/>
    <s v="TIS-1294"/>
    <s v="Maria del Pilar Alvarado Joya"/>
    <s v="Staff"/>
    <x v="3"/>
  </r>
  <r>
    <n v="326"/>
    <x v="272"/>
    <n v="300000"/>
    <s v="P-1314"/>
    <s v="TIS-1295"/>
    <s v="Maria del Pilar Alvarado Joya"/>
    <s v="Staff"/>
    <x v="3"/>
  </r>
  <r>
    <n v="340"/>
    <x v="272"/>
    <n v="300000"/>
    <s v="P-1328"/>
    <s v="TIS-1308"/>
    <s v="Maria del Pilar Alvarado Joya"/>
    <s v="Staff"/>
    <x v="3"/>
  </r>
  <r>
    <n v="352"/>
    <x v="272"/>
    <n v="300000"/>
    <s v="P-1340"/>
    <s v="TIS-1320"/>
    <s v="Maria del Pilar Alvarado Joya"/>
    <s v="Staff"/>
    <x v="3"/>
  </r>
  <r>
    <m/>
    <x v="272"/>
    <n v="900000"/>
    <e v="#N/A"/>
    <e v="#N/A"/>
    <e v="#N/A"/>
    <s v="Staff"/>
    <x v="3"/>
  </r>
  <r>
    <n v="174"/>
    <x v="273"/>
    <n v="1045364"/>
    <s v="P-1162"/>
    <s v="TIS-1169"/>
    <s v="Comercializadora ERZ SAS"/>
    <m/>
    <x v="3"/>
  </r>
  <r>
    <n v="312"/>
    <x v="273"/>
    <n v="280800"/>
    <s v="P-1300"/>
    <s v="TIS-1281"/>
    <s v="Comercializadora ERZ SAS"/>
    <m/>
    <x v="3"/>
  </r>
  <r>
    <n v="320"/>
    <x v="273"/>
    <n v="280800"/>
    <s v="P-1308"/>
    <s v="TIS-1289"/>
    <s v="Comercializadora ERZ SAS"/>
    <m/>
    <x v="3"/>
  </r>
  <r>
    <n v="336"/>
    <x v="273"/>
    <n v="280800"/>
    <s v="P-1324"/>
    <s v="TIS-1304"/>
    <s v="Comercializadora ERZ SAS"/>
    <m/>
    <x v="3"/>
  </r>
  <r>
    <n v="345"/>
    <x v="273"/>
    <n v="280800"/>
    <s v="P-1333"/>
    <s v="TIS-1313"/>
    <s v="Comercializadora ERZ SAS"/>
    <m/>
    <x v="3"/>
  </r>
  <r>
    <n v="329"/>
    <x v="274"/>
    <n v="39821353"/>
    <s v="P-1317"/>
    <s v="TIS-1297"/>
    <s v="ATECNO S.A.S"/>
    <s v="Atecno sas"/>
    <x v="3"/>
  </r>
  <r>
    <n v="342"/>
    <x v="274"/>
    <n v="1322500"/>
    <s v="P-1330"/>
    <s v="TIS-1310"/>
    <s v="LOGROS FACTORY COLOMBIA S.A"/>
    <s v="Logros Factoring"/>
    <x v="3"/>
  </r>
  <r>
    <n v="348"/>
    <x v="275"/>
    <n v="270000"/>
    <s v="P-1336"/>
    <s v="TIS-1316"/>
    <s v="DIGITAL MEDIA TECHNOLOGIES COLOMBIA SAS"/>
    <s v="Digital Media T"/>
    <x v="3"/>
  </r>
  <r>
    <n v="301"/>
    <x v="276"/>
    <n v="3858870"/>
    <s v="P-1289"/>
    <s v="TIS-1330"/>
    <s v="INDU B SAS"/>
    <s v="Indu B SAS"/>
    <x v="3"/>
  </r>
  <r>
    <n v="338"/>
    <x v="276"/>
    <n v="201250"/>
    <s v="P-1326"/>
    <s v="TIS-1306"/>
    <s v="ROYCO SOLUCIONES SAS"/>
    <s v="Royco Soluciones"/>
    <x v="3"/>
  </r>
  <r>
    <n v="354"/>
    <x v="277"/>
    <n v="11051040"/>
    <s v="P-1342"/>
    <s v="TIS-1322"/>
    <s v="DEVISAB SAS "/>
    <s v="Credicorp"/>
    <x v="3"/>
  </r>
  <r>
    <n v="358"/>
    <x v="278"/>
    <n v="270000"/>
    <s v="P-1346"/>
    <s v="TIS-1326"/>
    <s v="DIGITAL MEDIA TECHNOLOGIES COLOMBIA SAS"/>
    <m/>
    <x v="5"/>
  </r>
  <r>
    <n v="347"/>
    <x v="279"/>
    <n v="201250"/>
    <s v="P-1335"/>
    <s v="TIS-1315"/>
    <s v="ROYCO SOLUCIONES SAS"/>
    <m/>
    <x v="5"/>
  </r>
  <r>
    <n v="335"/>
    <x v="280"/>
    <n v="380000"/>
    <s v="P-1323"/>
    <s v="TIS-1303"/>
    <s v="GENUINE TECH SAS"/>
    <m/>
    <x v="5"/>
  </r>
  <r>
    <n v="377"/>
    <x v="281"/>
    <n v="2000000"/>
    <s v="P-1365"/>
    <s v="TIS-1354"/>
    <s v="ANTIADHERENTES Y MAQUINADOS ARIZAS SAS"/>
    <m/>
    <x v="5"/>
  </r>
  <r>
    <n v="369"/>
    <x v="282"/>
    <n v="622003"/>
    <s v="P-1357"/>
    <s v="TIS-1338"/>
    <s v="GENUINE TECH SAS"/>
    <m/>
    <x v="5"/>
  </r>
  <r>
    <n v="349"/>
    <x v="283"/>
    <n v="449820"/>
    <s v="P-1337"/>
    <s v="TIS-1317"/>
    <s v="TECNOLOGIA DE OFICINA S.A.S."/>
    <m/>
    <x v="5"/>
  </r>
  <r>
    <n v="367"/>
    <x v="284"/>
    <n v="300000"/>
    <s v="P-1355"/>
    <s v="TIS-1336"/>
    <s v="STAFF SEGUROS AGENCIA LTDA"/>
    <m/>
    <x v="5"/>
  </r>
  <r>
    <n v="385"/>
    <x v="285"/>
    <n v="2950000"/>
    <s v="P-1373"/>
    <s v="TIS-1352"/>
    <s v="ELKIN EDUARDO ORTIZ ORTIZ"/>
    <m/>
    <x v="5"/>
  </r>
  <r>
    <n v="373"/>
    <x v="286"/>
    <n v="304000"/>
    <s v="P-1361"/>
    <s v="TIS-1342"/>
    <s v="Soluciones Avanzadas de Ingeniería SAS"/>
    <m/>
    <x v="5"/>
  </r>
  <r>
    <n v="382"/>
    <x v="287"/>
    <n v="270000"/>
    <s v="P-1370"/>
    <s v="TIS-1348"/>
    <s v="DIGITAL MEDIA TECHNOLOGIES COLOMBIA SAS"/>
    <m/>
    <x v="5"/>
  </r>
  <r>
    <n v="355"/>
    <x v="288"/>
    <n v="280800"/>
    <s v="P-1343"/>
    <s v="TIS-1323"/>
    <s v="Comercializadora ERZ SAS"/>
    <m/>
    <x v="5"/>
  </r>
  <r>
    <n v="337"/>
    <x v="288"/>
    <n v="321102"/>
    <s v="P-1325"/>
    <s v="TIS-1305"/>
    <s v="PRODUCTORA INTERAMERICANA DE PLASTICOS S.A.S."/>
    <m/>
    <x v="5"/>
  </r>
  <r>
    <n v="346"/>
    <x v="288"/>
    <n v="321102"/>
    <s v="P-1334"/>
    <s v="TIS-1314"/>
    <s v="PRODUCTORA INTERAMERICANA DE PLASTICOS S.A.S."/>
    <m/>
    <x v="5"/>
  </r>
  <r>
    <n v="356"/>
    <x v="288"/>
    <n v="321102"/>
    <s v="P-1344"/>
    <s v="TIS-1324"/>
    <s v="PRODUCTORA INTERAMERICANA DE PLASTICOS S.A.S."/>
    <m/>
    <x v="5"/>
  </r>
  <r>
    <n v="374"/>
    <x v="289"/>
    <n v="714000"/>
    <s v="P-1362"/>
    <s v="TIS-1343"/>
    <s v="GB BARRETO Y CIA LTDA - ASESORES DE SEGUROS"/>
    <m/>
    <x v="5"/>
  </r>
  <r>
    <n v="385"/>
    <x v="289"/>
    <n v="1767150"/>
    <s v="P-1373"/>
    <s v="TIS-1352"/>
    <s v="ELKIN EDUARDO ORTIZ ORTIZ"/>
    <m/>
    <x v="5"/>
  </r>
  <r>
    <n v="359"/>
    <x v="290"/>
    <n v="400000"/>
    <s v="P-1347"/>
    <s v="TIS-1327"/>
    <s v="Inversiones Sajamib SAS"/>
    <m/>
    <x v="5"/>
  </r>
  <r>
    <n v="371"/>
    <x v="290"/>
    <n v="400000"/>
    <s v="P-1359"/>
    <s v="TIS-1340"/>
    <s v="Inversiones Sajamib SAS"/>
    <m/>
    <x v="5"/>
  </r>
  <r>
    <n v="378"/>
    <x v="290"/>
    <n v="400000"/>
    <s v="P-1366"/>
    <s v="TIS-1350"/>
    <s v="Inversiones Sajamib SAS"/>
    <m/>
    <x v="5"/>
  </r>
  <r>
    <n v="372"/>
    <x v="291"/>
    <n v="682421"/>
    <s v="P-1360"/>
    <s v="TIS-1341"/>
    <s v="FEDERACION NACIONAL DE COMERCIANTES FENALCO SECCIONAL BOGOTA CUNDINAMARCA"/>
    <m/>
    <x v="5"/>
  </r>
  <r>
    <n v="373"/>
    <x v="292"/>
    <n v="182400"/>
    <s v="P-1361"/>
    <s v="TIS-1342"/>
    <s v="Soluciones Avanzadas de Ingeniería SAS"/>
    <m/>
    <x v="5"/>
  </r>
  <r>
    <n v="377"/>
    <x v="293"/>
    <n v="1213000"/>
    <s v="P-1365"/>
    <s v="TIS-1354"/>
    <s v="ANTIADHERENTES Y MAQUINADOS ARIZAS SAS"/>
    <m/>
    <x v="5"/>
  </r>
  <r>
    <n v="383"/>
    <x v="294"/>
    <n v="622003"/>
    <s v="P-1371"/>
    <s v="TIS-1349"/>
    <s v="GENUINE TECH SAS"/>
    <m/>
    <x v="5"/>
  </r>
  <r>
    <n v="426"/>
    <x v="295"/>
    <n v="1448550"/>
    <s v="P-1415"/>
    <s v="TIS-1404"/>
    <s v="HUTERCOL S.A.S."/>
    <m/>
    <x v="5"/>
  </r>
  <r>
    <n v="364"/>
    <x v="296"/>
    <n v="463539"/>
    <s v="P-1352"/>
    <s v="TIS-1332"/>
    <s v="TBTB GLOBAL LAB SAS"/>
    <m/>
    <x v="5"/>
  </r>
  <r>
    <n v="357"/>
    <x v="297"/>
    <n v="201250"/>
    <s v="P-1345"/>
    <s v="TIS-1325"/>
    <s v="ROYCO SOLUCIONES SAS"/>
    <m/>
    <x v="5"/>
  </r>
  <r>
    <n v="392"/>
    <x v="298"/>
    <n v="270000"/>
    <s v="P-1380"/>
    <s v="TIS-1369"/>
    <s v="DIGITAL MEDIA TECHNOLOGIES COLOMBIA SAS"/>
    <m/>
    <x v="5"/>
  </r>
  <r>
    <n v="379"/>
    <x v="299"/>
    <n v="280800"/>
    <s v="P-1367"/>
    <s v="TIS-1345"/>
    <s v="Comercializadora ERZ SAS"/>
    <m/>
    <x v="5"/>
  </r>
  <r>
    <n v="375"/>
    <x v="299"/>
    <n v="2012500"/>
    <s v="P-1363"/>
    <s v="TIS-1344"/>
    <s v="FRIGOTAURUS SAS"/>
    <m/>
    <x v="5"/>
  </r>
  <r>
    <n v="373"/>
    <x v="299"/>
    <n v="207535"/>
    <s v="P-1361"/>
    <s v="TIS-1342"/>
    <s v="Soluciones Avanzadas de Ingeniería SAS"/>
    <m/>
    <x v="5"/>
  </r>
  <r>
    <n v="309"/>
    <x v="300"/>
    <n v="2037341"/>
    <s v="P-1297"/>
    <s v="TIS-1278"/>
    <s v="SUPPLYTEC SAS"/>
    <m/>
    <x v="5"/>
  </r>
  <r>
    <n v="385"/>
    <x v="301"/>
    <n v="1173350"/>
    <s v="P-1373"/>
    <s v="TIS-1352"/>
    <s v="ELKIN EDUARDO ORTIZ ORTIZ"/>
    <m/>
    <x v="5"/>
  </r>
  <r>
    <n v="515"/>
    <x v="302"/>
    <n v="456356"/>
    <s v="P-1504"/>
    <s v="TIS-1360"/>
    <s v="BIO ENDOSCOPE LTDA"/>
    <m/>
    <x v="5"/>
  </r>
  <r>
    <n v="387"/>
    <x v="302"/>
    <n v="1334198"/>
    <s v="P-1375"/>
    <s v="TIS-1364"/>
    <s v="MASTERLINE COLOMBIA SOCIEDAD POR ACCIONES SIMPLIFICADA"/>
    <m/>
    <x v="5"/>
  </r>
  <r>
    <n v="381"/>
    <x v="303"/>
    <n v="357000"/>
    <s v="P-1369"/>
    <s v="TIS-1347"/>
    <s v="STAFF SEGUROS AGENCIA LTDA"/>
    <m/>
    <x v="5"/>
  </r>
  <r>
    <n v="391"/>
    <x v="303"/>
    <n v="357000"/>
    <s v="P-1379"/>
    <s v="TIS-1368"/>
    <s v="STAFF SEGUROS AGENCIA LTDA"/>
    <m/>
    <x v="5"/>
  </r>
  <r>
    <n v="330"/>
    <x v="304"/>
    <n v="1368408"/>
    <s v="P-1318"/>
    <s v="TIS-1298"/>
    <s v="CONPORTUARIO LTDA"/>
    <m/>
    <x v="5"/>
  </r>
  <r>
    <m/>
    <x v="305"/>
    <n v="649090"/>
    <e v="#N/A"/>
    <e v="#N/A"/>
    <e v="#N/A"/>
    <s v="Genuine Tech SA"/>
    <x v="5"/>
  </r>
  <r>
    <n v="370"/>
    <x v="305"/>
    <n v="201250"/>
    <s v="P-1358"/>
    <s v="TIS-1339"/>
    <s v="ROYCO SOLUCIONES SAS"/>
    <m/>
    <x v="5"/>
  </r>
  <r>
    <n v="380"/>
    <x v="305"/>
    <n v="201250"/>
    <s v="P-1368"/>
    <s v="TIS-1346"/>
    <s v="ROYCO SOLUCIONES SAS"/>
    <m/>
    <x v="5"/>
  </r>
  <r>
    <n v="368"/>
    <x v="306"/>
    <n v="270000"/>
    <s v="P-1356"/>
    <s v="TIS-1337"/>
    <s v="DIGITAL MEDIA TECHNOLOGIES COLOMBIA SAS"/>
    <m/>
    <x v="5"/>
  </r>
  <r>
    <n v="407"/>
    <x v="307"/>
    <n v="250000"/>
    <s v="P-1396"/>
    <s v="TIS-1384"/>
    <s v="MARCEGAGLIA COLOMBIA SAS"/>
    <s v="Marcegaglia"/>
    <x v="5"/>
  </r>
  <r>
    <n v="405"/>
    <x v="308"/>
    <n v="1200000"/>
    <s v="P-1394"/>
    <s v="TIS-1382"/>
    <s v="INDUSTRIAS Y SOLUCIONES METALMECANICAS COLOMBIA SAS"/>
    <m/>
    <x v="5"/>
  </r>
  <r>
    <n v="365"/>
    <x v="308"/>
    <n v="561600"/>
    <s v="P-1353"/>
    <s v="TIS-1334"/>
    <s v="Comercializadora ERZ SAS"/>
    <s v="Pago factura no creada"/>
    <x v="5"/>
  </r>
  <r>
    <n v="397"/>
    <x v="308"/>
    <n v="714000"/>
    <s v="P-1385"/>
    <s v="TIS-1374"/>
    <s v="GB BARRETO Y CIA LTDA - ASESORES DE SEGUROS"/>
    <m/>
    <x v="5"/>
  </r>
  <r>
    <n v="396"/>
    <x v="309"/>
    <n v="222180"/>
    <s v="P-1384"/>
    <s v="TIS-1373"/>
    <s v="ALVEAR ESCOBAR ASOCIADOS S.A.S"/>
    <m/>
    <x v="5"/>
  </r>
  <r>
    <n v="424"/>
    <x v="310"/>
    <n v="270000"/>
    <s v="P-1413"/>
    <s v="TIS-1402"/>
    <s v="DIGITAL MEDIA TECHNOLOGIES COLOMBIA SAS"/>
    <m/>
    <x v="5"/>
  </r>
  <r>
    <n v="423"/>
    <x v="303"/>
    <n v="357000"/>
    <s v="P-1412"/>
    <s v="TIS-1401"/>
    <s v="STAFF SEGUROS AGENCIA LTDA"/>
    <m/>
    <x v="5"/>
  </r>
  <r>
    <n v="669"/>
    <x v="311"/>
    <n v="565250"/>
    <s v="P-1390"/>
    <s v="TIS-1378"/>
    <s v="STAFF SEGUROS AGENCIA LTDA"/>
    <m/>
    <x v="5"/>
  </r>
  <r>
    <n v="438"/>
    <x v="312"/>
    <n v="308448"/>
    <s v="P-1427"/>
    <s v="TIS-1418"/>
    <s v="EVAL.COM CONSULTING SAS"/>
    <m/>
    <x v="5"/>
  </r>
  <r>
    <n v="446"/>
    <x v="313"/>
    <n v="1740000"/>
    <s v="P-1435"/>
    <s v="TIS-1407"/>
    <s v="TKARGA SAS"/>
    <m/>
    <x v="5"/>
  </r>
  <r>
    <n v="425"/>
    <x v="314"/>
    <n v="218903"/>
    <s v="P-1414"/>
    <s v="TIS-1403"/>
    <s v="ALVEAR ESCOBAR ASOCIADOS S.A.S"/>
    <m/>
    <x v="5"/>
  </r>
  <r>
    <n v="394"/>
    <x v="315"/>
    <n v="622003"/>
    <s v="P-1382"/>
    <s v="TIS-1371"/>
    <s v="GENUINE TECH SAS"/>
    <m/>
    <x v="5"/>
  </r>
  <r>
    <n v="456"/>
    <x v="316"/>
    <n v="500000"/>
    <s v="P-1445"/>
    <s v="TIS-1434"/>
    <s v="MELOS Y MELOS SAS"/>
    <m/>
    <x v="5"/>
  </r>
  <r>
    <n v="438"/>
    <x v="317"/>
    <n v="205632"/>
    <s v="P-1427"/>
    <s v="TIS-1418"/>
    <s v="EVAL.COM CONSULTING SAS"/>
    <m/>
    <x v="5"/>
  </r>
  <r>
    <n v="430"/>
    <x v="318"/>
    <n v="280800"/>
    <s v="P-1419"/>
    <s v="TIS-1410"/>
    <s v="Comercializadora ERZ SAS"/>
    <m/>
    <x v="5"/>
  </r>
  <r>
    <n v="433"/>
    <x v="319"/>
    <n v="324000"/>
    <s v="P-1422"/>
    <s v="TIS-1413"/>
    <s v="DIGITAL MEDIA TECHNOLOGIES COLOMBIA SAS"/>
    <m/>
    <x v="5"/>
  </r>
  <r>
    <n v="442"/>
    <x v="311"/>
    <n v="34750"/>
    <s v="P-1431"/>
    <s v="TIS-1423"/>
    <s v="STAFF SEGUROS AGENCIA LTDA"/>
    <m/>
    <x v="5"/>
  </r>
  <r>
    <n v="412"/>
    <x v="320"/>
    <n v="1071000"/>
    <s v="P-1401"/>
    <s v="TIS-1390"/>
    <s v="STAFF SEGUROS AGENCIA LTDA"/>
    <m/>
    <x v="5"/>
  </r>
  <r>
    <n v="399"/>
    <x v="321"/>
    <n v="7451590"/>
    <s v="P-1387"/>
    <s v="TIS-1375"/>
    <s v="INSTITUTO DISTRITAL DE CIENCIA, BIOTECNOLOGIA E INNOVACION EN SALUD"/>
    <m/>
    <x v="5"/>
  </r>
  <r>
    <n v="436"/>
    <x v="322"/>
    <n v="3776346"/>
    <s v="P-1425"/>
    <s v="TIS-1416"/>
    <s v="MARCEGAGLIA COLOMBIA SAS"/>
    <m/>
    <x v="5"/>
  </r>
  <r>
    <n v="403"/>
    <x v="323"/>
    <n v="622003"/>
    <s v="P-1392"/>
    <s v="TIS-1380"/>
    <s v="GENUINE TECH SAS"/>
    <m/>
    <x v="5"/>
  </r>
  <r>
    <n v="405"/>
    <x v="324"/>
    <n v="1180000"/>
    <s v="P-1394"/>
    <s v="TIS-1382"/>
    <s v="INDUSTRIAS Y SOLUCIONES METALMECANICAS COLOMBIA SAS"/>
    <m/>
    <x v="5"/>
  </r>
  <r>
    <n v="366"/>
    <x v="325"/>
    <n v="321102"/>
    <s v="P-1354"/>
    <s v="TIS-1335"/>
    <s v="PRODUCTORA INTERAMERICANA DE PLASTICOS S.A.S."/>
    <m/>
    <x v="5"/>
  </r>
  <r>
    <n v="387"/>
    <x v="326"/>
    <n v="1334198"/>
    <s v="P-1375"/>
    <s v="TIS-1364"/>
    <s v="MASTERLINE COLOMBIA SOCIEDAD POR ACCIONES SIMPLIFICADA"/>
    <m/>
    <x v="5"/>
  </r>
  <r>
    <n v="390"/>
    <x v="327"/>
    <n v="201250"/>
    <s v="P-1410"/>
    <s v="TIS-1367"/>
    <s v="ROYCO SOLUCIONES SAS"/>
    <m/>
    <x v="5"/>
  </r>
  <r>
    <n v="415"/>
    <x v="328"/>
    <n v="622003"/>
    <s v="P-1404"/>
    <s v="TIS-1393"/>
    <s v="GENUINE TECH SAS"/>
    <m/>
    <x v="5"/>
  </r>
  <r>
    <n v="402"/>
    <x v="323"/>
    <n v="357000"/>
    <s v="P-1391"/>
    <s v="TIS-1379"/>
    <s v="DIGITAL MEDIA TECHNOLOGIES COLOMBIA SAS"/>
    <m/>
    <x v="5"/>
  </r>
  <r>
    <n v="393"/>
    <x v="329"/>
    <n v="400000"/>
    <s v="P-1381"/>
    <s v="TIS-1370"/>
    <s v="Inversiones Sajamib SAS"/>
    <m/>
    <x v="5"/>
  </r>
  <r>
    <n v="422"/>
    <x v="329"/>
    <n v="480000"/>
    <s v="P-1411"/>
    <s v="TIS-1400"/>
    <s v="Inversiones Sajamib SAS"/>
    <m/>
    <x v="5"/>
  </r>
  <r>
    <n v="435"/>
    <x v="329"/>
    <n v="480000"/>
    <s v="P-1424"/>
    <s v="TIS-1415"/>
    <s v="Inversiones Sajamib SAS"/>
    <m/>
    <x v="5"/>
  </r>
  <r>
    <n v="449"/>
    <x v="329"/>
    <n v="240000"/>
    <s v="P-1438"/>
    <s v="TIS-1427"/>
    <s v="Inversiones Sajamib SAS"/>
    <m/>
    <x v="5"/>
  </r>
  <r>
    <n v="404"/>
    <x v="330"/>
    <n v="5608714"/>
    <s v="P-1393"/>
    <s v="TIS-1381"/>
    <s v="ACTIVOS SAS"/>
    <m/>
    <x v="5"/>
  </r>
  <r>
    <n v="407"/>
    <x v="331"/>
    <n v="307750"/>
    <s v="P-1396"/>
    <s v="TIS-1384"/>
    <s v="MARCEGAGLIA COLOMBIA SAS"/>
    <m/>
    <x v="5"/>
  </r>
  <r>
    <m/>
    <x v="332"/>
    <n v="280800"/>
    <e v="#N/A"/>
    <e v="#N/A"/>
    <e v="#N/A"/>
    <m/>
    <x v="5"/>
  </r>
  <r>
    <n v="504"/>
    <x v="333"/>
    <n v="1374450"/>
    <s v="P-1493"/>
    <s v="TIS-1475"/>
    <s v="FET GROUP SAS"/>
    <m/>
    <x v="5"/>
  </r>
  <r>
    <n v="416"/>
    <x v="334"/>
    <n v="684204"/>
    <s v="P-1405"/>
    <s v="TIS-1394"/>
    <s v="COMERCIALIZADORA INTERNACIONAL DYNAMIC TRADING CORPORATION S.A.S"/>
    <m/>
    <x v="5"/>
  </r>
  <r>
    <n v="513"/>
    <x v="335"/>
    <n v="8282628"/>
    <s v="P-1502"/>
    <s v="TIS-1484"/>
    <s v="FIDEICOMISOS SOCIEDAD FIDUCIARIA DE OCCIDENTE SA"/>
    <m/>
    <x v="5"/>
  </r>
  <r>
    <n v="417"/>
    <x v="335"/>
    <n v="1209820"/>
    <s v="P-1406"/>
    <s v="TIS-1395"/>
    <s v="ATECNO S.A.S"/>
    <m/>
    <x v="5"/>
  </r>
  <r>
    <n v="418"/>
    <x v="336"/>
    <n v="458150"/>
    <s v="P-1407"/>
    <s v="TIS-1396"/>
    <s v="COMERCIALIZADORA HERREROS SAS"/>
    <m/>
    <x v="5"/>
  </r>
  <r>
    <n v="411"/>
    <x v="337"/>
    <n v="357000"/>
    <s v="P-1400"/>
    <s v="TIS-1389"/>
    <s v="STAFF SEGUROS AGENCIA LTDA"/>
    <m/>
    <x v="5"/>
  </r>
  <r>
    <n v="424"/>
    <x v="337"/>
    <n v="324000"/>
    <s v="P-1413"/>
    <s v="TIS-1402"/>
    <s v="DIGITAL MEDIA TECHNOLOGIES COLOMBIA SAS"/>
    <m/>
    <x v="5"/>
  </r>
  <r>
    <n v="408"/>
    <x v="338"/>
    <n v="1071340"/>
    <s v="P-1397"/>
    <s v="TIS-1386"/>
    <s v="FUNDACION DE EDUCACION SUPERIOR SAN JOSE FESSANJOSE"/>
    <m/>
    <x v="5"/>
  </r>
  <r>
    <n v="493"/>
    <x v="339"/>
    <n v="622003"/>
    <s v="P-1482"/>
    <s v="TIS-1464"/>
    <s v="GENUINE TECH SAS"/>
    <m/>
    <x v="5"/>
  </r>
  <r>
    <n v="401"/>
    <x v="340"/>
    <n v="201250"/>
    <s v="P-1389"/>
    <s v="TIS-1377"/>
    <s v="ROYCO SOLUCIONES SAS"/>
    <m/>
    <x v="5"/>
  </r>
  <r>
    <n v="410"/>
    <x v="340"/>
    <n v="201250"/>
    <s v="P-1399"/>
    <s v="TIS-1388"/>
    <s v="ROYCO SOLUCIONES SAS"/>
    <m/>
    <x v="5"/>
  </r>
  <r>
    <n v="419"/>
    <x v="341"/>
    <n v="595000"/>
    <s v="P-1408"/>
    <s v="TIS-1397"/>
    <s v="MARCEGAGLIA COLOMBIA SAS"/>
    <m/>
    <x v="5"/>
  </r>
  <r>
    <n v="419"/>
    <x v="341"/>
    <n v="2968101"/>
    <s v="P-1408"/>
    <s v="TIS-1397"/>
    <s v="MARCEGAGLIA COLOMBIA SAS"/>
    <m/>
    <x v="5"/>
  </r>
  <r>
    <n v="419"/>
    <x v="341"/>
    <n v="2730809"/>
    <s v="P-1408"/>
    <s v="TIS-1397"/>
    <s v="MARCEGAGLIA COLOMBIA SAS"/>
    <m/>
    <x v="5"/>
  </r>
  <r>
    <n v="376"/>
    <x v="342"/>
    <n v="1448550"/>
    <s v="P-1364"/>
    <s v="TIS-1353"/>
    <s v="HUTERCOL S.A.S."/>
    <m/>
    <x v="5"/>
  </r>
  <r>
    <n v="479"/>
    <x v="343"/>
    <n v="2142000"/>
    <s v="P-1468"/>
    <s v="TIS-1455"/>
    <s v="B2B TAX LEGAL S.A.S. BIC"/>
    <m/>
    <x v="5"/>
  </r>
  <r>
    <n v="418"/>
    <x v="316"/>
    <n v="375050"/>
    <s v="P-1407"/>
    <s v="TIS-1396"/>
    <s v="COMERCIALIZADORA HERREROS SAS"/>
    <m/>
    <x v="5"/>
  </r>
  <r>
    <n v="428"/>
    <x v="316"/>
    <n v="124950"/>
    <s v="P-1417"/>
    <s v="TIS-1406"/>
    <s v="COMERCIALIZADORA HERREROS SAS"/>
    <m/>
    <x v="5"/>
  </r>
  <r>
    <n v="427"/>
    <x v="316"/>
    <n v="622003"/>
    <s v="P-1416"/>
    <s v="TIS-1405"/>
    <s v="GENUINE TECH SAS"/>
    <m/>
    <x v="5"/>
  </r>
  <r>
    <n v="446"/>
    <x v="344"/>
    <n v="1500000"/>
    <s v="P-1435"/>
    <s v="TIS-1407"/>
    <s v="TKARGA SAS"/>
    <m/>
    <x v="5"/>
  </r>
  <r>
    <n v="389"/>
    <x v="345"/>
    <n v="291550"/>
    <s v="P-1377"/>
    <s v="TIS-1366"/>
    <s v="Comercializadora ERZ SAS"/>
    <m/>
    <x v="5"/>
  </r>
  <r>
    <n v="400"/>
    <x v="345"/>
    <n v="291550"/>
    <s v="P-1388"/>
    <s v="TIS-1376"/>
    <s v="Comercializadora ERZ SAS"/>
    <m/>
    <x v="5"/>
  </r>
  <r>
    <n v="455"/>
    <x v="346"/>
    <n v="2856000"/>
    <s v="P-1444"/>
    <s v="TIS-1433"/>
    <s v="TRANSPORTES ESPECIALES ALIADOS S.A.S"/>
    <m/>
    <x v="5"/>
  </r>
  <r>
    <n v="496"/>
    <x v="346"/>
    <n v="1829000"/>
    <s v="P-1485"/>
    <s v="TIS-1467"/>
    <s v="TRANSPORTES ESPECIALES ALIADOS S.A.S"/>
    <m/>
    <x v="5"/>
  </r>
  <r>
    <n v="420"/>
    <x v="346"/>
    <n v="280800"/>
    <s v="P-1409"/>
    <s v="TIS-1398"/>
    <s v="Comercializadora ERZ SAS"/>
    <m/>
    <x v="5"/>
  </r>
  <r>
    <n v="409"/>
    <x v="346"/>
    <n v="280800"/>
    <s v="P-1398"/>
    <s v="TIS-1387"/>
    <s v="Comercializadora ERZ SAS"/>
    <m/>
    <x v="5"/>
  </r>
  <r>
    <n v="429"/>
    <x v="346"/>
    <n v="987700"/>
    <s v="P-1418"/>
    <s v="TIS-1409"/>
    <s v="MAKRO RECICLAJES SAS"/>
    <m/>
    <x v="5"/>
  </r>
  <r>
    <n v="413"/>
    <x v="347"/>
    <n v="324000"/>
    <s v="P-1402"/>
    <s v="TIS-1391"/>
    <s v="DIGITAL MEDIA TECHNOLOGIES COLOMBIA SAS"/>
    <m/>
    <x v="5"/>
  </r>
  <r>
    <n v="438"/>
    <x v="348"/>
    <n v="514080"/>
    <s v="P-1427"/>
    <s v="TIS-1418"/>
    <s v="EVAL.COM CONSULTING SAS"/>
    <m/>
    <x v="5"/>
  </r>
  <r>
    <n v="421"/>
    <x v="349"/>
    <n v="201250"/>
    <s v="P-1410"/>
    <s v="TIS-1399"/>
    <s v="ROYCO SOLUCIONES SAS"/>
    <m/>
    <x v="5"/>
  </r>
  <r>
    <n v="460"/>
    <x v="350"/>
    <n v="287500"/>
    <s v="P-1449"/>
    <s v="TIS-1419"/>
    <s v="CUATRECASAS GONALVES PEREIRA SAS"/>
    <m/>
    <x v="5"/>
  </r>
  <r>
    <n v="434"/>
    <x v="351"/>
    <n v="622003"/>
    <s v="P-1423"/>
    <s v="TIS-1414"/>
    <s v="GENUINE TECH SAS"/>
    <m/>
    <x v="5"/>
  </r>
  <r>
    <n v="490"/>
    <x v="351"/>
    <n v="324000"/>
    <s v="P-1479"/>
    <s v="TIS-1461"/>
    <s v="DIGITAL MEDIA TECHNOLOGIES COLOMBIA SAS"/>
    <m/>
    <x v="5"/>
  </r>
  <r>
    <n v="468"/>
    <x v="352"/>
    <n v="480000"/>
    <s v="P-1457"/>
    <s v="TIS-1445"/>
    <s v="Inversiones Sajamib SAS"/>
    <m/>
    <x v="5"/>
  </r>
  <r>
    <n v="449"/>
    <x v="352"/>
    <n v="240000"/>
    <s v="P-1438"/>
    <s v="TIS-1427"/>
    <s v="Inversiones Sajamib SAS"/>
    <m/>
    <x v="5"/>
  </r>
  <r>
    <n v="476"/>
    <x v="352"/>
    <n v="480000"/>
    <s v="P-1465"/>
    <s v="TIS-1453"/>
    <s v="Inversiones Sajamib SAS"/>
    <m/>
    <x v="5"/>
  </r>
  <r>
    <n v="492"/>
    <x v="352"/>
    <n v="240000"/>
    <s v="P-1481"/>
    <s v="TIS-1463"/>
    <s v="Inversiones Sajamib SAS"/>
    <m/>
    <x v="5"/>
  </r>
  <r>
    <n v="432"/>
    <x v="353"/>
    <n v="357000"/>
    <s v="P-1421"/>
    <s v="TIS-1412"/>
    <s v="STAFF SEGUROS AGENCIA LTDA"/>
    <m/>
    <x v="5"/>
  </r>
  <r>
    <n v="440"/>
    <x v="354"/>
    <n v="280800"/>
    <s v="P-1429"/>
    <s v="TIS-1421"/>
    <s v="Comercializadora ERZ SAS"/>
    <m/>
    <x v="5"/>
  </r>
  <r>
    <n v="454"/>
    <x v="355"/>
    <n v="1315859"/>
    <s v="P-1443"/>
    <s v="TIS-1432"/>
    <s v="MARCEGAGLIA COLOMBIA SAS"/>
    <m/>
    <x v="5"/>
  </r>
  <r>
    <n v="454"/>
    <x v="355"/>
    <n v="1201705"/>
    <s v="P-1443"/>
    <s v="TIS-1432"/>
    <s v="MARCEGAGLIA COLOMBIA SAS"/>
    <m/>
    <x v="5"/>
  </r>
  <r>
    <n v="439"/>
    <x v="356"/>
    <n v="1080000"/>
    <s v="P-1428"/>
    <s v="TIS-1420"/>
    <s v="TKARGA SAS"/>
    <m/>
    <x v="5"/>
  </r>
  <r>
    <n v="456"/>
    <x v="357"/>
    <n v="378832"/>
    <s v="P-1445"/>
    <s v="TIS-1434"/>
    <s v="MELOS Y MELOS SAS"/>
    <m/>
    <x v="5"/>
  </r>
  <r>
    <n v="458"/>
    <x v="358"/>
    <n v="13328000"/>
    <s v="P-1447"/>
    <s v="TIS-1436"/>
    <s v="ACTIVOS SAS"/>
    <m/>
    <x v="5"/>
  </r>
  <r>
    <n v="459"/>
    <x v="358"/>
    <n v="248648"/>
    <s v="P-1448"/>
    <s v="TIS-1437"/>
    <s v="ACTIVOS SAS"/>
    <m/>
    <x v="5"/>
  </r>
  <r>
    <n v="462"/>
    <x v="359"/>
    <n v="6385904"/>
    <s v="P-1451"/>
    <s v="TIS-1439"/>
    <s v="QUALITY WATER SERVICE COLOMBIA SAS"/>
    <m/>
    <x v="5"/>
  </r>
  <r>
    <n v="431"/>
    <x v="349"/>
    <n v="201250"/>
    <s v="P-1420"/>
    <s v="TIS-1411"/>
    <s v="ROYCO SOLUCIONES SAS"/>
    <m/>
    <x v="5"/>
  </r>
  <r>
    <n v="441"/>
    <x v="360"/>
    <n v="201250"/>
    <s v="P-1430"/>
    <s v="TIS-1422"/>
    <s v="ROYCO SOLUCIONES SAS"/>
    <m/>
    <x v="5"/>
  </r>
  <r>
    <n v="464"/>
    <x v="360"/>
    <n v="201250"/>
    <s v="P-1453"/>
    <s v="TIS-1441"/>
    <s v="ROYCO SOLUCIONES SAS"/>
    <m/>
    <x v="5"/>
  </r>
  <r>
    <n v="448"/>
    <x v="361"/>
    <n v="622003"/>
    <s v="P-1437"/>
    <s v="TIS-1426"/>
    <s v="GENUINE TECH SAS"/>
    <m/>
    <x v="5"/>
  </r>
  <r>
    <n v="444"/>
    <x v="362"/>
    <n v="324000"/>
    <s v="P-1433"/>
    <s v="TIS-1425"/>
    <s v="DIGITAL MEDIA TECHNOLOGIES COLOMBIA SAS"/>
    <m/>
    <x v="5"/>
  </r>
  <r>
    <n v="452"/>
    <x v="363"/>
    <n v="342828"/>
    <s v="P-1441"/>
    <s v="TIS-1430"/>
    <s v="STT Group sucursal colombia SA"/>
    <m/>
    <x v="5"/>
  </r>
  <r>
    <n v="440"/>
    <x v="364"/>
    <n v="561600"/>
    <s v="P-1429"/>
    <s v="TIS-1421"/>
    <s v="Comercializadora ERZ SAS"/>
    <m/>
    <x v="5"/>
  </r>
  <r>
    <n v="466"/>
    <x v="365"/>
    <n v="324000"/>
    <s v="P-1455"/>
    <s v="TIS-1443"/>
    <s v="DIGITAL MEDIA TECHNOLOGIES COLOMBIA SAS"/>
    <m/>
    <x v="5"/>
  </r>
  <r>
    <n v="467"/>
    <x v="366"/>
    <n v="622003"/>
    <s v="P-1456"/>
    <s v="TIS-1444"/>
    <s v="GENUINE TECH SAS"/>
    <m/>
    <x v="5"/>
  </r>
  <r>
    <n v="496"/>
    <x v="366"/>
    <n v="2736816"/>
    <s v="P-1485"/>
    <s v="TIS-1467"/>
    <s v="TRANSPORTES ESPECIALES ALIADOS S.A.S"/>
    <m/>
    <x v="5"/>
  </r>
  <r>
    <n v="406"/>
    <x v="367"/>
    <n v="8282628"/>
    <s v="P-1395"/>
    <s v="TIS-1383"/>
    <s v="FIDEICOMISOS SOCIEDAD FIDUCIARIA DE OCCIDENTE SA"/>
    <m/>
    <x v="5"/>
  </r>
  <r>
    <n v="469"/>
    <x v="368"/>
    <n v="218903"/>
    <s v="P-1458"/>
    <s v="TIS-1446"/>
    <s v="ALVEAR ESCOBAR ASOCIADOS S.A.S"/>
    <m/>
    <x v="5"/>
  </r>
  <r>
    <n v="473"/>
    <x v="369"/>
    <n v="201250"/>
    <s v="P-1462"/>
    <s v="TIS-1450"/>
    <s v="ROYCO SOLUCIONES SAS"/>
    <m/>
    <x v="5"/>
  </r>
  <r>
    <n v="384"/>
    <x v="370"/>
    <n v="1380000"/>
    <s v="P-1372"/>
    <s v="TIS-1351"/>
    <s v="CONSTRUCCIONES CIVILES JMR S.A.S"/>
    <m/>
    <x v="4"/>
  </r>
  <r>
    <n v="475"/>
    <x v="371"/>
    <n v="324000"/>
    <s v="P-1464"/>
    <s v="TIS-1452"/>
    <s v="DIGITAL MEDIA TECHNOLOGIES COLOMBIA SAS"/>
    <m/>
    <x v="4"/>
  </r>
  <r>
    <n v="494"/>
    <x v="371"/>
    <n v="798938"/>
    <s v="P-1483"/>
    <s v="TIS-1465"/>
    <s v="SMART ENERGY SOLUTIONS SAS"/>
    <m/>
    <x v="4"/>
  </r>
  <r>
    <n v="462"/>
    <x v="372"/>
    <n v="228068"/>
    <s v="P-1451"/>
    <s v="TIS-1439"/>
    <s v="QUALITY WATER SERVICE COLOMBIA SAS"/>
    <m/>
    <x v="4"/>
  </r>
  <r>
    <n v="463"/>
    <x v="364"/>
    <n v="280800"/>
    <s v="P-1452"/>
    <s v="TIS-1440"/>
    <s v="Comercializadora ERZ SAS"/>
    <m/>
    <x v="5"/>
  </r>
  <r>
    <n v="438"/>
    <x v="372"/>
    <n v="476190"/>
    <s v="P-1427"/>
    <s v="TIS-1418"/>
    <s v="EVAL.COM CONSULTING SAS"/>
    <m/>
    <x v="4"/>
  </r>
  <r>
    <n v="477"/>
    <x v="373"/>
    <n v="622003"/>
    <s v="P-1466"/>
    <s v="TIS-1454"/>
    <s v="GENUINE TECH SAS"/>
    <m/>
    <x v="4"/>
  </r>
  <r>
    <n v="499"/>
    <x v="374"/>
    <n v="360000"/>
    <s v="P-1488"/>
    <s v="TIS-1470"/>
    <s v="ECO DESIGN SERVICES SAS"/>
    <m/>
    <x v="4"/>
  </r>
  <r>
    <n v="495"/>
    <x v="375"/>
    <n v="400000"/>
    <s v="P-1484"/>
    <s v="TIS-1466"/>
    <s v="HF DOTACIONES SAS"/>
    <m/>
    <x v="4"/>
  </r>
  <r>
    <n v="536"/>
    <x v="375"/>
    <n v="2850000"/>
    <s v="P-1525"/>
    <s v="TIS-1505"/>
    <s v="BLISTECO S.A.S."/>
    <m/>
    <x v="4"/>
  </r>
  <r>
    <n v="479"/>
    <x v="376"/>
    <n v="1126000"/>
    <s v="P-1468"/>
    <s v="TIS-1455"/>
    <s v="B2B TAX LEGAL S.A.S. BIC"/>
    <m/>
    <x v="4"/>
  </r>
  <r>
    <n v="451"/>
    <x v="376"/>
    <n v="342828"/>
    <s v="P-1440"/>
    <s v="TIS-1429"/>
    <s v="BETA SERVICIOS TEMPORALES S A S"/>
    <m/>
    <x v="4"/>
  </r>
  <r>
    <n v="452"/>
    <x v="376"/>
    <n v="385003"/>
    <s v="P-1441"/>
    <s v="TIS-1430"/>
    <s v="STT Group sucursal colombia SA"/>
    <m/>
    <x v="4"/>
  </r>
  <r>
    <n v="453"/>
    <x v="376"/>
    <n v="1711652"/>
    <s v="P-1442"/>
    <s v="TIS-1431"/>
    <s v="STT Group sucursal colombia SA"/>
    <n v="231108"/>
    <x v="4"/>
  </r>
  <r>
    <n v="443"/>
    <x v="377"/>
    <n v="1071000"/>
    <s v="P-1432"/>
    <s v="TIS-1424"/>
    <s v="STAFF SEGUROS AGENCIA LTDA"/>
    <m/>
    <x v="4"/>
  </r>
  <r>
    <n v="450"/>
    <x v="377"/>
    <n v="346000"/>
    <s v="P-1439"/>
    <s v="TIS-1428"/>
    <s v="SUPPLYING TOTAL TALENT SAS"/>
    <m/>
    <x v="4"/>
  </r>
  <r>
    <n v="465"/>
    <x v="377"/>
    <n v="357000"/>
    <s v="P-1454"/>
    <s v="TIS-1442"/>
    <s v="STAFF SEGUROS AGENCIA LTDA"/>
    <m/>
    <x v="4"/>
  </r>
  <r>
    <n v="474"/>
    <x v="377"/>
    <n v="357000"/>
    <s v="P-1463"/>
    <s v="TIS-1451"/>
    <s v="STAFF SEGUROS AGENCIA LTDA"/>
    <m/>
    <x v="4"/>
  </r>
  <r>
    <n v="495"/>
    <x v="378"/>
    <n v="398238"/>
    <s v="P-1484"/>
    <s v="TIS-1466"/>
    <s v="HF DOTACIONES SAS"/>
    <m/>
    <x v="4"/>
  </r>
  <r>
    <n v="492"/>
    <x v="379"/>
    <n v="240000"/>
    <s v="P-1481"/>
    <s v="TIS-1463"/>
    <s v="Inversiones Sajamib SAS"/>
    <m/>
    <x v="4"/>
  </r>
  <r>
    <n v="502"/>
    <x v="379"/>
    <n v="480000"/>
    <s v="P-1491"/>
    <s v="TIS-1473"/>
    <s v="Inversiones Sajamib SAS"/>
    <m/>
    <x v="4"/>
  </r>
  <r>
    <n v="508"/>
    <x v="379"/>
    <n v="480000"/>
    <s v="P-1497"/>
    <s v="TIS-1479"/>
    <s v="Inversiones Sajamib SAS"/>
    <m/>
    <x v="4"/>
  </r>
  <r>
    <n v="532"/>
    <x v="379"/>
    <n v="480000"/>
    <s v="P-1521"/>
    <s v="TIS-1501"/>
    <s v="Inversiones Sajamib SAS"/>
    <m/>
    <x v="4"/>
  </r>
  <r>
    <n v="414"/>
    <x v="380"/>
    <n v="771120"/>
    <s v="P-1403"/>
    <s v="TIS-1392"/>
    <s v="TECNOLOGIA DE OFICINA S.A.S."/>
    <m/>
    <x v="4"/>
  </r>
  <r>
    <n v="472"/>
    <x v="381"/>
    <n v="280800"/>
    <s v="P-1461"/>
    <s v="TIS-1449"/>
    <s v="Comercializadora ERZ SAS"/>
    <m/>
    <x v="4"/>
  </r>
  <r>
    <n v="512"/>
    <x v="382"/>
    <n v="1178100"/>
    <s v="P-1501"/>
    <s v="TIS-1483"/>
    <s v="H &amp; S FRANQUICIAS SAS"/>
    <m/>
    <x v="4"/>
  </r>
  <r>
    <n v="496"/>
    <x v="383"/>
    <n v="4950873"/>
    <s v="P-1485"/>
    <s v="TIS-1467"/>
    <s v="TRANSPORTES ESPECIALES ALIADOS S.A.S"/>
    <m/>
    <x v="4"/>
  </r>
  <r>
    <n v="511"/>
    <x v="383"/>
    <n v="405000"/>
    <s v="P-1500"/>
    <s v="TIS-1482"/>
    <s v="BTG DE ANTIOQUIA"/>
    <m/>
    <x v="4"/>
  </r>
  <r>
    <n v="511"/>
    <x v="384"/>
    <n v="243000"/>
    <s v="P-1500"/>
    <s v="TIS-1482"/>
    <s v="BTG DE ANTIOQUIA"/>
    <m/>
    <x v="4"/>
  </r>
  <r>
    <n v="501"/>
    <x v="385"/>
    <n v="324000"/>
    <s v="P-1490"/>
    <s v="TIS-1472"/>
    <s v="DIGITAL MEDIA TECHNOLOGIES COLOMBIA SAS"/>
    <m/>
    <x v="4"/>
  </r>
  <r>
    <n v="471"/>
    <x v="386"/>
    <n v="539916"/>
    <s v="P-1460"/>
    <s v="TIS-1448"/>
    <s v="COMPAÑIA DE SEGUROS BOLIVAR S A"/>
    <m/>
    <x v="4"/>
  </r>
  <r>
    <n v="480"/>
    <x v="386"/>
    <n v="927900"/>
    <s v="P-1469"/>
    <s v="TIS-1456"/>
    <s v="COMPAÑIA DE SEGUROS BOLIVAR S A"/>
    <m/>
    <x v="4"/>
  </r>
  <r>
    <n v="481"/>
    <x v="386"/>
    <n v="261800"/>
    <s v="P-1470"/>
    <s v="TIS-1457"/>
    <s v="COMPAÑIA DE SEGUROS BOLIVAR S A"/>
    <m/>
    <x v="4"/>
  </r>
  <r>
    <n v="487"/>
    <x v="387"/>
    <n v="324000"/>
    <s v="P-1476"/>
    <s v="TIS-1458"/>
    <s v="Comercializadora ERZ SAS"/>
    <m/>
    <x v="4"/>
  </r>
  <r>
    <n v="511"/>
    <x v="388"/>
    <n v="162000"/>
    <s v="P-1500"/>
    <s v="TIS-1482"/>
    <s v="BTG DE ANTIOQUIA"/>
    <m/>
    <x v="4"/>
  </r>
  <r>
    <n v="497"/>
    <x v="389"/>
    <n v="9986562"/>
    <s v="P-1486"/>
    <s v="TIS-1468"/>
    <s v="COMPAÑIA DE SEGUROS BOLIVAR S A"/>
    <m/>
    <x v="4"/>
  </r>
  <r>
    <n v="471"/>
    <x v="389"/>
    <n v="443188"/>
    <s v="P-1460"/>
    <s v="TIS-1448"/>
    <s v="COMPAÑIA DE SEGUROS BOLIVAR S A"/>
    <m/>
    <x v="4"/>
  </r>
  <r>
    <n v="510"/>
    <x v="390"/>
    <n v="883855"/>
    <s v="P-1499"/>
    <s v="TIS-1481"/>
    <s v="CHOHO COLOMBIA SAS"/>
    <m/>
    <x v="4"/>
  </r>
  <r>
    <n v="512"/>
    <x v="390"/>
    <n v="952380"/>
    <s v="P-1501"/>
    <s v="TIS-1483"/>
    <s v="H &amp; S FRANQUICIAS SAS"/>
    <m/>
    <x v="4"/>
  </r>
  <r>
    <n v="506"/>
    <x v="391"/>
    <n v="324000"/>
    <s v="P-1495"/>
    <s v="TIS-1477"/>
    <s v="DIGITAL MEDIA TECHNOLOGIES COLOMBIA SAS"/>
    <m/>
    <x v="4"/>
  </r>
  <r>
    <n v="457"/>
    <x v="392"/>
    <n v="7979035.8200000003"/>
    <s v="P-1446"/>
    <s v="TIS-1435"/>
    <s v="FIDEICOMISOS SOCIEDAD FIDUCIARIA DE OCCIDENTE SA"/>
    <m/>
    <x v="4"/>
  </r>
  <r>
    <n v="500"/>
    <x v="393"/>
    <n v="324000"/>
    <s v="P-1489"/>
    <s v="TIS-1471"/>
    <s v="Comercializadora ERZ SAS"/>
    <m/>
    <x v="4"/>
  </r>
  <r>
    <n v="505"/>
    <x v="394"/>
    <n v="324000"/>
    <s v="P-1494"/>
    <s v="TIS-1476"/>
    <s v="Comercializadora ERZ SAS"/>
    <m/>
    <x v="4"/>
  </r>
  <r>
    <n v="517"/>
    <x v="394"/>
    <n v="324000"/>
    <s v="P-1506"/>
    <s v="TIS-1486"/>
    <s v="DIGITAL MEDIA TECHNOLOGIES COLOMBIA SAS"/>
    <m/>
    <x v="4"/>
  </r>
  <r>
    <n v="550"/>
    <x v="395"/>
    <n v="900000"/>
    <s v="P-1515"/>
    <m/>
    <s v="AND TOPOGRAFIA E INGENIERIA SAS"/>
    <m/>
    <x v="4"/>
  </r>
  <r>
    <n v="499"/>
    <x v="396"/>
    <n v="411365"/>
    <s v="P-1488"/>
    <s v="TIS-1470"/>
    <s v="ECO DESIGN SERVICES SAS"/>
    <m/>
    <x v="4"/>
  </r>
  <r>
    <n v="525"/>
    <x v="396"/>
    <n v="1609500"/>
    <s v="P-1514"/>
    <s v="TIS-1494"/>
    <s v="HUTERCOL S.A.S."/>
    <m/>
    <x v="4"/>
  </r>
  <r>
    <n v="522"/>
    <x v="397"/>
    <n v="342508"/>
    <s v="P-1511"/>
    <s v="TIS-1492"/>
    <s v="SUPPLYING TOTAL TALENT SAS"/>
    <m/>
    <x v="4"/>
  </r>
  <r>
    <n v="524"/>
    <x v="398"/>
    <n v="1080000"/>
    <s v="P-1513"/>
    <s v="TIS-1491"/>
    <s v="Comercializadora ERZ SAS"/>
    <m/>
    <x v="4"/>
  </r>
  <r>
    <n v="509"/>
    <x v="398"/>
    <n v="1220000"/>
    <s v="P-1498"/>
    <s v="TIS-1480"/>
    <s v="STAFF SEGUROS AGENCIA LTDA"/>
    <m/>
    <x v="4"/>
  </r>
  <r>
    <n v="520"/>
    <x v="398"/>
    <n v="1350000"/>
    <s v="P-1509"/>
    <s v="TIS-1489"/>
    <s v="STAFF SEGUROS AGENCIA LTDA"/>
    <m/>
    <x v="4"/>
  </r>
  <r>
    <m/>
    <x v="399"/>
    <n v="240000"/>
    <e v="#N/A"/>
    <e v="#N/A"/>
    <e v="#N/A"/>
    <s v="Devolución"/>
    <x v="4"/>
  </r>
  <r>
    <n v="535"/>
    <x v="400"/>
    <n v="476000"/>
    <s v="P-1524"/>
    <s v="TIS-1504"/>
    <s v="EVAL.COM CONSULTING SAS"/>
    <m/>
    <x v="4"/>
  </r>
  <r>
    <n v="537"/>
    <x v="401"/>
    <n v="6695875"/>
    <s v="P-1526"/>
    <s v="TIS-1506"/>
    <s v="FUNDACION DE EDUCACION SUPERIOR SAN JOSE FESSANJOSE"/>
    <m/>
    <x v="4"/>
  </r>
  <r>
    <n v="583"/>
    <x v="402"/>
    <n v="1066000"/>
    <s v="P-1572"/>
    <s v="TIS-1497"/>
    <s v="GAMBLER GROUP S.A.S."/>
    <m/>
    <x v="4"/>
  </r>
  <r>
    <n v="488"/>
    <x v="403"/>
    <n v="201250"/>
    <s v="P-1477"/>
    <s v="TIS-1459"/>
    <s v="ROYCO SOLUCIONES SAS"/>
    <m/>
    <x v="4"/>
  </r>
  <r>
    <n v="503"/>
    <x v="403"/>
    <n v="201250"/>
    <s v="P-1492"/>
    <s v="TIS-1474"/>
    <s v="ROYCO SOLUCIONES SAS"/>
    <m/>
    <x v="4"/>
  </r>
  <r>
    <n v="507"/>
    <x v="403"/>
    <n v="287500"/>
    <s v="P-1496"/>
    <s v="TIS-1478"/>
    <s v="ROYCO SOLUCIONES SAS"/>
    <m/>
    <x v="4"/>
  </r>
  <r>
    <n v="518"/>
    <x v="403"/>
    <n v="287500"/>
    <s v="P-1507"/>
    <s v="TIS-1487"/>
    <s v="ROYCO SOLUCIONES SAS"/>
    <m/>
    <x v="4"/>
  </r>
  <r>
    <n v="516"/>
    <x v="404"/>
    <n v="324000"/>
    <s v="P-1505"/>
    <s v="TIS-1485"/>
    <s v="Comercializadora ERZ SAS"/>
    <m/>
    <x v="4"/>
  </r>
  <r>
    <n v="535"/>
    <x v="405"/>
    <n v="476000"/>
    <s v="P-1524"/>
    <s v="TIS-1504"/>
    <s v="EVAL.COM CONSULTING SAS"/>
    <m/>
    <x v="4"/>
  </r>
  <r>
    <n v="519"/>
    <x v="405"/>
    <n v="480000"/>
    <s v="P-1508"/>
    <s v="TIS-1488"/>
    <s v="Inversiones Sajamib SAS"/>
    <m/>
    <x v="4"/>
  </r>
  <r>
    <n v="339"/>
    <x v="405"/>
    <n v="400000"/>
    <s v="P-1327"/>
    <s v="TIS-1307"/>
    <s v="Inversiones Sajamib SAS"/>
    <m/>
    <x v="4"/>
  </r>
  <r>
    <n v="351"/>
    <x v="405"/>
    <n v="400000"/>
    <s v="P-1339"/>
    <s v="TIS-1319"/>
    <s v="Inversiones Sajamib SAS"/>
    <m/>
    <x v="4"/>
  </r>
  <r>
    <n v="386"/>
    <x v="405"/>
    <n v="400000"/>
    <s v="P-1374"/>
    <s v="TIS-1363"/>
    <s v="Inversiones Sajamib SAS"/>
    <m/>
    <x v="4"/>
  </r>
  <r>
    <n v="534"/>
    <x v="406"/>
    <n v="267585"/>
    <s v="P-1523"/>
    <s v="TIS-1503"/>
    <s v="SEGUROS CUBEROS LTDA"/>
    <m/>
    <x v="4"/>
  </r>
  <r>
    <n v="566"/>
    <x v="407"/>
    <n v="833000"/>
    <s v="P-1555"/>
    <s v="TIS-1536"/>
    <s v="SIMTEC LB S.A.S."/>
    <m/>
    <x v="4"/>
  </r>
  <r>
    <n v="531"/>
    <x v="407"/>
    <n v="324000"/>
    <s v="P-1520"/>
    <s v="TIS-1499"/>
    <s v="DIGITAL MEDIA TECHNOLOGIES COLOMBIA SAS"/>
    <m/>
    <x v="4"/>
  </r>
  <r>
    <n v="523"/>
    <x v="408"/>
    <n v="25027757.420000002"/>
    <s v="P-1512"/>
    <s v="TIS-1493"/>
    <s v="Banco de Bogota S.A."/>
    <m/>
    <x v="4"/>
  </r>
  <r>
    <n v="627"/>
    <x v="409"/>
    <n v="1500000"/>
    <s v="P-1028"/>
    <s v="TIS-1588"/>
    <s v="CONSTRUCCIONES CIVILES JMR S.A.S"/>
    <m/>
    <x v="4"/>
  </r>
  <r>
    <n v="539"/>
    <x v="409"/>
    <n v="324000"/>
    <s v="P-1528"/>
    <s v="TIS-1509"/>
    <s v="DIGITAL MEDIA TECHNOLOGIES COLOMBIA SAS"/>
    <m/>
    <x v="4"/>
  </r>
  <r>
    <n v="528"/>
    <x v="410"/>
    <n v="29783031.34"/>
    <s v="P-1517"/>
    <s v="TIS-1496"/>
    <s v="Banco de Bogota S.A."/>
    <m/>
    <x v="4"/>
  </r>
  <r>
    <n v="529"/>
    <x v="410"/>
    <n v="287500"/>
    <s v="P-1518"/>
    <s v="TIS-1500"/>
    <s v="ROYCO SOLUCIONES SAS"/>
    <m/>
    <x v="4"/>
  </r>
  <r>
    <n v="536"/>
    <x v="411"/>
    <n v="2131731"/>
    <s v="P-1525"/>
    <s v="TIS-1505"/>
    <s v="BLISTECO S.A.S."/>
    <m/>
    <x v="4"/>
  </r>
  <r>
    <n v="530"/>
    <x v="411"/>
    <n v="324000"/>
    <s v="P-1519"/>
    <s v="TIS-1498"/>
    <s v="Comercializadora ERZ SAS"/>
    <m/>
    <x v="4"/>
  </r>
  <r>
    <n v="542"/>
    <x v="405"/>
    <n v="240000"/>
    <s v="P-1531"/>
    <s v="TIS-1511"/>
    <s v="Inversiones Sajamib SAS"/>
    <m/>
    <x v="4"/>
  </r>
  <r>
    <n v="489"/>
    <x v="412"/>
    <n v="357000"/>
    <s v="P-1478"/>
    <s v="TIS-1460"/>
    <s v="STAFF SEGUROS AGENCIA LTDA"/>
    <m/>
    <x v="4"/>
  </r>
  <r>
    <n v="491"/>
    <x v="412"/>
    <n v="1003000"/>
    <s v="P-1480"/>
    <s v="TIS-1462"/>
    <s v="STAFF SEGUROS AGENCIA LTDA"/>
    <m/>
    <x v="4"/>
  </r>
  <r>
    <n v="544"/>
    <x v="413"/>
    <n v="29756268"/>
    <s v="P-1533"/>
    <s v="TIS- 1513"/>
    <s v="Banco de Bogota S.A."/>
    <m/>
    <x v="4"/>
  </r>
  <r>
    <n v="557"/>
    <x v="414"/>
    <n v="1610000"/>
    <s v="P-1546"/>
    <s v="TIS-1526"/>
    <s v="AEQUALES SAS"/>
    <m/>
    <x v="4"/>
  </r>
  <r>
    <n v="556"/>
    <x v="415"/>
    <n v="1219000"/>
    <s v="P-1545"/>
    <s v="TIS-1525"/>
    <s v="CHECOREPUESTOS S A S"/>
    <m/>
    <x v="4"/>
  </r>
  <r>
    <n v="568"/>
    <x v="416"/>
    <n v="1255527"/>
    <s v="P-1557"/>
    <s v="TIS-1538"/>
    <s v="CAVELIER ABOGADOS S.A.S."/>
    <m/>
    <x v="4"/>
  </r>
  <r>
    <n v="548"/>
    <x v="417"/>
    <n v="324000"/>
    <s v="P-1537"/>
    <s v="TIS-1517"/>
    <s v="DIGITAL MEDIA TECHNOLOGIES COLOMBIA SAS"/>
    <m/>
    <x v="4"/>
  </r>
  <r>
    <n v="553"/>
    <x v="418"/>
    <n v="342102"/>
    <s v="P-1542"/>
    <s v="TIS-1522"/>
    <s v="COMERCIALIZADORA INTERNACIONAL DYNAMIC TRADING CORPORATION S.A.S"/>
    <m/>
    <x v="4"/>
  </r>
  <r>
    <n v="581"/>
    <x v="419"/>
    <n v="1500000"/>
    <s v="P-1570"/>
    <s v="TIS-1540"/>
    <s v="SOLUCIONES CREATIVAS Y TURÍSTICAS"/>
    <m/>
    <x v="4"/>
  </r>
  <r>
    <n v="550"/>
    <x v="420"/>
    <n v="686412"/>
    <s v="P-1539"/>
    <s v="TIS-1519"/>
    <s v="AND TOPOGRAFIA E INGENIERIA SAS"/>
    <m/>
    <x v="4"/>
  </r>
  <r>
    <n v="552"/>
    <x v="420"/>
    <n v="1268841"/>
    <s v="P-1541"/>
    <s v="TIS-1521"/>
    <s v="SUPPLYTEC SAS"/>
    <m/>
    <x v="4"/>
  </r>
  <r>
    <n v="566"/>
    <x v="421"/>
    <n v="624750"/>
    <s v="P-1555"/>
    <s v="TIS-1536"/>
    <s v="SIMTEC LB S.A.S."/>
    <m/>
    <x v="4"/>
  </r>
  <r>
    <n v="555"/>
    <x v="421"/>
    <n v="20962150"/>
    <s v="P-1544"/>
    <s v="TIS-1524"/>
    <s v="ACTIVOS SAS"/>
    <m/>
    <x v="4"/>
  </r>
  <r>
    <n v="459"/>
    <x v="421"/>
    <n v="821692"/>
    <s v="P-1448"/>
    <s v="TIS-1437"/>
    <s v="ACTIVOS SAS"/>
    <m/>
    <x v="4"/>
  </r>
  <r>
    <n v="567"/>
    <x v="422"/>
    <n v="883885"/>
    <s v="P-1556"/>
    <s v="TIS-1537"/>
    <s v="CHOHO COLOMBIA SAS"/>
    <m/>
    <x v="4"/>
  </r>
  <r>
    <n v="560"/>
    <x v="423"/>
    <n v="324000"/>
    <s v="P-1549"/>
    <s v="TIS-1528"/>
    <s v="DIGITAL MEDIA TECHNOLOGIES COLOMBIA SAS"/>
    <m/>
    <x v="4"/>
  </r>
  <r>
    <n v="580"/>
    <x v="424"/>
    <n v="1035000"/>
    <s v="P-1569"/>
    <s v="TIS-1541"/>
    <s v="GENUINE LAB S.A.S."/>
    <m/>
    <x v="4"/>
  </r>
  <r>
    <n v="565"/>
    <x v="425"/>
    <n v="1723500"/>
    <s v="P-1554"/>
    <s v="TIS-1533"/>
    <s v="CENTRO DE ATENCION E INVESTIGACION MEDICA S.A.S."/>
    <m/>
    <x v="4"/>
  </r>
  <r>
    <n v="564"/>
    <x v="426"/>
    <n v="1701108"/>
    <s v="P-1553"/>
    <s v="TIS-1532"/>
    <s v="STAFF SEGUROS AGENCIA LTDA"/>
    <m/>
    <x v="4"/>
  </r>
  <r>
    <n v="540"/>
    <x v="427"/>
    <n v="324000"/>
    <s v="P-1529"/>
    <s v="TIS-1508"/>
    <s v="Comercializadora ERZ SAS"/>
    <m/>
    <x v="4"/>
  </r>
  <r>
    <n v="582"/>
    <x v="428"/>
    <n v="3000000"/>
    <s v="P-1571"/>
    <s v="TIS-1559"/>
    <s v="ELKIN EDUARDO ORTIZ ORTIZ"/>
    <s v="Compañía Minera y "/>
    <x v="4"/>
  </r>
  <r>
    <n v="582"/>
    <x v="428"/>
    <n v="1712400"/>
    <s v="P-1571"/>
    <s v="TIS-1559"/>
    <s v="ELKIN EDUARDO ORTIZ ORTIZ"/>
    <s v="Compañía Minera"/>
    <x v="4"/>
  </r>
  <r>
    <n v="545"/>
    <x v="419"/>
    <n v="324000"/>
    <s v="P-1534"/>
    <s v="TIS-1514"/>
    <s v="Comercializadora ERZ SAS"/>
    <m/>
    <x v="4"/>
  </r>
  <r>
    <n v="559"/>
    <x v="427"/>
    <n v="324000"/>
    <s v="P-1548"/>
    <s v="TIS-1527"/>
    <s v="Comercializadora ERZ SAS"/>
    <m/>
    <x v="4"/>
  </r>
  <r>
    <n v="541"/>
    <x v="429"/>
    <n v="342000"/>
    <s v="P-1530"/>
    <s v="TIS-1510"/>
    <s v="ROYCO SOLUCIONES SAS"/>
    <n v="862500"/>
    <x v="4"/>
  </r>
  <r>
    <n v="546"/>
    <x v="429"/>
    <n v="287500"/>
    <s v="P-1535"/>
    <s v="TIS-1515"/>
    <s v="ROYCO SOLUCIONES SAS"/>
    <m/>
    <x v="4"/>
  </r>
  <r>
    <n v="561"/>
    <x v="429"/>
    <n v="233000"/>
    <s v="P-1550"/>
    <s v="TIS-1529"/>
    <s v="ROYCO SOLUCIONES SAS"/>
    <m/>
    <x v="4"/>
  </r>
  <r>
    <n v="542"/>
    <x v="430"/>
    <n v="182563"/>
    <s v="P-1531"/>
    <s v="TIS-1511"/>
    <s v="Inversiones Sajamib SAS"/>
    <m/>
    <x v="4"/>
  </r>
  <r>
    <n v="547"/>
    <x v="430"/>
    <n v="480000"/>
    <s v="P-1536"/>
    <s v="TIS- 1516"/>
    <s v="Inversiones Sajamib SAS"/>
    <m/>
    <x v="4"/>
  </r>
  <r>
    <n v="563"/>
    <x v="430"/>
    <n v="480000"/>
    <s v="P-1552"/>
    <s v="TIS-1531"/>
    <s v="Inversiones Sajamib SAS"/>
    <m/>
    <x v="4"/>
  </r>
  <r>
    <n v="577"/>
    <x v="430"/>
    <n v="480000"/>
    <s v="P-1566"/>
    <s v="TIS-1546"/>
    <s v="Inversiones Sajamib SAS"/>
    <m/>
    <x v="4"/>
  </r>
  <r>
    <n v="573"/>
    <x v="431"/>
    <n v="324000"/>
    <s v="P-1562"/>
    <s v="TIS-1542"/>
    <s v="Comercializadora ERZ SAS"/>
    <m/>
    <x v="4"/>
  </r>
  <r>
    <n v="562"/>
    <x v="432"/>
    <n v="300000"/>
    <s v="P-1551"/>
    <s v="TIS-1530"/>
    <s v="AND TOPOGRAFIA E INGENIERIA SAS"/>
    <m/>
    <x v="4"/>
  </r>
  <r>
    <n v="630"/>
    <x v="429"/>
    <n v="1683612"/>
    <s v="P-1031"/>
    <s v="TIS-1591"/>
    <s v="TISANAS ORQUIDEAS S.A.S."/>
    <m/>
    <x v="4"/>
  </r>
  <r>
    <n v="574"/>
    <x v="432"/>
    <n v="324000"/>
    <s v="P-1563"/>
    <s v="TIS-1543"/>
    <s v="DIGITAL MEDIA TECHNOLOGIES COLOMBIA SAS"/>
    <m/>
    <x v="4"/>
  </r>
  <r>
    <n v="570"/>
    <x v="433"/>
    <n v="62263040"/>
    <s v="P-1559"/>
    <s v="TIS-1539"/>
    <s v="Banco de Bogota S.A."/>
    <m/>
    <x v="4"/>
  </r>
  <r>
    <n v="592"/>
    <x v="434"/>
    <n v="1723500"/>
    <s v="P-1581"/>
    <s v="TIS-1558"/>
    <s v="CENTRO DE ATENCION E INVESTIGACION MEDICA S.A.S."/>
    <m/>
    <x v="4"/>
  </r>
  <r>
    <n v="568"/>
    <x v="435"/>
    <n v="1255527"/>
    <s v="P-1557"/>
    <s v="TIS-1538"/>
    <s v="CAVELIER ABOGADOS S.A.S."/>
    <m/>
    <x v="4"/>
  </r>
  <r>
    <n v="583"/>
    <x v="436"/>
    <n v="1365205"/>
    <s v="P-1572"/>
    <s v="TIS-1497"/>
    <s v="GAMBLER GROUP S.A.S."/>
    <m/>
    <x v="4"/>
  </r>
  <r>
    <n v="589"/>
    <x v="436"/>
    <n v="1609500"/>
    <s v="P-1578"/>
    <s v="TIS-1554"/>
    <s v="HUTERCOL S.A.S."/>
    <m/>
    <x v="4"/>
  </r>
  <r>
    <n v="607"/>
    <x v="436"/>
    <n v="1023400"/>
    <s v="P-1596"/>
    <s v="Tis-1592"/>
    <s v="VORTICE S.A.S."/>
    <m/>
    <x v="4"/>
  </r>
  <r>
    <n v="551"/>
    <x v="437"/>
    <n v="649700"/>
    <s v="P-1540"/>
    <s v="TIS-1520"/>
    <s v="CONTROLAR SALUD INTEGRAL SAS"/>
    <m/>
    <x v="4"/>
  </r>
  <r>
    <n v="543"/>
    <x v="438"/>
    <n v="1200000"/>
    <s v="P-1532"/>
    <s v="TIS-1512"/>
    <s v="STAFF SEGUROS AGENCIA LTDA"/>
    <m/>
    <x v="4"/>
  </r>
  <r>
    <n v="604"/>
    <x v="439"/>
    <n v="1009664"/>
    <s v="P-1593"/>
    <s v="TIS-1572"/>
    <s v="SOLUCIONES CREATIVAS Y TURÍSTICAS"/>
    <s v="Finantodo S.A.S. Nit.900401023"/>
    <x v="4"/>
  </r>
  <r>
    <n v="585"/>
    <x v="440"/>
    <n v="4286625"/>
    <s v="P-1574"/>
    <s v="TIS-1550"/>
    <s v="MARKET TEAM S.A.S."/>
    <m/>
    <x v="4"/>
  </r>
  <r>
    <n v="587"/>
    <x v="440"/>
    <n v="324000"/>
    <s v="P-1576"/>
    <s v="TIS-1552"/>
    <s v="DIGITAL MEDIA TECHNOLOGIES COLOMBIA SAS"/>
    <m/>
    <x v="4"/>
  </r>
  <r>
    <n v="575"/>
    <x v="441"/>
    <n v="300000"/>
    <s v="P-1564"/>
    <s v="TIS-1544"/>
    <s v="AND TOPOGRAFIA E INGENIERIA SAS"/>
    <m/>
    <x v="4"/>
  </r>
  <r>
    <n v="591"/>
    <x v="442"/>
    <n v="1009664"/>
    <s v="P-1580"/>
    <s v="TIS-1557"/>
    <s v="SOLUCIONES CREATIVAS Y TURÍSTICAS"/>
    <m/>
    <x v="4"/>
  </r>
  <r>
    <n v="582"/>
    <x v="440"/>
    <n v="1178100"/>
    <s v="P-1571"/>
    <s v="TIS-1559"/>
    <s v="ELKIN EDUARDO ORTIZ ORTIZ"/>
    <m/>
    <x v="4"/>
  </r>
  <r>
    <n v="586"/>
    <x v="443"/>
    <n v="324000"/>
    <s v="P-1575"/>
    <s v="TIS-1551"/>
    <s v="Comercializadora ERZ SAS"/>
    <m/>
    <x v="4"/>
  </r>
  <r>
    <n v="584"/>
    <x v="444"/>
    <n v="2211300"/>
    <s v="P-1573"/>
    <n v="0"/>
    <s v="BIENESTAR SEGUROS &amp; CIA LTDA"/>
    <m/>
    <x v="4"/>
  </r>
  <r>
    <n v="626"/>
    <x v="445"/>
    <n v="1011500"/>
    <s v="P-1027"/>
    <s v="TIS-1587"/>
    <s v="SMART ENERGY SOLUTIONS SAS"/>
    <s v="Pexto Colombia-Smart Energy -semana de la salud y capacitación Sergio $1.100.000"/>
    <x v="4"/>
  </r>
  <r>
    <n v="608"/>
    <x v="446"/>
    <n v="654500"/>
    <s v="P-1597"/>
    <s v="TIS-1597"/>
    <s v="DIPREM CO S.A.S."/>
    <s v="Diprem Co SAS"/>
    <x v="4"/>
  </r>
  <r>
    <n v="594"/>
    <x v="446"/>
    <n v="62263040"/>
    <s v="P-1583"/>
    <s v="TIS-1549"/>
    <s v="Banco de Bogota S.A."/>
    <m/>
    <x v="4"/>
  </r>
  <r>
    <n v="579"/>
    <x v="447"/>
    <n v="1723500"/>
    <s v="P-1568"/>
    <s v="TIS-1548"/>
    <s v="CENTRO DE ATENCION E INVESTIGACION MEDICA S.A.S."/>
    <m/>
    <x v="4"/>
  </r>
  <r>
    <n v="549"/>
    <x v="448"/>
    <n v="1360000"/>
    <s v="P-1538"/>
    <s v="TIS.1518"/>
    <s v="STAFF SEGUROS AGENCIA LTDA"/>
    <m/>
    <x v="4"/>
  </r>
  <r>
    <n v="599"/>
    <x v="449"/>
    <n v="324000"/>
    <s v="P-1588"/>
    <s v="TIS-1567"/>
    <s v="DIGITAL MEDIA TECHNOLOGIES COLOMBIA SAS"/>
    <m/>
    <x v="4"/>
  </r>
  <r>
    <n v="590"/>
    <x v="450"/>
    <n v="480000"/>
    <s v="P-1579"/>
    <s v="TIS-1556"/>
    <s v="Inversiones Sajamib SAS"/>
    <m/>
    <x v="4"/>
  </r>
  <r>
    <n v="601"/>
    <x v="450"/>
    <n v="480000"/>
    <s v="P-1590"/>
    <s v="TIS-1569"/>
    <s v="Inversiones Sajamib SAS"/>
    <m/>
    <x v="4"/>
  </r>
  <r>
    <n v="668"/>
    <x v="451"/>
    <n v="324000"/>
    <s v="P-1060"/>
    <s v="TIS-1566"/>
    <s v="Comercializadora ERZ SAS"/>
    <m/>
    <x v="4"/>
  </r>
  <r>
    <n v="598"/>
    <x v="452"/>
    <n v="1078567"/>
    <s v="P-1587"/>
    <s v="TIS-1565"/>
    <s v="VALGASIN SAS ESP"/>
    <m/>
    <x v="4"/>
  </r>
  <r>
    <n v="596"/>
    <x v="453"/>
    <n v="21364575"/>
    <s v="P-1585"/>
    <s v="TIS-1563"/>
    <s v="ACTIVOS SAS"/>
    <m/>
    <x v="4"/>
  </r>
  <r>
    <n v="605"/>
    <x v="454"/>
    <n v="508875"/>
    <s v="P-1594"/>
    <s v="TIS-1573"/>
    <s v="GENUINE LAB S.A.S."/>
    <m/>
    <x v="4"/>
  </r>
  <r>
    <n v="625"/>
    <x v="454"/>
    <n v="350000"/>
    <s v="P-1614"/>
    <s v="TIS-1593"/>
    <s v="PROASCOL S.A."/>
    <s v="Proteccion aseg nit 830013802- Proascol"/>
    <x v="4"/>
  </r>
  <r>
    <n v="624"/>
    <x v="455"/>
    <n v="1820700"/>
    <s v="P-1613"/>
    <s v="TIS-1594"/>
    <s v="GEARFORM S.A.S."/>
    <m/>
    <x v="4"/>
  </r>
  <r>
    <n v="602"/>
    <x v="455"/>
    <n v="1723500"/>
    <s v="P-1591"/>
    <s v="TIS-1570"/>
    <s v="CENTRO DE ATENCION E INVESTIGACION MEDICA S.A.S."/>
    <m/>
    <x v="4"/>
  </r>
  <r>
    <n v="613"/>
    <x v="455"/>
    <n v="913072"/>
    <s v="P-1602"/>
    <s v="TIS-1577"/>
    <s v="SMART ENERGY SOLUTIONS SAS"/>
    <m/>
    <x v="4"/>
  </r>
  <r>
    <n v="614"/>
    <x v="456"/>
    <n v="1514025"/>
    <s v="P-1603"/>
    <s v="TIS-1576"/>
    <s v="ACTIVOS SAS"/>
    <m/>
    <x v="4"/>
  </r>
  <r>
    <n v="593"/>
    <x v="457"/>
    <n v="10241287"/>
    <s v="P-1582"/>
    <s v="TIS-1561"/>
    <s v="FIDEICOMISOS SOCIEDAD FIDUCIARIA DE OCCIDENTE SA"/>
    <m/>
    <x v="4"/>
  </r>
  <r>
    <n v="595"/>
    <x v="458"/>
    <n v="62263040"/>
    <s v="P-1584"/>
    <s v="TIS-1562"/>
    <s v="Banco de Bogota S.A."/>
    <m/>
    <x v="4"/>
  </r>
  <r>
    <n v="620"/>
    <x v="459"/>
    <n v="1009663"/>
    <s v="P-1609"/>
    <s v="TIS-1582"/>
    <s v="SOLUCIONES CREATIVAS Y TURÍSTICAS"/>
    <m/>
    <x v="4"/>
  </r>
  <r>
    <n v="615"/>
    <x v="459"/>
    <n v="324000"/>
    <s v="P-1604"/>
    <s v="TIS-1578"/>
    <s v="DIGITAL MEDIA TECHNOLOGIES COLOMBIA SAS"/>
    <m/>
    <x v="4"/>
  </r>
  <r>
    <n v="636"/>
    <x v="459"/>
    <n v="737800"/>
    <s v="P-1027"/>
    <n v="0"/>
    <s v="Walsom SAS"/>
    <s v="anticipo BRP Walsom sas"/>
    <x v="4"/>
  </r>
  <r>
    <n v="608"/>
    <x v="460"/>
    <n v="654500"/>
    <s v="P-1597"/>
    <s v="TIS-1590"/>
    <s v="DIPREM CO S.A.S."/>
    <m/>
    <x v="4"/>
  </r>
  <r>
    <n v="576"/>
    <x v="461"/>
    <n v="287500"/>
    <s v="P-1565"/>
    <s v="TIS-1545"/>
    <s v="ROYCO SOLUCIONES SAS"/>
    <m/>
    <x v="4"/>
  </r>
  <r>
    <n v="588"/>
    <x v="461"/>
    <n v="287500"/>
    <s v="P-1577"/>
    <s v="TIS-1553"/>
    <s v="ROYCO SOLUCIONES SAS"/>
    <m/>
    <x v="4"/>
  </r>
  <r>
    <n v="600"/>
    <x v="461"/>
    <n v="287500"/>
    <s v="P-1589"/>
    <s v="TIS-1568"/>
    <s v="ROYCO SOLUCIONES SAS"/>
    <m/>
    <x v="4"/>
  </r>
  <r>
    <n v="623"/>
    <x v="461"/>
    <n v="287500"/>
    <s v="P-1612"/>
    <s v="TIS-1580"/>
    <s v="ROYCO SOLUCIONES SAS"/>
    <m/>
    <x v="4"/>
  </r>
  <r>
    <n v="617"/>
    <x v="462"/>
    <n v="1723500"/>
    <s v="P-1606"/>
    <s v="TIS-1581"/>
    <s v="CENTRO DE ATENCION E INVESTIGACION MEDICA S.A.S."/>
    <m/>
    <x v="4"/>
  </r>
  <r>
    <n v="622"/>
    <x v="463"/>
    <n v="526575"/>
    <s v="P-1611"/>
    <s v="TIS-1586"/>
    <s v="GENUINE LAB S.A.S."/>
    <m/>
    <x v="4"/>
  </r>
  <r>
    <n v="626"/>
    <x v="464"/>
    <n v="966063"/>
    <s v="P-1027"/>
    <s v="TIS-1587"/>
    <s v="SMART ENERGY SOLUTIONS SAS"/>
    <m/>
    <x v="4"/>
  </r>
  <r>
    <n v="634"/>
    <x v="465"/>
    <n v="809200"/>
    <s v="P-1035"/>
    <s v="TIS-1599"/>
    <s v="PROASCOL S.A."/>
    <s v="???"/>
    <x v="4"/>
  </r>
  <r>
    <n v="625"/>
    <x v="465"/>
    <n v="357452"/>
    <s v="P-1614"/>
    <s v="TIS-1593"/>
    <s v="PROASCOL S.A."/>
    <m/>
    <x v="4"/>
  </r>
  <r>
    <n v="527"/>
    <x v="466"/>
    <n v="1584189"/>
    <s v="P-1516"/>
    <s v="TIS-1495"/>
    <s v="CONTROLAR SALUD INTEGRAL SAS"/>
    <m/>
    <x v="4"/>
  </r>
  <r>
    <n v="632"/>
    <x v="467"/>
    <n v="1026306"/>
    <s v="P-1033"/>
    <s v="TIS-1597"/>
    <s v="HF DOTACIONES SAS"/>
    <m/>
    <x v="6"/>
  </r>
  <r>
    <n v="609"/>
    <x v="468"/>
    <n v="10255758"/>
    <s v="P-1598"/>
    <s v="TIS-1575"/>
    <s v="Banco de Bogota S.A."/>
    <m/>
    <x v="6"/>
  </r>
  <r>
    <n v="628"/>
    <x v="469"/>
    <n v="1150000"/>
    <s v="P-1029"/>
    <s v="TIS-1589"/>
    <s v="ALVEAR ESCOBAR ASOCIADOS S.A.S"/>
    <m/>
    <x v="6"/>
  </r>
  <r>
    <n v="619"/>
    <x v="470"/>
    <n v="300000"/>
    <s v="P-1608"/>
    <s v="TIS-1584"/>
    <s v="AND TOPOGRAFIA E INGENIERIA SAS"/>
    <m/>
    <x v="6"/>
  </r>
  <r>
    <n v="635"/>
    <x v="471"/>
    <n v="4713896"/>
    <s v="P-1036"/>
    <s v="TIS-1595"/>
    <s v="JUNTA NACIONAL DE CALIFICACION DE INVALIDEZ"/>
    <m/>
    <x v="6"/>
  </r>
  <r>
    <n v="642"/>
    <x v="472"/>
    <n v="1009663"/>
    <s v="P-1034"/>
    <s v="TIS-1605"/>
    <s v="SOLUCIONES CREATIVAS Y TURÍSTICAS"/>
    <m/>
    <x v="6"/>
  </r>
  <r>
    <n v="633"/>
    <x v="470"/>
    <n v="324000"/>
    <s v="P-1034"/>
    <s v="TIS-1598"/>
    <s v="Comercializadora ERZ SAS"/>
    <m/>
    <x v="6"/>
  </r>
  <r>
    <n v="616"/>
    <x v="470"/>
    <n v="324000"/>
    <s v="P-1605"/>
    <s v="TIS-1579"/>
    <s v="Comercializadora ERZ SAS"/>
    <m/>
    <x v="6"/>
  </r>
  <r>
    <n v="631"/>
    <x v="470"/>
    <n v="388800"/>
    <s v="P-1032"/>
    <s v="TIS-1596"/>
    <s v="Comercializadora ERZ SAS"/>
    <m/>
    <x v="6"/>
  </r>
  <r>
    <n v="635"/>
    <x v="471"/>
    <n v="4713896"/>
    <s v="P-1036"/>
    <s v="TIS-1595"/>
    <s v="JUNTA NACIONAL DE CALIFICACION DE INVALIDEZ"/>
    <m/>
    <x v="6"/>
  </r>
  <r>
    <n v="624"/>
    <x v="473"/>
    <n v="1457600"/>
    <s v="P-1613"/>
    <s v="TIS-1594"/>
    <s v="GEARFORM S.A.S."/>
    <m/>
    <x v="6"/>
  </r>
  <r>
    <n v="654"/>
    <x v="473"/>
    <n v="324000"/>
    <s v="P-1046"/>
    <s v="TIS-1617"/>
    <s v="ATECNO S.A.S"/>
    <m/>
    <x v="6"/>
  </r>
  <r>
    <n v="648"/>
    <x v="472"/>
    <n v="1009663"/>
    <s v="P-1040"/>
    <s v="TIS-1611"/>
    <s v="SOLUCIONES CREATIVAS Y TURÍSTICAS"/>
    <m/>
    <x v="6"/>
  </r>
  <r>
    <n v="630"/>
    <x v="474"/>
    <n v="1683612"/>
    <s v="P-1031"/>
    <s v="TIS-1591"/>
    <s v="TISANAS ORQUIDEAS S.A.S."/>
    <m/>
    <x v="6"/>
  </r>
  <r>
    <n v="653"/>
    <x v="475"/>
    <n v="2332000"/>
    <s v="P-1045"/>
    <s v="TIS-1616"/>
    <s v="ELKIN EDUARDO ORTIZ ORTIZ"/>
    <m/>
    <x v="6"/>
  </r>
  <r>
    <n v="653"/>
    <x v="475"/>
    <n v="3000000"/>
    <s v="P-1045"/>
    <s v="TIS-1616"/>
    <s v="ELKIN EDUARDO ORTIZ ORTIZ"/>
    <m/>
    <x v="6"/>
  </r>
  <r>
    <n v="641"/>
    <x v="476"/>
    <n v="1723500"/>
    <s v="P-1033"/>
    <s v="TIS-1604"/>
    <s v="CENTRO DE ATENCION E INVESTIGACION MEDICA S.A.S."/>
    <m/>
    <x v="6"/>
  </r>
  <r>
    <n v="607"/>
    <x v="477"/>
    <n v="390768"/>
    <s v="P-1596"/>
    <s v="Tis-1592"/>
    <s v="VORTICE S.A.S."/>
    <m/>
    <x v="6"/>
  </r>
  <r>
    <n v="640"/>
    <x v="478"/>
    <n v="287500"/>
    <s v="P-1032"/>
    <s v="TIS-1603"/>
    <s v="ROYCO SOLUCIONES SAS"/>
    <m/>
    <x v="6"/>
  </r>
  <r>
    <n v="649"/>
    <x v="479"/>
    <n v="324000"/>
    <s v="P-1041"/>
    <s v="TIS-1612"/>
    <s v="DIGITAL MEDIA TECHNOLOGIES COLOMBIA SAS"/>
    <m/>
    <x v="6"/>
  </r>
  <r>
    <n v="657"/>
    <x v="480"/>
    <n v="798938"/>
    <s v="P-1049"/>
    <s v="TIS-1619"/>
    <s v="GREEN OAK SAS."/>
    <m/>
    <x v="6"/>
  </r>
  <r>
    <n v="653"/>
    <x v="480"/>
    <n v="1332000"/>
    <s v="P-1045"/>
    <s v="TIS-1616"/>
    <s v="ELKIN EDUARDO ORTIZ ORTIZ"/>
    <m/>
    <x v="6"/>
  </r>
  <r>
    <n v="652"/>
    <x v="481"/>
    <n v="2052612"/>
    <s v="P-1044"/>
    <s v="TIS-1615"/>
    <s v="EPITHINK HEALTH CONSULTING S.A.S."/>
    <m/>
    <x v="6"/>
  </r>
  <r>
    <n v="647"/>
    <x v="482"/>
    <n v="1723500"/>
    <s v="P-1039"/>
    <s v="TIS-1610"/>
    <s v="CENTRO DE ATENCION E INVESTIGACION MEDICA S.A.S."/>
    <m/>
    <x v="6"/>
  </r>
  <r>
    <n v="658"/>
    <x v="483"/>
    <n v="1482442"/>
    <s v="P-1050"/>
    <s v="TIS-1628"/>
    <s v="HERRAMIENTAS UNIDAS S.A.S."/>
    <m/>
    <x v="6"/>
  </r>
  <r>
    <m/>
    <x v="484"/>
    <m/>
    <m/>
    <m/>
    <m/>
    <m/>
    <x v="7"/>
  </r>
  <r>
    <m/>
    <x v="484"/>
    <m/>
    <m/>
    <m/>
    <m/>
    <m/>
    <x v="7"/>
  </r>
  <r>
    <m/>
    <x v="484"/>
    <m/>
    <m/>
    <m/>
    <m/>
    <m/>
    <x v="7"/>
  </r>
  <r>
    <m/>
    <x v="484"/>
    <m/>
    <m/>
    <m/>
    <m/>
    <m/>
    <x v="7"/>
  </r>
  <r>
    <m/>
    <x v="484"/>
    <m/>
    <m/>
    <m/>
    <m/>
    <m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4B75C1-6A11-4A4D-A967-926EDABE6BF3}" name="Tabla dinámica1" cacheId="6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 chartFormat="1">
  <location ref="M7:N11" firstHeaderRow="1" firstDataRow="1" firstDataCol="1" rowPageCount="1" colPageCount="1"/>
  <pivotFields count="11">
    <pivotField compact="0" outline="0" showAll="0"/>
    <pivotField compact="0" numFmtId="15" outline="0" showAll="0">
      <items count="48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5"/>
        <item x="324"/>
        <item x="325"/>
        <item x="326"/>
        <item x="327"/>
        <item x="323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28"/>
        <item x="344"/>
        <item x="345"/>
        <item x="346"/>
        <item x="347"/>
        <item x="348"/>
        <item x="312"/>
        <item x="313"/>
        <item x="314"/>
        <item x="316"/>
        <item x="317"/>
        <item x="318"/>
        <item x="319"/>
        <item x="320"/>
        <item x="321"/>
        <item x="322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207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8"/>
        <item x="413"/>
        <item x="414"/>
        <item x="415"/>
        <item x="416"/>
        <item x="417"/>
        <item x="419"/>
        <item x="420"/>
        <item x="421"/>
        <item x="422"/>
        <item x="423"/>
        <item x="424"/>
        <item x="428"/>
        <item x="425"/>
        <item x="426"/>
        <item x="427"/>
        <item x="429"/>
        <item x="430"/>
        <item x="431"/>
        <item x="432"/>
        <item x="435"/>
        <item x="433"/>
        <item x="434"/>
        <item x="440"/>
        <item x="439"/>
        <item x="438"/>
        <item x="443"/>
        <item x="437"/>
        <item x="436"/>
        <item x="444"/>
        <item x="445"/>
        <item x="446"/>
        <item x="441"/>
        <item x="447"/>
        <item x="442"/>
        <item x="448"/>
        <item x="449"/>
        <item x="450"/>
        <item x="451"/>
        <item x="452"/>
        <item x="453"/>
        <item x="454"/>
        <item x="456"/>
        <item x="455"/>
        <item x="457"/>
        <item x="458"/>
        <item x="459"/>
        <item x="460"/>
        <item x="461"/>
        <item x="462"/>
        <item x="463"/>
        <item x="466"/>
        <item x="464"/>
        <item x="465"/>
        <item x="467"/>
        <item x="468"/>
        <item x="469"/>
        <item x="470"/>
        <item x="471"/>
        <item x="473"/>
        <item x="472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9">
        <item x="0"/>
        <item x="1"/>
        <item x="2"/>
        <item x="3"/>
        <item x="5"/>
        <item x="4"/>
        <item x="6"/>
        <item x="7"/>
        <item t="default"/>
      </items>
    </pivotField>
    <pivotField axis="axisRow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>
      <items count="10">
        <item sd="0" x="0"/>
        <item sd="0" x="1"/>
        <item sd="0" x="2"/>
        <item sd="0" x="3"/>
        <item sd="0" x="4"/>
        <item sd="0" x="5"/>
        <item sd="0" x="6"/>
        <item sd="0" x="7"/>
        <item sd="0" x="8"/>
        <item t="default"/>
      </items>
    </pivotField>
  </pivotFields>
  <rowFields count="1">
    <field x="8"/>
  </rowFields>
  <rowItems count="4">
    <i>
      <x v="1"/>
    </i>
    <i>
      <x v="2"/>
    </i>
    <i>
      <x v="3"/>
    </i>
    <i t="grand">
      <x/>
    </i>
  </rowItems>
  <colItems count="1">
    <i/>
  </colItems>
  <pageFields count="1">
    <pageField fld="7" item="6" hier="-1"/>
  </pageFields>
  <dataFields count="1">
    <dataField name="Suma de Valor" fld="2" baseField="0" baseItem="0" numFmtId="168"/>
  </dataFields>
  <formats count="1">
    <format dxfId="1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E0C983-B4F2-420D-B3BF-CC88B578B5EA}" name="TablaDinámica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compact="0" compactData="0" multipleFieldFilters="0" rowHeaderCaption="Cliente">
  <location ref="H29:I36" firstHeaderRow="1" firstDataRow="1" firstDataCol="1" rowPageCount="1" colPageCount="1"/>
  <pivotFields count="26">
    <pivotField compact="0" outline="0" showAll="0"/>
    <pivotField compact="0" outline="0" showAll="0"/>
    <pivotField compact="0" numFmtId="16" outline="0" showAll="0">
      <items count="369"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t="default"/>
      </items>
    </pivotField>
    <pivotField compact="0" outline="0" showAll="0"/>
    <pivotField compact="0" outline="0" showAll="0">
      <items count="369">
        <item x="0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compact="0" outline="0" showAll="0"/>
    <pivotField compact="0" outline="0" showAll="0"/>
    <pivotField name="Cliente" axis="axisRow" compact="0" outline="0" showAll="0" measureFilter="1" sortType="descending" defaultSubtotal="0">
      <items count="196">
        <item x="5"/>
        <item m="1" x="195"/>
        <item x="31"/>
        <item x="45"/>
        <item x="17"/>
        <item x="52"/>
        <item x="47"/>
        <item x="42"/>
        <item x="29"/>
        <item x="48"/>
        <item n="Claudia Vargas" x="12"/>
        <item x="57"/>
        <item x="19"/>
        <item x="13"/>
        <item x="4"/>
        <item x="59"/>
        <item x="8"/>
        <item x="6"/>
        <item x="1"/>
        <item x="22"/>
        <item x="7"/>
        <item x="2"/>
        <item m="1" x="187"/>
        <item m="1" x="192"/>
        <item x="10"/>
        <item x="41"/>
        <item x="26"/>
        <item x="39"/>
        <item x="11"/>
        <item x="33"/>
        <item x="34"/>
        <item n="hilverda Florist" x="30"/>
        <item x="9"/>
        <item x="23"/>
        <item x="38"/>
        <item x="32"/>
        <item m="1" x="190"/>
        <item m="1" x="194"/>
        <item x="15"/>
        <item x="60"/>
        <item x="49"/>
        <item x="24"/>
        <item x="61"/>
        <item x="14"/>
        <item x="62"/>
        <item x="50"/>
        <item x="37"/>
        <item x="36"/>
        <item x="28"/>
        <item x="58"/>
        <item x="56"/>
        <item x="27"/>
        <item x="40"/>
        <item x="44"/>
        <item x="54"/>
        <item x="43"/>
        <item x="25"/>
        <item x="55"/>
        <item x="53"/>
        <item x="18"/>
        <item x="20"/>
        <item x="0"/>
        <item x="35"/>
        <item x="3"/>
        <item x="46"/>
        <item x="16"/>
        <item x="21"/>
        <item m="1" x="191"/>
        <item x="63"/>
        <item x="64"/>
        <item x="65"/>
        <item x="66"/>
        <item x="67"/>
        <item x="68"/>
        <item x="69"/>
        <item x="70"/>
        <item x="71"/>
        <item x="72"/>
        <item x="51"/>
        <item x="73"/>
        <item x="74"/>
        <item x="75"/>
        <item x="76"/>
        <item x="77"/>
        <item x="78"/>
        <item x="79"/>
        <item x="80"/>
        <item x="81"/>
        <item m="1" x="189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93"/>
        <item x="107"/>
        <item x="108"/>
        <item x="109"/>
        <item x="110"/>
        <item x="111"/>
        <item x="112"/>
        <item x="113"/>
        <item x="114"/>
        <item x="115"/>
        <item x="116"/>
        <item x="14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m="1" x="186"/>
        <item x="134"/>
        <item x="135"/>
        <item x="136"/>
        <item x="82"/>
        <item x="137"/>
        <item x="138"/>
        <item x="139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m="1" x="188"/>
        <item x="161"/>
        <item x="162"/>
        <item x="117"/>
        <item x="163"/>
        <item x="164"/>
        <item x="160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dataField="1" compact="0" outline="0" multipleItemSelectionAllowed="1" showAll="0"/>
    <pivotField compact="0" numFmtId="164" outline="0" showAll="0"/>
    <pivotField compact="0" numFmtId="164" outline="0" showAll="0"/>
    <pivotField compact="0" numFmtId="164" outline="0" showAll="0"/>
    <pivotField compact="0" numFmtId="172" outline="0" showAll="0"/>
    <pivotField compact="0" outline="0" showAll="0"/>
    <pivotField compact="0" outline="0" multipleItemSelectionAllowed="1" showAll="0"/>
    <pivotField compact="0" outline="0" showAll="0"/>
    <pivotField axis="axisPage" compact="0" outline="0" multipleItemSelectionAllowed="1" showAll="0">
      <items count="9">
        <item h="1" x="2"/>
        <item h="1" x="0"/>
        <item h="1" x="3"/>
        <item h="1" x="4"/>
        <item h="1" x="1"/>
        <item x="5"/>
        <item h="1" x="6"/>
        <item h="1" x="7"/>
        <item t="default"/>
      </items>
    </pivotField>
    <pivotField compact="0" outline="0" multipleItemSelectionAllowed="1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7"/>
  </rowFields>
  <rowItems count="7">
    <i>
      <x v="127"/>
    </i>
    <i>
      <x v="144"/>
    </i>
    <i>
      <x v="159"/>
    </i>
    <i>
      <x v="151"/>
    </i>
    <i>
      <x v="134"/>
    </i>
    <i>
      <x v="145"/>
    </i>
    <i t="grand">
      <x/>
    </i>
  </rowItems>
  <colItems count="1">
    <i/>
  </colItems>
  <pageFields count="1">
    <pageField fld="22" hier="-1"/>
  </pageFields>
  <dataFields count="1">
    <dataField name="valor" fld="14" baseField="7" baseItem="6" numFmtId="3"/>
  </dataFields>
  <formats count="54">
    <format dxfId="150">
      <pivotArea grandRow="1" outline="0" collapsedLevelsAreSubtotals="1" fieldPosition="0"/>
    </format>
    <format dxfId="149">
      <pivotArea dataOnly="0" labelOnly="1" grandRow="1" outline="0" fieldPosition="0"/>
    </format>
    <format dxfId="148">
      <pivotArea dataOnly="0" grandRow="1" fieldPosition="0"/>
    </format>
    <format dxfId="147">
      <pivotArea dataOnly="0" grandRow="1" fieldPosition="0"/>
    </format>
    <format dxfId="146">
      <pivotArea field="24" type="button" dataOnly="0" labelOnly="1" outline="0"/>
    </format>
    <format dxfId="145">
      <pivotArea field="24" type="button" dataOnly="0" labelOnly="1" outline="0"/>
    </format>
    <format dxfId="144">
      <pivotArea field="7" type="button" dataOnly="0" labelOnly="1" outline="0" axis="axisRow" fieldPosition="0"/>
    </format>
    <format dxfId="143">
      <pivotArea dataOnly="0" labelOnly="1" outline="0" axis="axisValues" fieldPosition="0"/>
    </format>
    <format dxfId="142">
      <pivotArea outline="0" fieldPosition="0">
        <references count="1">
          <reference field="4294967294" count="1">
            <x v="0"/>
          </reference>
        </references>
      </pivotArea>
    </format>
    <format dxfId="141">
      <pivotArea field="7" type="button" dataOnly="0" labelOnly="1" outline="0" axis="axisRow" fieldPosition="0"/>
    </format>
    <format dxfId="140">
      <pivotArea dataOnly="0" labelOnly="1" outline="0" axis="axisValues" fieldPosition="0"/>
    </format>
    <format dxfId="139">
      <pivotArea grandRow="1" outline="0" collapsedLevelsAreSubtotals="1" fieldPosition="0"/>
    </format>
    <format dxfId="138">
      <pivotArea dataOnly="0" labelOnly="1" grandRow="1" outline="0" fieldPosition="0"/>
    </format>
    <format dxfId="137">
      <pivotArea grandRow="1" outline="0" collapsedLevelsAreSubtotals="1" fieldPosition="0"/>
    </format>
    <format dxfId="136">
      <pivotArea grandRow="1" outline="0" collapsedLevelsAreSubtotals="1" fieldPosition="0"/>
    </format>
    <format dxfId="135">
      <pivotArea collapsedLevelsAreSubtotals="1" fieldPosition="0">
        <references count="1">
          <reference field="7" count="1">
            <x v="42"/>
          </reference>
        </references>
      </pivotArea>
    </format>
    <format dxfId="134">
      <pivotArea collapsedLevelsAreSubtotals="1" fieldPosition="0">
        <references count="1">
          <reference field="7" count="1">
            <x v="54"/>
          </reference>
        </references>
      </pivotArea>
    </format>
    <format dxfId="133">
      <pivotArea collapsedLevelsAreSubtotals="1" fieldPosition="0">
        <references count="1">
          <reference field="7" count="1">
            <x v="54"/>
          </reference>
        </references>
      </pivotArea>
    </format>
    <format dxfId="132">
      <pivotArea collapsedLevelsAreSubtotals="1" fieldPosition="0">
        <references count="1">
          <reference field="7" count="1">
            <x v="45"/>
          </reference>
        </references>
      </pivotArea>
    </format>
    <format dxfId="131">
      <pivotArea dataOnly="0" labelOnly="1" fieldPosition="0">
        <references count="1">
          <reference field="7" count="1">
            <x v="45"/>
          </reference>
        </references>
      </pivotArea>
    </format>
    <format dxfId="130">
      <pivotArea collapsedLevelsAreSubtotals="1" fieldPosition="0">
        <references count="1">
          <reference field="7" count="1">
            <x v="58"/>
          </reference>
        </references>
      </pivotArea>
    </format>
    <format dxfId="129">
      <pivotArea dataOnly="0" labelOnly="1" fieldPosition="0">
        <references count="1">
          <reference field="7" count="1">
            <x v="58"/>
          </reference>
        </references>
      </pivotArea>
    </format>
    <format dxfId="128">
      <pivotArea collapsedLevelsAreSubtotals="1" fieldPosition="0">
        <references count="1">
          <reference field="7" count="2">
            <x v="15"/>
            <x v="57"/>
          </reference>
        </references>
      </pivotArea>
    </format>
    <format dxfId="127">
      <pivotArea dataOnly="0" labelOnly="1" fieldPosition="0">
        <references count="1">
          <reference field="7" count="2">
            <x v="15"/>
            <x v="57"/>
          </reference>
        </references>
      </pivotArea>
    </format>
    <format dxfId="126">
      <pivotArea dataOnly="0" labelOnly="1" outline="0" fieldPosition="0">
        <references count="1">
          <reference field="7" count="1">
            <x v="45"/>
          </reference>
        </references>
      </pivotArea>
    </format>
    <format dxfId="125">
      <pivotArea outline="0" fieldPosition="0">
        <references count="1">
          <reference field="7" count="1" selected="0">
            <x v="45"/>
          </reference>
        </references>
      </pivotArea>
    </format>
    <format dxfId="124">
      <pivotArea outline="0" fieldPosition="0">
        <references count="1">
          <reference field="7" count="1" selected="0">
            <x v="57"/>
          </reference>
        </references>
      </pivotArea>
    </format>
    <format dxfId="123">
      <pivotArea dataOnly="0" labelOnly="1" outline="0" fieldPosition="0">
        <references count="1">
          <reference field="7" count="1">
            <x v="57"/>
          </reference>
        </references>
      </pivotArea>
    </format>
    <format dxfId="122">
      <pivotArea outline="0" fieldPosition="0">
        <references count="1">
          <reference field="7" count="1" selected="0">
            <x v="13"/>
          </reference>
        </references>
      </pivotArea>
    </format>
    <format dxfId="121">
      <pivotArea dataOnly="0" labelOnly="1" outline="0" fieldPosition="0">
        <references count="1">
          <reference field="7" count="1">
            <x v="13"/>
          </reference>
        </references>
      </pivotArea>
    </format>
    <format dxfId="120">
      <pivotArea dataOnly="0" labelOnly="1" outline="0" fieldPosition="0">
        <references count="1">
          <reference field="7" count="1">
            <x v="101"/>
          </reference>
        </references>
      </pivotArea>
    </format>
    <format dxfId="119">
      <pivotArea dataOnly="0" labelOnly="1" outline="0" fieldPosition="0">
        <references count="1">
          <reference field="7" count="1">
            <x v="99"/>
          </reference>
        </references>
      </pivotArea>
    </format>
    <format dxfId="118">
      <pivotArea dataOnly="0" labelOnly="1" outline="0" fieldPosition="0">
        <references count="1">
          <reference field="7" count="1">
            <x v="91"/>
          </reference>
        </references>
      </pivotArea>
    </format>
    <format dxfId="117">
      <pivotArea dataOnly="0" labelOnly="1" outline="0" fieldPosition="0">
        <references count="1">
          <reference field="7" count="1">
            <x v="84"/>
          </reference>
        </references>
      </pivotArea>
    </format>
    <format dxfId="116">
      <pivotArea dataOnly="0" labelOnly="1" outline="0" fieldPosition="0">
        <references count="1">
          <reference field="7" count="1">
            <x v="102"/>
          </reference>
        </references>
      </pivotArea>
    </format>
    <format dxfId="115">
      <pivotArea dataOnly="0" labelOnly="1" outline="0" fieldPosition="0">
        <references count="1">
          <reference field="7" count="1">
            <x v="110"/>
          </reference>
        </references>
      </pivotArea>
    </format>
    <format dxfId="114">
      <pivotArea outline="0" fieldPosition="0">
        <references count="1">
          <reference field="7" count="1" selected="0">
            <x v="0"/>
          </reference>
        </references>
      </pivotArea>
    </format>
    <format dxfId="113">
      <pivotArea dataOnly="0" labelOnly="1" outline="0" fieldPosition="0">
        <references count="1">
          <reference field="7" count="1">
            <x v="0"/>
          </reference>
        </references>
      </pivotArea>
    </format>
    <format dxfId="112">
      <pivotArea outline="0" fieldPosition="0">
        <references count="1">
          <reference field="7" count="1" selected="0">
            <x v="43"/>
          </reference>
        </references>
      </pivotArea>
    </format>
    <format dxfId="111">
      <pivotArea dataOnly="0" labelOnly="1" outline="0" fieldPosition="0">
        <references count="1">
          <reference field="7" count="1">
            <x v="43"/>
          </reference>
        </references>
      </pivotArea>
    </format>
    <format dxfId="110">
      <pivotArea dataOnly="0" labelOnly="1" outline="0" fieldPosition="0">
        <references count="1">
          <reference field="7" count="1">
            <x v="95"/>
          </reference>
        </references>
      </pivotArea>
    </format>
    <format dxfId="109">
      <pivotArea outline="0" fieldPosition="0">
        <references count="1">
          <reference field="7" count="1" selected="0">
            <x v="103"/>
          </reference>
        </references>
      </pivotArea>
    </format>
    <format dxfId="108">
      <pivotArea outline="0" fieldPosition="0">
        <references count="1">
          <reference field="7" count="1" selected="0">
            <x v="75"/>
          </reference>
        </references>
      </pivotArea>
    </format>
    <format dxfId="107">
      <pivotArea dataOnly="0" labelOnly="1" outline="0" fieldPosition="0">
        <references count="1">
          <reference field="7" count="1">
            <x v="108"/>
          </reference>
        </references>
      </pivotArea>
    </format>
    <format dxfId="106">
      <pivotArea outline="0" fieldPosition="0">
        <references count="1">
          <reference field="7" count="1" selected="0">
            <x v="112"/>
          </reference>
        </references>
      </pivotArea>
    </format>
    <format dxfId="105">
      <pivotArea outline="0" fieldPosition="0">
        <references count="1">
          <reference field="7" count="1" selected="0">
            <x v="100"/>
          </reference>
        </references>
      </pivotArea>
    </format>
    <format dxfId="104">
      <pivotArea outline="0" fieldPosition="0">
        <references count="1">
          <reference field="7" count="4" selected="0">
            <x v="84"/>
            <x v="109"/>
            <x v="121"/>
            <x v="123"/>
          </reference>
        </references>
      </pivotArea>
    </format>
    <format dxfId="103">
      <pivotArea outline="0" fieldPosition="0">
        <references count="1">
          <reference field="7" count="1" selected="0">
            <x v="15"/>
          </reference>
        </references>
      </pivotArea>
    </format>
    <format dxfId="102">
      <pivotArea dataOnly="0" labelOnly="1" outline="0" fieldPosition="0">
        <references count="1">
          <reference field="7" count="1">
            <x v="15"/>
          </reference>
        </references>
      </pivotArea>
    </format>
    <format dxfId="101">
      <pivotArea outline="0" fieldPosition="0">
        <references count="1">
          <reference field="7" count="11" selected="0">
            <x v="9"/>
            <x v="28"/>
            <x v="49"/>
            <x v="60"/>
            <x v="63"/>
            <x v="77"/>
            <x v="78"/>
            <x v="94"/>
            <x v="105"/>
            <x v="134"/>
            <x v="141"/>
          </reference>
        </references>
      </pivotArea>
    </format>
    <format dxfId="100">
      <pivotArea dataOnly="0" labelOnly="1" outline="0" fieldPosition="0">
        <references count="1">
          <reference field="7" count="11">
            <x v="9"/>
            <x v="28"/>
            <x v="49"/>
            <x v="60"/>
            <x v="63"/>
            <x v="77"/>
            <x v="78"/>
            <x v="94"/>
            <x v="105"/>
            <x v="134"/>
            <x v="141"/>
          </reference>
        </references>
      </pivotArea>
    </format>
    <format dxfId="99">
      <pivotArea dataOnly="0" outline="0" fieldPosition="0">
        <references count="1">
          <reference field="7" count="1">
            <x v="136"/>
          </reference>
        </references>
      </pivotArea>
    </format>
    <format dxfId="98">
      <pivotArea outline="0" fieldPosition="0">
        <references count="1">
          <reference field="7" count="17" selected="0">
            <x v="25"/>
            <x v="35"/>
            <x v="74"/>
            <x v="104"/>
            <x v="124"/>
            <x v="127"/>
            <x v="134"/>
            <x v="143"/>
            <x v="144"/>
            <x v="148"/>
            <x v="149"/>
            <x v="151"/>
            <x v="153"/>
            <x v="156"/>
            <x v="157"/>
            <x v="158"/>
            <x v="159"/>
          </reference>
        </references>
      </pivotArea>
    </format>
    <format dxfId="97">
      <pivotArea dataOnly="0" labelOnly="1" outline="0" fieldPosition="0">
        <references count="1">
          <reference field="7" count="17">
            <x v="25"/>
            <x v="35"/>
            <x v="74"/>
            <x v="104"/>
            <x v="124"/>
            <x v="127"/>
            <x v="134"/>
            <x v="143"/>
            <x v="144"/>
            <x v="148"/>
            <x v="149"/>
            <x v="151"/>
            <x v="153"/>
            <x v="156"/>
            <x v="157"/>
            <x v="158"/>
            <x v="159"/>
          </reference>
        </references>
      </pivotArea>
    </format>
  </formats>
  <pivotTableStyleInfo name="PivotStyleLight16" showRowHeaders="1" showColHeaders="1" showRowStripes="0" showColStripes="0" showLastColumn="1"/>
  <filters count="1">
    <filter fld="7" type="valueGreaterThan" evalOrder="-1" id="5" iMeasureFld="0">
      <autoFilter ref="A1">
        <filterColumn colId="0">
          <customFilters>
            <customFilter operator="greaterThan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A87640-0A02-4A68-9BE8-B15FE480E859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" rowHeaderCaption="Mes">
  <location ref="L29:N126" firstHeaderRow="0" firstDataRow="1" firstDataCol="1" rowPageCount="2" colPageCount="1"/>
  <pivotFields count="15">
    <pivotField showAll="0"/>
    <pivotField dataField="1" showAll="0"/>
    <pivotField axis="axisRow" numFmtId="16" showAll="0">
      <items count="2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239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m="1" x="237"/>
        <item m="1" x="238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19"/>
        <item x="220"/>
        <item x="221"/>
        <item x="222"/>
        <item x="223"/>
        <item x="224"/>
        <item x="225"/>
        <item x="226"/>
        <item x="17"/>
        <item x="227"/>
        <item x="152"/>
        <item x="153"/>
        <item x="154"/>
        <item x="155"/>
        <item x="156"/>
        <item x="157"/>
        <item x="158"/>
        <item x="159"/>
        <item x="161"/>
        <item x="162"/>
        <item x="163"/>
        <item x="164"/>
        <item x="165"/>
        <item x="166"/>
        <item x="167"/>
        <item x="168"/>
        <item x="169"/>
        <item x="170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8"/>
        <item x="192"/>
        <item x="160"/>
        <item x="171"/>
        <item x="172"/>
        <item x="186"/>
        <item x="187"/>
        <item x="189"/>
        <item x="190"/>
        <item x="191"/>
        <item x="217"/>
        <item x="228"/>
        <item x="229"/>
        <item x="230"/>
        <item x="231"/>
        <item x="232"/>
        <item x="233"/>
        <item x="234"/>
        <item x="235"/>
        <item x="236"/>
        <item t="default"/>
      </items>
    </pivotField>
    <pivotField showAll="0"/>
    <pivotField showAll="0"/>
    <pivotField axis="axisPage" showAll="0">
      <items count="5">
        <item x="1"/>
        <item x="0"/>
        <item x="3"/>
        <item x="2"/>
        <item t="default"/>
      </items>
    </pivotField>
    <pivotField showAll="0"/>
    <pivotField axis="axisPage" showAll="0">
      <items count="32">
        <item x="4"/>
        <item m="1" x="27"/>
        <item m="1" x="24"/>
        <item x="3"/>
        <item m="1" x="21"/>
        <item x="10"/>
        <item x="2"/>
        <item m="1" x="30"/>
        <item m="1" x="29"/>
        <item x="0"/>
        <item m="1" x="26"/>
        <item m="1" x="23"/>
        <item x="11"/>
        <item m="1" x="25"/>
        <item x="5"/>
        <item x="7"/>
        <item x="8"/>
        <item m="1" x="28"/>
        <item m="1" x="22"/>
        <item x="12"/>
        <item x="13"/>
        <item x="14"/>
        <item x="1"/>
        <item x="6"/>
        <item x="9"/>
        <item x="15"/>
        <item x="16"/>
        <item x="17"/>
        <item x="18"/>
        <item x="19"/>
        <item x="20"/>
        <item t="default"/>
      </items>
    </pivotField>
    <pivotField showAll="0"/>
    <pivotField showAll="0"/>
    <pivotField showAll="0"/>
    <pivotField showAll="0"/>
    <pivotField dataField="1" showAll="0"/>
    <pivotField numFmtId="164" showAll="0"/>
    <pivotField numFmtId="164" showAll="0"/>
  </pivotFields>
  <rowFields count="1">
    <field x="2"/>
  </rowFields>
  <rowItems count="97">
    <i>
      <x v="2"/>
    </i>
    <i>
      <x v="3"/>
    </i>
    <i>
      <x v="4"/>
    </i>
    <i>
      <x v="5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9"/>
    </i>
    <i>
      <x v="22"/>
    </i>
    <i>
      <x v="23"/>
    </i>
    <i>
      <x v="26"/>
    </i>
    <i>
      <x v="27"/>
    </i>
    <i>
      <x v="31"/>
    </i>
    <i>
      <x v="32"/>
    </i>
    <i>
      <x v="33"/>
    </i>
    <i>
      <x v="38"/>
    </i>
    <i>
      <x v="40"/>
    </i>
    <i>
      <x v="42"/>
    </i>
    <i>
      <x v="47"/>
    </i>
    <i>
      <x v="50"/>
    </i>
    <i>
      <x v="51"/>
    </i>
    <i>
      <x v="53"/>
    </i>
    <i>
      <x v="57"/>
    </i>
    <i>
      <x v="60"/>
    </i>
    <i>
      <x v="65"/>
    </i>
    <i>
      <x v="67"/>
    </i>
    <i>
      <x v="68"/>
    </i>
    <i>
      <x v="69"/>
    </i>
    <i>
      <x v="71"/>
    </i>
    <i>
      <x v="72"/>
    </i>
    <i>
      <x v="75"/>
    </i>
    <i>
      <x v="76"/>
    </i>
    <i>
      <x v="78"/>
    </i>
    <i>
      <x v="79"/>
    </i>
    <i>
      <x v="80"/>
    </i>
    <i>
      <x v="82"/>
    </i>
    <i>
      <x v="83"/>
    </i>
    <i>
      <x v="85"/>
    </i>
    <i>
      <x v="88"/>
    </i>
    <i>
      <x v="91"/>
    </i>
    <i>
      <x v="92"/>
    </i>
    <i>
      <x v="93"/>
    </i>
    <i>
      <x v="102"/>
    </i>
    <i>
      <x v="104"/>
    </i>
    <i>
      <x v="106"/>
    </i>
    <i>
      <x v="107"/>
    </i>
    <i>
      <x v="108"/>
    </i>
    <i>
      <x v="110"/>
    </i>
    <i>
      <x v="118"/>
    </i>
    <i>
      <x v="122"/>
    </i>
    <i>
      <x v="125"/>
    </i>
    <i>
      <x v="126"/>
    </i>
    <i>
      <x v="128"/>
    </i>
    <i>
      <x v="130"/>
    </i>
    <i>
      <x v="131"/>
    </i>
    <i>
      <x v="132"/>
    </i>
    <i>
      <x v="133"/>
    </i>
    <i>
      <x v="140"/>
    </i>
    <i>
      <x v="143"/>
    </i>
    <i>
      <x v="148"/>
    </i>
    <i>
      <x v="149"/>
    </i>
    <i>
      <x v="150"/>
    </i>
    <i>
      <x v="151"/>
    </i>
    <i>
      <x v="154"/>
    </i>
    <i>
      <x v="155"/>
    </i>
    <i>
      <x v="158"/>
    </i>
    <i>
      <x v="162"/>
    </i>
    <i>
      <x v="164"/>
    </i>
    <i>
      <x v="165"/>
    </i>
    <i>
      <x v="166"/>
    </i>
    <i>
      <x v="167"/>
    </i>
    <i>
      <x v="170"/>
    </i>
    <i>
      <x v="173"/>
    </i>
    <i>
      <x v="175"/>
    </i>
    <i>
      <x v="178"/>
    </i>
    <i>
      <x v="179"/>
    </i>
    <i>
      <x v="181"/>
    </i>
    <i>
      <x v="182"/>
    </i>
    <i>
      <x v="189"/>
    </i>
    <i>
      <x v="192"/>
    </i>
    <i>
      <x v="193"/>
    </i>
    <i>
      <x v="201"/>
    </i>
    <i>
      <x v="208"/>
    </i>
    <i>
      <x v="214"/>
    </i>
    <i>
      <x v="215"/>
    </i>
    <i>
      <x v="216"/>
    </i>
    <i>
      <x v="219"/>
    </i>
    <i>
      <x v="224"/>
    </i>
    <i>
      <x v="230"/>
    </i>
    <i>
      <x v="232"/>
    </i>
    <i>
      <x v="238"/>
    </i>
    <i t="grand">
      <x/>
    </i>
  </rowItems>
  <colFields count="1">
    <field x="-2"/>
  </colFields>
  <colItems count="2">
    <i>
      <x/>
    </i>
    <i i="1">
      <x v="1"/>
    </i>
  </colItems>
  <pageFields count="2">
    <pageField fld="5" item="1" hier="-1"/>
    <pageField fld="7" item="0" hier="-1"/>
  </pageFields>
  <dataFields count="2">
    <dataField name="Cuenta de Proforma" fld="1" subtotal="count" baseField="0" baseItem="0"/>
    <dataField name="Suma de Sub Total" fld="12" baseField="0" baseItem="0" numFmtId="3"/>
  </dataFields>
  <formats count="12">
    <format dxfId="162">
      <pivotArea grandRow="1" outline="0" collapsedLevelsAreSubtotals="1" fieldPosition="0"/>
    </format>
    <format dxfId="161">
      <pivotArea dataOnly="0" labelOnly="1" grandRow="1" outline="0" fieldPosition="0"/>
    </format>
    <format dxfId="160">
      <pivotArea dataOnly="0" grandRow="1" fieldPosition="0"/>
    </format>
    <format dxfId="159">
      <pivotArea dataOnly="0" grandRow="1" fieldPosition="0"/>
    </format>
    <format dxfId="158">
      <pivotArea dataOnly="0" labelOnly="1" outline="0" axis="axisValues" fieldPosition="0"/>
    </format>
    <format dxfId="157">
      <pivotArea dataOnly="0" labelOnly="1" outline="0" axis="axisValues" fieldPosition="0"/>
    </format>
    <format dxfId="156">
      <pivotArea grandRow="1" outline="0" collapsedLevelsAreSubtotals="1" fieldPosition="0"/>
    </format>
    <format dxfId="155">
      <pivotArea dataOnly="0" labelOnly="1" grandRow="1" outline="0" fieldPosition="0"/>
    </format>
    <format dxfId="154">
      <pivotArea outline="0" collapsedLevelsAreSubtotals="1" fieldPosition="0"/>
    </format>
    <format dxfId="15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52">
      <pivotArea outline="0" fieldPosition="0">
        <references count="1">
          <reference field="4294967294" count="1">
            <x v="1"/>
          </reference>
        </references>
      </pivotArea>
    </format>
    <format dxfId="151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92E399-13A6-48CB-A14C-82476E99BAF9}" name="TablaDiná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compact="0" compactData="0" multipleFieldFilters="0" rowHeaderCaption="Cliente">
  <location ref="H52:I239" firstHeaderRow="1" firstDataRow="1" firstDataCol="1" rowPageCount="2" colPageCount="1"/>
  <pivotFields count="26">
    <pivotField compact="0" outline="0" showAll="0"/>
    <pivotField compact="0" outline="0" showAll="0"/>
    <pivotField compact="0" numFmtId="16" outline="0" showAll="0">
      <items count="369"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t="default"/>
      </items>
    </pivotField>
    <pivotField compact="0" outline="0" showAll="0"/>
    <pivotField compact="0" outline="0" showAll="0">
      <items count="369">
        <item x="0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axis="axisPage" compact="0" outline="0" showAll="0">
      <items count="5">
        <item m="1" x="3"/>
        <item x="1"/>
        <item x="0"/>
        <item x="2"/>
        <item t="default"/>
      </items>
    </pivotField>
    <pivotField compact="0" outline="0" showAll="0"/>
    <pivotField name="Cliente" axis="axisRow" compact="0" outline="0" showAll="0" sortType="descending" defaultSubtotal="0">
      <items count="196">
        <item x="5"/>
        <item m="1" x="195"/>
        <item x="31"/>
        <item x="45"/>
        <item x="17"/>
        <item x="52"/>
        <item x="47"/>
        <item x="42"/>
        <item x="29"/>
        <item x="48"/>
        <item n="Claudia Vargas" x="12"/>
        <item x="57"/>
        <item x="19"/>
        <item x="13"/>
        <item x="4"/>
        <item x="59"/>
        <item x="8"/>
        <item x="6"/>
        <item x="1"/>
        <item x="22"/>
        <item x="7"/>
        <item x="2"/>
        <item m="1" x="187"/>
        <item m="1" x="192"/>
        <item x="10"/>
        <item x="41"/>
        <item x="26"/>
        <item x="39"/>
        <item x="11"/>
        <item x="33"/>
        <item x="34"/>
        <item n="hilverda Florist" x="30"/>
        <item x="9"/>
        <item x="23"/>
        <item x="38"/>
        <item x="32"/>
        <item m="1" x="190"/>
        <item m="1" x="194"/>
        <item x="15"/>
        <item x="60"/>
        <item x="49"/>
        <item x="24"/>
        <item x="61"/>
        <item x="14"/>
        <item x="62"/>
        <item x="50"/>
        <item x="37"/>
        <item x="36"/>
        <item x="28"/>
        <item x="58"/>
        <item x="56"/>
        <item x="27"/>
        <item x="40"/>
        <item x="44"/>
        <item x="54"/>
        <item x="43"/>
        <item x="25"/>
        <item x="55"/>
        <item x="53"/>
        <item x="18"/>
        <item x="20"/>
        <item x="0"/>
        <item x="35"/>
        <item x="3"/>
        <item x="46"/>
        <item x="16"/>
        <item x="21"/>
        <item m="1" x="191"/>
        <item x="63"/>
        <item x="64"/>
        <item x="65"/>
        <item x="66"/>
        <item x="67"/>
        <item x="68"/>
        <item x="69"/>
        <item x="70"/>
        <item x="71"/>
        <item x="72"/>
        <item x="51"/>
        <item x="73"/>
        <item x="74"/>
        <item x="75"/>
        <item x="76"/>
        <item x="77"/>
        <item x="78"/>
        <item x="79"/>
        <item x="80"/>
        <item x="81"/>
        <item m="1" x="189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93"/>
        <item x="107"/>
        <item x="108"/>
        <item x="109"/>
        <item x="110"/>
        <item x="111"/>
        <item x="112"/>
        <item x="113"/>
        <item x="114"/>
        <item x="115"/>
        <item x="116"/>
        <item x="14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m="1" x="186"/>
        <item x="134"/>
        <item x="135"/>
        <item x="136"/>
        <item x="82"/>
        <item x="137"/>
        <item x="138"/>
        <item x="139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m="1" x="188"/>
        <item x="161"/>
        <item x="162"/>
        <item x="117"/>
        <item x="163"/>
        <item x="164"/>
        <item x="160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dataField="1" compact="0" outline="0" multipleItemSelectionAllowed="1" showAll="0"/>
    <pivotField compact="0" numFmtId="164" outline="0" showAll="0"/>
    <pivotField compact="0" numFmtId="164" outline="0" showAll="0"/>
    <pivotField compact="0" numFmtId="164" outline="0" showAll="0"/>
    <pivotField compact="0" numFmtId="172" outline="0" showAll="0"/>
    <pivotField compact="0" outline="0" showAll="0"/>
    <pivotField compact="0" outline="0" multipleItemSelectionAllowed="1" showAll="0"/>
    <pivotField compact="0" outline="0" showAll="0"/>
    <pivotField axis="axisPage" compact="0" outline="0" multipleItemSelectionAllowed="1" showAll="0">
      <items count="9">
        <item x="2"/>
        <item x="0"/>
        <item x="3"/>
        <item x="4"/>
        <item x="1"/>
        <item x="5"/>
        <item x="6"/>
        <item x="7"/>
        <item t="default"/>
      </items>
    </pivotField>
    <pivotField compact="0" outline="0" multipleItemSelectionAllowed="1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7"/>
  </rowFields>
  <rowItems count="187">
    <i>
      <x v="195"/>
    </i>
    <i>
      <x v="144"/>
    </i>
    <i>
      <x v="169"/>
    </i>
    <i>
      <x v="100"/>
    </i>
    <i>
      <x v="35"/>
    </i>
    <i>
      <x v="15"/>
    </i>
    <i>
      <x v="174"/>
    </i>
    <i>
      <x v="75"/>
    </i>
    <i>
      <x v="180"/>
    </i>
    <i>
      <x v="136"/>
    </i>
    <i>
      <x v="127"/>
    </i>
    <i>
      <x v="73"/>
    </i>
    <i>
      <x v="140"/>
    </i>
    <i>
      <x v="123"/>
    </i>
    <i>
      <x v="53"/>
    </i>
    <i>
      <x v="177"/>
    </i>
    <i>
      <x v="159"/>
    </i>
    <i>
      <x v="151"/>
    </i>
    <i>
      <x v="184"/>
    </i>
    <i>
      <x v="83"/>
    </i>
    <i>
      <x v="134"/>
    </i>
    <i>
      <x v="115"/>
    </i>
    <i>
      <x v="60"/>
    </i>
    <i>
      <x v="105"/>
    </i>
    <i>
      <x v="94"/>
    </i>
    <i>
      <x v="109"/>
    </i>
    <i>
      <x v="63"/>
    </i>
    <i>
      <x v="13"/>
    </i>
    <i>
      <x v="121"/>
    </i>
    <i>
      <x v="14"/>
    </i>
    <i>
      <x v="190"/>
    </i>
    <i>
      <x v="77"/>
    </i>
    <i>
      <x v="78"/>
    </i>
    <i>
      <x v="49"/>
    </i>
    <i>
      <x v="145"/>
    </i>
    <i>
      <x v="28"/>
    </i>
    <i>
      <x v="9"/>
    </i>
    <i>
      <x v="114"/>
    </i>
    <i>
      <x v="122"/>
    </i>
    <i>
      <x/>
    </i>
    <i>
      <x v="25"/>
    </i>
    <i>
      <x v="46"/>
    </i>
    <i>
      <x v="16"/>
    </i>
    <i>
      <x v="47"/>
    </i>
    <i>
      <x v="131"/>
    </i>
    <i>
      <x v="48"/>
    </i>
    <i>
      <x v="170"/>
    </i>
    <i>
      <x v="38"/>
    </i>
    <i>
      <x v="4"/>
    </i>
    <i>
      <x v="50"/>
    </i>
    <i>
      <x v="118"/>
    </i>
    <i>
      <x v="51"/>
    </i>
    <i>
      <x v="20"/>
    </i>
    <i>
      <x v="52"/>
    </i>
    <i>
      <x v="135"/>
    </i>
    <i>
      <x v="6"/>
    </i>
    <i>
      <x v="27"/>
    </i>
    <i>
      <x v="54"/>
    </i>
    <i>
      <x v="33"/>
    </i>
    <i>
      <x v="55"/>
    </i>
    <i>
      <x v="101"/>
    </i>
    <i>
      <x v="56"/>
    </i>
    <i>
      <x v="107"/>
    </i>
    <i>
      <x v="57"/>
    </i>
    <i>
      <x v="45"/>
    </i>
    <i>
      <x v="58"/>
    </i>
    <i>
      <x v="120"/>
    </i>
    <i>
      <x v="59"/>
    </i>
    <i>
      <x v="125"/>
    </i>
    <i>
      <x v="7"/>
    </i>
    <i>
      <x v="129"/>
    </i>
    <i>
      <x v="62"/>
    </i>
    <i>
      <x v="133"/>
    </i>
    <i>
      <x v="8"/>
    </i>
    <i>
      <x v="138"/>
    </i>
    <i>
      <x v="64"/>
    </i>
    <i>
      <x v="41"/>
    </i>
    <i>
      <x v="65"/>
    </i>
    <i>
      <x v="42"/>
    </i>
    <i>
      <x v="66"/>
    </i>
    <i>
      <x v="31"/>
    </i>
    <i>
      <x v="68"/>
    </i>
    <i>
      <x v="34"/>
    </i>
    <i>
      <x v="69"/>
    </i>
    <i>
      <x v="3"/>
    </i>
    <i>
      <x v="70"/>
    </i>
    <i>
      <x v="102"/>
    </i>
    <i>
      <x v="71"/>
    </i>
    <i>
      <x v="106"/>
    </i>
    <i>
      <x v="72"/>
    </i>
    <i>
      <x v="108"/>
    </i>
    <i>
      <x v="112"/>
    </i>
    <i>
      <x v="110"/>
    </i>
    <i>
      <x v="43"/>
    </i>
    <i>
      <x v="116"/>
    </i>
    <i>
      <x v="17"/>
    </i>
    <i>
      <x v="10"/>
    </i>
    <i>
      <x v="117"/>
    </i>
    <i>
      <x v="39"/>
    </i>
    <i>
      <x v="119"/>
    </i>
    <i>
      <x v="40"/>
    </i>
    <i>
      <x v="18"/>
    </i>
    <i>
      <x v="79"/>
    </i>
    <i>
      <x v="19"/>
    </i>
    <i>
      <x v="187"/>
    </i>
    <i>
      <x v="126"/>
    </i>
    <i>
      <x v="11"/>
    </i>
    <i>
      <x v="128"/>
    </i>
    <i>
      <x v="82"/>
    </i>
    <i>
      <x v="130"/>
    </i>
    <i>
      <x v="12"/>
    </i>
    <i>
      <x v="132"/>
    </i>
    <i>
      <x v="84"/>
    </i>
    <i>
      <x v="21"/>
    </i>
    <i>
      <x v="85"/>
    </i>
    <i>
      <x v="24"/>
    </i>
    <i>
      <x v="86"/>
    </i>
    <i>
      <x v="139"/>
    </i>
    <i>
      <x v="26"/>
    </i>
    <i>
      <x v="142"/>
    </i>
    <i>
      <x v="146"/>
    </i>
    <i>
      <x v="149"/>
    </i>
    <i>
      <x v="87"/>
    </i>
    <i>
      <x v="148"/>
    </i>
    <i>
      <x v="90"/>
    </i>
    <i>
      <x v="150"/>
    </i>
    <i>
      <x v="91"/>
    </i>
    <i>
      <x v="154"/>
    </i>
    <i>
      <x v="92"/>
    </i>
    <i>
      <x v="30"/>
    </i>
    <i>
      <x v="93"/>
    </i>
    <i>
      <x v="173"/>
    </i>
    <i>
      <x v="2"/>
    </i>
    <i>
      <x v="32"/>
    </i>
    <i>
      <x v="96"/>
    </i>
    <i>
      <x v="182"/>
    </i>
    <i>
      <x v="97"/>
    </i>
    <i>
      <x v="5"/>
    </i>
    <i>
      <x v="98"/>
    </i>
    <i>
      <x v="80"/>
    </i>
    <i>
      <x v="81"/>
    </i>
    <i>
      <x v="99"/>
    </i>
    <i>
      <x v="89"/>
    </i>
    <i>
      <x v="164"/>
    </i>
    <i>
      <x v="186"/>
    </i>
    <i>
      <x v="104"/>
    </i>
    <i>
      <x v="165"/>
    </i>
    <i>
      <x v="188"/>
    </i>
    <i>
      <x v="157"/>
    </i>
    <i>
      <x v="172"/>
    </i>
    <i>
      <x v="178"/>
    </i>
    <i>
      <x v="166"/>
    </i>
    <i>
      <x v="152"/>
    </i>
    <i>
      <x v="153"/>
    </i>
    <i>
      <x v="29"/>
    </i>
    <i>
      <x v="189"/>
    </i>
    <i>
      <x v="74"/>
    </i>
    <i>
      <x v="143"/>
    </i>
    <i>
      <x v="167"/>
    </i>
    <i>
      <x v="155"/>
    </i>
    <i>
      <x v="193"/>
    </i>
    <i>
      <x v="158"/>
    </i>
    <i>
      <x v="111"/>
    </i>
    <i>
      <x v="175"/>
    </i>
    <i>
      <x v="194"/>
    </i>
    <i>
      <x v="161"/>
    </i>
    <i>
      <x v="179"/>
    </i>
    <i>
      <x v="176"/>
    </i>
    <i>
      <x v="163"/>
    </i>
    <i>
      <x v="192"/>
    </i>
    <i>
      <x v="147"/>
    </i>
    <i>
      <x v="181"/>
    </i>
    <i>
      <x v="44"/>
    </i>
    <i>
      <x v="185"/>
    </i>
    <i>
      <x v="162"/>
    </i>
    <i>
      <x v="156"/>
    </i>
    <i>
      <x v="183"/>
    </i>
    <i>
      <x v="103"/>
    </i>
    <i>
      <x v="61"/>
    </i>
    <i>
      <x v="160"/>
    </i>
    <i>
      <x v="137"/>
    </i>
    <i>
      <x v="95"/>
    </i>
    <i>
      <x v="124"/>
    </i>
    <i>
      <x v="191"/>
    </i>
    <i>
      <x v="76"/>
    </i>
    <i>
      <x v="171"/>
    </i>
    <i t="grand">
      <x/>
    </i>
  </rowItems>
  <colItems count="1">
    <i/>
  </colItems>
  <pageFields count="2">
    <pageField fld="5" hier="-1"/>
    <pageField fld="22" hier="-1"/>
  </pageFields>
  <dataFields count="1">
    <dataField name="valor" fld="14" baseField="7" baseItem="6" numFmtId="3"/>
  </dataFields>
  <formats count="63">
    <format dxfId="225">
      <pivotArea grandRow="1" outline="0" collapsedLevelsAreSubtotals="1" fieldPosition="0"/>
    </format>
    <format dxfId="224">
      <pivotArea dataOnly="0" labelOnly="1" grandRow="1" outline="0" fieldPosition="0"/>
    </format>
    <format dxfId="223">
      <pivotArea dataOnly="0" grandRow="1" fieldPosition="0"/>
    </format>
    <format dxfId="222">
      <pivotArea dataOnly="0" grandRow="1" fieldPosition="0"/>
    </format>
    <format dxfId="221">
      <pivotArea field="24" type="button" dataOnly="0" labelOnly="1" outline="0"/>
    </format>
    <format dxfId="220">
      <pivotArea field="24" type="button" dataOnly="0" labelOnly="1" outline="0"/>
    </format>
    <format dxfId="219">
      <pivotArea field="7" type="button" dataOnly="0" labelOnly="1" outline="0" axis="axisRow" fieldPosition="0"/>
    </format>
    <format dxfId="218">
      <pivotArea dataOnly="0" labelOnly="1" outline="0" axis="axisValues" fieldPosition="0"/>
    </format>
    <format dxfId="217">
      <pivotArea outline="0" fieldPosition="0">
        <references count="1">
          <reference field="4294967294" count="1">
            <x v="0"/>
          </reference>
        </references>
      </pivotArea>
    </format>
    <format dxfId="216">
      <pivotArea field="7" type="button" dataOnly="0" labelOnly="1" outline="0" axis="axisRow" fieldPosition="0"/>
    </format>
    <format dxfId="215">
      <pivotArea dataOnly="0" labelOnly="1" outline="0" axis="axisValues" fieldPosition="0"/>
    </format>
    <format dxfId="214">
      <pivotArea grandRow="1" outline="0" collapsedLevelsAreSubtotals="1" fieldPosition="0"/>
    </format>
    <format dxfId="213">
      <pivotArea dataOnly="0" labelOnly="1" grandRow="1" outline="0" fieldPosition="0"/>
    </format>
    <format dxfId="212">
      <pivotArea grandRow="1" outline="0" collapsedLevelsAreSubtotals="1" fieldPosition="0"/>
    </format>
    <format dxfId="211">
      <pivotArea grandRow="1" outline="0" collapsedLevelsAreSubtotals="1" fieldPosition="0"/>
    </format>
    <format dxfId="210">
      <pivotArea collapsedLevelsAreSubtotals="1" fieldPosition="0">
        <references count="1">
          <reference field="7" count="1">
            <x v="42"/>
          </reference>
        </references>
      </pivotArea>
    </format>
    <format dxfId="209">
      <pivotArea collapsedLevelsAreSubtotals="1" fieldPosition="0">
        <references count="1">
          <reference field="7" count="1">
            <x v="54"/>
          </reference>
        </references>
      </pivotArea>
    </format>
    <format dxfId="208">
      <pivotArea collapsedLevelsAreSubtotals="1" fieldPosition="0">
        <references count="1">
          <reference field="7" count="1">
            <x v="54"/>
          </reference>
        </references>
      </pivotArea>
    </format>
    <format dxfId="207">
      <pivotArea collapsedLevelsAreSubtotals="1" fieldPosition="0">
        <references count="1">
          <reference field="7" count="1">
            <x v="45"/>
          </reference>
        </references>
      </pivotArea>
    </format>
    <format dxfId="206">
      <pivotArea dataOnly="0" labelOnly="1" fieldPosition="0">
        <references count="1">
          <reference field="7" count="1">
            <x v="45"/>
          </reference>
        </references>
      </pivotArea>
    </format>
    <format dxfId="205">
      <pivotArea collapsedLevelsAreSubtotals="1" fieldPosition="0">
        <references count="1">
          <reference field="7" count="1">
            <x v="58"/>
          </reference>
        </references>
      </pivotArea>
    </format>
    <format dxfId="204">
      <pivotArea dataOnly="0" labelOnly="1" fieldPosition="0">
        <references count="1">
          <reference field="7" count="1">
            <x v="58"/>
          </reference>
        </references>
      </pivotArea>
    </format>
    <format dxfId="203">
      <pivotArea collapsedLevelsAreSubtotals="1" fieldPosition="0">
        <references count="1">
          <reference field="7" count="2">
            <x v="15"/>
            <x v="57"/>
          </reference>
        </references>
      </pivotArea>
    </format>
    <format dxfId="202">
      <pivotArea dataOnly="0" labelOnly="1" fieldPosition="0">
        <references count="1">
          <reference field="7" count="2">
            <x v="15"/>
            <x v="57"/>
          </reference>
        </references>
      </pivotArea>
    </format>
    <format dxfId="201">
      <pivotArea dataOnly="0" labelOnly="1" outline="0" fieldPosition="0">
        <references count="1">
          <reference field="7" count="1">
            <x v="45"/>
          </reference>
        </references>
      </pivotArea>
    </format>
    <format dxfId="200">
      <pivotArea outline="0" fieldPosition="0">
        <references count="1">
          <reference field="7" count="1" selected="0">
            <x v="45"/>
          </reference>
        </references>
      </pivotArea>
    </format>
    <format dxfId="199">
      <pivotArea outline="0" fieldPosition="0">
        <references count="1">
          <reference field="7" count="1" selected="0">
            <x v="57"/>
          </reference>
        </references>
      </pivotArea>
    </format>
    <format dxfId="198">
      <pivotArea dataOnly="0" labelOnly="1" outline="0" fieldPosition="0">
        <references count="1">
          <reference field="7" count="1">
            <x v="57"/>
          </reference>
        </references>
      </pivotArea>
    </format>
    <format dxfId="197">
      <pivotArea outline="0" fieldPosition="0">
        <references count="1">
          <reference field="7" count="1" selected="0">
            <x v="13"/>
          </reference>
        </references>
      </pivotArea>
    </format>
    <format dxfId="196">
      <pivotArea dataOnly="0" labelOnly="1" outline="0" fieldPosition="0">
        <references count="1">
          <reference field="7" count="1">
            <x v="13"/>
          </reference>
        </references>
      </pivotArea>
    </format>
    <format dxfId="195">
      <pivotArea dataOnly="0" labelOnly="1" outline="0" fieldPosition="0">
        <references count="1">
          <reference field="7" count="1">
            <x v="101"/>
          </reference>
        </references>
      </pivotArea>
    </format>
    <format dxfId="194">
      <pivotArea dataOnly="0" labelOnly="1" outline="0" fieldPosition="0">
        <references count="1">
          <reference field="7" count="1">
            <x v="99"/>
          </reference>
        </references>
      </pivotArea>
    </format>
    <format dxfId="193">
      <pivotArea dataOnly="0" labelOnly="1" outline="0" fieldPosition="0">
        <references count="1">
          <reference field="7" count="1">
            <x v="91"/>
          </reference>
        </references>
      </pivotArea>
    </format>
    <format dxfId="192">
      <pivotArea dataOnly="0" labelOnly="1" outline="0" fieldPosition="0">
        <references count="1">
          <reference field="7" count="1">
            <x v="84"/>
          </reference>
        </references>
      </pivotArea>
    </format>
    <format dxfId="191">
      <pivotArea dataOnly="0" labelOnly="1" outline="0" fieldPosition="0">
        <references count="1">
          <reference field="7" count="1">
            <x v="102"/>
          </reference>
        </references>
      </pivotArea>
    </format>
    <format dxfId="190">
      <pivotArea dataOnly="0" labelOnly="1" outline="0" fieldPosition="0">
        <references count="1">
          <reference field="7" count="1">
            <x v="110"/>
          </reference>
        </references>
      </pivotArea>
    </format>
    <format dxfId="189">
      <pivotArea outline="0" fieldPosition="0">
        <references count="1">
          <reference field="7" count="1" selected="0">
            <x v="0"/>
          </reference>
        </references>
      </pivotArea>
    </format>
    <format dxfId="188">
      <pivotArea dataOnly="0" labelOnly="1" outline="0" fieldPosition="0">
        <references count="1">
          <reference field="7" count="1">
            <x v="0"/>
          </reference>
        </references>
      </pivotArea>
    </format>
    <format dxfId="187">
      <pivotArea outline="0" fieldPosition="0">
        <references count="1">
          <reference field="7" count="1" selected="0">
            <x v="43"/>
          </reference>
        </references>
      </pivotArea>
    </format>
    <format dxfId="186">
      <pivotArea dataOnly="0" labelOnly="1" outline="0" fieldPosition="0">
        <references count="1">
          <reference field="7" count="1">
            <x v="43"/>
          </reference>
        </references>
      </pivotArea>
    </format>
    <format dxfId="185">
      <pivotArea dataOnly="0" labelOnly="1" outline="0" fieldPosition="0">
        <references count="1">
          <reference field="7" count="1">
            <x v="95"/>
          </reference>
        </references>
      </pivotArea>
    </format>
    <format dxfId="184">
      <pivotArea outline="0" fieldPosition="0">
        <references count="1">
          <reference field="7" count="1" selected="0">
            <x v="103"/>
          </reference>
        </references>
      </pivotArea>
    </format>
    <format dxfId="183">
      <pivotArea outline="0" fieldPosition="0">
        <references count="1">
          <reference field="7" count="1" selected="0">
            <x v="75"/>
          </reference>
        </references>
      </pivotArea>
    </format>
    <format dxfId="182">
      <pivotArea dataOnly="0" labelOnly="1" outline="0" fieldPosition="0">
        <references count="1">
          <reference field="7" count="1">
            <x v="108"/>
          </reference>
        </references>
      </pivotArea>
    </format>
    <format dxfId="181">
      <pivotArea outline="0" fieldPosition="0">
        <references count="1">
          <reference field="7" count="1" selected="0">
            <x v="112"/>
          </reference>
        </references>
      </pivotArea>
    </format>
    <format dxfId="180">
      <pivotArea outline="0" fieldPosition="0">
        <references count="1">
          <reference field="7" count="1" selected="0">
            <x v="100"/>
          </reference>
        </references>
      </pivotArea>
    </format>
    <format dxfId="179">
      <pivotArea outline="0" fieldPosition="0">
        <references count="1">
          <reference field="7" count="4" selected="0">
            <x v="84"/>
            <x v="109"/>
            <x v="121"/>
            <x v="123"/>
          </reference>
        </references>
      </pivotArea>
    </format>
    <format dxfId="178">
      <pivotArea outline="0" fieldPosition="0">
        <references count="1">
          <reference field="7" count="1" selected="0">
            <x v="15"/>
          </reference>
        </references>
      </pivotArea>
    </format>
    <format dxfId="177">
      <pivotArea dataOnly="0" labelOnly="1" outline="0" fieldPosition="0">
        <references count="1">
          <reference field="7" count="1">
            <x v="15"/>
          </reference>
        </references>
      </pivotArea>
    </format>
    <format dxfId="176">
      <pivotArea outline="0" fieldPosition="0">
        <references count="1">
          <reference field="7" count="11" selected="0">
            <x v="9"/>
            <x v="28"/>
            <x v="49"/>
            <x v="60"/>
            <x v="63"/>
            <x v="77"/>
            <x v="78"/>
            <x v="94"/>
            <x v="105"/>
            <x v="134"/>
            <x v="141"/>
          </reference>
        </references>
      </pivotArea>
    </format>
    <format dxfId="175">
      <pivotArea dataOnly="0" labelOnly="1" outline="0" fieldPosition="0">
        <references count="1">
          <reference field="7" count="11">
            <x v="9"/>
            <x v="28"/>
            <x v="49"/>
            <x v="60"/>
            <x v="63"/>
            <x v="77"/>
            <x v="78"/>
            <x v="94"/>
            <x v="105"/>
            <x v="134"/>
            <x v="141"/>
          </reference>
        </references>
      </pivotArea>
    </format>
    <format dxfId="174">
      <pivotArea dataOnly="0" outline="0" fieldPosition="0">
        <references count="1">
          <reference field="7" count="1">
            <x v="136"/>
          </reference>
        </references>
      </pivotArea>
    </format>
    <format dxfId="173">
      <pivotArea outline="0" fieldPosition="0">
        <references count="1">
          <reference field="7" count="17" selected="0">
            <x v="25"/>
            <x v="35"/>
            <x v="74"/>
            <x v="104"/>
            <x v="124"/>
            <x v="127"/>
            <x v="134"/>
            <x v="143"/>
            <x v="144"/>
            <x v="148"/>
            <x v="149"/>
            <x v="151"/>
            <x v="153"/>
            <x v="156"/>
            <x v="157"/>
            <x v="158"/>
            <x v="159"/>
          </reference>
        </references>
      </pivotArea>
    </format>
    <format dxfId="172">
      <pivotArea dataOnly="0" labelOnly="1" outline="0" fieldPosition="0">
        <references count="1">
          <reference field="7" count="17">
            <x v="25"/>
            <x v="35"/>
            <x v="74"/>
            <x v="104"/>
            <x v="124"/>
            <x v="127"/>
            <x v="134"/>
            <x v="143"/>
            <x v="144"/>
            <x v="148"/>
            <x v="149"/>
            <x v="151"/>
            <x v="153"/>
            <x v="156"/>
            <x v="157"/>
            <x v="158"/>
            <x v="159"/>
          </reference>
        </references>
      </pivotArea>
    </format>
    <format dxfId="171">
      <pivotArea outline="0" fieldPosition="0">
        <references count="1">
          <reference field="7" count="1" selected="0">
            <x v="158"/>
          </reference>
        </references>
      </pivotArea>
    </format>
    <format dxfId="170">
      <pivotArea dataOnly="0" labelOnly="1" outline="0" fieldPosition="0">
        <references count="1">
          <reference field="7" count="1">
            <x v="158"/>
          </reference>
        </references>
      </pivotArea>
    </format>
    <format dxfId="169">
      <pivotArea outline="0" fieldPosition="0">
        <references count="1">
          <reference field="7" count="1" selected="0">
            <x v="25"/>
          </reference>
        </references>
      </pivotArea>
    </format>
    <format dxfId="168">
      <pivotArea dataOnly="0" labelOnly="1" outline="0" fieldPosition="0">
        <references count="1">
          <reference field="7" count="1">
            <x v="25"/>
          </reference>
        </references>
      </pivotArea>
    </format>
    <format dxfId="167">
      <pivotArea dataOnly="0" labelOnly="1" outline="0" fieldPosition="0">
        <references count="1">
          <reference field="7" count="2">
            <x v="104"/>
            <x v="153"/>
          </reference>
        </references>
      </pivotArea>
    </format>
    <format dxfId="166">
      <pivotArea dataOnly="0" labelOnly="1" outline="0" fieldPosition="0">
        <references count="1">
          <reference field="7" count="1">
            <x v="127"/>
          </reference>
        </references>
      </pivotArea>
    </format>
    <format dxfId="165">
      <pivotArea dataOnly="0" labelOnly="1" outline="0" fieldPosition="0">
        <references count="1">
          <reference field="7" count="2">
            <x v="143"/>
            <x v="151"/>
          </reference>
        </references>
      </pivotArea>
    </format>
    <format dxfId="164">
      <pivotArea dataOnly="0" labelOnly="1" outline="0" fieldPosition="0">
        <references count="1">
          <reference field="7" count="1">
            <x v="157"/>
          </reference>
        </references>
      </pivotArea>
    </format>
    <format dxfId="163">
      <pivotArea dataOnly="0" labelOnly="1" outline="0" fieldPosition="0">
        <references count="1">
          <reference field="7" count="1">
            <x v="15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1F78D8-E6AE-47E3-805A-3E3346E0A119}" name="TablaDinámica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8" rowHeaderCaption="Mes">
  <location ref="B9:C13" firstHeaderRow="1" firstDataRow="1" firstDataCol="1" rowPageCount="2" colPageCount="1"/>
  <pivotFields count="26">
    <pivotField showAll="0"/>
    <pivotField showAll="0"/>
    <pivotField numFmtId="16" showAll="0">
      <items count="369"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t="default"/>
      </items>
    </pivotField>
    <pivotField showAll="0"/>
    <pivotField showAll="0">
      <items count="369">
        <item x="0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axis="axisPage" showAll="0">
      <items count="5">
        <item h="1" x="1"/>
        <item x="0"/>
        <item h="1" x="2"/>
        <item m="1" x="3"/>
        <item t="default"/>
      </items>
    </pivotField>
    <pivotField showAll="0"/>
    <pivotField showAll="0"/>
    <pivotField showAll="0"/>
    <pivotField showAll="0"/>
    <pivotField dataField="1" numFmtId="164" showAll="0"/>
    <pivotField numFmtId="164" showAll="0"/>
    <pivotField numFmtId="164" showAll="0"/>
    <pivotField numFmtId="164" showAll="0"/>
    <pivotField showAll="0"/>
    <pivotField numFmtId="164" showAll="0"/>
    <pivotField numFmtId="164" showAll="0"/>
    <pivotField numFmtId="164" showAll="0"/>
    <pivotField numFmtId="172" showAll="0"/>
    <pivotField showAll="0"/>
    <pivotField showAll="0"/>
    <pivotField showAll="0"/>
    <pivotField axis="axisPage" showAll="0">
      <items count="9">
        <item h="1" x="2"/>
        <item h="1" x="0"/>
        <item h="1" x="3"/>
        <item h="1" x="1"/>
        <item h="1" x="4"/>
        <item h="1" x="5"/>
        <item h="1" x="6"/>
        <item x="7"/>
        <item t="default"/>
      </items>
    </pivotField>
    <pivotField showAll="0"/>
    <pivotField axis="axisRow" multipleItemSelectionAllowed="1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4"/>
  </rowFields>
  <rowItems count="4">
    <i>
      <x v="1"/>
    </i>
    <i>
      <x v="2"/>
    </i>
    <i>
      <x v="3"/>
    </i>
    <i t="grand">
      <x/>
    </i>
  </rowItems>
  <colItems count="1">
    <i/>
  </colItems>
  <pageFields count="2">
    <pageField fld="5" item="1" hier="-1"/>
    <pageField fld="22" item="7" hier="-1"/>
  </pageFields>
  <dataFields count="1">
    <dataField name="Suma de SUBTOTAL" fld="10" baseField="0" baseItem="0"/>
  </dataFields>
  <formats count="7">
    <format dxfId="232">
      <pivotArea grandRow="1" outline="0" collapsedLevelsAreSubtotals="1" fieldPosition="0"/>
    </format>
    <format dxfId="231">
      <pivotArea dataOnly="0" labelOnly="1" grandRow="1" outline="0" fieldPosition="0"/>
    </format>
    <format dxfId="230">
      <pivotArea dataOnly="0" grandRow="1" fieldPosition="0"/>
    </format>
    <format dxfId="229">
      <pivotArea dataOnly="0" grandRow="1" fieldPosition="0"/>
    </format>
    <format dxfId="228">
      <pivotArea field="24" type="button" dataOnly="0" labelOnly="1" outline="0" axis="axisRow" fieldPosition="0"/>
    </format>
    <format dxfId="227">
      <pivotArea field="24" type="button" dataOnly="0" labelOnly="1" outline="0" axis="axisRow" fieldPosition="0"/>
    </format>
    <format dxfId="226">
      <pivotArea outline="0" collapsedLevelsAreSubtotals="1" fieldPosition="0"/>
    </format>
  </formats>
  <chartFormats count="3">
    <chartFormat chart="3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4DB330-A45C-4FDF-BB67-23663C41AA45}" name="TablaDinámica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9" rowHeaderCaption="Mes">
  <location ref="H10:J14" firstHeaderRow="0" firstDataRow="1" firstDataCol="1" rowPageCount="2" colPageCount="1"/>
  <pivotFields count="26">
    <pivotField showAll="0"/>
    <pivotField showAll="0"/>
    <pivotField numFmtId="16" showAll="0">
      <items count="369"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t="default"/>
      </items>
    </pivotField>
    <pivotField showAll="0"/>
    <pivotField showAll="0">
      <items count="369">
        <item x="0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axis="axisPage" showAll="0">
      <items count="5">
        <item h="1" x="1"/>
        <item x="0"/>
        <item h="1" x="2"/>
        <item m="1" x="3"/>
        <item t="default"/>
      </items>
    </pivotField>
    <pivotField showAll="0"/>
    <pivotField showAll="0"/>
    <pivotField showAll="0"/>
    <pivotField showAll="0"/>
    <pivotField dataField="1" numFmtId="164" showAll="0"/>
    <pivotField dataField="1" numFmtId="164" showAll="0"/>
    <pivotField numFmtId="164" showAll="0"/>
    <pivotField numFmtId="164" showAll="0"/>
    <pivotField showAll="0"/>
    <pivotField numFmtId="164" showAll="0"/>
    <pivotField numFmtId="164" showAll="0"/>
    <pivotField numFmtId="164" showAll="0"/>
    <pivotField numFmtId="172" showAll="0"/>
    <pivotField showAll="0"/>
    <pivotField showAll="0"/>
    <pivotField showAll="0"/>
    <pivotField showAll="0"/>
    <pivotField axis="axisPage" showAll="0">
      <items count="8">
        <item h="1" x="0"/>
        <item h="1" x="1"/>
        <item h="1" x="2"/>
        <item h="1" x="3"/>
        <item h="1" x="4"/>
        <item h="1" x="5"/>
        <item x="6"/>
        <item t="default"/>
      </items>
    </pivotField>
    <pivotField multipleItemSelectionAllowed="1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5"/>
  </rowFields>
  <rowItems count="4"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pageFields count="2">
    <pageField fld="5" item="1" hier="-1"/>
    <pageField fld="23" item="6" hier="-1"/>
  </pageFields>
  <dataFields count="2">
    <dataField name="Suma de SUBTOTAL" fld="10" baseField="0" baseItem="0" numFmtId="164"/>
    <dataField name="Cuenta de IVA" fld="11" subtotal="count" baseField="0" baseItem="0"/>
  </dataFields>
  <formats count="7">
    <format dxfId="239">
      <pivotArea grandRow="1" outline="0" collapsedLevelsAreSubtotals="1" fieldPosition="0"/>
    </format>
    <format dxfId="238">
      <pivotArea dataOnly="0" labelOnly="1" grandRow="1" outline="0" fieldPosition="0"/>
    </format>
    <format dxfId="237">
      <pivotArea dataOnly="0" grandRow="1" fieldPosition="0"/>
    </format>
    <format dxfId="236">
      <pivotArea dataOnly="0" grandRow="1" fieldPosition="0"/>
    </format>
    <format dxfId="235">
      <pivotArea field="24" type="button" dataOnly="0" labelOnly="1" outline="0"/>
    </format>
    <format dxfId="234">
      <pivotArea field="24" type="button" dataOnly="0" labelOnly="1" outline="0"/>
    </format>
    <format dxfId="233">
      <pivotArea outline="0" collapsedLevelsAreSubtotals="1" fieldPosition="0"/>
    </format>
  </formats>
  <chartFormats count="3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9683C2-6BF0-49D5-8896-1DCD0D94FD58}" name="TablaDinámica1" cacheId="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7" indent="0" compact="0" compactData="0" multipleFieldFilters="0" rowHeaderCaption="Cliente">
  <location ref="B30:C36" firstHeaderRow="1" firstDataRow="1" firstDataCol="1" rowPageCount="1" colPageCount="1"/>
  <pivotFields count="26">
    <pivotField compact="0" outline="0" showAll="0"/>
    <pivotField compact="0" outline="0" showAll="0"/>
    <pivotField compact="0" numFmtId="16" outline="0" showAll="0">
      <items count="369"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t="default"/>
      </items>
    </pivotField>
    <pivotField compact="0" outline="0" showAll="0"/>
    <pivotField compact="0" outline="0" showAll="0" measureFilter="1">
      <items count="369">
        <item x="0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compact="0" outline="0" showAll="0"/>
    <pivotField compact="0" outline="0" showAll="0"/>
    <pivotField compact="0" outline="0" showAll="0" measureFilter="1" sortType="descending" defaultSubtotal="0">
      <items count="196">
        <item x="5"/>
        <item m="1" x="195"/>
        <item x="31"/>
        <item x="45"/>
        <item x="17"/>
        <item x="52"/>
        <item x="47"/>
        <item x="42"/>
        <item x="29"/>
        <item x="48"/>
        <item n="Claudia Vargas" x="12"/>
        <item x="57"/>
        <item x="19"/>
        <item x="13"/>
        <item x="4"/>
        <item x="59"/>
        <item x="8"/>
        <item x="6"/>
        <item x="1"/>
        <item x="22"/>
        <item x="7"/>
        <item x="2"/>
        <item m="1" x="187"/>
        <item m="1" x="192"/>
        <item x="10"/>
        <item x="41"/>
        <item x="26"/>
        <item x="39"/>
        <item x="11"/>
        <item x="33"/>
        <item x="34"/>
        <item n="hilverda Florist" x="30"/>
        <item x="9"/>
        <item x="23"/>
        <item x="38"/>
        <item x="32"/>
        <item m="1" x="190"/>
        <item m="1" x="194"/>
        <item x="15"/>
        <item x="60"/>
        <item x="49"/>
        <item x="24"/>
        <item x="61"/>
        <item x="14"/>
        <item x="62"/>
        <item x="50"/>
        <item x="37"/>
        <item x="36"/>
        <item x="28"/>
        <item x="58"/>
        <item x="56"/>
        <item x="27"/>
        <item x="40"/>
        <item x="44"/>
        <item x="54"/>
        <item x="43"/>
        <item x="25"/>
        <item x="55"/>
        <item x="53"/>
        <item x="18"/>
        <item x="20"/>
        <item x="0"/>
        <item x="35"/>
        <item x="3"/>
        <item x="46"/>
        <item x="16"/>
        <item x="21"/>
        <item m="1" x="191"/>
        <item x="63"/>
        <item x="64"/>
        <item x="65"/>
        <item x="66"/>
        <item x="67"/>
        <item x="68"/>
        <item x="69"/>
        <item x="70"/>
        <item x="71"/>
        <item x="72"/>
        <item x="51"/>
        <item x="73"/>
        <item x="74"/>
        <item x="75"/>
        <item x="76"/>
        <item x="77"/>
        <item x="78"/>
        <item x="79"/>
        <item x="80"/>
        <item x="81"/>
        <item m="1" x="189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93"/>
        <item x="107"/>
        <item x="108"/>
        <item x="109"/>
        <item x="110"/>
        <item x="111"/>
        <item x="112"/>
        <item x="113"/>
        <item x="114"/>
        <item x="115"/>
        <item x="116"/>
        <item x="14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m="1" x="186"/>
        <item x="134"/>
        <item x="135"/>
        <item x="136"/>
        <item x="82"/>
        <item x="137"/>
        <item x="138"/>
        <item x="139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m="1" x="188"/>
        <item x="161"/>
        <item x="162"/>
        <item x="117"/>
        <item x="163"/>
        <item x="164"/>
        <item x="160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dataField="1" compact="0" outline="0" multipleItemSelectionAllowed="1" showAll="0"/>
    <pivotField compact="0" numFmtId="164" outline="0" showAll="0"/>
    <pivotField compact="0" numFmtId="164" outline="0" showAll="0"/>
    <pivotField compact="0" numFmtId="164" outline="0" showAll="0"/>
    <pivotField compact="0" numFmtId="172" outline="0" showAll="0"/>
    <pivotField compact="0" outline="0" showAll="0"/>
    <pivotField compact="0" outline="0" multipleItemSelectionAllowed="1" showAll="0"/>
    <pivotField compact="0" outline="0" showAll="0"/>
    <pivotField axis="axisPage" compact="0" outline="0" showAll="0">
      <items count="9">
        <item h="1" x="2"/>
        <item h="1" x="0"/>
        <item h="1" x="3"/>
        <item h="1" x="4"/>
        <item h="1" x="1"/>
        <item h="1" x="5"/>
        <item x="6"/>
        <item h="1" x="7"/>
        <item t="default"/>
      </items>
    </pivotField>
    <pivotField compact="0" outline="0" multipleItemSelectionAllowed="1" showAll="0"/>
    <pivotField compact="0" outline="0" showAll="0">
      <items count="15">
        <item sd="0" x="0"/>
        <item x="1"/>
        <item x="2"/>
        <item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compact="0" outline="0" showAll="0" measure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5"/>
  </rowFields>
  <rowItems count="6">
    <i>
      <x v="3"/>
    </i>
    <i>
      <x v="4"/>
    </i>
    <i>
      <x v="5"/>
    </i>
    <i>
      <x v="11"/>
    </i>
    <i>
      <x v="12"/>
    </i>
    <i t="grand">
      <x/>
    </i>
  </rowItems>
  <colItems count="1">
    <i/>
  </colItems>
  <pageFields count="1">
    <pageField fld="22" item="6" hier="-1"/>
  </pageFields>
  <dataFields count="1">
    <dataField name="Suma de Cartera" fld="14" baseField="7" baseItem="6" numFmtId="3"/>
  </dataFields>
  <formats count="23">
    <format dxfId="262">
      <pivotArea grandRow="1" outline="0" collapsedLevelsAreSubtotals="1" fieldPosition="0"/>
    </format>
    <format dxfId="261">
      <pivotArea dataOnly="0" labelOnly="1" grandRow="1" outline="0" fieldPosition="0"/>
    </format>
    <format dxfId="260">
      <pivotArea dataOnly="0" grandRow="1" fieldPosition="0"/>
    </format>
    <format dxfId="259">
      <pivotArea dataOnly="0" grandRow="1" fieldPosition="0"/>
    </format>
    <format dxfId="258">
      <pivotArea field="24" type="button" dataOnly="0" labelOnly="1" outline="0"/>
    </format>
    <format dxfId="257">
      <pivotArea field="24" type="button" dataOnly="0" labelOnly="1" outline="0"/>
    </format>
    <format dxfId="256">
      <pivotArea field="7" type="button" dataOnly="0" labelOnly="1" outline="0"/>
    </format>
    <format dxfId="255">
      <pivotArea dataOnly="0" labelOnly="1" outline="0" axis="axisValues" fieldPosition="0"/>
    </format>
    <format dxfId="254">
      <pivotArea outline="0" fieldPosition="0">
        <references count="1">
          <reference field="4294967294" count="1">
            <x v="0"/>
          </reference>
        </references>
      </pivotArea>
    </format>
    <format dxfId="253">
      <pivotArea field="7" type="button" dataOnly="0" labelOnly="1" outline="0"/>
    </format>
    <format dxfId="252">
      <pivotArea dataOnly="0" labelOnly="1" outline="0" axis="axisValues" fieldPosition="0"/>
    </format>
    <format dxfId="251">
      <pivotArea grandRow="1" outline="0" collapsedLevelsAreSubtotals="1" fieldPosition="0"/>
    </format>
    <format dxfId="250">
      <pivotArea dataOnly="0" labelOnly="1" grandRow="1" outline="0" fieldPosition="0"/>
    </format>
    <format dxfId="249">
      <pivotArea grandRow="1" outline="0" collapsedLevelsAreSubtotals="1" fieldPosition="0"/>
    </format>
    <format dxfId="248">
      <pivotArea grandRow="1" outline="0" collapsedLevelsAreSubtotals="1" fieldPosition="0"/>
    </format>
    <format dxfId="247">
      <pivotArea field="4" type="button" dataOnly="0" labelOnly="1" outline="0"/>
    </format>
    <format dxfId="246">
      <pivotArea dataOnly="0" labelOnly="1" outline="0" axis="axisValues" fieldPosition="0"/>
    </format>
    <format dxfId="245">
      <pivotArea field="4" type="button" dataOnly="0" labelOnly="1" outline="0"/>
    </format>
    <format dxfId="244">
      <pivotArea dataOnly="0" labelOnly="1" outline="0" axis="axisValues" fieldPosition="0"/>
    </format>
    <format dxfId="243">
      <pivotArea field="22" type="button" dataOnly="0" labelOnly="1" outline="0" axis="axisPage" fieldPosition="0"/>
    </format>
    <format dxfId="242">
      <pivotArea field="25" type="button" dataOnly="0" labelOnly="1" outline="0" axis="axisRow" fieldPosition="0"/>
    </format>
    <format dxfId="241">
      <pivotArea field="22" type="button" dataOnly="0" labelOnly="1" outline="0" axis="axisPage" fieldPosition="0"/>
    </format>
    <format dxfId="240">
      <pivotArea field="25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7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  <filter fld="4" type="valueGreaterThan" evalOrder="-1" id="4" iMeasureFld="0">
      <autoFilter ref="A1">
        <filterColumn colId="0">
          <customFilters>
            <customFilter operator="greaterThan" val="0"/>
          </customFilters>
        </filterColumn>
      </autoFilter>
    </filter>
    <filter fld="25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F145F-E7E1-4FB0-A657-A08E00D23A0A}" name="Tabla1" displayName="Tabla1" ref="A1:H718" totalsRowShown="0" headerRowDxfId="96">
  <autoFilter ref="A1:H718" xr:uid="{7BFF145F-E7E1-4FB0-A657-A08E00D23A0A}">
    <filterColumn colId="5">
      <filters>
        <filter val="ROYCO SOLUCIONES SAS"/>
      </filters>
    </filterColumn>
  </autoFilter>
  <tableColumns count="8">
    <tableColumn id="1" xr3:uid="{DC90DCD9-6E2C-45CE-B31F-4C4D28D3EF01}" name="Codigo" dataDxfId="95"/>
    <tableColumn id="5" xr3:uid="{7A7E2C35-67F6-44CC-9958-94C511BDBE8E}" name="Fecha" dataDxfId="94"/>
    <tableColumn id="6" xr3:uid="{16A21C96-A539-4D53-BDB8-A2CD3FB41A6E}" name="Valor" dataDxfId="93" dataCellStyle="Moneda"/>
    <tableColumn id="2" xr3:uid="{DDEF7E31-B80A-475A-A1EC-A11789D46A7C}" name="Proforma" dataDxfId="92">
      <calculatedColumnFormula>VLOOKUP(A2,Facturas!A:P,2,0)</calculatedColumnFormula>
    </tableColumn>
    <tableColumn id="3" xr3:uid="{42045258-D7F6-447F-AB80-B79F5E7C8CA2}" name="Electronica" dataDxfId="91">
      <calculatedColumnFormula>VLOOKUP(A2,Facturas!A:P,4,0)</calculatedColumnFormula>
    </tableColumn>
    <tableColumn id="4" xr3:uid="{B25CF477-7464-47C2-84A0-8DFA506B948F}" name="Nombre" dataDxfId="90">
      <calculatedColumnFormula>VLOOKUP(A2,Facturas!A:P,8,0)</calculatedColumnFormula>
    </tableColumn>
    <tableColumn id="7" xr3:uid="{C129E310-D1EE-4EE7-B314-2FC4EEE8BAB0}" name="observaciones"/>
    <tableColumn id="8" xr3:uid="{E7630CBD-0C96-47D9-AE54-0A00D3BEB685}" name="Año" dataDxfId="89">
      <calculatedColumnFormula>YEAR(Tabla1[[#This Row],[Fecha]])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52D171-4C88-427C-B940-9101B481C514}" name="Tabla4" displayName="Tabla4" ref="A1:O742" totalsRowShown="0" headerRowDxfId="88" dataDxfId="86" headerRowBorderDxfId="87" tableBorderDxfId="85" totalsRowBorderDxfId="84">
  <autoFilter ref="A1:O742" xr:uid="{3652D171-4C88-427C-B940-9101B481C514}"/>
  <tableColumns count="15">
    <tableColumn id="1" xr3:uid="{24166528-AD37-428B-875C-3F290CC98DD6}" name="Codigo" dataDxfId="83"/>
    <tableColumn id="10" xr3:uid="{33DCC020-DABC-45A5-900C-37D5B8873340}" name="proforma" dataDxfId="82">
      <calculatedColumnFormula>VLOOKUP(Tabla4[[#This Row],[Codigo]],Tabla2[[Cod]:[Nombre ]],2,0)</calculatedColumnFormula>
    </tableColumn>
    <tableColumn id="14" xr3:uid="{734E3341-902E-4278-93E3-B3B591704277}" name="Fecha" dataDxfId="81">
      <calculatedColumnFormula>VLOOKUP(Tabla4[[#This Row],[Codigo]],Tabla2[[Cod]:[Nombre ]],3,0)</calculatedColumnFormula>
    </tableColumn>
    <tableColumn id="12" xr3:uid="{16E66B26-B731-4A20-9A8F-D5102DBBEED8}" name="Electronica" dataDxfId="80">
      <calculatedColumnFormula>VLOOKUP(Tabla4[[#This Row],[Codigo]],Tabla2[[Cod]:[Nombre ]],4,0)</calculatedColumnFormula>
    </tableColumn>
    <tableColumn id="9" xr3:uid="{B699E176-1002-4F14-96BF-154E64BB9A00}" name="Nombre" dataDxfId="79">
      <calculatedColumnFormula>VLOOKUP(Tabla4[[#This Row],[Codigo]],Tabla2[[Cod]:[Nombre ]],8,0)</calculatedColumnFormula>
    </tableColumn>
    <tableColumn id="15" xr3:uid="{69F04262-1978-4ACF-B975-E96ECCC8FB2C}" name="Estado" dataDxfId="78">
      <calculatedColumnFormula>VLOOKUP(Tabla4[[#This Row],[Codigo]],Tabla2[[Cod]:[Nombre ]],6,0)</calculatedColumnFormula>
    </tableColumn>
    <tableColumn id="2" xr3:uid="{CE3851EB-E819-4A1D-8C81-483D1F4A3327}" name="No" dataDxfId="77"/>
    <tableColumn id="3" xr3:uid="{D072098D-D1CD-41C4-A797-90FA7F944AFE}" name="Artículo" dataDxfId="76">
      <calculatedColumnFormula>VLOOKUP(Tabla4[[#This Row],[No]],Parametros!A:C,2,0)</calculatedColumnFormula>
    </tableColumn>
    <tableColumn id="13" xr3:uid="{6A28603A-9983-4B4F-BF6F-1A8C9AAA2E58}" name="Observación" dataDxfId="75"/>
    <tableColumn id="4" xr3:uid="{753ECDBF-F9AA-4E7C-A381-E9DF48003916}" name="Cantidad" dataDxfId="74" dataCellStyle="Millares"/>
    <tableColumn id="5" xr3:uid="{7D4BE23F-4FCD-4A65-A93C-C5E6B1AF0671}" name="Precio" dataDxfId="73" dataCellStyle="Moneda"/>
    <tableColumn id="11" xr3:uid="{41239BB5-C93F-40B2-A6F3-9E8120EE6182}" name="Dto" dataDxfId="72" dataCellStyle="Moneda"/>
    <tableColumn id="6" xr3:uid="{84E7A302-88F3-43E4-AEF2-59059C71BA0A}" name="Sub Total" dataDxfId="71" dataCellStyle="Moneda">
      <calculatedColumnFormula>IF(LEFT(Tabla4[[#This Row],[Electronica]],2)="NC",-Tabla4[[#This Row],[Cantidad]]*Tabla4[[#This Row],[Precio]]+Tabla4[[#This Row],[Dto]],Tabla4[[#This Row],[Cantidad]]*Tabla4[[#This Row],[Precio]]-Tabla4[[#This Row],[Dto]])</calculatedColumnFormula>
    </tableColumn>
    <tableColumn id="7" xr3:uid="{997F34FE-4770-40C9-B777-0F393D276D0F}" name="IVA" dataDxfId="70" dataCellStyle="Moneda">
      <calculatedColumnFormula>IFERROR(Tabla4[[#This Row],[Sub Total]]*VLOOKUP(Tabla4[[#This Row],[No]],Parametros!A:C,3,0),0)</calculatedColumnFormula>
    </tableColumn>
    <tableColumn id="8" xr3:uid="{9B331EBA-1314-49EC-8F2B-D6851CA239B1}" name="Total" dataDxfId="69" dataCellStyle="Moneda">
      <calculatedColumnFormula>+Tabla4[[#This Row],[IVA]]+Tabla4[[#This Row],[Sub Total]]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3F5C93-294D-4B81-8E77-9E16F672F833}" name="Tabla2" displayName="Tabla2" ref="A1:X666" headerRowDxfId="66" dataDxfId="65" totalsRowDxfId="64" totalsRowBorderDxfId="63" totalsRowCellStyle="Moneda">
  <autoFilter ref="A1:X666" xr:uid="{AF3F5C93-294D-4B81-8E77-9E16F672F833}"/>
  <sortState xmlns:xlrd2="http://schemas.microsoft.com/office/spreadsheetml/2017/richdata2" ref="A2:X665">
    <sortCondition ref="A1:A665"/>
  </sortState>
  <tableColumns count="24">
    <tableColumn id="1" xr3:uid="{9A705294-558D-44BB-8DFD-A2FFDD0D3054}" name="Cod" totalsRowLabel="Total" dataDxfId="62" totalsRowDxfId="61">
      <calculatedColumnFormula>IFERROR(A1+1,1)</calculatedColumnFormula>
    </tableColumn>
    <tableColumn id="2" xr3:uid="{EA6631C1-F5D5-4707-9638-A1DEB852CD5B}" name="Proforma" dataDxfId="60" totalsRowDxfId="59"/>
    <tableColumn id="3" xr3:uid="{155410BF-52EB-4EFA-BF71-BA6477BB3C71}" name="Fecha" dataDxfId="58" totalsRowDxfId="57"/>
    <tableColumn id="4" xr3:uid="{9D6DA84A-AA5E-493C-956E-B17BD390F1C9}" name="# Factura" dataDxfId="56" totalsRowDxfId="55"/>
    <tableColumn id="5" xr3:uid="{998E3C3C-2F33-4FBA-A9E6-F3424D346A23}" name="Fecha F.E." dataDxfId="54" totalsRowDxfId="53"/>
    <tableColumn id="8" xr3:uid="{CB261D52-BCAA-43CE-822C-A2B9872518FC}" name="Estado" dataDxfId="52" totalsRowDxfId="51"/>
    <tableColumn id="10" xr3:uid="{511CC74F-B8B5-4F6E-A928-9AA6E7AF75A6}" name="NIT" dataDxfId="50" totalsRowDxfId="49" dataCellStyle="Millares"/>
    <tableColumn id="7" xr3:uid="{B6FAB08E-15C3-4941-AB23-FCCD5B63BFB3}" name="Nombre " dataDxfId="48">
      <calculatedColumnFormula>VLOOKUP(Tabla2[[#This Row],[NIT]],Clientes!A:C,2,0)</calculatedColumnFormula>
    </tableColumn>
    <tableColumn id="9" xr3:uid="{C3D2E26A-B7A9-430F-B50B-8296E2BE199A}" name="Tipo cliente" dataDxfId="47" totalsRowDxfId="46">
      <calculatedColumnFormula>VLOOKUP(Tabla2[[#This Row],[NIT]],Clientes!A:C,3,0)</calculatedColumnFormula>
    </tableColumn>
    <tableColumn id="25" xr3:uid="{781BC149-E237-4341-960E-7C8F25FD945B}" name="Retiene IVA" dataDxfId="45" totalsRowDxfId="44"/>
    <tableColumn id="15" xr3:uid="{4E846898-2D41-4E39-B772-88336201C100}" name="SUBTOTAL" dataDxfId="43" totalsRowDxfId="42">
      <calculatedColumnFormula>SUMIFS(Tabla4[Sub Total],Tabla4[Codigo],Tabla2[[#This Row],[Cod]])</calculatedColumnFormula>
    </tableColumn>
    <tableColumn id="16" xr3:uid="{854243E6-86FF-4B31-9BE6-EE7120F28B84}" name="IVA" dataDxfId="41">
      <calculatedColumnFormula>SUMPRODUCT((Tabla4[Codigo]=Tabla2[[#This Row],[Cod]])*1,Tabla4[IVA])</calculatedColumnFormula>
    </tableColumn>
    <tableColumn id="17" xr3:uid="{4EA541E5-6BB0-42AD-8C4D-BC1723E3A66E}" name="TOTAL" totalsRowFunction="sum" dataDxfId="40" totalsRowDxfId="39">
      <calculatedColumnFormula>SUMIFS(Tabla4[Total],Tabla4[Codigo],Tabla2[[#This Row],[Cod]])</calculatedColumnFormula>
    </tableColumn>
    <tableColumn id="18" xr3:uid="{9058222A-825E-4473-B14A-34B03BFA8927}" name="Valor pago" totalsRowFunction="sum" dataDxfId="38" totalsRowDxfId="37" dataCellStyle="20% - Énfasis4">
      <calculatedColumnFormula>SUMPRODUCT((Tabla1[Codigo]=Tabla2[[#This Row],[Cod]])*1,Tabla1[Valor])</calculatedColumnFormula>
    </tableColumn>
    <tableColumn id="11" xr3:uid="{D520D7AD-85A5-4A76-A5DB-A8189AA58F39}" name="Cartera" dataDxfId="36" totalsRowDxfId="35" dataCellStyle="Moneda" totalsRowCellStyle="Moneda">
      <calculatedColumnFormula>IF(AND(Tabla2[[#This Row],[Estado]]="ok",LEFT(Tabla2[[#This Row],['# Factura]],3)="TIS"),Tabla2[[#This Row],[TOTAL]]-Tabla2[[#This Row],[pagado]],0)</calculatedColumnFormula>
    </tableColumn>
    <tableColumn id="19" xr3:uid="{2505D3E3-2A8F-49C7-B154-40279A432ED3}" name="Saldo" dataDxfId="34" totalsRowDxfId="33">
      <calculatedColumnFormula>Tabla2[[#This Row],[TOTAL]]-Tabla2[[#This Row],[Valor pago]]</calculatedColumnFormula>
    </tableColumn>
    <tableColumn id="20" xr3:uid="{A834AC9D-8901-417A-9D26-109B5EFB237B}" name="Rete fte" dataDxfId="32" totalsRowDxfId="31">
      <calculatedColumnFormula>IF(Tabla2[[#This Row],[Saldo]]=0,0,IF(Tabla2[[#This Row],[Tipo cliente]]="PJ",Tabla2[[#This Row],[SUBTOTAL]]*11%,0))</calculatedColumnFormula>
    </tableColumn>
    <tableColumn id="21" xr3:uid="{88D1D8B1-5D45-4CC5-931A-B03627E48615}" name="rete ica" dataDxfId="30" totalsRowDxfId="29">
      <calculatedColumnFormula>IF(Tabla2[[#This Row],[Saldo]]=0,0,IF(Tabla2[[#This Row],[Tipo cliente]]="PJ",Tabla2[[#This Row],[SUBTOTAL]]*0.966%,0))</calculatedColumnFormula>
    </tableColumn>
    <tableColumn id="24" xr3:uid="{EB3E6297-C17D-4D75-9FED-F61EE0A9BF62}" name="Rete IVA" dataDxfId="28" totalsRowDxfId="27">
      <calculatedColumnFormula>IF(Tabla2[[#This Row],[Retiene IVA]]="S",Tabla2[[#This Row],[IVA]]*0.15,0)</calculatedColumnFormula>
    </tableColumn>
    <tableColumn id="22" xr3:uid="{C79EA51D-F901-48A8-9269-2C925CFEB07D}" name="Saldo Final" totalsRowFunction="sum" dataDxfId="26" totalsRowDxfId="25" dataCellStyle="Moneda">
      <calculatedColumnFormula>+Tabla2[[#This Row],[Saldo]]-Tabla2[[#This Row],[Rete fte]]-Tabla2[[#This Row],[rete ica]]-Tabla2[[#This Row],[Rete IVA]]</calculatedColumnFormula>
    </tableColumn>
    <tableColumn id="6" xr3:uid="{398B0C42-FD52-4B68-B800-FE2E1EEFB485}" name="pagado" dataDxfId="24" dataCellStyle="Moneda" totalsRowCellStyle="Moneda">
      <calculatedColumnFormula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calculatedColumnFormula>
    </tableColumn>
    <tableColumn id="12" xr3:uid="{65F67EF0-E58A-48DA-AF73-BC480BCA98A0}" name="OBSERVACIONES" dataDxfId="23" totalsRowDxfId="22" totalsRowCellStyle="Moneda"/>
    <tableColumn id="13" xr3:uid="{FCBF1275-86F8-411D-80F9-1EB9028C326E}" name="año FE" dataDxfId="21" totalsRowDxfId="20" totalsRowCellStyle="Moneda">
      <calculatedColumnFormula>IF(Tabla2[[#This Row],[Fecha F.E.]]="","",YEAR(Tabla2[[#This Row],[Fecha F.E.]]))</calculatedColumnFormula>
    </tableColumn>
    <tableColumn id="14" xr3:uid="{ADCC870A-6618-4ACA-9385-FB60DB599CA0}" name="Año proforma" dataDxfId="19" totalsRowDxfId="18" totalsRowCellStyle="Moneda">
      <calculatedColumnFormula>IF(Tabla2[[#This Row],[Fecha]]="","",YEAR(Tabla2[[#This Row],[Fecha]]))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662513-7A22-488C-B1D4-8B866460C484}" name="Tabla3" displayName="Tabla3" ref="A1:I191" totalsRowShown="0" headerRowDxfId="17" dataDxfId="16">
  <autoFilter ref="A1:I191" xr:uid="{6B662513-7A22-488C-B1D4-8B866460C484}"/>
  <tableColumns count="9">
    <tableColumn id="1" xr3:uid="{CB197F4B-0575-4F8F-97C8-3C1D0688C16A}" name="NIT" dataDxfId="15"/>
    <tableColumn id="2" xr3:uid="{63E7F36E-377B-4BAB-B01B-3835BAA4F5A8}" name="Nombre " dataDxfId="14"/>
    <tableColumn id="3" xr3:uid="{DE80CAF5-9183-47B3-9D7D-F564E7103E2E}" name="Tipo cliente" dataDxfId="13"/>
    <tableColumn id="4" xr3:uid="{CA3DAFA4-AE26-43C8-B10C-FD6162042C33}" name="Dirección " dataDxfId="12"/>
    <tableColumn id="8" xr3:uid="{99B84F80-81AC-487A-9932-E8EB42649C9E}" name="Nombre Comercial" dataDxfId="11"/>
    <tableColumn id="5" xr3:uid="{E6D7A9C3-360A-4544-B55E-E0F34FBD1C43}" name="Departamento " dataDxfId="10"/>
    <tableColumn id="6" xr3:uid="{C1E864E2-8904-4881-BF86-4499D91DD0E9}" name="Correo " dataDxfId="9"/>
    <tableColumn id="7" xr3:uid="{279DA787-CCC8-4E58-9793-0237438637C5}" name="Teléfono " dataDxfId="8"/>
    <tableColumn id="9" xr3:uid="{AFBA3096-9BBA-4EEE-AB29-9ED8E470029D}" name="Tipo Identificacion" dataDxfId="7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mailto:glopez@sistemgroup.es" TargetMode="External"/><Relationship Id="rId18" Type="http://schemas.openxmlformats.org/officeDocument/2006/relationships/hyperlink" Target="mailto:GERENCIA@BIOMETROMED.COM" TargetMode="External"/><Relationship Id="rId26" Type="http://schemas.openxmlformats.org/officeDocument/2006/relationships/hyperlink" Target="mailto:katherinem94@gmail.com" TargetMode="External"/><Relationship Id="rId39" Type="http://schemas.openxmlformats.org/officeDocument/2006/relationships/hyperlink" Target="mailto:andrea.carvajal@carnesfriasitalia.com" TargetMode="External"/><Relationship Id="rId21" Type="http://schemas.openxmlformats.org/officeDocument/2006/relationships/hyperlink" Target="mailto:helber.bueno@soldmant.com" TargetMode="External"/><Relationship Id="rId34" Type="http://schemas.openxmlformats.org/officeDocument/2006/relationships/hyperlink" Target="mailto:luishernando@hutercol.com" TargetMode="External"/><Relationship Id="rId42" Type="http://schemas.openxmlformats.org/officeDocument/2006/relationships/hyperlink" Target="mailto:mauricio.villegas@enel.com" TargetMode="External"/><Relationship Id="rId47" Type="http://schemas.openxmlformats.org/officeDocument/2006/relationships/hyperlink" Target="mailto:info@lcesculturas.com" TargetMode="External"/><Relationship Id="rId50" Type="http://schemas.openxmlformats.org/officeDocument/2006/relationships/hyperlink" Target="mailto:mariac.pulido@erzsas.com" TargetMode="External"/><Relationship Id="rId55" Type="http://schemas.openxmlformats.org/officeDocument/2006/relationships/hyperlink" Target="mailto:formaderaswp@hotmail.com" TargetMode="External"/><Relationship Id="rId7" Type="http://schemas.openxmlformats.org/officeDocument/2006/relationships/hyperlink" Target="mailto:contabilidad@coljuegos.gov.co" TargetMode="External"/><Relationship Id="rId2" Type="http://schemas.openxmlformats.org/officeDocument/2006/relationships/hyperlink" Target="mailto:hermaquinasgestionhumana@hotmail.com" TargetMode="External"/><Relationship Id="rId16" Type="http://schemas.openxmlformats.org/officeDocument/2006/relationships/hyperlink" Target="mailto:INVFRANQUIHER@GMAIL.COM" TargetMode="External"/><Relationship Id="rId29" Type="http://schemas.openxmlformats.org/officeDocument/2006/relationships/hyperlink" Target="mailto:planeacion@ecoaseo.com.co%20-%20cablemovilecuacion@gmail.com" TargetMode="External"/><Relationship Id="rId11" Type="http://schemas.openxmlformats.org/officeDocument/2006/relationships/hyperlink" Target="mailto:cpvargaso@hotmail.com" TargetMode="External"/><Relationship Id="rId24" Type="http://schemas.openxmlformats.org/officeDocument/2006/relationships/hyperlink" Target="mailto:felectronica@procesos2000.com" TargetMode="External"/><Relationship Id="rId32" Type="http://schemas.openxmlformats.org/officeDocument/2006/relationships/hyperlink" Target="mailto:mmch111@gmail.com" TargetMode="External"/><Relationship Id="rId37" Type="http://schemas.openxmlformats.org/officeDocument/2006/relationships/hyperlink" Target="mailto:SEQCONSULTORES@YAHOO.ES" TargetMode="External"/><Relationship Id="rId40" Type="http://schemas.openxmlformats.org/officeDocument/2006/relationships/hyperlink" Target="mailto:contabilidad@organizacionoliver.com" TargetMode="External"/><Relationship Id="rId45" Type="http://schemas.openxmlformats.org/officeDocument/2006/relationships/hyperlink" Target="mailto:diana.bonilla@lacteosappenzell.com;%20sgsst.appenzell@gmail.com" TargetMode="External"/><Relationship Id="rId53" Type="http://schemas.openxmlformats.org/officeDocument/2006/relationships/hyperlink" Target="mailto:gloria.fino@ivfdecolombia.com" TargetMode="External"/><Relationship Id="rId58" Type="http://schemas.openxmlformats.org/officeDocument/2006/relationships/hyperlink" Target="mailto:sctcompras2021@gmail.com" TargetMode="External"/><Relationship Id="rId5" Type="http://schemas.openxmlformats.org/officeDocument/2006/relationships/hyperlink" Target="mailto:paj@agenteseguros.com.co" TargetMode="External"/><Relationship Id="rId19" Type="http://schemas.openxmlformats.org/officeDocument/2006/relationships/hyperlink" Target="mailto:acelyp@hotmail.com" TargetMode="External"/><Relationship Id="rId4" Type="http://schemas.openxmlformats.org/officeDocument/2006/relationships/hyperlink" Target="mailto:glopez@sistemgroup.es" TargetMode="External"/><Relationship Id="rId9" Type="http://schemas.openxmlformats.org/officeDocument/2006/relationships/hyperlink" Target="mailto:diasyrley@hotmail.com" TargetMode="External"/><Relationship Id="rId14" Type="http://schemas.openxmlformats.org/officeDocument/2006/relationships/hyperlink" Target="mailto:contabilidad@ipromega.com" TargetMode="External"/><Relationship Id="rId22" Type="http://schemas.openxmlformats.org/officeDocument/2006/relationships/hyperlink" Target="mailto:fundacionfbc@gmail.com" TargetMode="External"/><Relationship Id="rId27" Type="http://schemas.openxmlformats.org/officeDocument/2006/relationships/hyperlink" Target="mailto:Contabilidad@Arrigui.com" TargetMode="External"/><Relationship Id="rId30" Type="http://schemas.openxmlformats.org/officeDocument/2006/relationships/hyperlink" Target="mailto:asistentehseq@aviateksas.com" TargetMode="External"/><Relationship Id="rId35" Type="http://schemas.openxmlformats.org/officeDocument/2006/relationships/hyperlink" Target="mailto:cavacor9@gmail.com" TargetMode="External"/><Relationship Id="rId43" Type="http://schemas.openxmlformats.org/officeDocument/2006/relationships/hyperlink" Target="mailto:administracion@colombiadiversa.org,%20aramirez@colombiadiversa.org" TargetMode="External"/><Relationship Id="rId48" Type="http://schemas.openxmlformats.org/officeDocument/2006/relationships/hyperlink" Target="mailto:planeacion@colvinsa.com" TargetMode="External"/><Relationship Id="rId56" Type="http://schemas.openxmlformats.org/officeDocument/2006/relationships/hyperlink" Target="mailto:contabilidad@dycsa.com.co" TargetMode="External"/><Relationship Id="rId8" Type="http://schemas.openxmlformats.org/officeDocument/2006/relationships/hyperlink" Target="mailto:ladrillosochoa1@hotmail.com" TargetMode="External"/><Relationship Id="rId51" Type="http://schemas.openxmlformats.org/officeDocument/2006/relationships/hyperlink" Target="mailto:atecno@activos.com.co" TargetMode="External"/><Relationship Id="rId3" Type="http://schemas.openxmlformats.org/officeDocument/2006/relationships/hyperlink" Target="mailto:andrea.santiago@indu-b.com" TargetMode="External"/><Relationship Id="rId12" Type="http://schemas.openxmlformats.org/officeDocument/2006/relationships/hyperlink" Target="mailto:g.gral@grupoconsultorandino.com" TargetMode="External"/><Relationship Id="rId17" Type="http://schemas.openxmlformats.org/officeDocument/2006/relationships/hyperlink" Target="mailto:impuestos@sbseguros.co" TargetMode="External"/><Relationship Id="rId25" Type="http://schemas.openxmlformats.org/officeDocument/2006/relationships/hyperlink" Target="mailto:facturaelectronica@clinicalasvegas.com" TargetMode="External"/><Relationship Id="rId33" Type="http://schemas.openxmlformats.org/officeDocument/2006/relationships/hyperlink" Target="mailto:lizaldanag22@hotmail.com" TargetMode="External"/><Relationship Id="rId38" Type="http://schemas.openxmlformats.org/officeDocument/2006/relationships/hyperlink" Target="mailto:fetgroupsas@hotmail.com" TargetMode="External"/><Relationship Id="rId46" Type="http://schemas.openxmlformats.org/officeDocument/2006/relationships/hyperlink" Target="mailto:notificaciones@llanogrande.com.co" TargetMode="External"/><Relationship Id="rId59" Type="http://schemas.openxmlformats.org/officeDocument/2006/relationships/printerSettings" Target="../printerSettings/printerSettings7.bin"/><Relationship Id="rId20" Type="http://schemas.openxmlformats.org/officeDocument/2006/relationships/hyperlink" Target="mailto:sandrocelq@gmail.com" TargetMode="External"/><Relationship Id="rId41" Type="http://schemas.openxmlformats.org/officeDocument/2006/relationships/hyperlink" Target="mailto:andrea.rincon@evalconsulting.com.co" TargetMode="External"/><Relationship Id="rId54" Type="http://schemas.openxmlformats.org/officeDocument/2006/relationships/hyperlink" Target="mailto:lfreyes@devisab.com" TargetMode="External"/><Relationship Id="rId1" Type="http://schemas.openxmlformats.org/officeDocument/2006/relationships/hyperlink" Target="mailto:conconcretoc@conconcreto.com" TargetMode="External"/><Relationship Id="rId6" Type="http://schemas.openxmlformats.org/officeDocument/2006/relationships/hyperlink" Target="mailto:gerencia@anker.com.co" TargetMode="External"/><Relationship Id="rId15" Type="http://schemas.openxmlformats.org/officeDocument/2006/relationships/hyperlink" Target="mailto:ingrid.garzon@softesting.com" TargetMode="External"/><Relationship Id="rId23" Type="http://schemas.openxmlformats.org/officeDocument/2006/relationships/hyperlink" Target="mailto:recepcionproveedores@ezgosa.com" TargetMode="External"/><Relationship Id="rId28" Type="http://schemas.openxmlformats.org/officeDocument/2006/relationships/hyperlink" Target="mailto:administracion@wolta.com.co" TargetMode="External"/><Relationship Id="rId36" Type="http://schemas.openxmlformats.org/officeDocument/2006/relationships/hyperlink" Target="mailto:facturacion@micrositios.net" TargetMode="External"/><Relationship Id="rId49" Type="http://schemas.openxmlformats.org/officeDocument/2006/relationships/hyperlink" Target="mailto:juridico@grupoquick.com" TargetMode="External"/><Relationship Id="rId57" Type="http://schemas.openxmlformats.org/officeDocument/2006/relationships/hyperlink" Target="mailto:ltaborda.confe@conconcreto.com" TargetMode="External"/><Relationship Id="rId10" Type="http://schemas.openxmlformats.org/officeDocument/2006/relationships/hyperlink" Target="mailto:contabilidad@clubpayande.com" TargetMode="External"/><Relationship Id="rId31" Type="http://schemas.openxmlformats.org/officeDocument/2006/relationships/hyperlink" Target="mailto:finanzas@masterline-logistics.com.co" TargetMode="External"/><Relationship Id="rId44" Type="http://schemas.openxmlformats.org/officeDocument/2006/relationships/hyperlink" Target="mailto:contabilidadbetals@gmail.com" TargetMode="External"/><Relationship Id="rId52" Type="http://schemas.openxmlformats.org/officeDocument/2006/relationships/hyperlink" Target="mailto:radicacionvirtual@idcbis.org.co" TargetMode="External"/><Relationship Id="rId60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0348F-11AB-4141-AEB3-0E00A0CB8581}">
  <sheetPr codeName="Hoja7"/>
  <dimension ref="B1:Y279"/>
  <sheetViews>
    <sheetView showGridLines="0" tabSelected="1" zoomScale="75" zoomScaleNormal="75" workbookViewId="0">
      <selection activeCell="P4" sqref="P4"/>
    </sheetView>
  </sheetViews>
  <sheetFormatPr baseColWidth="10" defaultColWidth="10.7109375" defaultRowHeight="15" x14ac:dyDescent="0.25"/>
  <cols>
    <col min="1" max="1" width="4.7109375" customWidth="1"/>
    <col min="2" max="2" width="12.5703125" bestFit="1" customWidth="1"/>
    <col min="3" max="3" width="18.42578125" bestFit="1" customWidth="1"/>
    <col min="4" max="4" width="15.5703125" bestFit="1" customWidth="1"/>
    <col min="5" max="5" width="25.28515625" customWidth="1"/>
    <col min="6" max="6" width="7" customWidth="1"/>
    <col min="7" max="7" width="14.140625" customWidth="1"/>
    <col min="8" max="8" width="13" style="46" customWidth="1"/>
    <col min="9" max="9" width="18.42578125" bestFit="1" customWidth="1"/>
    <col min="10" max="10" width="13.5703125" customWidth="1"/>
    <col min="11" max="11" width="7.5703125" customWidth="1"/>
    <col min="12" max="12" width="12.7109375" bestFit="1" customWidth="1"/>
    <col min="13" max="13" width="17.140625" customWidth="1"/>
    <col min="14" max="14" width="12.7109375" customWidth="1"/>
    <col min="15" max="15" width="17.28515625" customWidth="1"/>
    <col min="16" max="16" width="13.28515625" bestFit="1" customWidth="1"/>
    <col min="17" max="17" width="12.42578125" customWidth="1"/>
    <col min="18" max="18" width="17.85546875" bestFit="1" customWidth="1"/>
    <col min="19" max="19" width="12" bestFit="1" customWidth="1"/>
    <col min="23" max="23" width="11.85546875" bestFit="1" customWidth="1"/>
    <col min="24" max="24" width="18.42578125" bestFit="1" customWidth="1"/>
    <col min="25" max="25" width="14.28515625" bestFit="1" customWidth="1"/>
  </cols>
  <sheetData>
    <row r="1" spans="2:25" x14ac:dyDescent="0.25">
      <c r="F1" s="3"/>
    </row>
    <row r="2" spans="2:25" x14ac:dyDescent="0.25">
      <c r="F2" s="3"/>
      <c r="H2"/>
    </row>
    <row r="3" spans="2:25" ht="18.75" x14ac:dyDescent="0.3">
      <c r="F3" s="3"/>
      <c r="H3"/>
      <c r="L3" s="52"/>
      <c r="M3" s="52" t="s">
        <v>2573</v>
      </c>
    </row>
    <row r="4" spans="2:25" ht="18.75" x14ac:dyDescent="0.3">
      <c r="B4" s="52" t="s">
        <v>0</v>
      </c>
      <c r="E4" s="50">
        <f>+GETPIVOTDATA("subtotal",$C$9)</f>
        <v>48880248</v>
      </c>
      <c r="F4" s="156"/>
      <c r="H4" s="52" t="s">
        <v>1</v>
      </c>
      <c r="I4" s="51">
        <f>GETPIVOTDATA("SUBTOTAL",$H$10)</f>
        <v>59179248</v>
      </c>
      <c r="J4" s="167">
        <f>+I4/9*0.81</f>
        <v>5326132.32</v>
      </c>
      <c r="O4" s="51"/>
      <c r="P4" s="486"/>
    </row>
    <row r="5" spans="2:25" x14ac:dyDescent="0.25">
      <c r="M5" s="43" t="s">
        <v>294</v>
      </c>
      <c r="N5" s="44">
        <v>2026</v>
      </c>
      <c r="O5" s="46"/>
    </row>
    <row r="6" spans="2:25" x14ac:dyDescent="0.25">
      <c r="B6" s="43" t="s">
        <v>2</v>
      </c>
      <c r="C6" t="s">
        <v>3</v>
      </c>
      <c r="E6" s="287">
        <f>411692094/12</f>
        <v>34307674.5</v>
      </c>
    </row>
    <row r="7" spans="2:25" x14ac:dyDescent="0.25">
      <c r="B7" s="43" t="s">
        <v>4</v>
      </c>
      <c r="C7" s="44">
        <v>2026</v>
      </c>
      <c r="F7" s="156"/>
      <c r="H7" s="43" t="s">
        <v>2</v>
      </c>
      <c r="I7" t="s">
        <v>3</v>
      </c>
      <c r="M7" s="43" t="s">
        <v>2572</v>
      </c>
      <c r="N7" t="s">
        <v>2571</v>
      </c>
      <c r="R7" s="171"/>
      <c r="Y7" s="46"/>
    </row>
    <row r="8" spans="2:25" x14ac:dyDescent="0.25">
      <c r="F8" s="156"/>
      <c r="H8" s="43" t="s">
        <v>5</v>
      </c>
      <c r="I8" s="44">
        <v>2026</v>
      </c>
      <c r="M8" t="s">
        <v>8</v>
      </c>
      <c r="N8" s="217">
        <v>34013194</v>
      </c>
      <c r="R8" s="171"/>
    </row>
    <row r="9" spans="2:25" x14ac:dyDescent="0.25">
      <c r="B9" s="47" t="s">
        <v>6</v>
      </c>
      <c r="C9" t="s">
        <v>7</v>
      </c>
      <c r="F9" s="156"/>
      <c r="H9"/>
      <c r="M9" t="s">
        <v>10</v>
      </c>
      <c r="N9" s="217">
        <v>8632818</v>
      </c>
    </row>
    <row r="10" spans="2:25" x14ac:dyDescent="0.25">
      <c r="B10" s="44" t="s">
        <v>8</v>
      </c>
      <c r="C10" s="217">
        <v>3464874</v>
      </c>
      <c r="F10" s="156"/>
      <c r="H10" s="43" t="s">
        <v>6</v>
      </c>
      <c r="I10" t="s">
        <v>7</v>
      </c>
      <c r="J10" t="s">
        <v>9</v>
      </c>
      <c r="M10" t="s">
        <v>11</v>
      </c>
      <c r="N10" s="217">
        <v>1482442</v>
      </c>
    </row>
    <row r="11" spans="2:25" x14ac:dyDescent="0.25">
      <c r="B11" s="44" t="s">
        <v>10</v>
      </c>
      <c r="C11" s="217">
        <v>18304874</v>
      </c>
      <c r="F11" s="156"/>
      <c r="H11" s="44" t="s">
        <v>8</v>
      </c>
      <c r="I11" s="45">
        <v>13463874</v>
      </c>
      <c r="J11" s="45">
        <v>11</v>
      </c>
      <c r="M11" t="s">
        <v>12</v>
      </c>
      <c r="N11" s="217">
        <v>44128454</v>
      </c>
    </row>
    <row r="12" spans="2:25" x14ac:dyDescent="0.25">
      <c r="B12" s="44" t="s">
        <v>11</v>
      </c>
      <c r="C12" s="217">
        <v>27110500</v>
      </c>
      <c r="F12" s="156"/>
      <c r="H12" s="44" t="s">
        <v>10</v>
      </c>
      <c r="I12" s="45">
        <v>18304874</v>
      </c>
      <c r="J12" s="45">
        <v>15</v>
      </c>
    </row>
    <row r="13" spans="2:25" x14ac:dyDescent="0.25">
      <c r="B13" s="48" t="s">
        <v>12</v>
      </c>
      <c r="C13" s="218">
        <v>48880248</v>
      </c>
      <c r="F13" s="156"/>
      <c r="H13" s="44" t="s">
        <v>11</v>
      </c>
      <c r="I13" s="45">
        <v>27410500</v>
      </c>
      <c r="J13" s="45">
        <v>11</v>
      </c>
    </row>
    <row r="14" spans="2:25" x14ac:dyDescent="0.25">
      <c r="F14" s="156"/>
      <c r="H14" s="48" t="s">
        <v>12</v>
      </c>
      <c r="I14" s="49">
        <v>59179248</v>
      </c>
      <c r="J14" s="49">
        <v>37</v>
      </c>
    </row>
    <row r="15" spans="2:25" x14ac:dyDescent="0.25">
      <c r="F15" s="156"/>
      <c r="H15"/>
    </row>
    <row r="16" spans="2:25" x14ac:dyDescent="0.25">
      <c r="F16" s="156"/>
      <c r="H16"/>
    </row>
    <row r="17" spans="2:19" x14ac:dyDescent="0.25">
      <c r="F17" s="156"/>
      <c r="H17"/>
    </row>
    <row r="18" spans="2:19" x14ac:dyDescent="0.25">
      <c r="F18" s="156"/>
      <c r="H18"/>
    </row>
    <row r="19" spans="2:19" x14ac:dyDescent="0.25">
      <c r="F19" s="156"/>
      <c r="H19"/>
    </row>
    <row r="20" spans="2:19" x14ac:dyDescent="0.25">
      <c r="H20"/>
    </row>
    <row r="21" spans="2:19" x14ac:dyDescent="0.25">
      <c r="H21"/>
    </row>
    <row r="22" spans="2:19" x14ac:dyDescent="0.25">
      <c r="H22"/>
    </row>
    <row r="23" spans="2:19" x14ac:dyDescent="0.25">
      <c r="H23"/>
    </row>
    <row r="24" spans="2:19" x14ac:dyDescent="0.25">
      <c r="L24" s="46"/>
    </row>
    <row r="25" spans="2:19" x14ac:dyDescent="0.25">
      <c r="H25"/>
    </row>
    <row r="26" spans="2:19" x14ac:dyDescent="0.25">
      <c r="B26" t="s">
        <v>13</v>
      </c>
      <c r="D26" s="51">
        <f>+GETPIVOTDATA("Suma de Cartera",$B$30)</f>
        <v>11398363.824453998</v>
      </c>
      <c r="H26"/>
      <c r="L26" s="43" t="s">
        <v>2</v>
      </c>
      <c r="M26" t="s">
        <v>3</v>
      </c>
      <c r="P26" t="s">
        <v>14</v>
      </c>
    </row>
    <row r="27" spans="2:19" x14ac:dyDescent="0.25">
      <c r="H27" s="43" t="s">
        <v>4</v>
      </c>
      <c r="I27" s="44">
        <v>2024</v>
      </c>
      <c r="L27" s="43" t="s">
        <v>15</v>
      </c>
      <c r="M27" t="s">
        <v>16</v>
      </c>
    </row>
    <row r="28" spans="2:19" x14ac:dyDescent="0.25">
      <c r="B28" s="47" t="s">
        <v>4</v>
      </c>
      <c r="C28" s="44">
        <v>2025</v>
      </c>
      <c r="H28"/>
    </row>
    <row r="29" spans="2:19" x14ac:dyDescent="0.25">
      <c r="H29" s="184" t="s">
        <v>17</v>
      </c>
      <c r="I29" s="184" t="s">
        <v>18</v>
      </c>
      <c r="L29" s="43" t="s">
        <v>6</v>
      </c>
      <c r="M29" s="58" t="s">
        <v>19</v>
      </c>
      <c r="N29" s="58" t="s">
        <v>20</v>
      </c>
      <c r="P29" s="58" t="s">
        <v>21</v>
      </c>
      <c r="Q29" s="58" t="s">
        <v>22</v>
      </c>
      <c r="R29" s="58" t="s">
        <v>23</v>
      </c>
      <c r="S29" s="58" t="s">
        <v>24</v>
      </c>
    </row>
    <row r="30" spans="2:19" x14ac:dyDescent="0.25">
      <c r="B30" s="47" t="s">
        <v>25</v>
      </c>
      <c r="C30" s="184" t="s">
        <v>26</v>
      </c>
      <c r="H30" s="227" t="s">
        <v>27</v>
      </c>
      <c r="I30" s="240">
        <v>756742.1799999997</v>
      </c>
      <c r="L30" s="346">
        <v>44249</v>
      </c>
      <c r="M30" s="3">
        <v>2</v>
      </c>
      <c r="N30" s="154">
        <v>1135000</v>
      </c>
      <c r="P30" s="154"/>
    </row>
    <row r="31" spans="2:19" x14ac:dyDescent="0.25">
      <c r="B31" t="s">
        <v>11</v>
      </c>
      <c r="C31" s="45">
        <v>45620.220500001102</v>
      </c>
      <c r="H31" s="227" t="s">
        <v>28</v>
      </c>
      <c r="I31" s="240">
        <v>307454</v>
      </c>
      <c r="L31" s="346">
        <v>44256</v>
      </c>
      <c r="M31" s="3">
        <v>1</v>
      </c>
      <c r="N31" s="154">
        <v>500000</v>
      </c>
      <c r="P31" s="154"/>
      <c r="Q31" s="45">
        <f>238930+45397</f>
        <v>284327</v>
      </c>
      <c r="R31" s="45">
        <f t="shared" ref="R31:R42" si="0">IFERROR(Q31/M31,0)</f>
        <v>284327</v>
      </c>
      <c r="S31" s="156">
        <f t="shared" ref="S31:S41" si="1">IFERROR(N31/Q31,0)</f>
        <v>1.7585385840950736</v>
      </c>
    </row>
    <row r="32" spans="2:19" x14ac:dyDescent="0.25">
      <c r="B32" t="s">
        <v>29</v>
      </c>
      <c r="C32" s="45">
        <v>166595.3438684002</v>
      </c>
      <c r="H32" s="227" t="s">
        <v>30</v>
      </c>
      <c r="I32" s="240">
        <v>277585</v>
      </c>
      <c r="L32" s="346">
        <v>44271</v>
      </c>
      <c r="M32" s="3">
        <v>1</v>
      </c>
      <c r="N32" s="154">
        <v>280000</v>
      </c>
      <c r="P32" s="154"/>
      <c r="Q32" s="45">
        <f>265273+50402</f>
        <v>315675</v>
      </c>
      <c r="R32" s="45">
        <f t="shared" si="0"/>
        <v>315675</v>
      </c>
      <c r="S32" s="156">
        <f t="shared" si="1"/>
        <v>0.88698819988912647</v>
      </c>
    </row>
    <row r="33" spans="2:19" x14ac:dyDescent="0.25">
      <c r="B33" t="s">
        <v>31</v>
      </c>
      <c r="C33" s="45">
        <v>2480757.2791455984</v>
      </c>
      <c r="H33" s="227" t="s">
        <v>32</v>
      </c>
      <c r="I33" s="240">
        <v>276493.60000000009</v>
      </c>
      <c r="L33" s="346">
        <v>44274</v>
      </c>
      <c r="M33" s="3">
        <v>2</v>
      </c>
      <c r="N33" s="154">
        <v>2682941.0190000003</v>
      </c>
      <c r="P33" s="154"/>
      <c r="Q33" s="45">
        <f>252098+47899</f>
        <v>299997</v>
      </c>
      <c r="R33" s="45">
        <f t="shared" si="0"/>
        <v>149998.5</v>
      </c>
      <c r="S33" s="156">
        <f t="shared" si="1"/>
        <v>8.9432261622616238</v>
      </c>
    </row>
    <row r="34" spans="2:19" x14ac:dyDescent="0.25">
      <c r="B34" t="s">
        <v>33</v>
      </c>
      <c r="C34" s="45">
        <v>3836554.3437799998</v>
      </c>
      <c r="H34" s="321" t="s">
        <v>34</v>
      </c>
      <c r="I34" s="322">
        <v>26346.5</v>
      </c>
      <c r="L34" s="346">
        <v>44291</v>
      </c>
      <c r="M34" s="3">
        <v>2</v>
      </c>
      <c r="N34" s="154">
        <v>5842000</v>
      </c>
      <c r="P34" s="154"/>
      <c r="Q34" s="45">
        <f>252103+47900</f>
        <v>300003</v>
      </c>
      <c r="R34" s="45">
        <f t="shared" si="0"/>
        <v>150001.5</v>
      </c>
      <c r="S34" s="156">
        <f t="shared" si="1"/>
        <v>19.473138601947316</v>
      </c>
    </row>
    <row r="35" spans="2:19" x14ac:dyDescent="0.25">
      <c r="B35" t="s">
        <v>35</v>
      </c>
      <c r="C35" s="45">
        <v>4868836.6371599995</v>
      </c>
      <c r="H35" t="s">
        <v>36</v>
      </c>
      <c r="I35" s="45">
        <v>892.19999999995343</v>
      </c>
      <c r="L35" s="346">
        <v>44299</v>
      </c>
      <c r="M35" s="3">
        <v>1</v>
      </c>
      <c r="N35" s="154">
        <v>225000</v>
      </c>
      <c r="P35" s="154"/>
      <c r="Q35" s="45">
        <v>312000</v>
      </c>
      <c r="R35" s="45">
        <f t="shared" si="0"/>
        <v>312000</v>
      </c>
      <c r="S35" s="156">
        <f t="shared" si="1"/>
        <v>0.72115384615384615</v>
      </c>
    </row>
    <row r="36" spans="2:19" x14ac:dyDescent="0.25">
      <c r="B36" s="184" t="s">
        <v>12</v>
      </c>
      <c r="C36" s="185">
        <v>11398363.824453998</v>
      </c>
      <c r="H36" s="184" t="s">
        <v>12</v>
      </c>
      <c r="I36" s="185">
        <v>1645513.4799999997</v>
      </c>
      <c r="L36" s="346">
        <v>44316</v>
      </c>
      <c r="M36" s="3">
        <v>1</v>
      </c>
      <c r="N36" s="154">
        <v>-25000</v>
      </c>
      <c r="P36" s="154"/>
      <c r="Q36" s="45">
        <v>281776</v>
      </c>
      <c r="R36" s="45">
        <f t="shared" si="0"/>
        <v>281776</v>
      </c>
      <c r="S36" s="156">
        <f t="shared" si="1"/>
        <v>-8.8722957242632447E-2</v>
      </c>
    </row>
    <row r="37" spans="2:19" x14ac:dyDescent="0.25">
      <c r="H37"/>
      <c r="L37" s="346">
        <v>44334</v>
      </c>
      <c r="M37" s="3">
        <v>1</v>
      </c>
      <c r="N37" s="154">
        <v>420000</v>
      </c>
      <c r="P37" s="154"/>
      <c r="Q37" s="45">
        <f>235457+9042</f>
        <v>244499</v>
      </c>
      <c r="R37" s="45">
        <f t="shared" si="0"/>
        <v>244499</v>
      </c>
      <c r="S37" s="156">
        <f t="shared" si="1"/>
        <v>1.7177984368034225</v>
      </c>
    </row>
    <row r="38" spans="2:19" x14ac:dyDescent="0.25">
      <c r="H38"/>
      <c r="L38" s="346">
        <v>44348</v>
      </c>
      <c r="M38" s="3">
        <v>1</v>
      </c>
      <c r="N38" s="154">
        <v>975000</v>
      </c>
      <c r="P38" s="154"/>
      <c r="Q38" s="45">
        <v>77263</v>
      </c>
      <c r="R38" s="45">
        <f t="shared" si="0"/>
        <v>77263</v>
      </c>
      <c r="S38" s="156">
        <f t="shared" si="1"/>
        <v>12.619235597892912</v>
      </c>
    </row>
    <row r="39" spans="2:19" x14ac:dyDescent="0.25">
      <c r="H39"/>
      <c r="L39" s="346">
        <v>44174</v>
      </c>
      <c r="M39" s="3">
        <v>1</v>
      </c>
      <c r="N39" s="154">
        <v>1116000</v>
      </c>
      <c r="P39" s="154"/>
      <c r="Q39" s="45">
        <v>9093</v>
      </c>
      <c r="R39" s="45">
        <f t="shared" si="0"/>
        <v>9093</v>
      </c>
      <c r="S39" s="156">
        <f t="shared" si="1"/>
        <v>122.73177169251072</v>
      </c>
    </row>
    <row r="40" spans="2:19" x14ac:dyDescent="0.25">
      <c r="H40"/>
      <c r="L40" s="346">
        <v>44358</v>
      </c>
      <c r="M40" s="3">
        <v>1</v>
      </c>
      <c r="N40" s="154">
        <v>680000</v>
      </c>
      <c r="P40" s="154">
        <v>34</v>
      </c>
      <c r="Q40" s="45">
        <v>405768</v>
      </c>
      <c r="R40" s="45">
        <f t="shared" si="0"/>
        <v>405768</v>
      </c>
      <c r="S40" s="156">
        <f t="shared" si="1"/>
        <v>1.675834466986061</v>
      </c>
    </row>
    <row r="41" spans="2:19" x14ac:dyDescent="0.25">
      <c r="H41"/>
      <c r="L41" s="346">
        <v>44370</v>
      </c>
      <c r="M41" s="3">
        <v>1</v>
      </c>
      <c r="N41" s="154">
        <v>4525000</v>
      </c>
      <c r="P41" s="3">
        <v>18</v>
      </c>
      <c r="Q41" s="45">
        <v>220000</v>
      </c>
      <c r="R41" s="45">
        <f t="shared" si="0"/>
        <v>220000</v>
      </c>
      <c r="S41" s="156">
        <f t="shared" si="1"/>
        <v>20.568181818181817</v>
      </c>
    </row>
    <row r="42" spans="2:19" x14ac:dyDescent="0.25">
      <c r="H42"/>
      <c r="L42" s="346">
        <v>44383</v>
      </c>
      <c r="M42" s="3">
        <v>3</v>
      </c>
      <c r="N42" s="154">
        <v>3970000</v>
      </c>
      <c r="P42" s="155"/>
      <c r="Q42" s="59">
        <f>SUM(Q31:Q41)</f>
        <v>2750401</v>
      </c>
      <c r="R42" s="157">
        <f t="shared" si="0"/>
        <v>916800.33333333337</v>
      </c>
      <c r="S42" s="59">
        <f>AVERAGE(S31:S40)</f>
        <v>17.043896263129746</v>
      </c>
    </row>
    <row r="43" spans="2:19" x14ac:dyDescent="0.25">
      <c r="H43"/>
      <c r="L43" s="346">
        <v>44441</v>
      </c>
      <c r="M43" s="3">
        <v>2</v>
      </c>
      <c r="N43" s="154">
        <v>1210000</v>
      </c>
    </row>
    <row r="44" spans="2:19" x14ac:dyDescent="0.25">
      <c r="H44"/>
      <c r="L44" s="346">
        <v>44386</v>
      </c>
      <c r="M44" s="3">
        <v>1</v>
      </c>
      <c r="N44" s="154">
        <v>650000</v>
      </c>
    </row>
    <row r="45" spans="2:19" x14ac:dyDescent="0.25">
      <c r="H45"/>
      <c r="L45" s="346">
        <v>44418</v>
      </c>
      <c r="M45" s="3">
        <v>1</v>
      </c>
      <c r="N45" s="154">
        <v>400000</v>
      </c>
    </row>
    <row r="46" spans="2:19" x14ac:dyDescent="0.25">
      <c r="H46"/>
      <c r="L46" s="346">
        <v>44428</v>
      </c>
      <c r="M46" s="3">
        <v>1</v>
      </c>
      <c r="N46" s="154">
        <v>200000</v>
      </c>
    </row>
    <row r="47" spans="2:19" x14ac:dyDescent="0.25">
      <c r="H47"/>
      <c r="L47" s="346">
        <v>44455</v>
      </c>
      <c r="M47" s="3">
        <v>2</v>
      </c>
      <c r="N47" s="154">
        <v>902000</v>
      </c>
    </row>
    <row r="48" spans="2:19" x14ac:dyDescent="0.25">
      <c r="H48"/>
      <c r="L48" s="346">
        <v>44462</v>
      </c>
      <c r="M48" s="3">
        <v>2</v>
      </c>
      <c r="N48" s="154">
        <v>2461000</v>
      </c>
    </row>
    <row r="49" spans="8:19" x14ac:dyDescent="0.25">
      <c r="H49" s="43" t="s">
        <v>2</v>
      </c>
      <c r="I49" t="s">
        <v>37</v>
      </c>
      <c r="L49" s="346">
        <v>44467</v>
      </c>
      <c r="M49" s="3">
        <v>1</v>
      </c>
      <c r="N49" s="154">
        <v>286000</v>
      </c>
    </row>
    <row r="50" spans="8:19" x14ac:dyDescent="0.25">
      <c r="H50" s="43" t="s">
        <v>4</v>
      </c>
      <c r="I50" t="s">
        <v>37</v>
      </c>
      <c r="L50" s="346">
        <v>44480</v>
      </c>
      <c r="M50" s="3">
        <v>1</v>
      </c>
      <c r="N50" s="154">
        <v>1470000</v>
      </c>
    </row>
    <row r="51" spans="8:19" x14ac:dyDescent="0.25">
      <c r="H51"/>
      <c r="L51" s="346">
        <v>43859</v>
      </c>
      <c r="M51" s="3">
        <v>1</v>
      </c>
      <c r="N51" s="154">
        <v>1180000</v>
      </c>
      <c r="O51" s="16" t="s">
        <v>38</v>
      </c>
      <c r="P51" s="16"/>
      <c r="Q51" s="16" t="s">
        <v>39</v>
      </c>
      <c r="R51" s="16" t="s">
        <v>40</v>
      </c>
      <c r="S51" s="16" t="s">
        <v>41</v>
      </c>
    </row>
    <row r="52" spans="8:19" x14ac:dyDescent="0.25">
      <c r="H52" s="184" t="s">
        <v>17</v>
      </c>
      <c r="I52" s="184" t="s">
        <v>18</v>
      </c>
      <c r="L52" s="346">
        <v>44511</v>
      </c>
      <c r="M52" s="3">
        <v>3</v>
      </c>
      <c r="N52" s="154">
        <v>5262000</v>
      </c>
      <c r="O52" s="3">
        <v>1266</v>
      </c>
      <c r="P52" s="3"/>
      <c r="Q52" s="3">
        <v>46</v>
      </c>
      <c r="R52" s="3">
        <v>29</v>
      </c>
      <c r="S52" s="3">
        <v>34</v>
      </c>
    </row>
    <row r="53" spans="8:19" x14ac:dyDescent="0.25">
      <c r="H53" t="s">
        <v>42</v>
      </c>
      <c r="I53" s="45">
        <v>24276000</v>
      </c>
      <c r="L53" s="346">
        <v>44672</v>
      </c>
      <c r="M53" s="3">
        <v>1</v>
      </c>
      <c r="N53" s="154">
        <v>308000</v>
      </c>
      <c r="O53" s="3">
        <v>1</v>
      </c>
      <c r="P53" s="3"/>
      <c r="Q53" s="3">
        <v>1</v>
      </c>
      <c r="R53" s="3">
        <v>1</v>
      </c>
      <c r="S53" s="3">
        <v>1</v>
      </c>
    </row>
    <row r="54" spans="8:19" x14ac:dyDescent="0.25">
      <c r="H54" s="227" t="s">
        <v>28</v>
      </c>
      <c r="I54" s="240">
        <v>12374460.6</v>
      </c>
      <c r="L54" s="346">
        <v>44544</v>
      </c>
      <c r="M54" s="3">
        <v>1</v>
      </c>
      <c r="N54" s="154">
        <v>525000</v>
      </c>
      <c r="O54" s="3">
        <v>1</v>
      </c>
      <c r="P54" s="3"/>
      <c r="Q54" s="3">
        <v>1</v>
      </c>
      <c r="R54" s="3">
        <v>1</v>
      </c>
      <c r="S54" s="3"/>
    </row>
    <row r="55" spans="8:19" x14ac:dyDescent="0.25">
      <c r="H55" t="s">
        <v>43</v>
      </c>
      <c r="I55" s="45">
        <v>6856747.5915000001</v>
      </c>
      <c r="L55" s="346">
        <v>44547</v>
      </c>
      <c r="M55" s="3">
        <v>1</v>
      </c>
      <c r="N55" s="154">
        <v>575000</v>
      </c>
      <c r="O55" s="3">
        <v>1</v>
      </c>
      <c r="P55" s="3"/>
      <c r="Q55" s="3">
        <v>1</v>
      </c>
      <c r="R55" s="3"/>
      <c r="S55" s="3"/>
    </row>
    <row r="56" spans="8:19" x14ac:dyDescent="0.25">
      <c r="H56" t="s">
        <v>44</v>
      </c>
      <c r="I56" s="240">
        <v>4834703</v>
      </c>
      <c r="L56" s="346">
        <v>44593</v>
      </c>
      <c r="M56" s="3">
        <v>4</v>
      </c>
      <c r="N56" s="154">
        <v>2206000</v>
      </c>
      <c r="O56" s="3">
        <v>1</v>
      </c>
      <c r="P56" s="3"/>
      <c r="Q56" s="148">
        <f>3/46</f>
        <v>6.5217391304347824E-2</v>
      </c>
      <c r="R56" s="148">
        <f>2/29</f>
        <v>6.8965517241379309E-2</v>
      </c>
      <c r="S56" s="148">
        <f>1/34</f>
        <v>2.9411764705882353E-2</v>
      </c>
    </row>
    <row r="57" spans="8:19" x14ac:dyDescent="0.25">
      <c r="H57" s="227" t="s">
        <v>45</v>
      </c>
      <c r="I57" s="240">
        <v>1920000.2</v>
      </c>
      <c r="L57" s="346">
        <v>44653</v>
      </c>
      <c r="M57" s="3">
        <v>2</v>
      </c>
      <c r="N57" s="154">
        <v>1561000</v>
      </c>
      <c r="O57" s="3">
        <v>1</v>
      </c>
      <c r="P57" s="3"/>
      <c r="Q57" s="3"/>
      <c r="R57" s="3"/>
      <c r="S57" s="3"/>
    </row>
    <row r="58" spans="8:19" x14ac:dyDescent="0.25">
      <c r="H58" t="s">
        <v>46</v>
      </c>
      <c r="I58" s="45">
        <v>1471700</v>
      </c>
      <c r="L58" s="346">
        <v>44606</v>
      </c>
      <c r="M58" s="3">
        <v>1</v>
      </c>
      <c r="N58" s="154">
        <v>375000</v>
      </c>
      <c r="O58" s="3">
        <v>1</v>
      </c>
      <c r="P58" s="3"/>
      <c r="Q58" s="3"/>
      <c r="R58" s="3"/>
      <c r="S58" s="3"/>
    </row>
    <row r="59" spans="8:19" x14ac:dyDescent="0.25">
      <c r="H59" t="s">
        <v>47</v>
      </c>
      <c r="I59" s="45">
        <v>1198200</v>
      </c>
      <c r="L59" s="346">
        <v>44648</v>
      </c>
      <c r="M59" s="3">
        <v>1</v>
      </c>
      <c r="N59" s="154">
        <v>1351500</v>
      </c>
      <c r="O59" s="3">
        <v>1</v>
      </c>
      <c r="P59" s="3"/>
      <c r="Q59" s="3"/>
      <c r="R59" s="3"/>
      <c r="S59" s="3"/>
    </row>
    <row r="60" spans="8:19" x14ac:dyDescent="0.25">
      <c r="H60" t="s">
        <v>48</v>
      </c>
      <c r="I60" s="342">
        <v>1190000</v>
      </c>
      <c r="L60" s="346">
        <v>44656</v>
      </c>
      <c r="M60" s="3">
        <v>2</v>
      </c>
      <c r="N60" s="154">
        <v>375000</v>
      </c>
      <c r="O60" s="3">
        <v>1</v>
      </c>
      <c r="P60" s="3"/>
      <c r="Q60" s="3"/>
      <c r="R60" s="3"/>
      <c r="S60" s="3"/>
    </row>
    <row r="61" spans="8:19" x14ac:dyDescent="0.25">
      <c r="H61" t="s">
        <v>49</v>
      </c>
      <c r="I61" s="45">
        <v>994017.10750000016</v>
      </c>
      <c r="L61" s="346">
        <v>44657</v>
      </c>
      <c r="M61" s="3">
        <v>1</v>
      </c>
      <c r="N61" s="154">
        <v>720000</v>
      </c>
      <c r="O61" s="3">
        <v>1</v>
      </c>
      <c r="P61" s="3"/>
      <c r="Q61" s="3"/>
      <c r="R61" s="3"/>
      <c r="S61" s="3"/>
    </row>
    <row r="62" spans="8:19" x14ac:dyDescent="0.25">
      <c r="H62" s="363" t="s">
        <v>50</v>
      </c>
      <c r="I62" s="342">
        <v>981750</v>
      </c>
      <c r="L62" s="346">
        <v>44671</v>
      </c>
      <c r="M62" s="3">
        <v>1</v>
      </c>
      <c r="N62" s="154">
        <v>500000</v>
      </c>
      <c r="O62" s="3">
        <v>1</v>
      </c>
      <c r="P62" s="3"/>
      <c r="Q62" s="3"/>
      <c r="R62" s="3"/>
      <c r="S62" s="3"/>
    </row>
    <row r="63" spans="8:19" x14ac:dyDescent="0.25">
      <c r="H63" s="345" t="s">
        <v>27</v>
      </c>
      <c r="I63" s="240">
        <v>951575.30399999954</v>
      </c>
      <c r="L63" s="346">
        <v>44694</v>
      </c>
      <c r="M63" s="3">
        <v>1</v>
      </c>
      <c r="N63" s="154">
        <v>67903200</v>
      </c>
      <c r="O63" s="3">
        <v>1</v>
      </c>
      <c r="P63" s="3"/>
      <c r="Q63" s="3"/>
      <c r="R63" s="3"/>
      <c r="S63" s="3"/>
    </row>
    <row r="64" spans="8:19" x14ac:dyDescent="0.25">
      <c r="H64" t="s">
        <v>51</v>
      </c>
      <c r="I64" s="45">
        <v>910725.89999999991</v>
      </c>
      <c r="L64" s="346">
        <v>44713</v>
      </c>
      <c r="M64" s="3">
        <v>1</v>
      </c>
      <c r="N64" s="154">
        <v>10350000</v>
      </c>
      <c r="O64" s="3">
        <v>1</v>
      </c>
      <c r="P64" s="3"/>
      <c r="Q64" s="3"/>
      <c r="R64" s="3"/>
      <c r="S64" s="3"/>
    </row>
    <row r="65" spans="8:19" x14ac:dyDescent="0.25">
      <c r="H65" t="s">
        <v>52</v>
      </c>
      <c r="I65" s="45">
        <v>714000</v>
      </c>
      <c r="L65" s="346">
        <v>44714</v>
      </c>
      <c r="M65" s="3">
        <v>1</v>
      </c>
      <c r="N65" s="154">
        <v>22800000</v>
      </c>
      <c r="O65" s="3">
        <v>1</v>
      </c>
      <c r="P65" s="3"/>
      <c r="Q65" s="3"/>
      <c r="R65" s="3"/>
      <c r="S65" s="3"/>
    </row>
    <row r="66" spans="8:19" x14ac:dyDescent="0.25">
      <c r="H66" t="s">
        <v>53</v>
      </c>
      <c r="I66" s="240">
        <v>479002.5</v>
      </c>
      <c r="L66" s="346">
        <v>44718</v>
      </c>
      <c r="M66" s="3">
        <v>1</v>
      </c>
      <c r="N66" s="154">
        <v>350000</v>
      </c>
      <c r="O66" s="3">
        <v>1</v>
      </c>
      <c r="P66" s="3"/>
      <c r="Q66" s="3"/>
      <c r="R66" s="3"/>
      <c r="S66" s="3"/>
    </row>
    <row r="67" spans="8:19" x14ac:dyDescent="0.25">
      <c r="H67" t="s">
        <v>54</v>
      </c>
      <c r="I67" s="45">
        <v>438000.43999999994</v>
      </c>
      <c r="L67" s="346">
        <v>44748</v>
      </c>
      <c r="M67" s="3">
        <v>2</v>
      </c>
      <c r="N67" s="154">
        <v>23710000</v>
      </c>
      <c r="O67" s="3">
        <v>1</v>
      </c>
      <c r="P67" s="3"/>
      <c r="Q67" s="3"/>
      <c r="R67" s="3"/>
      <c r="S67" s="3"/>
    </row>
    <row r="68" spans="8:19" x14ac:dyDescent="0.25">
      <c r="H68" t="s">
        <v>55</v>
      </c>
      <c r="I68" s="45">
        <v>364070</v>
      </c>
      <c r="L68" s="346">
        <v>44790</v>
      </c>
      <c r="M68" s="3">
        <v>1</v>
      </c>
      <c r="N68" s="154">
        <v>736000</v>
      </c>
    </row>
    <row r="69" spans="8:19" x14ac:dyDescent="0.25">
      <c r="H69" s="227" t="s">
        <v>30</v>
      </c>
      <c r="I69" s="240">
        <v>277585</v>
      </c>
      <c r="L69" s="346">
        <v>44792</v>
      </c>
      <c r="M69" s="3">
        <v>2</v>
      </c>
      <c r="N69" s="154">
        <v>23329000</v>
      </c>
    </row>
    <row r="70" spans="8:19" x14ac:dyDescent="0.25">
      <c r="H70" s="367" t="s">
        <v>32</v>
      </c>
      <c r="I70" s="240">
        <v>276493.60000000009</v>
      </c>
      <c r="L70" s="346">
        <v>44811</v>
      </c>
      <c r="M70" s="3">
        <v>5</v>
      </c>
      <c r="N70" s="154">
        <v>9597000</v>
      </c>
    </row>
    <row r="71" spans="8:19" x14ac:dyDescent="0.25">
      <c r="H71" t="s">
        <v>56</v>
      </c>
      <c r="I71" s="45">
        <v>166600</v>
      </c>
      <c r="L71" s="346">
        <v>44812</v>
      </c>
      <c r="M71" s="3">
        <v>1</v>
      </c>
      <c r="N71" s="154">
        <v>1275000</v>
      </c>
    </row>
    <row r="72" spans="8:19" x14ac:dyDescent="0.25">
      <c r="H72" t="s">
        <v>57</v>
      </c>
      <c r="I72" s="45">
        <v>121706.40000000037</v>
      </c>
      <c r="L72" s="346">
        <v>44826</v>
      </c>
      <c r="M72" s="3">
        <v>2</v>
      </c>
      <c r="N72" s="154">
        <v>1554000</v>
      </c>
    </row>
    <row r="73" spans="8:19" x14ac:dyDescent="0.25">
      <c r="H73" s="321" t="s">
        <v>34</v>
      </c>
      <c r="I73" s="322">
        <v>85846.5</v>
      </c>
      <c r="L73" s="346">
        <v>44805</v>
      </c>
      <c r="M73" s="3">
        <v>1</v>
      </c>
      <c r="N73" s="154">
        <v>22800000</v>
      </c>
    </row>
    <row r="74" spans="8:19" x14ac:dyDescent="0.25">
      <c r="H74" t="s">
        <v>58</v>
      </c>
      <c r="I74" s="45">
        <v>72000</v>
      </c>
      <c r="L74" s="346">
        <v>44835</v>
      </c>
      <c r="M74" s="3">
        <v>1</v>
      </c>
      <c r="N74" s="154">
        <v>22800000</v>
      </c>
    </row>
    <row r="75" spans="8:19" x14ac:dyDescent="0.25">
      <c r="H75" s="364" t="s">
        <v>59</v>
      </c>
      <c r="I75" s="365">
        <v>65153</v>
      </c>
      <c r="L75" s="346">
        <v>44866</v>
      </c>
      <c r="M75" s="3">
        <v>1</v>
      </c>
      <c r="N75" s="154">
        <v>22800000</v>
      </c>
    </row>
    <row r="76" spans="8:19" x14ac:dyDescent="0.25">
      <c r="H76" s="364" t="s">
        <v>60</v>
      </c>
      <c r="I76" s="365">
        <v>62700.200000000186</v>
      </c>
      <c r="L76" s="346">
        <v>44887</v>
      </c>
      <c r="M76" s="3">
        <v>1</v>
      </c>
      <c r="N76" s="154">
        <v>600000</v>
      </c>
    </row>
    <row r="77" spans="8:19" x14ac:dyDescent="0.25">
      <c r="H77" s="364" t="s">
        <v>61</v>
      </c>
      <c r="I77" s="365">
        <v>43276.560000000056</v>
      </c>
      <c r="L77" s="346">
        <v>44838</v>
      </c>
      <c r="M77" s="3">
        <v>1</v>
      </c>
      <c r="N77" s="154">
        <v>225000</v>
      </c>
    </row>
    <row r="78" spans="8:19" x14ac:dyDescent="0.25">
      <c r="H78" t="s">
        <v>62</v>
      </c>
      <c r="I78" s="240">
        <v>42439.039999999921</v>
      </c>
      <c r="L78" s="346">
        <v>44901</v>
      </c>
      <c r="M78" s="3">
        <v>1</v>
      </c>
      <c r="N78" s="154">
        <v>1566000</v>
      </c>
    </row>
    <row r="79" spans="8:19" x14ac:dyDescent="0.25">
      <c r="H79" s="364" t="s">
        <v>63</v>
      </c>
      <c r="I79" s="365">
        <v>40700</v>
      </c>
      <c r="L79" s="346">
        <v>44907</v>
      </c>
      <c r="M79" s="3">
        <v>1</v>
      </c>
      <c r="N79" s="154">
        <v>21640800</v>
      </c>
    </row>
    <row r="80" spans="8:19" x14ac:dyDescent="0.25">
      <c r="H80" s="190" t="s">
        <v>64</v>
      </c>
      <c r="I80" s="349">
        <v>29133.600000000326</v>
      </c>
      <c r="L80" s="346">
        <v>44954</v>
      </c>
      <c r="M80" s="3">
        <v>7</v>
      </c>
      <c r="N80" s="154">
        <v>25302000</v>
      </c>
    </row>
    <row r="81" spans="8:14" x14ac:dyDescent="0.25">
      <c r="H81" t="s">
        <v>65</v>
      </c>
      <c r="I81" s="240">
        <v>24693</v>
      </c>
      <c r="L81" s="346">
        <v>44958</v>
      </c>
      <c r="M81" s="3">
        <v>1</v>
      </c>
      <c r="N81" s="154">
        <v>37912000</v>
      </c>
    </row>
    <row r="82" spans="8:14" x14ac:dyDescent="0.25">
      <c r="H82" t="s">
        <v>66</v>
      </c>
      <c r="I82" s="45">
        <v>20730.699999999953</v>
      </c>
      <c r="L82" s="346">
        <v>44970</v>
      </c>
      <c r="M82" s="3">
        <v>1</v>
      </c>
      <c r="N82" s="154">
        <v>6241166</v>
      </c>
    </row>
    <row r="83" spans="8:14" x14ac:dyDescent="0.25">
      <c r="H83" t="s">
        <v>67</v>
      </c>
      <c r="I83" s="45">
        <v>4347</v>
      </c>
      <c r="L83" s="346">
        <v>45010</v>
      </c>
      <c r="M83" s="3">
        <v>1</v>
      </c>
      <c r="N83" s="154">
        <v>570000</v>
      </c>
    </row>
    <row r="84" spans="8:14" x14ac:dyDescent="0.25">
      <c r="H84" s="364" t="s">
        <v>68</v>
      </c>
      <c r="I84" s="365">
        <v>4313.5999999999767</v>
      </c>
      <c r="L84" s="346">
        <v>45041</v>
      </c>
      <c r="M84" s="3">
        <v>1</v>
      </c>
      <c r="N84" s="154">
        <v>1116000</v>
      </c>
    </row>
    <row r="85" spans="8:14" x14ac:dyDescent="0.25">
      <c r="H85" s="364" t="s">
        <v>69</v>
      </c>
      <c r="I85" s="365">
        <v>3519</v>
      </c>
      <c r="L85" s="346">
        <v>45055</v>
      </c>
      <c r="M85" s="3">
        <v>1</v>
      </c>
      <c r="N85" s="154">
        <v>18116800</v>
      </c>
    </row>
    <row r="86" spans="8:14" x14ac:dyDescent="0.25">
      <c r="H86" s="364" t="s">
        <v>70</v>
      </c>
      <c r="I86" s="365">
        <v>2122.2432200000621</v>
      </c>
      <c r="L86" s="346">
        <v>45062</v>
      </c>
      <c r="M86" s="3">
        <v>3</v>
      </c>
      <c r="N86" s="154">
        <v>9191800</v>
      </c>
    </row>
    <row r="87" spans="8:14" x14ac:dyDescent="0.25">
      <c r="H87" t="s">
        <v>36</v>
      </c>
      <c r="I87" s="45">
        <v>892.19999999995343</v>
      </c>
      <c r="L87" s="346">
        <v>45065</v>
      </c>
      <c r="M87" s="3">
        <v>1</v>
      </c>
      <c r="N87" s="154">
        <v>-745166</v>
      </c>
    </row>
    <row r="88" spans="8:14" x14ac:dyDescent="0.25">
      <c r="H88" s="364" t="s">
        <v>71</v>
      </c>
      <c r="I88" s="365">
        <v>329.47999999998137</v>
      </c>
      <c r="L88" s="346">
        <v>45083</v>
      </c>
      <c r="M88" s="3">
        <v>1</v>
      </c>
      <c r="N88" s="154">
        <v>585000</v>
      </c>
    </row>
    <row r="89" spans="8:14" x14ac:dyDescent="0.25">
      <c r="H89" s="364" t="s">
        <v>72</v>
      </c>
      <c r="I89" s="365">
        <v>0.5</v>
      </c>
      <c r="L89" s="346">
        <v>45085</v>
      </c>
      <c r="M89" s="3">
        <v>1</v>
      </c>
      <c r="N89" s="154">
        <v>3016000</v>
      </c>
    </row>
    <row r="90" spans="8:14" x14ac:dyDescent="0.25">
      <c r="H90" t="s">
        <v>73</v>
      </c>
      <c r="I90" s="45">
        <v>7.9999998211860657E-2</v>
      </c>
      <c r="L90" s="346">
        <v>45093</v>
      </c>
      <c r="M90" s="3">
        <v>1</v>
      </c>
      <c r="N90" s="154">
        <v>1290000</v>
      </c>
    </row>
    <row r="91" spans="8:14" x14ac:dyDescent="0.25">
      <c r="H91" t="s">
        <v>74</v>
      </c>
      <c r="I91" s="45">
        <v>0</v>
      </c>
      <c r="L91" s="346">
        <v>45099</v>
      </c>
      <c r="M91" s="3">
        <v>1</v>
      </c>
      <c r="N91" s="154">
        <v>95000</v>
      </c>
    </row>
    <row r="92" spans="8:14" x14ac:dyDescent="0.25">
      <c r="H92" s="190" t="s">
        <v>75</v>
      </c>
      <c r="I92" s="349">
        <v>0</v>
      </c>
      <c r="L92" s="346">
        <v>45160</v>
      </c>
      <c r="M92" s="3">
        <v>1</v>
      </c>
      <c r="N92" s="154">
        <v>1736000</v>
      </c>
    </row>
    <row r="93" spans="8:14" x14ac:dyDescent="0.25">
      <c r="H93" s="345" t="s">
        <v>76</v>
      </c>
      <c r="I93" s="366">
        <v>0</v>
      </c>
      <c r="L93" s="346">
        <v>45175</v>
      </c>
      <c r="M93" s="3">
        <v>1</v>
      </c>
      <c r="N93" s="154">
        <v>700000</v>
      </c>
    </row>
    <row r="94" spans="8:14" x14ac:dyDescent="0.25">
      <c r="H94" t="s">
        <v>77</v>
      </c>
      <c r="I94" s="45">
        <v>0</v>
      </c>
      <c r="L94" s="346">
        <v>45239</v>
      </c>
      <c r="M94" s="3">
        <v>2</v>
      </c>
      <c r="N94" s="154">
        <v>35275000</v>
      </c>
    </row>
    <row r="95" spans="8:14" x14ac:dyDescent="0.25">
      <c r="H95" t="s">
        <v>78</v>
      </c>
      <c r="I95" s="45">
        <v>0</v>
      </c>
      <c r="L95" s="346">
        <v>45266</v>
      </c>
      <c r="M95" s="3">
        <v>1</v>
      </c>
      <c r="N95" s="154">
        <v>3780000</v>
      </c>
    </row>
    <row r="96" spans="8:14" x14ac:dyDescent="0.25">
      <c r="H96" t="s">
        <v>79</v>
      </c>
      <c r="I96" s="45">
        <v>0</v>
      </c>
      <c r="L96" s="346">
        <v>45294</v>
      </c>
      <c r="M96" s="3">
        <v>1</v>
      </c>
      <c r="N96" s="154">
        <v>9660000</v>
      </c>
    </row>
    <row r="97" spans="8:14" x14ac:dyDescent="0.25">
      <c r="H97" t="s">
        <v>80</v>
      </c>
      <c r="I97" s="45">
        <v>0</v>
      </c>
      <c r="L97" s="346">
        <v>45736</v>
      </c>
      <c r="M97" s="3">
        <v>1</v>
      </c>
      <c r="N97" s="154">
        <v>-7590000</v>
      </c>
    </row>
    <row r="98" spans="8:14" x14ac:dyDescent="0.25">
      <c r="H98" t="s">
        <v>81</v>
      </c>
      <c r="I98" s="45">
        <v>0</v>
      </c>
      <c r="L98" s="346">
        <v>45743</v>
      </c>
      <c r="M98" s="3">
        <v>3</v>
      </c>
      <c r="N98" s="154">
        <v>9905000</v>
      </c>
    </row>
    <row r="99" spans="8:14" x14ac:dyDescent="0.25">
      <c r="H99" t="s">
        <v>82</v>
      </c>
      <c r="I99" s="45">
        <v>0</v>
      </c>
      <c r="L99" s="346">
        <v>45744</v>
      </c>
      <c r="M99" s="3">
        <v>1</v>
      </c>
      <c r="N99" s="154">
        <v>7658600</v>
      </c>
    </row>
    <row r="100" spans="8:14" x14ac:dyDescent="0.25">
      <c r="H100" t="s">
        <v>83</v>
      </c>
      <c r="I100" s="45">
        <v>0</v>
      </c>
      <c r="L100" s="346">
        <v>45763</v>
      </c>
      <c r="M100" s="3">
        <v>2</v>
      </c>
      <c r="N100" s="154">
        <v>22809987.260000002</v>
      </c>
    </row>
    <row r="101" spans="8:14" x14ac:dyDescent="0.25">
      <c r="H101" t="s">
        <v>84</v>
      </c>
      <c r="I101" s="45">
        <v>0</v>
      </c>
      <c r="L101" s="346">
        <v>45791</v>
      </c>
      <c r="M101" s="3">
        <v>1</v>
      </c>
      <c r="N101" s="154">
        <v>26763084.84</v>
      </c>
    </row>
    <row r="102" spans="8:14" x14ac:dyDescent="0.25">
      <c r="H102" t="s">
        <v>85</v>
      </c>
      <c r="I102" s="45">
        <v>0</v>
      </c>
      <c r="L102" s="346">
        <v>45804</v>
      </c>
      <c r="M102" s="3">
        <v>3</v>
      </c>
      <c r="N102" s="154">
        <v>11600000</v>
      </c>
    </row>
    <row r="103" spans="8:14" x14ac:dyDescent="0.25">
      <c r="H103" t="s">
        <v>86</v>
      </c>
      <c r="I103" s="45">
        <v>0</v>
      </c>
      <c r="L103" s="346">
        <v>45841</v>
      </c>
      <c r="M103" s="3">
        <v>3</v>
      </c>
      <c r="N103" s="154">
        <v>28173084.84</v>
      </c>
    </row>
    <row r="104" spans="8:14" x14ac:dyDescent="0.25">
      <c r="H104" t="s">
        <v>87</v>
      </c>
      <c r="I104" s="45">
        <v>0</v>
      </c>
      <c r="L104" s="346">
        <v>45852</v>
      </c>
      <c r="M104" s="3">
        <v>1</v>
      </c>
      <c r="N104" s="154">
        <v>19575000</v>
      </c>
    </row>
    <row r="105" spans="8:14" x14ac:dyDescent="0.25">
      <c r="H105" t="s">
        <v>88</v>
      </c>
      <c r="I105" s="45">
        <v>0</v>
      </c>
      <c r="L105" s="346">
        <v>45855</v>
      </c>
      <c r="M105" s="3">
        <v>1</v>
      </c>
      <c r="N105" s="154">
        <v>400000</v>
      </c>
    </row>
    <row r="106" spans="8:14" x14ac:dyDescent="0.25">
      <c r="H106" t="s">
        <v>89</v>
      </c>
      <c r="I106" s="45">
        <v>0</v>
      </c>
      <c r="L106" s="346">
        <v>45884</v>
      </c>
      <c r="M106" s="3">
        <v>4</v>
      </c>
      <c r="N106" s="154">
        <v>58340000</v>
      </c>
    </row>
    <row r="107" spans="8:14" x14ac:dyDescent="0.25">
      <c r="H107" t="s">
        <v>90</v>
      </c>
      <c r="I107" s="45">
        <v>0</v>
      </c>
      <c r="L107" s="346">
        <v>45910</v>
      </c>
      <c r="M107" s="3">
        <v>1</v>
      </c>
      <c r="N107" s="154">
        <v>1472000</v>
      </c>
    </row>
    <row r="108" spans="8:14" x14ac:dyDescent="0.25">
      <c r="H108" t="s">
        <v>91</v>
      </c>
      <c r="I108" s="45">
        <v>0</v>
      </c>
      <c r="L108" s="346">
        <v>45918</v>
      </c>
      <c r="M108" s="3">
        <v>1</v>
      </c>
      <c r="N108" s="154">
        <v>3750000</v>
      </c>
    </row>
    <row r="109" spans="8:14" x14ac:dyDescent="0.25">
      <c r="H109" t="s">
        <v>92</v>
      </c>
      <c r="I109" s="45">
        <v>0</v>
      </c>
      <c r="L109" s="346">
        <v>45947</v>
      </c>
      <c r="M109" s="3">
        <v>1</v>
      </c>
      <c r="N109" s="154">
        <v>56000000</v>
      </c>
    </row>
    <row r="110" spans="8:14" x14ac:dyDescent="0.25">
      <c r="H110" t="s">
        <v>93</v>
      </c>
      <c r="I110" s="362">
        <v>0</v>
      </c>
      <c r="L110" s="346">
        <v>45960</v>
      </c>
      <c r="M110" s="3">
        <v>2</v>
      </c>
      <c r="N110" s="154">
        <v>945000</v>
      </c>
    </row>
    <row r="111" spans="8:14" x14ac:dyDescent="0.25">
      <c r="H111" t="s">
        <v>94</v>
      </c>
      <c r="I111" s="45">
        <v>0</v>
      </c>
      <c r="L111" s="346">
        <v>45974</v>
      </c>
      <c r="M111" s="3">
        <v>1</v>
      </c>
      <c r="N111" s="154">
        <v>1320000</v>
      </c>
    </row>
    <row r="112" spans="8:14" x14ac:dyDescent="0.25">
      <c r="H112" t="s">
        <v>95</v>
      </c>
      <c r="I112" s="45">
        <v>0</v>
      </c>
      <c r="L112" s="346">
        <v>45979</v>
      </c>
      <c r="M112" s="3">
        <v>1</v>
      </c>
      <c r="N112" s="154">
        <v>9214843</v>
      </c>
    </row>
    <row r="113" spans="8:14" x14ac:dyDescent="0.25">
      <c r="H113" s="363" t="s">
        <v>96</v>
      </c>
      <c r="I113" s="45">
        <v>0</v>
      </c>
      <c r="L113" s="346">
        <v>45558</v>
      </c>
      <c r="M113" s="3">
        <v>2</v>
      </c>
      <c r="N113" s="154">
        <v>-216000</v>
      </c>
    </row>
    <row r="114" spans="8:14" x14ac:dyDescent="0.25">
      <c r="H114" t="s">
        <v>97</v>
      </c>
      <c r="I114" s="45">
        <v>0</v>
      </c>
      <c r="L114" s="346">
        <v>45338</v>
      </c>
      <c r="M114" s="3">
        <v>1</v>
      </c>
      <c r="N114" s="154">
        <v>1620000</v>
      </c>
    </row>
    <row r="115" spans="8:14" x14ac:dyDescent="0.25">
      <c r="H115" t="s">
        <v>98</v>
      </c>
      <c r="I115" s="45">
        <v>0</v>
      </c>
      <c r="L115" s="346">
        <v>45345</v>
      </c>
      <c r="M115" s="3">
        <v>1</v>
      </c>
      <c r="N115" s="154">
        <v>608000</v>
      </c>
    </row>
    <row r="116" spans="8:14" x14ac:dyDescent="0.25">
      <c r="H116" t="s">
        <v>99</v>
      </c>
      <c r="I116" s="45">
        <v>0</v>
      </c>
      <c r="L116" s="346">
        <v>45420</v>
      </c>
      <c r="M116" s="3">
        <v>1</v>
      </c>
      <c r="N116" s="154">
        <v>6690000</v>
      </c>
    </row>
    <row r="117" spans="8:14" x14ac:dyDescent="0.25">
      <c r="H117" s="222" t="s">
        <v>100</v>
      </c>
      <c r="I117" s="362">
        <v>0</v>
      </c>
      <c r="L117" s="346">
        <v>45519</v>
      </c>
      <c r="M117" s="3">
        <v>1</v>
      </c>
      <c r="N117" s="154">
        <v>105000</v>
      </c>
    </row>
    <row r="118" spans="8:14" x14ac:dyDescent="0.25">
      <c r="H118" s="190" t="s">
        <v>101</v>
      </c>
      <c r="I118" s="349">
        <v>0</v>
      </c>
      <c r="L118" s="346">
        <v>45532</v>
      </c>
      <c r="M118" s="3">
        <v>1</v>
      </c>
      <c r="N118" s="154">
        <v>3000000</v>
      </c>
    </row>
    <row r="119" spans="8:14" x14ac:dyDescent="0.25">
      <c r="H119" t="s">
        <v>102</v>
      </c>
      <c r="I119" s="45">
        <v>0</v>
      </c>
      <c r="L119" s="346">
        <v>45587</v>
      </c>
      <c r="M119" s="3">
        <v>4</v>
      </c>
      <c r="N119" s="154">
        <v>2920000</v>
      </c>
    </row>
    <row r="120" spans="8:14" x14ac:dyDescent="0.25">
      <c r="H120" t="s">
        <v>103</v>
      </c>
      <c r="I120" s="45">
        <v>0</v>
      </c>
      <c r="L120" s="346">
        <v>45593</v>
      </c>
      <c r="M120" s="3">
        <v>1</v>
      </c>
      <c r="N120" s="154">
        <v>770000</v>
      </c>
    </row>
    <row r="121" spans="8:14" x14ac:dyDescent="0.25">
      <c r="H121" t="s">
        <v>104</v>
      </c>
      <c r="I121" s="45">
        <v>0</v>
      </c>
      <c r="L121" s="346">
        <v>45621</v>
      </c>
      <c r="M121" s="3">
        <v>1</v>
      </c>
      <c r="N121" s="154">
        <v>5800000</v>
      </c>
    </row>
    <row r="122" spans="8:14" x14ac:dyDescent="0.25">
      <c r="H122" t="s">
        <v>105</v>
      </c>
      <c r="I122" s="45">
        <v>0</v>
      </c>
      <c r="L122" s="346">
        <v>45491</v>
      </c>
      <c r="M122" s="3">
        <v>1</v>
      </c>
      <c r="N122" s="154">
        <v>770000</v>
      </c>
    </row>
    <row r="123" spans="8:14" x14ac:dyDescent="0.25">
      <c r="H123" t="s">
        <v>106</v>
      </c>
      <c r="I123" s="45">
        <v>0</v>
      </c>
      <c r="L123" s="346">
        <v>45912</v>
      </c>
      <c r="M123" s="3">
        <v>1</v>
      </c>
      <c r="N123" s="154">
        <v>56000000</v>
      </c>
    </row>
    <row r="124" spans="8:14" x14ac:dyDescent="0.25">
      <c r="H124" t="s">
        <v>107</v>
      </c>
      <c r="I124" s="45">
        <v>0</v>
      </c>
      <c r="L124" s="346">
        <v>46030</v>
      </c>
      <c r="M124" s="3">
        <v>1</v>
      </c>
      <c r="N124" s="154">
        <v>1240000</v>
      </c>
    </row>
    <row r="125" spans="8:14" x14ac:dyDescent="0.25">
      <c r="H125" t="s">
        <v>108</v>
      </c>
      <c r="I125" s="45">
        <v>0</v>
      </c>
      <c r="L125" s="346">
        <v>46086</v>
      </c>
      <c r="M125" s="3">
        <v>1</v>
      </c>
      <c r="N125" s="154">
        <v>20400000</v>
      </c>
    </row>
    <row r="126" spans="8:14" x14ac:dyDescent="0.25">
      <c r="H126" t="s">
        <v>109</v>
      </c>
      <c r="I126" s="45">
        <v>0</v>
      </c>
      <c r="L126" s="347" t="s">
        <v>12</v>
      </c>
      <c r="M126" s="58">
        <v>142</v>
      </c>
      <c r="N126" s="155">
        <v>802764640.95899999</v>
      </c>
    </row>
    <row r="127" spans="8:14" x14ac:dyDescent="0.25">
      <c r="H127" t="s">
        <v>110</v>
      </c>
      <c r="I127" s="45">
        <v>0</v>
      </c>
    </row>
    <row r="128" spans="8:14" x14ac:dyDescent="0.25">
      <c r="H128" t="s">
        <v>111</v>
      </c>
      <c r="I128" s="45">
        <v>0</v>
      </c>
    </row>
    <row r="129" spans="8:9" x14ac:dyDescent="0.25">
      <c r="H129" t="s">
        <v>112</v>
      </c>
      <c r="I129" s="45">
        <v>0</v>
      </c>
    </row>
    <row r="130" spans="8:9" x14ac:dyDescent="0.25">
      <c r="H130" t="s">
        <v>113</v>
      </c>
      <c r="I130" s="45">
        <v>0</v>
      </c>
    </row>
    <row r="131" spans="8:9" x14ac:dyDescent="0.25">
      <c r="H131" t="s">
        <v>114</v>
      </c>
      <c r="I131" s="349">
        <v>0</v>
      </c>
    </row>
    <row r="132" spans="8:9" x14ac:dyDescent="0.25">
      <c r="H132" t="s">
        <v>115</v>
      </c>
      <c r="I132" s="45">
        <v>0</v>
      </c>
    </row>
    <row r="133" spans="8:9" x14ac:dyDescent="0.25">
      <c r="H133" t="s">
        <v>116</v>
      </c>
      <c r="I133" s="45">
        <v>0</v>
      </c>
    </row>
    <row r="134" spans="8:9" x14ac:dyDescent="0.25">
      <c r="H134" t="s">
        <v>117</v>
      </c>
      <c r="I134" s="45">
        <v>0</v>
      </c>
    </row>
    <row r="135" spans="8:9" x14ac:dyDescent="0.25">
      <c r="H135" t="s">
        <v>118</v>
      </c>
      <c r="I135" s="45">
        <v>0</v>
      </c>
    </row>
    <row r="136" spans="8:9" x14ac:dyDescent="0.25">
      <c r="H136" t="s">
        <v>119</v>
      </c>
      <c r="I136" s="45">
        <v>0</v>
      </c>
    </row>
    <row r="137" spans="8:9" x14ac:dyDescent="0.25">
      <c r="H137" t="s">
        <v>120</v>
      </c>
      <c r="I137" s="45">
        <v>0</v>
      </c>
    </row>
    <row r="138" spans="8:9" x14ac:dyDescent="0.25">
      <c r="H138" t="s">
        <v>121</v>
      </c>
      <c r="I138" s="45">
        <v>0</v>
      </c>
    </row>
    <row r="139" spans="8:9" x14ac:dyDescent="0.25">
      <c r="H139" s="363" t="s">
        <v>122</v>
      </c>
      <c r="I139" s="45">
        <v>0</v>
      </c>
    </row>
    <row r="140" spans="8:9" x14ac:dyDescent="0.25">
      <c r="H140" t="s">
        <v>123</v>
      </c>
      <c r="I140" s="45">
        <v>0</v>
      </c>
    </row>
    <row r="141" spans="8:9" x14ac:dyDescent="0.25">
      <c r="H141" t="s">
        <v>124</v>
      </c>
      <c r="I141" s="45">
        <v>0</v>
      </c>
    </row>
    <row r="142" spans="8:9" x14ac:dyDescent="0.25">
      <c r="H142" t="s">
        <v>125</v>
      </c>
      <c r="I142" s="45">
        <v>0</v>
      </c>
    </row>
    <row r="143" spans="8:9" x14ac:dyDescent="0.25">
      <c r="H143" s="364" t="s">
        <v>126</v>
      </c>
      <c r="I143" s="45">
        <v>0</v>
      </c>
    </row>
    <row r="144" spans="8:9" x14ac:dyDescent="0.25">
      <c r="H144" t="s">
        <v>127</v>
      </c>
      <c r="I144" s="342">
        <v>0</v>
      </c>
    </row>
    <row r="145" spans="8:9" x14ac:dyDescent="0.25">
      <c r="H145" s="364" t="s">
        <v>128</v>
      </c>
      <c r="I145" s="45">
        <v>0</v>
      </c>
    </row>
    <row r="146" spans="8:9" x14ac:dyDescent="0.25">
      <c r="H146" s="190" t="s">
        <v>129</v>
      </c>
      <c r="I146" s="349">
        <v>0</v>
      </c>
    </row>
    <row r="147" spans="8:9" x14ac:dyDescent="0.25">
      <c r="H147" t="s">
        <v>130</v>
      </c>
      <c r="I147" s="45">
        <v>0</v>
      </c>
    </row>
    <row r="148" spans="8:9" x14ac:dyDescent="0.25">
      <c r="H148" t="s">
        <v>131</v>
      </c>
      <c r="I148" s="45">
        <v>0</v>
      </c>
    </row>
    <row r="149" spans="8:9" x14ac:dyDescent="0.25">
      <c r="H149" t="s">
        <v>132</v>
      </c>
      <c r="I149" s="45">
        <v>0</v>
      </c>
    </row>
    <row r="150" spans="8:9" x14ac:dyDescent="0.25">
      <c r="H150" t="s">
        <v>133</v>
      </c>
      <c r="I150" s="45">
        <v>0</v>
      </c>
    </row>
    <row r="151" spans="8:9" x14ac:dyDescent="0.25">
      <c r="H151" t="s">
        <v>134</v>
      </c>
      <c r="I151" s="45">
        <v>0</v>
      </c>
    </row>
    <row r="152" spans="8:9" x14ac:dyDescent="0.25">
      <c r="H152" t="s">
        <v>135</v>
      </c>
      <c r="I152" s="45">
        <v>0</v>
      </c>
    </row>
    <row r="153" spans="8:9" x14ac:dyDescent="0.25">
      <c r="H153" t="s">
        <v>136</v>
      </c>
      <c r="I153" s="45">
        <v>0</v>
      </c>
    </row>
    <row r="154" spans="8:9" x14ac:dyDescent="0.25">
      <c r="H154" t="s">
        <v>137</v>
      </c>
      <c r="I154" s="45">
        <v>0</v>
      </c>
    </row>
    <row r="155" spans="8:9" x14ac:dyDescent="0.25">
      <c r="H155" t="s">
        <v>138</v>
      </c>
      <c r="I155" s="45">
        <v>0</v>
      </c>
    </row>
    <row r="156" spans="8:9" x14ac:dyDescent="0.25">
      <c r="H156" t="s">
        <v>139</v>
      </c>
      <c r="I156" s="45">
        <v>0</v>
      </c>
    </row>
    <row r="157" spans="8:9" x14ac:dyDescent="0.25">
      <c r="H157" t="s">
        <v>140</v>
      </c>
      <c r="I157" s="45">
        <v>0</v>
      </c>
    </row>
    <row r="158" spans="8:9" x14ac:dyDescent="0.25">
      <c r="H158" t="s">
        <v>141</v>
      </c>
      <c r="I158" s="45">
        <v>0</v>
      </c>
    </row>
    <row r="159" spans="8:9" x14ac:dyDescent="0.25">
      <c r="H159" t="s">
        <v>142</v>
      </c>
      <c r="I159" s="45">
        <v>0</v>
      </c>
    </row>
    <row r="160" spans="8:9" x14ac:dyDescent="0.25">
      <c r="H160" t="s">
        <v>143</v>
      </c>
      <c r="I160" s="45">
        <v>0</v>
      </c>
    </row>
    <row r="161" spans="8:9" x14ac:dyDescent="0.25">
      <c r="H161" t="s">
        <v>144</v>
      </c>
      <c r="I161" s="45">
        <v>0</v>
      </c>
    </row>
    <row r="162" spans="8:9" x14ac:dyDescent="0.25">
      <c r="H162" t="s">
        <v>145</v>
      </c>
      <c r="I162" s="45">
        <v>0</v>
      </c>
    </row>
    <row r="163" spans="8:9" x14ac:dyDescent="0.25">
      <c r="H163" t="s">
        <v>146</v>
      </c>
      <c r="I163" s="45">
        <v>0</v>
      </c>
    </row>
    <row r="164" spans="8:9" x14ac:dyDescent="0.25">
      <c r="H164" t="s">
        <v>147</v>
      </c>
      <c r="I164" s="45">
        <v>0</v>
      </c>
    </row>
    <row r="165" spans="8:9" x14ac:dyDescent="0.25">
      <c r="H165" s="227" t="s">
        <v>148</v>
      </c>
      <c r="I165" s="240">
        <v>0</v>
      </c>
    </row>
    <row r="166" spans="8:9" x14ac:dyDescent="0.25">
      <c r="H166" t="s">
        <v>149</v>
      </c>
      <c r="I166" s="45">
        <v>0</v>
      </c>
    </row>
    <row r="167" spans="8:9" x14ac:dyDescent="0.25">
      <c r="H167" t="s">
        <v>150</v>
      </c>
      <c r="I167" s="45">
        <v>0</v>
      </c>
    </row>
    <row r="168" spans="8:9" x14ac:dyDescent="0.25">
      <c r="H168" t="s">
        <v>151</v>
      </c>
      <c r="I168" s="45">
        <v>0</v>
      </c>
    </row>
    <row r="169" spans="8:9" x14ac:dyDescent="0.25">
      <c r="H169" t="s">
        <v>152</v>
      </c>
      <c r="I169" s="45">
        <v>0</v>
      </c>
    </row>
    <row r="170" spans="8:9" x14ac:dyDescent="0.25">
      <c r="H170" t="s">
        <v>153</v>
      </c>
      <c r="I170" s="45">
        <v>0</v>
      </c>
    </row>
    <row r="171" spans="8:9" x14ac:dyDescent="0.25">
      <c r="H171" t="s">
        <v>154</v>
      </c>
      <c r="I171" s="45">
        <v>0</v>
      </c>
    </row>
    <row r="172" spans="8:9" x14ac:dyDescent="0.25">
      <c r="H172" t="s">
        <v>155</v>
      </c>
      <c r="I172" s="45">
        <v>0</v>
      </c>
    </row>
    <row r="173" spans="8:9" x14ac:dyDescent="0.25">
      <c r="H173" t="s">
        <v>156</v>
      </c>
      <c r="I173" s="45">
        <v>0</v>
      </c>
    </row>
    <row r="174" spans="8:9" x14ac:dyDescent="0.25">
      <c r="H174" s="227" t="s">
        <v>157</v>
      </c>
      <c r="I174" s="240">
        <v>0</v>
      </c>
    </row>
    <row r="175" spans="8:9" x14ac:dyDescent="0.25">
      <c r="H175" t="s">
        <v>158</v>
      </c>
      <c r="I175" s="45">
        <v>0</v>
      </c>
    </row>
    <row r="176" spans="8:9" x14ac:dyDescent="0.25">
      <c r="H176" s="227" t="s">
        <v>159</v>
      </c>
      <c r="I176" s="240">
        <v>0</v>
      </c>
    </row>
    <row r="177" spans="8:9" x14ac:dyDescent="0.25">
      <c r="H177" t="s">
        <v>160</v>
      </c>
      <c r="I177" s="45">
        <v>0</v>
      </c>
    </row>
    <row r="178" spans="8:9" x14ac:dyDescent="0.25">
      <c r="H178" t="s">
        <v>161</v>
      </c>
      <c r="I178" s="45">
        <v>0</v>
      </c>
    </row>
    <row r="179" spans="8:9" x14ac:dyDescent="0.25">
      <c r="H179" s="363" t="s">
        <v>162</v>
      </c>
      <c r="I179" s="45">
        <v>0</v>
      </c>
    </row>
    <row r="180" spans="8:9" x14ac:dyDescent="0.25">
      <c r="H180" t="s">
        <v>163</v>
      </c>
      <c r="I180" s="45">
        <v>0</v>
      </c>
    </row>
    <row r="181" spans="8:9" x14ac:dyDescent="0.25">
      <c r="H181" t="s">
        <v>164</v>
      </c>
      <c r="I181" s="45">
        <v>0</v>
      </c>
    </row>
    <row r="182" spans="8:9" x14ac:dyDescent="0.25">
      <c r="H182" t="s">
        <v>165</v>
      </c>
      <c r="I182" s="45">
        <v>0</v>
      </c>
    </row>
    <row r="183" spans="8:9" x14ac:dyDescent="0.25">
      <c r="H183" t="s">
        <v>166</v>
      </c>
      <c r="I183" s="45">
        <v>0</v>
      </c>
    </row>
    <row r="184" spans="8:9" x14ac:dyDescent="0.25">
      <c r="H184" t="s">
        <v>167</v>
      </c>
      <c r="I184" s="45">
        <v>0</v>
      </c>
    </row>
    <row r="185" spans="8:9" x14ac:dyDescent="0.25">
      <c r="H185" t="s">
        <v>168</v>
      </c>
      <c r="I185" s="45">
        <v>0</v>
      </c>
    </row>
    <row r="186" spans="8:9" x14ac:dyDescent="0.25">
      <c r="H186" t="s">
        <v>169</v>
      </c>
      <c r="I186" s="45">
        <v>0</v>
      </c>
    </row>
    <row r="187" spans="8:9" x14ac:dyDescent="0.25">
      <c r="H187" t="s">
        <v>170</v>
      </c>
      <c r="I187" s="45">
        <v>0</v>
      </c>
    </row>
    <row r="188" spans="8:9" x14ac:dyDescent="0.25">
      <c r="H188" t="s">
        <v>171</v>
      </c>
      <c r="I188" s="45">
        <v>0</v>
      </c>
    </row>
    <row r="189" spans="8:9" x14ac:dyDescent="0.25">
      <c r="H189" t="s">
        <v>172</v>
      </c>
      <c r="I189" s="45">
        <v>0</v>
      </c>
    </row>
    <row r="190" spans="8:9" x14ac:dyDescent="0.25">
      <c r="H190" t="s">
        <v>173</v>
      </c>
      <c r="I190" s="45">
        <v>0</v>
      </c>
    </row>
    <row r="191" spans="8:9" x14ac:dyDescent="0.25">
      <c r="H191" t="s">
        <v>174</v>
      </c>
      <c r="I191" s="45">
        <v>0</v>
      </c>
    </row>
    <row r="192" spans="8:9" x14ac:dyDescent="0.25">
      <c r="H192" t="s">
        <v>175</v>
      </c>
      <c r="I192" s="45">
        <v>0</v>
      </c>
    </row>
    <row r="193" spans="8:9" x14ac:dyDescent="0.25">
      <c r="H193" t="s">
        <v>176</v>
      </c>
      <c r="I193" s="45">
        <v>0</v>
      </c>
    </row>
    <row r="194" spans="8:9" x14ac:dyDescent="0.25">
      <c r="H194" s="363" t="s">
        <v>177</v>
      </c>
      <c r="I194" s="45">
        <v>0</v>
      </c>
    </row>
    <row r="195" spans="8:9" x14ac:dyDescent="0.25">
      <c r="H195" t="s">
        <v>178</v>
      </c>
      <c r="I195" s="45">
        <v>-319.20000000001164</v>
      </c>
    </row>
    <row r="196" spans="8:9" x14ac:dyDescent="0.25">
      <c r="H196" t="s">
        <v>179</v>
      </c>
      <c r="I196" s="45">
        <v>-720.19999999995343</v>
      </c>
    </row>
    <row r="197" spans="8:9" x14ac:dyDescent="0.25">
      <c r="H197" t="s">
        <v>180</v>
      </c>
      <c r="I197" s="45">
        <v>-1319.1999999999534</v>
      </c>
    </row>
    <row r="198" spans="8:9" x14ac:dyDescent="0.25">
      <c r="H198" s="345" t="s">
        <v>181</v>
      </c>
      <c r="I198" s="240">
        <v>-1620.1999999999534</v>
      </c>
    </row>
    <row r="199" spans="8:9" x14ac:dyDescent="0.25">
      <c r="H199" t="s">
        <v>182</v>
      </c>
      <c r="I199" s="45">
        <v>-1679</v>
      </c>
    </row>
    <row r="200" spans="8:9" x14ac:dyDescent="0.25">
      <c r="H200" t="s">
        <v>183</v>
      </c>
      <c r="I200" s="45">
        <v>-3059.6000000000931</v>
      </c>
    </row>
    <row r="201" spans="8:9" x14ac:dyDescent="0.25">
      <c r="H201" s="345" t="s">
        <v>184</v>
      </c>
      <c r="I201" s="240">
        <v>-3490.4000000000233</v>
      </c>
    </row>
    <row r="202" spans="8:9" x14ac:dyDescent="0.25">
      <c r="H202" t="s">
        <v>185</v>
      </c>
      <c r="I202" s="45">
        <v>-4650</v>
      </c>
    </row>
    <row r="203" spans="8:9" x14ac:dyDescent="0.25">
      <c r="H203" t="s">
        <v>186</v>
      </c>
      <c r="I203" s="45">
        <v>-6458.3999999999069</v>
      </c>
    </row>
    <row r="204" spans="8:9" x14ac:dyDescent="0.25">
      <c r="H204" t="s">
        <v>187</v>
      </c>
      <c r="I204" s="45">
        <v>-7245</v>
      </c>
    </row>
    <row r="205" spans="8:9" x14ac:dyDescent="0.25">
      <c r="H205" t="s">
        <v>188</v>
      </c>
      <c r="I205" s="45">
        <v>-7250</v>
      </c>
    </row>
    <row r="206" spans="8:9" x14ac:dyDescent="0.25">
      <c r="H206" s="345" t="s">
        <v>189</v>
      </c>
      <c r="I206" s="240">
        <v>-9038.1999999999534</v>
      </c>
    </row>
    <row r="207" spans="8:9" x14ac:dyDescent="0.25">
      <c r="H207" t="s">
        <v>190</v>
      </c>
      <c r="I207" s="45">
        <v>-11206.799999999814</v>
      </c>
    </row>
    <row r="208" spans="8:9" x14ac:dyDescent="0.25">
      <c r="H208" t="s">
        <v>191</v>
      </c>
      <c r="I208" s="45">
        <v>-11731</v>
      </c>
    </row>
    <row r="209" spans="8:9" x14ac:dyDescent="0.25">
      <c r="H209" s="227" t="s">
        <v>192</v>
      </c>
      <c r="I209" s="240">
        <v>-15162</v>
      </c>
    </row>
    <row r="210" spans="8:9" x14ac:dyDescent="0.25">
      <c r="H210" s="345" t="s">
        <v>193</v>
      </c>
      <c r="I210" s="240">
        <v>-17289</v>
      </c>
    </row>
    <row r="211" spans="8:9" x14ac:dyDescent="0.25">
      <c r="H211" t="s">
        <v>194</v>
      </c>
      <c r="I211" s="45">
        <v>-28220</v>
      </c>
    </row>
    <row r="212" spans="8:9" x14ac:dyDescent="0.25">
      <c r="H212" t="s">
        <v>195</v>
      </c>
      <c r="I212" s="45">
        <v>-38640</v>
      </c>
    </row>
    <row r="213" spans="8:9" x14ac:dyDescent="0.25">
      <c r="H213" t="s">
        <v>196</v>
      </c>
      <c r="I213" s="45">
        <v>-49700</v>
      </c>
    </row>
    <row r="214" spans="8:9" x14ac:dyDescent="0.25">
      <c r="H214" s="345" t="s">
        <v>197</v>
      </c>
      <c r="I214" s="366">
        <v>-54670.199999999953</v>
      </c>
    </row>
    <row r="215" spans="8:9" x14ac:dyDescent="0.25">
      <c r="H215" t="s">
        <v>198</v>
      </c>
      <c r="I215" s="45">
        <v>-63000</v>
      </c>
    </row>
    <row r="216" spans="8:9" x14ac:dyDescent="0.25">
      <c r="H216" t="s">
        <v>199</v>
      </c>
      <c r="I216" s="45">
        <v>-84439.600000000093</v>
      </c>
    </row>
    <row r="217" spans="8:9" x14ac:dyDescent="0.25">
      <c r="H217" t="s">
        <v>200</v>
      </c>
      <c r="I217" s="45">
        <v>-91000</v>
      </c>
    </row>
    <row r="218" spans="8:9" x14ac:dyDescent="0.25">
      <c r="H218" t="s">
        <v>201</v>
      </c>
      <c r="I218" s="45">
        <v>-93304.26353999984</v>
      </c>
    </row>
    <row r="219" spans="8:9" x14ac:dyDescent="0.25">
      <c r="H219" t="s">
        <v>202</v>
      </c>
      <c r="I219" s="45">
        <v>-106943.55000000005</v>
      </c>
    </row>
    <row r="220" spans="8:9" x14ac:dyDescent="0.25">
      <c r="H220" t="s">
        <v>203</v>
      </c>
      <c r="I220" s="45">
        <v>-111524</v>
      </c>
    </row>
    <row r="221" spans="8:9" x14ac:dyDescent="0.25">
      <c r="H221" t="s">
        <v>204</v>
      </c>
      <c r="I221" s="45">
        <v>-112000</v>
      </c>
    </row>
    <row r="222" spans="8:9" x14ac:dyDescent="0.25">
      <c r="H222" t="s">
        <v>205</v>
      </c>
      <c r="I222" s="45">
        <v>-126000</v>
      </c>
    </row>
    <row r="223" spans="8:9" x14ac:dyDescent="0.25">
      <c r="H223" t="s">
        <v>206</v>
      </c>
      <c r="I223" s="45">
        <v>-139405</v>
      </c>
    </row>
    <row r="224" spans="8:9" x14ac:dyDescent="0.25">
      <c r="H224" t="s">
        <v>207</v>
      </c>
      <c r="I224" s="45">
        <v>-149240.12000000011</v>
      </c>
    </row>
    <row r="225" spans="8:9" x14ac:dyDescent="0.25">
      <c r="H225" t="s">
        <v>208</v>
      </c>
      <c r="I225" s="45">
        <v>-163800.39999999991</v>
      </c>
    </row>
    <row r="226" spans="8:9" x14ac:dyDescent="0.25">
      <c r="H226" t="s">
        <v>209</v>
      </c>
      <c r="I226" s="45">
        <v>-216943.30000000005</v>
      </c>
    </row>
    <row r="227" spans="8:9" x14ac:dyDescent="0.25">
      <c r="H227" t="s">
        <v>210</v>
      </c>
      <c r="I227" s="45">
        <v>-232374.79999999981</v>
      </c>
    </row>
    <row r="228" spans="8:9" x14ac:dyDescent="0.25">
      <c r="H228" s="227" t="s">
        <v>211</v>
      </c>
      <c r="I228" s="240">
        <v>-271048</v>
      </c>
    </row>
    <row r="229" spans="8:9" x14ac:dyDescent="0.25">
      <c r="H229" t="s">
        <v>212</v>
      </c>
      <c r="I229" s="45">
        <v>-272850</v>
      </c>
    </row>
    <row r="230" spans="8:9" x14ac:dyDescent="0.25">
      <c r="H230" t="s">
        <v>213</v>
      </c>
      <c r="I230" s="342">
        <v>-291015.40000000037</v>
      </c>
    </row>
    <row r="231" spans="8:9" x14ac:dyDescent="0.25">
      <c r="H231" t="s">
        <v>214</v>
      </c>
      <c r="I231" s="45">
        <v>-310791.44000000006</v>
      </c>
    </row>
    <row r="232" spans="8:9" x14ac:dyDescent="0.25">
      <c r="H232" t="s">
        <v>215</v>
      </c>
      <c r="I232" s="45">
        <v>-406000</v>
      </c>
    </row>
    <row r="233" spans="8:9" x14ac:dyDescent="0.25">
      <c r="H233" t="s">
        <v>216</v>
      </c>
      <c r="I233" s="45">
        <v>-419999.4220399987</v>
      </c>
    </row>
    <row r="234" spans="8:9" x14ac:dyDescent="0.25">
      <c r="H234" s="364" t="s">
        <v>217</v>
      </c>
      <c r="I234" s="45">
        <v>-472316</v>
      </c>
    </row>
    <row r="235" spans="8:9" x14ac:dyDescent="0.25">
      <c r="H235" s="227" t="s">
        <v>218</v>
      </c>
      <c r="I235" s="240">
        <v>-1268108.9000000004</v>
      </c>
    </row>
    <row r="236" spans="8:9" x14ac:dyDescent="0.25">
      <c r="H236" t="s">
        <v>219</v>
      </c>
      <c r="I236" s="45">
        <v>-4718296</v>
      </c>
    </row>
    <row r="237" spans="8:9" x14ac:dyDescent="0.25">
      <c r="H237" t="s">
        <v>220</v>
      </c>
      <c r="I237" s="45">
        <v>-10568666.284220403</v>
      </c>
    </row>
    <row r="238" spans="8:9" x14ac:dyDescent="0.25">
      <c r="H238" t="s">
        <v>221</v>
      </c>
      <c r="I238" s="45" t="e">
        <v>#N/A</v>
      </c>
    </row>
    <row r="239" spans="8:9" x14ac:dyDescent="0.25">
      <c r="H239" s="184" t="s">
        <v>12</v>
      </c>
      <c r="I239" s="185" t="e">
        <v>#N/A</v>
      </c>
    </row>
    <row r="240" spans="8:9" x14ac:dyDescent="0.25">
      <c r="H240"/>
    </row>
    <row r="241" spans="8:8" x14ac:dyDescent="0.25">
      <c r="H241"/>
    </row>
    <row r="242" spans="8:8" x14ac:dyDescent="0.25">
      <c r="H242"/>
    </row>
    <row r="243" spans="8:8" x14ac:dyDescent="0.25">
      <c r="H243"/>
    </row>
    <row r="244" spans="8:8" x14ac:dyDescent="0.25">
      <c r="H244"/>
    </row>
    <row r="245" spans="8:8" x14ac:dyDescent="0.25">
      <c r="H245"/>
    </row>
    <row r="246" spans="8:8" x14ac:dyDescent="0.25">
      <c r="H246"/>
    </row>
    <row r="247" spans="8:8" x14ac:dyDescent="0.25">
      <c r="H247"/>
    </row>
    <row r="248" spans="8:8" x14ac:dyDescent="0.25">
      <c r="H248"/>
    </row>
    <row r="249" spans="8:8" x14ac:dyDescent="0.25">
      <c r="H249"/>
    </row>
    <row r="250" spans="8:8" x14ac:dyDescent="0.25">
      <c r="H250"/>
    </row>
    <row r="251" spans="8:8" x14ac:dyDescent="0.25">
      <c r="H251"/>
    </row>
    <row r="252" spans="8:8" x14ac:dyDescent="0.25">
      <c r="H252"/>
    </row>
    <row r="253" spans="8:8" x14ac:dyDescent="0.25">
      <c r="H253"/>
    </row>
    <row r="254" spans="8:8" x14ac:dyDescent="0.25">
      <c r="H254"/>
    </row>
    <row r="255" spans="8:8" x14ac:dyDescent="0.25">
      <c r="H255"/>
    </row>
    <row r="256" spans="8:8" x14ac:dyDescent="0.25">
      <c r="H256"/>
    </row>
    <row r="257" spans="8:8" x14ac:dyDescent="0.25">
      <c r="H257"/>
    </row>
    <row r="258" spans="8:8" x14ac:dyDescent="0.25">
      <c r="H258"/>
    </row>
    <row r="259" spans="8:8" x14ac:dyDescent="0.25">
      <c r="H259"/>
    </row>
    <row r="260" spans="8:8" x14ac:dyDescent="0.25">
      <c r="H260"/>
    </row>
    <row r="261" spans="8:8" x14ac:dyDescent="0.25">
      <c r="H261"/>
    </row>
    <row r="262" spans="8:8" x14ac:dyDescent="0.25">
      <c r="H262"/>
    </row>
    <row r="263" spans="8:8" x14ac:dyDescent="0.25">
      <c r="H263"/>
    </row>
    <row r="264" spans="8:8" x14ac:dyDescent="0.25">
      <c r="H264"/>
    </row>
    <row r="265" spans="8:8" x14ac:dyDescent="0.25">
      <c r="H265"/>
    </row>
    <row r="266" spans="8:8" x14ac:dyDescent="0.25">
      <c r="H266"/>
    </row>
    <row r="267" spans="8:8" x14ac:dyDescent="0.25">
      <c r="H267"/>
    </row>
    <row r="268" spans="8:8" x14ac:dyDescent="0.25">
      <c r="H268"/>
    </row>
    <row r="269" spans="8:8" x14ac:dyDescent="0.25">
      <c r="H269"/>
    </row>
    <row r="270" spans="8:8" x14ac:dyDescent="0.25">
      <c r="H270"/>
    </row>
    <row r="271" spans="8:8" x14ac:dyDescent="0.25">
      <c r="H271"/>
    </row>
    <row r="272" spans="8:8" x14ac:dyDescent="0.25">
      <c r="H272"/>
    </row>
    <row r="273" spans="8:8" x14ac:dyDescent="0.25">
      <c r="H273"/>
    </row>
    <row r="274" spans="8:8" x14ac:dyDescent="0.25">
      <c r="H274"/>
    </row>
    <row r="275" spans="8:8" x14ac:dyDescent="0.25">
      <c r="H275"/>
    </row>
    <row r="276" spans="8:8" x14ac:dyDescent="0.25">
      <c r="H276"/>
    </row>
    <row r="277" spans="8:8" x14ac:dyDescent="0.25">
      <c r="H277"/>
    </row>
    <row r="278" spans="8:8" x14ac:dyDescent="0.25">
      <c r="H278"/>
    </row>
    <row r="279" spans="8:8" x14ac:dyDescent="0.25">
      <c r="H279"/>
    </row>
  </sheetData>
  <pageMargins left="0.7" right="0.7" top="0.75" bottom="0.75" header="0.3" footer="0.3"/>
  <pageSetup paperSize="9" orientation="portrait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F1C83-3888-419A-B64A-5FA159FBC649}">
  <sheetPr codeName="Hoja11"/>
  <dimension ref="A1:J52"/>
  <sheetViews>
    <sheetView showGridLines="0" zoomScale="67" zoomScaleNormal="67" zoomScalePageLayoutView="90" workbookViewId="0">
      <pane ySplit="3" topLeftCell="A4" activePane="bottomLeft" state="frozen"/>
      <selection pane="bottomLeft" activeCell="F30" sqref="F30"/>
    </sheetView>
  </sheetViews>
  <sheetFormatPr baseColWidth="10" defaultColWidth="0" defaultRowHeight="15" zeroHeight="1" x14ac:dyDescent="0.25"/>
  <cols>
    <col min="1" max="1" width="5.28515625" style="99" customWidth="1"/>
    <col min="2" max="2" width="17" style="99" customWidth="1"/>
    <col min="3" max="3" width="17.85546875" style="99" customWidth="1"/>
    <col min="4" max="4" width="12.85546875" style="99" customWidth="1"/>
    <col min="5" max="5" width="11.42578125" style="99" customWidth="1"/>
    <col min="6" max="6" width="20.140625" style="99" customWidth="1"/>
    <col min="7" max="7" width="14.42578125" style="99" customWidth="1"/>
    <col min="8" max="8" width="22" style="99" customWidth="1"/>
    <col min="9" max="9" width="23.85546875" style="99" customWidth="1"/>
    <col min="10" max="10" width="6.140625" style="99" customWidth="1"/>
    <col min="11" max="16384" width="10.7109375" style="99" hidden="1"/>
  </cols>
  <sheetData>
    <row r="1" spans="1:10" ht="11.25" customHeight="1" x14ac:dyDescent="0.25">
      <c r="A1" s="103"/>
      <c r="B1" s="104"/>
      <c r="C1" s="104"/>
      <c r="D1" s="104"/>
      <c r="E1" s="104"/>
      <c r="F1" s="104"/>
      <c r="G1" s="104"/>
      <c r="H1" s="104"/>
      <c r="I1" s="104"/>
      <c r="J1" s="105"/>
    </row>
    <row r="2" spans="1:10" ht="36" customHeight="1" x14ac:dyDescent="0.25">
      <c r="A2" s="106"/>
      <c r="C2" s="147"/>
      <c r="D2" s="147" t="s">
        <v>222</v>
      </c>
      <c r="E2" s="147"/>
      <c r="F2" s="147"/>
      <c r="G2" s="147"/>
      <c r="H2" s="147"/>
      <c r="I2" s="147"/>
      <c r="J2" s="146"/>
    </row>
    <row r="3" spans="1:10" ht="10.5" customHeight="1" thickBot="1" x14ac:dyDescent="0.3">
      <c r="A3" s="100"/>
      <c r="B3" s="101"/>
      <c r="C3" s="101"/>
      <c r="D3" s="101"/>
      <c r="E3" s="101"/>
      <c r="F3" s="101"/>
      <c r="G3" s="101"/>
      <c r="H3" s="101"/>
      <c r="I3" s="101"/>
      <c r="J3" s="102"/>
    </row>
    <row r="4" spans="1:10" ht="11.25" customHeight="1" x14ac:dyDescent="0.25">
      <c r="A4" s="106"/>
      <c r="F4" s="106"/>
      <c r="J4" s="109"/>
    </row>
    <row r="5" spans="1:10" ht="16.5" customHeight="1" x14ac:dyDescent="0.25">
      <c r="A5" s="106"/>
      <c r="B5" s="412" t="s">
        <v>223</v>
      </c>
      <c r="C5" s="412"/>
      <c r="D5" s="412"/>
      <c r="E5" s="399"/>
      <c r="F5" s="142"/>
      <c r="H5" s="107" t="s">
        <v>224</v>
      </c>
      <c r="J5" s="109"/>
    </row>
    <row r="6" spans="1:10" ht="7.5" customHeight="1" thickBot="1" x14ac:dyDescent="0.3">
      <c r="A6" s="106"/>
      <c r="B6" s="395"/>
      <c r="C6" s="395"/>
      <c r="D6" s="395"/>
      <c r="E6" s="110"/>
      <c r="F6" s="143"/>
      <c r="G6" s="107"/>
      <c r="H6" s="108"/>
      <c r="I6" s="108"/>
      <c r="J6" s="109"/>
    </row>
    <row r="7" spans="1:10" ht="15" customHeight="1" x14ac:dyDescent="0.25">
      <c r="A7" s="106"/>
      <c r="B7" s="397" t="s">
        <v>225</v>
      </c>
      <c r="C7" s="413"/>
      <c r="D7" s="413"/>
      <c r="F7" s="106"/>
      <c r="G7" s="397" t="s">
        <v>226</v>
      </c>
      <c r="H7" s="417" t="s">
        <v>227</v>
      </c>
      <c r="I7" s="418"/>
      <c r="J7" s="109"/>
    </row>
    <row r="8" spans="1:10" ht="7.5" customHeight="1" thickTop="1" thickBot="1" x14ac:dyDescent="0.3">
      <c r="A8" s="106"/>
      <c r="B8" s="397"/>
      <c r="C8" s="111"/>
      <c r="F8" s="106"/>
      <c r="G8" s="397"/>
      <c r="H8" s="112"/>
      <c r="J8" s="109"/>
    </row>
    <row r="9" spans="1:10" ht="15" customHeight="1" x14ac:dyDescent="0.25">
      <c r="A9" s="106"/>
      <c r="B9" s="397" t="s">
        <v>228</v>
      </c>
      <c r="C9" s="422"/>
      <c r="D9" s="422"/>
      <c r="F9" s="144"/>
      <c r="G9" s="397" t="s">
        <v>228</v>
      </c>
      <c r="H9" s="419">
        <v>45966</v>
      </c>
      <c r="I9" s="419"/>
      <c r="J9" s="411"/>
    </row>
    <row r="10" spans="1:10" ht="7.5" customHeight="1" thickTop="1" thickBot="1" x14ac:dyDescent="0.3">
      <c r="A10" s="106"/>
      <c r="E10" s="113"/>
      <c r="F10" s="144"/>
      <c r="G10" s="397"/>
      <c r="H10" s="114"/>
      <c r="J10" s="411"/>
    </row>
    <row r="11" spans="1:10" x14ac:dyDescent="0.25">
      <c r="A11" s="106"/>
      <c r="B11" s="397" t="s">
        <v>229</v>
      </c>
      <c r="C11" s="413"/>
      <c r="D11" s="413"/>
      <c r="E11" s="113"/>
      <c r="F11" s="144"/>
      <c r="G11" s="397" t="s">
        <v>230</v>
      </c>
      <c r="H11" s="420" t="s">
        <v>231</v>
      </c>
      <c r="I11" s="420"/>
      <c r="J11" s="411"/>
    </row>
    <row r="12" spans="1:10" ht="12" customHeight="1" thickTop="1" thickBot="1" x14ac:dyDescent="0.3">
      <c r="A12" s="100"/>
      <c r="B12" s="101"/>
      <c r="C12" s="101"/>
      <c r="D12" s="101"/>
      <c r="E12" s="115"/>
      <c r="F12" s="145"/>
      <c r="G12" s="116"/>
      <c r="H12" s="116"/>
      <c r="I12" s="101"/>
      <c r="J12" s="117"/>
    </row>
    <row r="13" spans="1:10" ht="12" customHeight="1" thickBot="1" x14ac:dyDescent="0.3">
      <c r="B13" s="118"/>
      <c r="C13" s="118"/>
      <c r="D13" s="119"/>
      <c r="E13" s="113"/>
      <c r="F13" s="113"/>
      <c r="G13" s="112"/>
      <c r="H13" s="112"/>
      <c r="J13" s="120"/>
    </row>
    <row r="14" spans="1:10" ht="12" customHeight="1" x14ac:dyDescent="0.25">
      <c r="A14" s="103"/>
      <c r="B14" s="121"/>
      <c r="C14" s="121"/>
      <c r="D14" s="122"/>
      <c r="E14" s="123"/>
      <c r="F14" s="104"/>
      <c r="G14" s="104"/>
      <c r="H14" s="104"/>
      <c r="I14" s="104"/>
      <c r="J14" s="105"/>
    </row>
    <row r="15" spans="1:10" ht="21.75" customHeight="1" x14ac:dyDescent="0.25">
      <c r="A15" s="106"/>
      <c r="B15" s="124"/>
      <c r="C15" s="125" t="s">
        <v>232</v>
      </c>
      <c r="D15" s="119"/>
      <c r="E15" s="113"/>
      <c r="J15" s="109"/>
    </row>
    <row r="16" spans="1:10" ht="12" customHeight="1" thickBot="1" x14ac:dyDescent="0.3">
      <c r="A16" s="106"/>
      <c r="B16" s="124"/>
      <c r="C16" s="124"/>
      <c r="D16" s="119"/>
      <c r="J16" s="109"/>
    </row>
    <row r="17" spans="1:10" ht="19.5" customHeight="1" thickTop="1" thickBot="1" x14ac:dyDescent="0.3">
      <c r="A17" s="106"/>
      <c r="B17" s="397" t="s">
        <v>233</v>
      </c>
      <c r="C17"/>
      <c r="D17" s="397" t="s">
        <v>234</v>
      </c>
      <c r="E17" s="396"/>
      <c r="F17" s="397" t="s">
        <v>235</v>
      </c>
      <c r="G17" s="98"/>
      <c r="H17" s="126" t="s">
        <v>236</v>
      </c>
      <c r="I17" s="94"/>
      <c r="J17" s="109"/>
    </row>
    <row r="18" spans="1:10" ht="6.75" customHeight="1" thickTop="1" x14ac:dyDescent="0.25">
      <c r="A18" s="106"/>
      <c r="B18" s="397"/>
      <c r="C18" s="127"/>
      <c r="D18" s="127"/>
      <c r="E18" s="128"/>
      <c r="F18" s="397"/>
      <c r="G18" s="129"/>
      <c r="H18" s="126"/>
      <c r="I18" s="130"/>
      <c r="J18" s="109"/>
    </row>
    <row r="19" spans="1:10" ht="28.9" customHeight="1" x14ac:dyDescent="0.25">
      <c r="A19" s="106"/>
      <c r="B19" s="397" t="s">
        <v>237</v>
      </c>
      <c r="C19" s="421"/>
      <c r="D19" s="421"/>
      <c r="E19" s="421"/>
      <c r="F19" s="397" t="s">
        <v>238</v>
      </c>
      <c r="G19" s="421"/>
      <c r="H19" s="421"/>
      <c r="I19" s="421"/>
      <c r="J19" s="109"/>
    </row>
    <row r="20" spans="1:10" ht="6.75" customHeight="1" x14ac:dyDescent="0.25">
      <c r="A20" s="106"/>
      <c r="B20" s="397"/>
      <c r="C20" s="130"/>
      <c r="D20" s="130"/>
      <c r="E20" s="130"/>
      <c r="F20" s="397"/>
      <c r="G20" s="129"/>
      <c r="H20" s="129"/>
      <c r="I20" s="129"/>
      <c r="J20" s="109"/>
    </row>
    <row r="21" spans="1:10" ht="35.450000000000003" customHeight="1" x14ac:dyDescent="0.25">
      <c r="A21" s="106"/>
      <c r="B21" s="397" t="s">
        <v>239</v>
      </c>
      <c r="C21" s="421"/>
      <c r="D21" s="421"/>
      <c r="E21" s="421"/>
      <c r="F21" s="397" t="s">
        <v>240</v>
      </c>
      <c r="G21" s="415"/>
      <c r="H21" s="416"/>
      <c r="I21" s="416"/>
      <c r="J21" s="109"/>
    </row>
    <row r="22" spans="1:10" ht="6.75" customHeight="1" x14ac:dyDescent="0.25">
      <c r="A22" s="106"/>
      <c r="B22" s="397"/>
      <c r="C22" s="130"/>
      <c r="D22" s="130"/>
      <c r="E22" s="130"/>
      <c r="F22" s="397"/>
      <c r="G22" s="221"/>
      <c r="H22" s="221"/>
      <c r="I22" s="221"/>
      <c r="J22" s="109"/>
    </row>
    <row r="23" spans="1:10" ht="18" customHeight="1" x14ac:dyDescent="0.25">
      <c r="A23" s="106"/>
      <c r="B23" s="397" t="s">
        <v>241</v>
      </c>
      <c r="C23" s="421"/>
      <c r="D23" s="421"/>
      <c r="E23" s="421"/>
      <c r="F23" s="397" t="s">
        <v>242</v>
      </c>
      <c r="G23" s="414"/>
      <c r="H23" s="414"/>
      <c r="I23" s="414"/>
      <c r="J23" s="109"/>
    </row>
    <row r="24" spans="1:10" ht="12" customHeight="1" thickBot="1" x14ac:dyDescent="0.3">
      <c r="A24" s="100"/>
      <c r="B24" s="131"/>
      <c r="C24" s="132"/>
      <c r="D24" s="132"/>
      <c r="E24" s="132"/>
      <c r="F24" s="133"/>
      <c r="G24" s="134"/>
      <c r="H24" s="134"/>
      <c r="I24" s="134"/>
      <c r="J24" s="102"/>
    </row>
    <row r="25" spans="1:10" ht="12" customHeight="1" x14ac:dyDescent="0.25">
      <c r="B25" s="135"/>
      <c r="C25" s="135"/>
    </row>
    <row r="26" spans="1:10" ht="12" customHeight="1" x14ac:dyDescent="0.25">
      <c r="C26" s="125" t="s">
        <v>243</v>
      </c>
    </row>
    <row r="27" spans="1:10" ht="12" customHeight="1" thickBot="1" x14ac:dyDescent="0.3">
      <c r="B27" s="135"/>
      <c r="C27" s="135"/>
    </row>
    <row r="28" spans="1:10" ht="15.75" thickBot="1" x14ac:dyDescent="0.3">
      <c r="B28" s="136" t="s">
        <v>15</v>
      </c>
      <c r="C28" s="408" t="s">
        <v>244</v>
      </c>
      <c r="D28" s="408"/>
      <c r="E28" s="394" t="s">
        <v>245</v>
      </c>
      <c r="F28" s="394" t="s">
        <v>246</v>
      </c>
      <c r="G28" s="394" t="s">
        <v>247</v>
      </c>
      <c r="H28" s="137" t="s">
        <v>248</v>
      </c>
      <c r="I28" s="137" t="s">
        <v>249</v>
      </c>
    </row>
    <row r="29" spans="1:10" ht="59.25" customHeight="1" x14ac:dyDescent="0.25">
      <c r="B29" s="96"/>
      <c r="C29" s="409"/>
      <c r="D29" s="410"/>
      <c r="E29" s="310"/>
      <c r="F29" s="245"/>
      <c r="G29" s="181"/>
      <c r="H29" s="247">
        <f>+E29*F29</f>
        <v>0</v>
      </c>
      <c r="I29" s="246" t="str">
        <f>IFERROR(VLOOKUP(B29,Parametros!B:C,2,0)*(H29-G29),"")</f>
        <v/>
      </c>
    </row>
    <row r="30" spans="1:10" ht="63.75" customHeight="1" x14ac:dyDescent="0.25">
      <c r="B30" s="96"/>
      <c r="C30" s="423"/>
      <c r="D30" s="424"/>
      <c r="E30" s="310"/>
      <c r="F30" s="238"/>
      <c r="G30" s="181"/>
      <c r="H30" s="247">
        <f>+E30*F30</f>
        <v>0</v>
      </c>
      <c r="I30" s="246" t="str">
        <f>IFERROR(VLOOKUP(B30,Parametros!B:C,2,0)*(H30-G30),"")</f>
        <v/>
      </c>
    </row>
    <row r="31" spans="1:10" ht="63.75" customHeight="1" x14ac:dyDescent="0.25">
      <c r="B31" s="96"/>
      <c r="C31" s="425"/>
      <c r="D31" s="426"/>
      <c r="E31" s="237"/>
      <c r="F31" s="238"/>
      <c r="G31" s="181"/>
      <c r="H31" s="247">
        <f t="shared" ref="H31:H34" si="0">+E31*F31</f>
        <v>0</v>
      </c>
      <c r="I31" s="246" t="str">
        <f>IFERROR(VLOOKUP(B31,Parametros!B:C,2,0)*(H31-G31),"")</f>
        <v/>
      </c>
    </row>
    <row r="32" spans="1:10" ht="62.25" customHeight="1" x14ac:dyDescent="0.25">
      <c r="B32" s="97"/>
      <c r="C32" s="425"/>
      <c r="D32" s="426"/>
      <c r="E32" s="95"/>
      <c r="F32" s="180"/>
      <c r="G32" s="181"/>
      <c r="H32" s="247">
        <f t="shared" si="0"/>
        <v>0</v>
      </c>
      <c r="I32" s="246" t="str">
        <f>IFERROR(VLOOKUP(B32,Parametros!B:C,2,0)*(H32-G32),"")</f>
        <v/>
      </c>
    </row>
    <row r="33" spans="2:10" ht="22.9" customHeight="1" x14ac:dyDescent="0.25">
      <c r="B33" s="97"/>
      <c r="C33" s="427"/>
      <c r="D33" s="427"/>
      <c r="E33" s="95"/>
      <c r="F33" s="180"/>
      <c r="G33" s="181"/>
      <c r="H33" s="247">
        <f t="shared" si="0"/>
        <v>0</v>
      </c>
      <c r="I33" s="246" t="str">
        <f>IFERROR(VLOOKUP(B33,Parametros!B:C,2,0)*(H33-G33),"")</f>
        <v/>
      </c>
    </row>
    <row r="34" spans="2:10" ht="21.6" customHeight="1" x14ac:dyDescent="0.25">
      <c r="B34" s="97"/>
      <c r="C34" s="427"/>
      <c r="D34" s="427"/>
      <c r="E34" s="95"/>
      <c r="F34" s="180"/>
      <c r="G34" s="181"/>
      <c r="H34" s="247">
        <f t="shared" si="0"/>
        <v>0</v>
      </c>
      <c r="I34" s="246" t="str">
        <f>IFERROR(VLOOKUP(B34,Parametros!B:C,2,0)*(H34-G34),"")</f>
        <v/>
      </c>
    </row>
    <row r="35" spans="2:10" ht="15.75" thickTop="1" x14ac:dyDescent="0.25">
      <c r="B35" s="138"/>
      <c r="C35" s="138"/>
      <c r="D35" s="138"/>
      <c r="E35" s="138"/>
      <c r="F35" s="139"/>
      <c r="G35" s="397"/>
      <c r="H35" s="398"/>
      <c r="I35" s="248"/>
      <c r="J35" s="397"/>
    </row>
    <row r="36" spans="2:10" ht="14.45" customHeight="1" x14ac:dyDescent="0.25">
      <c r="B36" s="436" t="s">
        <v>250</v>
      </c>
      <c r="C36" s="436"/>
      <c r="D36" s="436"/>
      <c r="E36" s="436"/>
      <c r="F36" s="430" t="s">
        <v>251</v>
      </c>
      <c r="G36" s="430"/>
      <c r="H36" s="431">
        <f>SUM(H29:H34)</f>
        <v>0</v>
      </c>
      <c r="I36" s="431"/>
    </row>
    <row r="37" spans="2:10" x14ac:dyDescent="0.25">
      <c r="B37" s="436"/>
      <c r="C37" s="436"/>
      <c r="D37" s="436"/>
      <c r="E37" s="436"/>
      <c r="F37" s="434" t="s">
        <v>252</v>
      </c>
      <c r="G37" s="434"/>
      <c r="H37" s="435">
        <f>SUM(G29:G34)</f>
        <v>0</v>
      </c>
      <c r="I37" s="435"/>
    </row>
    <row r="38" spans="2:10" x14ac:dyDescent="0.25">
      <c r="B38" s="436"/>
      <c r="C38" s="436"/>
      <c r="D38" s="436"/>
      <c r="E38" s="436"/>
      <c r="F38" s="434" t="s">
        <v>253</v>
      </c>
      <c r="G38" s="434"/>
      <c r="H38" s="435">
        <v>0</v>
      </c>
      <c r="I38" s="435"/>
    </row>
    <row r="39" spans="2:10" ht="8.4499999999999993" customHeight="1" x14ac:dyDescent="0.25">
      <c r="B39" s="436"/>
      <c r="C39" s="436"/>
      <c r="D39" s="436"/>
      <c r="E39" s="436"/>
      <c r="F39" s="428"/>
      <c r="G39" s="428"/>
      <c r="H39" s="429"/>
      <c r="I39" s="429"/>
    </row>
    <row r="40" spans="2:10" x14ac:dyDescent="0.25">
      <c r="B40" s="140"/>
      <c r="C40" s="140"/>
      <c r="D40" s="140"/>
      <c r="E40" s="140"/>
      <c r="F40" s="430" t="s">
        <v>254</v>
      </c>
      <c r="G40" s="430"/>
      <c r="H40" s="431">
        <f>SUM(H36,-H37,H38)</f>
        <v>0</v>
      </c>
      <c r="I40" s="431"/>
    </row>
    <row r="41" spans="2:10" x14ac:dyDescent="0.25">
      <c r="B41" s="432" t="s">
        <v>255</v>
      </c>
      <c r="C41" s="433"/>
      <c r="D41" s="433"/>
      <c r="E41" s="433"/>
      <c r="F41" s="434" t="s">
        <v>256</v>
      </c>
      <c r="G41" s="434"/>
      <c r="H41" s="435">
        <f>SUM(I29:I34)</f>
        <v>0</v>
      </c>
      <c r="I41" s="435"/>
    </row>
    <row r="42" spans="2:10" ht="15" customHeight="1" x14ac:dyDescent="0.25">
      <c r="B42" s="421"/>
      <c r="C42" s="421"/>
      <c r="D42" s="421"/>
      <c r="E42" s="421"/>
      <c r="F42" s="434" t="s">
        <v>257</v>
      </c>
      <c r="G42" s="434"/>
      <c r="H42" s="435">
        <v>0</v>
      </c>
      <c r="I42" s="435"/>
    </row>
    <row r="43" spans="2:10" ht="7.15" customHeight="1" x14ac:dyDescent="0.25">
      <c r="B43" s="421"/>
      <c r="C43" s="421"/>
      <c r="D43" s="421"/>
      <c r="E43" s="421"/>
      <c r="F43" s="428"/>
      <c r="G43" s="428"/>
      <c r="H43" s="429"/>
      <c r="I43" s="429"/>
    </row>
    <row r="44" spans="2:10" ht="15.75" thickBot="1" x14ac:dyDescent="0.3">
      <c r="B44"/>
      <c r="C44"/>
      <c r="D44"/>
      <c r="E44"/>
      <c r="F44" s="441" t="s">
        <v>258</v>
      </c>
      <c r="G44" s="441"/>
      <c r="H44" s="442">
        <f>SUM(H40:I42)</f>
        <v>0</v>
      </c>
      <c r="I44" s="442"/>
    </row>
    <row r="45" spans="2:10" ht="29.45" customHeight="1" thickTop="1" thickBot="1" x14ac:dyDescent="0.3">
      <c r="B45" s="437"/>
      <c r="C45" s="437"/>
      <c r="D45" s="437"/>
      <c r="E45" s="437"/>
      <c r="F45" s="438" t="s">
        <v>259</v>
      </c>
      <c r="G45" s="438"/>
      <c r="H45" s="439">
        <f>H44</f>
        <v>0</v>
      </c>
      <c r="I45" s="439"/>
    </row>
    <row r="46" spans="2:10" ht="15.75" thickTop="1" x14ac:dyDescent="0.25">
      <c r="B46" s="135"/>
      <c r="C46" s="135"/>
    </row>
    <row r="47" spans="2:10" x14ac:dyDescent="0.25">
      <c r="B47" s="135"/>
      <c r="C47" s="135"/>
    </row>
    <row r="48" spans="2:10" x14ac:dyDescent="0.25">
      <c r="B48" s="141"/>
      <c r="C48" s="141"/>
      <c r="D48" s="399"/>
      <c r="E48" s="399"/>
      <c r="F48" s="440"/>
    </row>
    <row r="49" spans="2:6" x14ac:dyDescent="0.25">
      <c r="B49" s="141"/>
      <c r="C49" s="141"/>
      <c r="D49" s="399"/>
      <c r="E49" s="399"/>
      <c r="F49" s="440"/>
    </row>
    <row r="50" spans="2:6" x14ac:dyDescent="0.25">
      <c r="B50" s="141"/>
      <c r="C50" s="141"/>
      <c r="D50" s="399"/>
      <c r="E50" s="399"/>
      <c r="F50" s="440"/>
    </row>
    <row r="51" spans="2:6" x14ac:dyDescent="0.25"/>
    <row r="52" spans="2:6" x14ac:dyDescent="0.25"/>
  </sheetData>
  <sheetProtection selectLockedCells="1"/>
  <mergeCells count="46">
    <mergeCell ref="B45:E45"/>
    <mergeCell ref="F45:G45"/>
    <mergeCell ref="H45:I45"/>
    <mergeCell ref="F48:F50"/>
    <mergeCell ref="B42:E43"/>
    <mergeCell ref="F42:G42"/>
    <mergeCell ref="H42:I42"/>
    <mergeCell ref="F43:G43"/>
    <mergeCell ref="H43:I43"/>
    <mergeCell ref="F44:G44"/>
    <mergeCell ref="H44:I44"/>
    <mergeCell ref="F39:G39"/>
    <mergeCell ref="H39:I39"/>
    <mergeCell ref="F40:G40"/>
    <mergeCell ref="H40:I40"/>
    <mergeCell ref="B41:E41"/>
    <mergeCell ref="F41:G41"/>
    <mergeCell ref="H41:I41"/>
    <mergeCell ref="B36:E39"/>
    <mergeCell ref="F36:G36"/>
    <mergeCell ref="H36:I36"/>
    <mergeCell ref="F37:G37"/>
    <mergeCell ref="H37:I37"/>
    <mergeCell ref="F38:G38"/>
    <mergeCell ref="H38:I38"/>
    <mergeCell ref="C30:D30"/>
    <mergeCell ref="C31:D31"/>
    <mergeCell ref="C32:D32"/>
    <mergeCell ref="C33:D33"/>
    <mergeCell ref="C34:D34"/>
    <mergeCell ref="C28:D28"/>
    <mergeCell ref="C29:D29"/>
    <mergeCell ref="J9:J11"/>
    <mergeCell ref="B5:D5"/>
    <mergeCell ref="C11:D11"/>
    <mergeCell ref="G23:I23"/>
    <mergeCell ref="G21:I21"/>
    <mergeCell ref="C7:D7"/>
    <mergeCell ref="H7:I7"/>
    <mergeCell ref="H9:I9"/>
    <mergeCell ref="H11:I11"/>
    <mergeCell ref="C19:E19"/>
    <mergeCell ref="C9:D9"/>
    <mergeCell ref="G19:I19"/>
    <mergeCell ref="C21:E21"/>
    <mergeCell ref="C23:E23"/>
  </mergeCells>
  <dataValidations count="2">
    <dataValidation type="list" allowBlank="1" showInputMessage="1" showErrorMessage="1" sqref="B29:B34" xr:uid="{B4BA9769-32C9-47AF-972F-11D4FEED42AA}">
      <formula1>productos</formula1>
    </dataValidation>
    <dataValidation type="list" allowBlank="1" showInputMessage="1" showErrorMessage="1" sqref="G17" xr:uid="{8FFFAC3D-364E-4017-B032-93290C5E9A9F}">
      <formula1>tipoId</formula1>
    </dataValidation>
  </dataValidations>
  <pageMargins left="0.58333333333333337" right="0.34375" top="0.43055555555555558" bottom="0.48958333333333331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E30136E-E618-48B4-86DF-FAE5168AC527}">
          <x14:formula1>
            <xm:f>Parametros!$J$2:$J$3</xm:f>
          </x14:formula1>
          <xm:sqref>I17:I18</xm:sqref>
        </x14:dataValidation>
        <x14:dataValidation type="list" allowBlank="1" showInputMessage="1" showErrorMessage="1" xr:uid="{B369FE33-9E30-4327-BD16-27616E954B5B}">
          <x14:formula1>
            <xm:f>Parametros!$F$2:$F$6</xm:f>
          </x14:formula1>
          <xm:sqref>G18</xm:sqref>
        </x14:dataValidation>
        <x14:dataValidation type="list" allowBlank="1" showInputMessage="1" showErrorMessage="1" xr:uid="{533F1F11-76A3-40F8-A530-7FE74808C6BF}">
          <x14:formula1>
            <xm:f>Parametros!$H$2:$H$3</xm:f>
          </x14:formula1>
          <xm:sqref>H11:H13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7A8B9-0707-43A7-AD1F-3DA6E063A994}">
  <sheetPr codeName="Hoja6"/>
  <dimension ref="A1:H35"/>
  <sheetViews>
    <sheetView showGridLines="0" zoomScale="91" zoomScaleNormal="91" zoomScalePageLayoutView="85" workbookViewId="0">
      <selection activeCell="J5" sqref="J5"/>
    </sheetView>
  </sheetViews>
  <sheetFormatPr baseColWidth="10" defaultColWidth="10.7109375" defaultRowHeight="15" x14ac:dyDescent="0.25"/>
  <cols>
    <col min="1" max="1" width="11" customWidth="1"/>
    <col min="2" max="2" width="15.42578125" customWidth="1"/>
    <col min="3" max="3" width="14.7109375" customWidth="1"/>
    <col min="4" max="4" width="13.140625" customWidth="1"/>
    <col min="5" max="5" width="9.28515625" customWidth="1"/>
    <col min="6" max="6" width="16.7109375" customWidth="1"/>
    <col min="7" max="7" width="8.7109375" customWidth="1"/>
    <col min="8" max="8" width="16.7109375" customWidth="1"/>
  </cols>
  <sheetData>
    <row r="1" spans="1:8" ht="42.75" customHeight="1" x14ac:dyDescent="0.25">
      <c r="A1" s="13"/>
      <c r="B1" s="13"/>
      <c r="C1" s="79" t="s">
        <v>260</v>
      </c>
      <c r="D1" s="443" t="s">
        <v>261</v>
      </c>
      <c r="E1" s="443"/>
      <c r="F1" s="453" t="s">
        <v>223</v>
      </c>
      <c r="G1" s="453"/>
      <c r="H1" s="453"/>
    </row>
    <row r="2" spans="1:8" ht="9.75" customHeight="1" x14ac:dyDescent="0.25"/>
    <row r="3" spans="1:8" ht="22.9" customHeight="1" x14ac:dyDescent="0.25">
      <c r="A3" s="444" t="s">
        <v>262</v>
      </c>
      <c r="B3" s="444"/>
      <c r="C3" s="402" t="s">
        <v>263</v>
      </c>
      <c r="D3" s="464" t="s">
        <v>264</v>
      </c>
      <c r="E3" s="464"/>
      <c r="F3" s="454" t="s">
        <v>265</v>
      </c>
      <c r="G3" s="454"/>
      <c r="H3" s="7" t="s">
        <v>266</v>
      </c>
    </row>
    <row r="4" spans="1:8" ht="15" customHeight="1" x14ac:dyDescent="0.25">
      <c r="A4" s="468" t="s">
        <v>267</v>
      </c>
      <c r="B4" s="468"/>
      <c r="C4" s="402" t="s">
        <v>268</v>
      </c>
      <c r="D4" s="464">
        <v>3005192319</v>
      </c>
      <c r="E4" s="464"/>
      <c r="F4" s="454" t="s">
        <v>228</v>
      </c>
      <c r="G4" s="454"/>
      <c r="H4" s="32">
        <v>44511</v>
      </c>
    </row>
    <row r="5" spans="1:8" ht="15" customHeight="1" x14ac:dyDescent="0.25">
      <c r="A5" s="468"/>
      <c r="B5" s="468"/>
      <c r="C5" s="454" t="s">
        <v>269</v>
      </c>
      <c r="D5" s="464" t="s">
        <v>270</v>
      </c>
      <c r="E5" s="464"/>
      <c r="F5" s="454" t="s">
        <v>271</v>
      </c>
      <c r="G5" s="454"/>
      <c r="H5" s="455" t="s">
        <v>272</v>
      </c>
    </row>
    <row r="6" spans="1:8" x14ac:dyDescent="0.25">
      <c r="C6" s="454"/>
      <c r="D6" s="464"/>
      <c r="E6" s="464"/>
      <c r="F6" s="454"/>
      <c r="G6" s="454"/>
      <c r="H6" s="455"/>
    </row>
    <row r="7" spans="1:8" ht="15.75" thickBot="1" x14ac:dyDescent="0.3">
      <c r="A7" s="469" t="s">
        <v>273</v>
      </c>
      <c r="B7" s="469"/>
      <c r="C7" s="454"/>
      <c r="D7" s="464"/>
      <c r="E7" s="464"/>
      <c r="F7" s="454" t="s">
        <v>2</v>
      </c>
      <c r="G7" s="454"/>
      <c r="H7" s="3" t="s">
        <v>231</v>
      </c>
    </row>
    <row r="8" spans="1:8" ht="28.9" customHeight="1" x14ac:dyDescent="0.25">
      <c r="A8" s="27" t="s">
        <v>237</v>
      </c>
      <c r="B8" s="470" t="s">
        <v>111</v>
      </c>
      <c r="C8" s="470"/>
      <c r="D8" s="470"/>
      <c r="E8" s="28" t="s">
        <v>274</v>
      </c>
      <c r="F8" s="457">
        <v>900709916</v>
      </c>
      <c r="G8" s="457"/>
      <c r="H8" s="458"/>
    </row>
    <row r="9" spans="1:8" ht="35.25" customHeight="1" x14ac:dyDescent="0.25">
      <c r="A9" s="29" t="s">
        <v>269</v>
      </c>
      <c r="B9" s="471" t="s">
        <v>275</v>
      </c>
      <c r="C9" s="471"/>
      <c r="D9" s="471"/>
      <c r="E9" s="14" t="s">
        <v>276</v>
      </c>
      <c r="F9" s="459">
        <v>9431111</v>
      </c>
      <c r="G9" s="459"/>
      <c r="H9" s="460"/>
    </row>
    <row r="10" spans="1:8" ht="39.75" customHeight="1" x14ac:dyDescent="0.25">
      <c r="A10" s="30" t="s">
        <v>241</v>
      </c>
      <c r="B10" s="472" t="s">
        <v>277</v>
      </c>
      <c r="C10" s="472"/>
      <c r="D10" s="472"/>
      <c r="E10" s="8" t="s">
        <v>240</v>
      </c>
      <c r="F10" s="461" t="s">
        <v>278</v>
      </c>
      <c r="G10" s="462"/>
      <c r="H10" s="463"/>
    </row>
    <row r="11" spans="1:8" ht="15.75" thickBot="1" x14ac:dyDescent="0.3">
      <c r="A11" s="9"/>
      <c r="B11" s="9"/>
    </row>
    <row r="12" spans="1:8" ht="15.75" thickBot="1" x14ac:dyDescent="0.3">
      <c r="A12" s="10" t="s">
        <v>279</v>
      </c>
      <c r="B12" s="405" t="s">
        <v>15</v>
      </c>
      <c r="C12" s="466" t="s">
        <v>244</v>
      </c>
      <c r="D12" s="466"/>
      <c r="E12" s="405" t="s">
        <v>245</v>
      </c>
      <c r="F12" s="405" t="s">
        <v>246</v>
      </c>
      <c r="G12" s="405" t="s">
        <v>280</v>
      </c>
      <c r="H12" s="11" t="s">
        <v>281</v>
      </c>
    </row>
    <row r="13" spans="1:8" ht="56.25" customHeight="1" thickBot="1" x14ac:dyDescent="0.3">
      <c r="A13" s="149" t="s">
        <v>282</v>
      </c>
      <c r="B13" s="33" t="s">
        <v>16</v>
      </c>
      <c r="C13" s="465" t="s">
        <v>283</v>
      </c>
      <c r="D13" s="465"/>
      <c r="E13" s="309">
        <v>21</v>
      </c>
      <c r="F13" s="303">
        <v>25000</v>
      </c>
      <c r="G13" s="302"/>
      <c r="H13" s="304">
        <f>+E13*F13</f>
        <v>525000</v>
      </c>
    </row>
    <row r="14" spans="1:8" ht="56.25" customHeight="1" thickBot="1" x14ac:dyDescent="0.3">
      <c r="A14" s="150"/>
      <c r="B14" s="33"/>
      <c r="C14" s="465"/>
      <c r="D14" s="465"/>
      <c r="E14" s="305"/>
      <c r="F14" s="303"/>
      <c r="G14" s="305"/>
      <c r="H14" s="304"/>
    </row>
    <row r="15" spans="1:8" ht="42" customHeight="1" thickBot="1" x14ac:dyDescent="0.3">
      <c r="A15" s="151"/>
      <c r="B15" s="33"/>
      <c r="C15" s="465"/>
      <c r="D15" s="465"/>
      <c r="E15" s="306"/>
      <c r="F15" s="303"/>
      <c r="G15" s="306"/>
      <c r="H15" s="304">
        <f>+E15*F15</f>
        <v>0</v>
      </c>
    </row>
    <row r="16" spans="1:8" ht="37.9" customHeight="1" x14ac:dyDescent="0.25">
      <c r="A16" s="151"/>
      <c r="B16" s="33"/>
      <c r="C16" s="465"/>
      <c r="D16" s="465"/>
      <c r="E16" s="306"/>
      <c r="F16" s="303"/>
      <c r="G16" s="306"/>
      <c r="H16" s="304">
        <f>+E16*F16</f>
        <v>0</v>
      </c>
    </row>
    <row r="17" spans="1:8" ht="22.9" customHeight="1" x14ac:dyDescent="0.25">
      <c r="A17" s="35"/>
      <c r="B17" s="33"/>
      <c r="C17" s="465"/>
      <c r="D17" s="465"/>
      <c r="E17" s="306"/>
      <c r="F17" s="303"/>
      <c r="G17" s="306"/>
      <c r="H17" s="304">
        <f>+E17*F17</f>
        <v>0</v>
      </c>
    </row>
    <row r="18" spans="1:8" ht="21.6" customHeight="1" x14ac:dyDescent="0.25">
      <c r="A18" s="34"/>
      <c r="B18" s="36"/>
      <c r="C18" s="465"/>
      <c r="D18" s="465"/>
      <c r="E18" s="305"/>
      <c r="F18" s="305"/>
      <c r="G18" s="305"/>
      <c r="H18" s="307"/>
    </row>
    <row r="19" spans="1:8" x14ac:dyDescent="0.25">
      <c r="A19" s="12"/>
      <c r="B19" s="12"/>
      <c r="C19" s="12"/>
      <c r="D19" s="12"/>
      <c r="E19" s="308"/>
      <c r="F19" s="400"/>
      <c r="G19" s="308"/>
      <c r="H19" s="400"/>
    </row>
    <row r="20" spans="1:8" ht="14.45" customHeight="1" x14ac:dyDescent="0.25">
      <c r="A20" s="467" t="s">
        <v>250</v>
      </c>
      <c r="B20" s="467"/>
      <c r="C20" s="467"/>
      <c r="D20" s="467"/>
      <c r="E20" s="450" t="s">
        <v>251</v>
      </c>
      <c r="F20" s="450"/>
      <c r="G20" s="431">
        <f>SUM(H13:H18)</f>
        <v>525000</v>
      </c>
      <c r="H20" s="431"/>
    </row>
    <row r="21" spans="1:8" x14ac:dyDescent="0.25">
      <c r="A21" s="467"/>
      <c r="B21" s="467"/>
      <c r="C21" s="467"/>
      <c r="D21" s="467"/>
      <c r="E21" s="447" t="s">
        <v>252</v>
      </c>
      <c r="F21" s="447"/>
      <c r="G21" s="435">
        <f>SUM(G13:G18)</f>
        <v>0</v>
      </c>
      <c r="H21" s="435"/>
    </row>
    <row r="22" spans="1:8" x14ac:dyDescent="0.25">
      <c r="A22" s="467"/>
      <c r="B22" s="467"/>
      <c r="C22" s="467"/>
      <c r="D22" s="467"/>
      <c r="E22" s="447" t="s">
        <v>253</v>
      </c>
      <c r="F22" s="447"/>
      <c r="G22" s="435">
        <v>0</v>
      </c>
      <c r="H22" s="435"/>
    </row>
    <row r="23" spans="1:8" ht="8.4499999999999993" customHeight="1" x14ac:dyDescent="0.25">
      <c r="A23" s="467"/>
      <c r="B23" s="467"/>
      <c r="C23" s="467"/>
      <c r="D23" s="467"/>
      <c r="E23" s="448"/>
      <c r="F23" s="448"/>
      <c r="G23" s="429"/>
      <c r="H23" s="429"/>
    </row>
    <row r="24" spans="1:8" x14ac:dyDescent="0.25">
      <c r="A24" s="31"/>
      <c r="B24" s="31"/>
      <c r="C24" s="31"/>
      <c r="D24" s="31"/>
      <c r="E24" s="450" t="s">
        <v>254</v>
      </c>
      <c r="F24" s="450"/>
      <c r="G24" s="431">
        <f>SUM(G20,-G21,G22)</f>
        <v>525000</v>
      </c>
      <c r="H24" s="431"/>
    </row>
    <row r="25" spans="1:8" x14ac:dyDescent="0.25">
      <c r="A25" s="451" t="s">
        <v>255</v>
      </c>
      <c r="B25" s="452"/>
      <c r="C25" s="452"/>
      <c r="D25" s="452"/>
      <c r="E25" s="447" t="s">
        <v>256</v>
      </c>
      <c r="F25" s="447"/>
      <c r="G25" s="456">
        <v>99750</v>
      </c>
      <c r="H25" s="456"/>
    </row>
    <row r="26" spans="1:8" ht="15" customHeight="1" x14ac:dyDescent="0.25">
      <c r="A26" s="473" t="s">
        <v>284</v>
      </c>
      <c r="B26" s="473"/>
      <c r="C26" s="473"/>
      <c r="D26" s="473"/>
      <c r="E26" s="447" t="s">
        <v>257</v>
      </c>
      <c r="F26" s="447"/>
      <c r="G26" s="435">
        <v>0</v>
      </c>
      <c r="H26" s="435"/>
    </row>
    <row r="27" spans="1:8" ht="7.15" customHeight="1" x14ac:dyDescent="0.25">
      <c r="A27" s="473"/>
      <c r="B27" s="473"/>
      <c r="C27" s="473"/>
      <c r="D27" s="473"/>
      <c r="E27" s="448"/>
      <c r="F27" s="448"/>
      <c r="G27" s="429"/>
      <c r="H27" s="429"/>
    </row>
    <row r="28" spans="1:8" ht="15.75" thickBot="1" x14ac:dyDescent="0.3">
      <c r="A28" s="5"/>
      <c r="B28" s="5"/>
      <c r="C28" s="5"/>
      <c r="D28" s="5"/>
      <c r="E28" s="449" t="s">
        <v>258</v>
      </c>
      <c r="F28" s="449"/>
      <c r="G28" s="442">
        <f>SUM(G24:H26)</f>
        <v>624750</v>
      </c>
      <c r="H28" s="442"/>
    </row>
    <row r="29" spans="1:8" ht="29.45" customHeight="1" thickTop="1" thickBot="1" x14ac:dyDescent="0.3">
      <c r="A29" s="446"/>
      <c r="B29" s="446"/>
      <c r="C29" s="446"/>
      <c r="D29" s="446"/>
      <c r="E29" s="445" t="s">
        <v>259</v>
      </c>
      <c r="F29" s="445"/>
      <c r="G29" s="439">
        <f>G28</f>
        <v>624750</v>
      </c>
      <c r="H29" s="439"/>
    </row>
    <row r="30" spans="1:8" ht="15.75" thickTop="1" x14ac:dyDescent="0.25">
      <c r="A30" s="9"/>
      <c r="B30" s="9"/>
    </row>
    <row r="31" spans="1:8" x14ac:dyDescent="0.25">
      <c r="A31" s="9"/>
      <c r="B31" s="9"/>
    </row>
    <row r="32" spans="1:8" x14ac:dyDescent="0.25">
      <c r="A32" s="9"/>
      <c r="B32" s="9"/>
    </row>
    <row r="33" spans="1:5" ht="15.75" thickBot="1" x14ac:dyDescent="0.3">
      <c r="A33" s="15"/>
      <c r="B33" s="15"/>
      <c r="C33" s="15"/>
      <c r="D33" s="15"/>
      <c r="E33" s="39"/>
    </row>
    <row r="34" spans="1:5" ht="15.75" thickTop="1" x14ac:dyDescent="0.25">
      <c r="A34" s="474" t="s">
        <v>285</v>
      </c>
      <c r="B34" s="474"/>
      <c r="C34" s="474"/>
      <c r="D34" s="474"/>
      <c r="E34" s="475"/>
    </row>
    <row r="35" spans="1:5" ht="15" customHeight="1" x14ac:dyDescent="0.25">
      <c r="A35" s="474" t="s">
        <v>286</v>
      </c>
      <c r="B35" s="474"/>
      <c r="C35" s="474"/>
      <c r="D35" s="474"/>
      <c r="E35" s="475"/>
    </row>
  </sheetData>
  <mergeCells count="54">
    <mergeCell ref="E23:F23"/>
    <mergeCell ref="A26:D27"/>
    <mergeCell ref="A34:D34"/>
    <mergeCell ref="A35:D35"/>
    <mergeCell ref="E34:E35"/>
    <mergeCell ref="C17:D17"/>
    <mergeCell ref="C18:D18"/>
    <mergeCell ref="C14:D14"/>
    <mergeCell ref="A20:D23"/>
    <mergeCell ref="A4:B5"/>
    <mergeCell ref="A7:B7"/>
    <mergeCell ref="B8:D8"/>
    <mergeCell ref="B9:D9"/>
    <mergeCell ref="B10:D10"/>
    <mergeCell ref="C15:D15"/>
    <mergeCell ref="C16:D16"/>
    <mergeCell ref="D3:E3"/>
    <mergeCell ref="D4:E4"/>
    <mergeCell ref="D5:E7"/>
    <mergeCell ref="C13:D13"/>
    <mergeCell ref="C5:C7"/>
    <mergeCell ref="C12:D12"/>
    <mergeCell ref="F4:G4"/>
    <mergeCell ref="H5:H6"/>
    <mergeCell ref="F5:G6"/>
    <mergeCell ref="G28:H28"/>
    <mergeCell ref="F7:G7"/>
    <mergeCell ref="E25:F25"/>
    <mergeCell ref="G25:H25"/>
    <mergeCell ref="E20:F20"/>
    <mergeCell ref="G20:H20"/>
    <mergeCell ref="E21:F21"/>
    <mergeCell ref="G21:H21"/>
    <mergeCell ref="F8:H8"/>
    <mergeCell ref="F9:H9"/>
    <mergeCell ref="F10:H10"/>
    <mergeCell ref="E22:F22"/>
    <mergeCell ref="G22:H22"/>
    <mergeCell ref="D1:E1"/>
    <mergeCell ref="A3:B3"/>
    <mergeCell ref="E29:F29"/>
    <mergeCell ref="G29:H29"/>
    <mergeCell ref="A29:D29"/>
    <mergeCell ref="E26:F26"/>
    <mergeCell ref="G26:H26"/>
    <mergeCell ref="E27:F27"/>
    <mergeCell ref="G27:H27"/>
    <mergeCell ref="E28:F28"/>
    <mergeCell ref="G23:H23"/>
    <mergeCell ref="E24:F24"/>
    <mergeCell ref="G24:H24"/>
    <mergeCell ref="A25:D25"/>
    <mergeCell ref="F1:H1"/>
    <mergeCell ref="F3:G3"/>
  </mergeCells>
  <dataValidations count="1">
    <dataValidation type="list" allowBlank="1" showInputMessage="1" showErrorMessage="1" sqref="H3" xr:uid="{42DE292C-1C44-47F1-8025-FAC2414347F3}">
      <formula1>proforma</formula1>
    </dataValidation>
  </dataValidations>
  <pageMargins left="0.43307086614173229" right="0.27559055118110237" top="0.62992125984251968" bottom="0.47244094488188981" header="0.31496062992125984" footer="0.31496062992125984"/>
  <pageSetup paperSize="303" scale="85" orientation="portrait" r:id="rId1"/>
  <ignoredErrors>
    <ignoredError sqref="H13 H15:H17" numberStoredAsText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ED96B-4F97-4FF8-98B7-2119E1A51DC3}">
  <sheetPr codeName="Hoja3"/>
  <dimension ref="A1:K718"/>
  <sheetViews>
    <sheetView showGridLines="0" zoomScale="94" zoomScaleNormal="94" workbookViewId="0">
      <selection activeCell="C4" sqref="C4"/>
    </sheetView>
  </sheetViews>
  <sheetFormatPr baseColWidth="10" defaultColWidth="10.7109375" defaultRowHeight="15" x14ac:dyDescent="0.25"/>
  <cols>
    <col min="2" max="2" width="11.42578125"/>
    <col min="3" max="3" width="16.85546875" bestFit="1" customWidth="1"/>
    <col min="5" max="5" width="12.85546875" customWidth="1"/>
    <col min="6" max="6" width="61.85546875" bestFit="1" customWidth="1"/>
    <col min="7" max="7" width="35.7109375" customWidth="1"/>
    <col min="13" max="13" width="11.85546875" bestFit="1" customWidth="1"/>
  </cols>
  <sheetData>
    <row r="1" spans="1:8" x14ac:dyDescent="0.25">
      <c r="A1" s="69" t="s">
        <v>287</v>
      </c>
      <c r="B1" s="69" t="s">
        <v>288</v>
      </c>
      <c r="C1" s="69" t="s">
        <v>289</v>
      </c>
      <c r="D1" s="69" t="s">
        <v>290</v>
      </c>
      <c r="E1" s="69" t="s">
        <v>291</v>
      </c>
      <c r="F1" s="69" t="s">
        <v>292</v>
      </c>
      <c r="G1" s="69" t="s">
        <v>293</v>
      </c>
      <c r="H1" s="69" t="s">
        <v>294</v>
      </c>
    </row>
    <row r="2" spans="1:8" hidden="1" x14ac:dyDescent="0.25">
      <c r="A2" s="3">
        <v>110</v>
      </c>
      <c r="B2" s="327">
        <v>43839</v>
      </c>
      <c r="C2" s="249">
        <v>1713600</v>
      </c>
      <c r="D2" s="3" t="str">
        <f>VLOOKUP(A2,Facturas!A:P,2,0)</f>
        <v>P-1098</v>
      </c>
      <c r="E2" s="3" t="str">
        <f>VLOOKUP(A2,Facturas!A:P,4,0)</f>
        <v>TIS-1098</v>
      </c>
      <c r="F2" t="str">
        <f>VLOOKUP(A2,Facturas!A:P,8,0)</f>
        <v>MASTERLINE COLOMBIA SOCIEDAD POR ACCIONES SIMPLIFICADA</v>
      </c>
      <c r="H2">
        <f>YEAR(Tabla1[[#This Row],[Fecha]])</f>
        <v>2020</v>
      </c>
    </row>
    <row r="3" spans="1:8" hidden="1" x14ac:dyDescent="0.25">
      <c r="A3" s="3">
        <v>70</v>
      </c>
      <c r="B3" s="360">
        <v>43865</v>
      </c>
      <c r="C3" s="249">
        <v>666400</v>
      </c>
      <c r="D3" s="3" t="str">
        <f>VLOOKUP(A3,Facturas!A:P,2,0)</f>
        <v>P-1058</v>
      </c>
      <c r="E3" s="3" t="str">
        <f>VLOOKUP(A3,Facturas!A:P,4,0)</f>
        <v>T-147</v>
      </c>
      <c r="F3" t="str">
        <f>VLOOKUP(A3,Facturas!A:P,8,0)</f>
        <v>Arrigui Asociados SAS</v>
      </c>
      <c r="H3">
        <f>YEAR(Tabla1[[#This Row],[Fecha]])</f>
        <v>2020</v>
      </c>
    </row>
    <row r="4" spans="1:8" hidden="1" x14ac:dyDescent="0.25">
      <c r="A4" s="3">
        <v>16</v>
      </c>
      <c r="B4" s="360">
        <v>44197</v>
      </c>
      <c r="C4" s="250">
        <v>2000000</v>
      </c>
      <c r="D4" s="3" t="str">
        <f>VLOOKUP(A4,Facturas!A:P,2,0)</f>
        <v>P-1018</v>
      </c>
      <c r="E4" s="3" t="str">
        <f>VLOOKUP(A4,Facturas!A:P,4,0)</f>
        <v>TIS-1012</v>
      </c>
      <c r="F4" t="str">
        <f>VLOOKUP(A4,Facturas!A:P,8,0)</f>
        <v>INDU B SAS</v>
      </c>
      <c r="H4">
        <f>YEAR(Tabla1[[#This Row],[Fecha]])</f>
        <v>2021</v>
      </c>
    </row>
    <row r="5" spans="1:8" hidden="1" x14ac:dyDescent="0.25">
      <c r="A5" s="3">
        <v>26</v>
      </c>
      <c r="B5" s="360">
        <v>44202</v>
      </c>
      <c r="C5" s="250">
        <v>1197579</v>
      </c>
      <c r="D5" s="3" t="str">
        <f>VLOOKUP(A5,Facturas!A:P,2,0)</f>
        <v>P-1023</v>
      </c>
      <c r="E5" s="3" t="str">
        <f>VLOOKUP(A5,Facturas!A:P,4,0)</f>
        <v>TIS-1006</v>
      </c>
      <c r="F5" t="str">
        <f>VLOOKUP(A5,Facturas!A:P,8,0)</f>
        <v>ASEO MOVIL URBANO SAS</v>
      </c>
      <c r="H5">
        <f>YEAR(Tabla1[[#This Row],[Fecha]])</f>
        <v>2021</v>
      </c>
    </row>
    <row r="6" spans="1:8" hidden="1" x14ac:dyDescent="0.25">
      <c r="A6" s="3">
        <v>4</v>
      </c>
      <c r="B6" s="360">
        <v>44221</v>
      </c>
      <c r="C6" s="249">
        <v>321300</v>
      </c>
      <c r="D6" s="3" t="str">
        <f>VLOOKUP(A6,Facturas!A:P,2,0)</f>
        <v>TIS-1007</v>
      </c>
      <c r="E6" s="3" t="str">
        <f>VLOOKUP(A6,Facturas!A:P,4,0)</f>
        <v>TIS-1008</v>
      </c>
      <c r="F6" t="str">
        <f>VLOOKUP(A6,Facturas!A:P,8,0)</f>
        <v>Constructora Conconcreto S.A.</v>
      </c>
      <c r="H6">
        <f>YEAR(Tabla1[[#This Row],[Fecha]])</f>
        <v>2021</v>
      </c>
    </row>
    <row r="7" spans="1:8" hidden="1" x14ac:dyDescent="0.25">
      <c r="A7" s="3">
        <v>1</v>
      </c>
      <c r="B7" s="360">
        <v>44244</v>
      </c>
      <c r="C7" s="249">
        <v>285600</v>
      </c>
      <c r="D7" s="3" t="str">
        <f>VLOOKUP(A7,Facturas!A:P,2,0)</f>
        <v>TIS-1008</v>
      </c>
      <c r="E7" s="3" t="str">
        <f>VLOOKUP(A7,Facturas!A:P,4,0)</f>
        <v>TIS-1010</v>
      </c>
      <c r="F7" t="str">
        <f>VLOOKUP(A7,Facturas!A:P,8,0)</f>
        <v>Soluciones Avanzadas de Ingeniería SAS</v>
      </c>
      <c r="H7">
        <f>YEAR(Tabla1[[#This Row],[Fecha]])</f>
        <v>2021</v>
      </c>
    </row>
    <row r="8" spans="1:8" hidden="1" x14ac:dyDescent="0.25">
      <c r="A8" s="3">
        <v>5</v>
      </c>
      <c r="B8" s="360">
        <v>44249</v>
      </c>
      <c r="C8" s="251">
        <v>750000</v>
      </c>
      <c r="D8" s="3" t="str">
        <f>VLOOKUP(A8,Facturas!A:P,2,0)</f>
        <v>TIS-1009</v>
      </c>
      <c r="E8" s="3" t="str">
        <f>VLOOKUP(A8,Facturas!A:P,4,0)</f>
        <v>TIS-1024</v>
      </c>
      <c r="F8" t="str">
        <f>VLOOKUP(A8,Facturas!A:P,8,0)</f>
        <v>Diana Sirley Torres Escalona</v>
      </c>
      <c r="H8">
        <f>YEAR(Tabla1[[#This Row],[Fecha]])</f>
        <v>2021</v>
      </c>
    </row>
    <row r="9" spans="1:8" hidden="1" x14ac:dyDescent="0.25">
      <c r="A9" s="3">
        <v>6</v>
      </c>
      <c r="B9" s="360">
        <v>44249</v>
      </c>
      <c r="C9" s="249">
        <v>935100</v>
      </c>
      <c r="D9" s="3" t="str">
        <f>VLOOKUP(A9,Facturas!A:P,2,0)</f>
        <v>TIS-1011</v>
      </c>
      <c r="E9" s="3" t="str">
        <f>VLOOKUP(A9,Facturas!A:P,4,0)</f>
        <v>TIS-1009</v>
      </c>
      <c r="F9" t="str">
        <f>VLOOKUP(A9,Facturas!A:P,8,0)</f>
        <v>William Hurtado</v>
      </c>
      <c r="H9">
        <f>YEAR(Tabla1[[#This Row],[Fecha]])</f>
        <v>2021</v>
      </c>
    </row>
    <row r="10" spans="1:8" hidden="1" x14ac:dyDescent="0.25">
      <c r="A10" s="3">
        <v>1</v>
      </c>
      <c r="B10" s="360">
        <v>44260</v>
      </c>
      <c r="C10" s="249">
        <v>228163</v>
      </c>
      <c r="D10" s="3" t="str">
        <f>VLOOKUP(A10,Facturas!A:P,2,0)</f>
        <v>TIS-1008</v>
      </c>
      <c r="E10" s="3" t="str">
        <f>VLOOKUP(A10,Facturas!A:P,4,0)</f>
        <v>TIS-1010</v>
      </c>
      <c r="F10" t="str">
        <f>VLOOKUP(A10,Facturas!A:P,8,0)</f>
        <v>Soluciones Avanzadas de Ingeniería SAS</v>
      </c>
      <c r="H10">
        <f>YEAR(Tabla1[[#This Row],[Fecha]])</f>
        <v>2021</v>
      </c>
    </row>
    <row r="11" spans="1:8" hidden="1" x14ac:dyDescent="0.25">
      <c r="A11" s="3">
        <v>7</v>
      </c>
      <c r="B11" s="360">
        <v>44260</v>
      </c>
      <c r="C11" s="249">
        <v>338027</v>
      </c>
      <c r="D11" s="3" t="str">
        <f>VLOOKUP(A11,Facturas!A:P,2,0)</f>
        <v>TIS-1012</v>
      </c>
      <c r="E11" s="3" t="str">
        <f>VLOOKUP(A11,Facturas!A:P,4,0)</f>
        <v>TIS-1016</v>
      </c>
      <c r="F11" t="str">
        <f>VLOOKUP(A11,Facturas!A:P,8,0)</f>
        <v>Consorcio Sistem IM3</v>
      </c>
      <c r="H11">
        <f>YEAR(Tabla1[[#This Row],[Fecha]])</f>
        <v>2021</v>
      </c>
    </row>
    <row r="12" spans="1:8" hidden="1" x14ac:dyDescent="0.25">
      <c r="A12" s="3">
        <v>8</v>
      </c>
      <c r="B12" s="360">
        <v>44263</v>
      </c>
      <c r="C12" s="249">
        <v>250000</v>
      </c>
      <c r="D12" s="3" t="str">
        <f>VLOOKUP(A12,Facturas!A:P,2,0)</f>
        <v>TIS-1013</v>
      </c>
      <c r="E12" s="3" t="str">
        <f>VLOOKUP(A12,Facturas!A:P,4,0)</f>
        <v>TIS-1013</v>
      </c>
      <c r="F12" t="str">
        <f>VLOOKUP(A12,Facturas!A:P,8,0)</f>
        <v>ANKER CONSULTORIA Y CONSTRUCCION S A S</v>
      </c>
      <c r="H12">
        <f>YEAR(Tabla1[[#This Row],[Fecha]])</f>
        <v>2021</v>
      </c>
    </row>
    <row r="13" spans="1:8" hidden="1" x14ac:dyDescent="0.25">
      <c r="A13" s="3">
        <v>9</v>
      </c>
      <c r="B13" s="360">
        <v>44267</v>
      </c>
      <c r="C13" s="250">
        <v>330848</v>
      </c>
      <c r="D13" s="3" t="str">
        <f>VLOOKUP(A13,Facturas!A:P,2,0)</f>
        <v>P-1019</v>
      </c>
      <c r="E13" s="3" t="str">
        <f>VLOOKUP(A13,Facturas!A:P,4,0)</f>
        <v>TIS-1011</v>
      </c>
      <c r="F13" t="str">
        <f>VLOOKUP(A13,Facturas!A:P,8,0)</f>
        <v>CONSTRUCCIONES Y SERVICIOS HERMAQUINAS LTDA</v>
      </c>
      <c r="H13">
        <f>YEAR(Tabla1[[#This Row],[Fecha]])</f>
        <v>2021</v>
      </c>
    </row>
    <row r="14" spans="1:8" hidden="1" x14ac:dyDescent="0.25">
      <c r="A14" s="3">
        <v>9</v>
      </c>
      <c r="B14" s="360">
        <v>44270</v>
      </c>
      <c r="C14" s="250">
        <v>162400</v>
      </c>
      <c r="D14" s="3" t="str">
        <f>VLOOKUP(A14,Facturas!A:P,2,0)</f>
        <v>P-1019</v>
      </c>
      <c r="E14" s="3" t="str">
        <f>VLOOKUP(A14,Facturas!A:P,4,0)</f>
        <v>TIS-1011</v>
      </c>
      <c r="F14" t="str">
        <f>VLOOKUP(A14,Facturas!A:P,8,0)</f>
        <v>CONSTRUCCIONES Y SERVICIOS HERMAQUINAS LTDA</v>
      </c>
      <c r="H14">
        <f>YEAR(Tabla1[[#This Row],[Fecha]])</f>
        <v>2021</v>
      </c>
    </row>
    <row r="15" spans="1:8" hidden="1" x14ac:dyDescent="0.25">
      <c r="A15" s="3">
        <v>11</v>
      </c>
      <c r="B15" s="360">
        <v>44274</v>
      </c>
      <c r="C15" s="249">
        <v>196350</v>
      </c>
      <c r="D15" s="3" t="str">
        <f>VLOOKUP(A15,Facturas!A:P,2,0)</f>
        <v>TIS-1015</v>
      </c>
      <c r="E15" s="3" t="str">
        <f>VLOOKUP(A15,Facturas!A:P,4,0)</f>
        <v>TIS-1018</v>
      </c>
      <c r="F15" t="str">
        <f>VLOOKUP(A15,Facturas!A:P,8,0)</f>
        <v>CONSTRUCCIONES MONTAJES Y PARTES Electricas SAS</v>
      </c>
      <c r="H15">
        <f>YEAR(Tabla1[[#This Row],[Fecha]])</f>
        <v>2021</v>
      </c>
    </row>
    <row r="16" spans="1:8" hidden="1" x14ac:dyDescent="0.25">
      <c r="A16" s="3">
        <v>12</v>
      </c>
      <c r="B16" s="360">
        <v>44274</v>
      </c>
      <c r="C16" s="252">
        <v>0</v>
      </c>
      <c r="D16" s="3">
        <f>VLOOKUP(A16,Facturas!A:P,2,0)</f>
        <v>0</v>
      </c>
      <c r="E16" s="3" t="str">
        <f>VLOOKUP(A16,Facturas!A:P,4,0)</f>
        <v>NC2</v>
      </c>
      <c r="F16" t="str">
        <f>VLOOKUP(A16,Facturas!A:P,8,0)</f>
        <v>INDU B SAS</v>
      </c>
      <c r="H16">
        <f>YEAR(Tabla1[[#This Row],[Fecha]])</f>
        <v>2021</v>
      </c>
    </row>
    <row r="17" spans="1:11" hidden="1" x14ac:dyDescent="0.25">
      <c r="A17" s="3">
        <v>10</v>
      </c>
      <c r="B17" s="360">
        <v>44280</v>
      </c>
      <c r="C17" s="250">
        <v>1400000</v>
      </c>
      <c r="D17" s="3" t="str">
        <f>VLOOKUP(A17,Facturas!A:P,2,0)</f>
        <v>TIS-1014</v>
      </c>
      <c r="E17" s="3" t="str">
        <f>VLOOKUP(A17,Facturas!A:P,4,0)</f>
        <v>TIS-1019</v>
      </c>
      <c r="F17" t="str">
        <f>VLOOKUP(A17,Facturas!A:P,8,0)</f>
        <v>CORPORACION CLUB PAYANDÉ</v>
      </c>
      <c r="H17">
        <f>YEAR(Tabla1[[#This Row],[Fecha]])</f>
        <v>2021</v>
      </c>
    </row>
    <row r="18" spans="1:11" hidden="1" x14ac:dyDescent="0.25">
      <c r="A18" s="3">
        <v>13</v>
      </c>
      <c r="B18" s="360">
        <v>44280</v>
      </c>
      <c r="C18" s="249">
        <v>343392</v>
      </c>
      <c r="D18" s="3" t="str">
        <f>VLOOKUP(A18,Facturas!A:P,2,0)</f>
        <v>TIS-1016</v>
      </c>
      <c r="E18" s="3" t="str">
        <f>VLOOKUP(A18,Facturas!A:P,4,0)</f>
        <v>TIS-1014</v>
      </c>
      <c r="F18" t="str">
        <f>VLOOKUP(A18,Facturas!A:P,8,0)</f>
        <v xml:space="preserve">EUROMETRIC COLOMBIA LTDA </v>
      </c>
      <c r="H18">
        <f>YEAR(Tabla1[[#This Row],[Fecha]])</f>
        <v>2021</v>
      </c>
      <c r="K18" s="156"/>
    </row>
    <row r="19" spans="1:11" hidden="1" x14ac:dyDescent="0.25">
      <c r="A19" s="3">
        <v>11</v>
      </c>
      <c r="B19" s="360">
        <v>44282</v>
      </c>
      <c r="C19" s="249">
        <v>157773</v>
      </c>
      <c r="D19" s="3" t="str">
        <f>VLOOKUP(A19,Facturas!A:P,2,0)</f>
        <v>TIS-1015</v>
      </c>
      <c r="E19" s="3" t="str">
        <f>VLOOKUP(A19,Facturas!A:P,4,0)</f>
        <v>TIS-1018</v>
      </c>
      <c r="F19" t="str">
        <f>VLOOKUP(A19,Facturas!A:P,8,0)</f>
        <v>CONSTRUCCIONES MONTAJES Y PARTES Electricas SAS</v>
      </c>
      <c r="H19">
        <f>YEAR(Tabla1[[#This Row],[Fecha]])</f>
        <v>2021</v>
      </c>
    </row>
    <row r="20" spans="1:11" hidden="1" x14ac:dyDescent="0.25">
      <c r="A20" s="3">
        <v>24</v>
      </c>
      <c r="B20" s="360">
        <v>44285</v>
      </c>
      <c r="C20" s="249">
        <v>595000</v>
      </c>
      <c r="D20" s="3" t="str">
        <f>VLOOKUP(A20,Facturas!A:P,2,0)</f>
        <v>P-1022</v>
      </c>
      <c r="E20" s="3" t="str">
        <f>VLOOKUP(A20,Facturas!A:P,4,0)</f>
        <v>Tis-1056</v>
      </c>
      <c r="F20" t="str">
        <f>VLOOKUP(A20,Facturas!A:P,8,0)</f>
        <v>ww pack SAS</v>
      </c>
      <c r="H20">
        <f>YEAR(Tabla1[[#This Row],[Fecha]])</f>
        <v>2021</v>
      </c>
    </row>
    <row r="21" spans="1:11" hidden="1" x14ac:dyDescent="0.25">
      <c r="A21" s="3">
        <v>14</v>
      </c>
      <c r="B21" s="360">
        <v>44286</v>
      </c>
      <c r="C21" s="249">
        <v>1650000</v>
      </c>
      <c r="D21" s="3" t="str">
        <f>VLOOKUP(A21,Facturas!A:P,2,0)</f>
        <v>TIS-1017</v>
      </c>
      <c r="E21" s="3" t="str">
        <f>VLOOKUP(A21,Facturas!A:P,4,0)</f>
        <v>Tis-1020</v>
      </c>
      <c r="F21" t="str">
        <f>VLOOKUP(A21,Facturas!A:P,8,0)</f>
        <v xml:space="preserve">Grupo consultor Andino </v>
      </c>
      <c r="H21">
        <f>YEAR(Tabla1[[#This Row],[Fecha]])</f>
        <v>2021</v>
      </c>
    </row>
    <row r="22" spans="1:11" hidden="1" x14ac:dyDescent="0.25">
      <c r="A22" s="3">
        <v>18</v>
      </c>
      <c r="B22" s="360">
        <v>44291</v>
      </c>
      <c r="C22" s="252">
        <v>0</v>
      </c>
      <c r="D22" s="3">
        <f>VLOOKUP(A22,Facturas!A:P,2,0)</f>
        <v>0</v>
      </c>
      <c r="E22" s="3" t="str">
        <f>VLOOKUP(A22,Facturas!A:P,4,0)</f>
        <v>NC3</v>
      </c>
      <c r="F22" t="str">
        <f>VLOOKUP(A22,Facturas!A:P,8,0)</f>
        <v>INDU B SAS</v>
      </c>
      <c r="H22">
        <f>YEAR(Tabla1[[#This Row],[Fecha]])</f>
        <v>2021</v>
      </c>
    </row>
    <row r="23" spans="1:11" hidden="1" x14ac:dyDescent="0.25">
      <c r="A23" s="3">
        <v>15</v>
      </c>
      <c r="B23" s="360">
        <v>44292</v>
      </c>
      <c r="C23" s="249">
        <v>400000</v>
      </c>
      <c r="D23" s="3" t="str">
        <f>VLOOKUP(A23,Facturas!A:P,2,0)</f>
        <v>TIS-1018</v>
      </c>
      <c r="E23" s="3">
        <f>VLOOKUP(A23,Facturas!A:P,4,0)</f>
        <v>0</v>
      </c>
      <c r="F23" t="str">
        <f>VLOOKUP(A23,Facturas!A:P,8,0)</f>
        <v>Claudia Vargas</v>
      </c>
      <c r="H23">
        <f>YEAR(Tabla1[[#This Row],[Fecha]])</f>
        <v>2021</v>
      </c>
    </row>
    <row r="24" spans="1:11" hidden="1" x14ac:dyDescent="0.25">
      <c r="A24" s="3">
        <v>15</v>
      </c>
      <c r="B24" s="360">
        <v>44295</v>
      </c>
      <c r="C24" s="249">
        <v>200000</v>
      </c>
      <c r="D24" s="3" t="str">
        <f>VLOOKUP(A24,Facturas!A:P,2,0)</f>
        <v>TIS-1018</v>
      </c>
      <c r="E24" s="3">
        <f>VLOOKUP(A24,Facturas!A:P,4,0)</f>
        <v>0</v>
      </c>
      <c r="F24" t="str">
        <f>VLOOKUP(A24,Facturas!A:P,8,0)</f>
        <v>Claudia Vargas</v>
      </c>
      <c r="H24">
        <f>YEAR(Tabla1[[#This Row],[Fecha]])</f>
        <v>2021</v>
      </c>
    </row>
    <row r="25" spans="1:11" hidden="1" x14ac:dyDescent="0.25">
      <c r="A25" s="3">
        <v>20</v>
      </c>
      <c r="B25" s="360">
        <v>44317</v>
      </c>
      <c r="C25" s="249">
        <v>900000</v>
      </c>
      <c r="D25" s="3" t="str">
        <f>VLOOKUP(A25,Facturas!A:P,2,0)</f>
        <v>P-1016</v>
      </c>
      <c r="E25" s="3" t="str">
        <f>VLOOKUP(A25,Facturas!A:P,4,0)</f>
        <v>TIS-1017</v>
      </c>
      <c r="F25" t="str">
        <f>VLOOKUP(A25,Facturas!A:P,8,0)</f>
        <v>Maria del Pilar Alvarado Joya</v>
      </c>
      <c r="H25">
        <f>YEAR(Tabla1[[#This Row],[Fecha]])</f>
        <v>2021</v>
      </c>
    </row>
    <row r="26" spans="1:11" hidden="1" x14ac:dyDescent="0.25">
      <c r="A26" s="3">
        <v>16</v>
      </c>
      <c r="B26" s="360">
        <v>44319</v>
      </c>
      <c r="C26" s="250">
        <v>1777312</v>
      </c>
      <c r="D26" s="3" t="str">
        <f>VLOOKUP(A26,Facturas!A:P,2,0)</f>
        <v>P-1018</v>
      </c>
      <c r="E26" s="3" t="str">
        <f>VLOOKUP(A26,Facturas!A:P,4,0)</f>
        <v>TIS-1012</v>
      </c>
      <c r="F26" t="str">
        <f>VLOOKUP(A26,Facturas!A:P,8,0)</f>
        <v>INDU B SAS</v>
      </c>
      <c r="H26">
        <f>YEAR(Tabla1[[#This Row],[Fecha]])</f>
        <v>2021</v>
      </c>
    </row>
    <row r="27" spans="1:11" hidden="1" x14ac:dyDescent="0.25">
      <c r="A27" s="3">
        <v>8</v>
      </c>
      <c r="B27" s="360">
        <v>44323</v>
      </c>
      <c r="C27" s="250">
        <v>302223</v>
      </c>
      <c r="D27" s="3" t="str">
        <f>VLOOKUP(A27,Facturas!A:P,2,0)</f>
        <v>TIS-1013</v>
      </c>
      <c r="E27" s="3" t="str">
        <f>VLOOKUP(A27,Facturas!A:P,4,0)</f>
        <v>TIS-1013</v>
      </c>
      <c r="F27" t="str">
        <f>VLOOKUP(A27,Facturas!A:P,8,0)</f>
        <v>ANKER CONSULTORIA Y CONSTRUCCION S A S</v>
      </c>
      <c r="H27">
        <f>YEAR(Tabla1[[#This Row],[Fecha]])</f>
        <v>2021</v>
      </c>
    </row>
    <row r="28" spans="1:11" hidden="1" x14ac:dyDescent="0.25">
      <c r="A28" s="3">
        <v>19</v>
      </c>
      <c r="B28" s="360">
        <v>44323</v>
      </c>
      <c r="C28" s="249">
        <v>299357</v>
      </c>
      <c r="D28" s="3" t="str">
        <f>VLOOKUP(A28,Facturas!A:P,2,0)</f>
        <v>TIS-1019</v>
      </c>
      <c r="E28" s="3" t="str">
        <f>VLOOKUP(A28,Facturas!A:P,4,0)</f>
        <v>TIS-1022</v>
      </c>
      <c r="F28" t="str">
        <f>VLOOKUP(A28,Facturas!A:P,8,0)</f>
        <v>Consorcio Sistem IM3</v>
      </c>
      <c r="H28">
        <f>YEAR(Tabla1[[#This Row],[Fecha]])</f>
        <v>2021</v>
      </c>
    </row>
    <row r="29" spans="1:11" hidden="1" x14ac:dyDescent="0.25">
      <c r="A29" s="3">
        <v>10</v>
      </c>
      <c r="B29" s="360">
        <v>44344</v>
      </c>
      <c r="C29" s="250">
        <v>1294117</v>
      </c>
      <c r="D29" s="3" t="str">
        <f>VLOOKUP(A29,Facturas!A:P,2,0)</f>
        <v>TIS-1014</v>
      </c>
      <c r="E29" s="3" t="str">
        <f>VLOOKUP(A29,Facturas!A:P,4,0)</f>
        <v>TIS-1019</v>
      </c>
      <c r="F29" t="str">
        <f>VLOOKUP(A29,Facturas!A:P,8,0)</f>
        <v>CORPORACION CLUB PAYANDÉ</v>
      </c>
      <c r="H29">
        <f>YEAR(Tabla1[[#This Row],[Fecha]])</f>
        <v>2021</v>
      </c>
    </row>
    <row r="30" spans="1:11" hidden="1" x14ac:dyDescent="0.25">
      <c r="A30" s="3">
        <v>37</v>
      </c>
      <c r="B30" s="360">
        <v>44344</v>
      </c>
      <c r="C30" s="249">
        <v>230000</v>
      </c>
      <c r="D30" s="3" t="str">
        <f>VLOOKUP(A30,Facturas!A:P,2,0)</f>
        <v>P-1039</v>
      </c>
      <c r="E30" s="3" t="str">
        <f>VLOOKUP(A30,Facturas!A:P,4,0)</f>
        <v>Tis-1042</v>
      </c>
      <c r="F30" t="str">
        <f>VLOOKUP(A30,Facturas!A:P,8,0)</f>
        <v>Comercializadora ERZ SAS</v>
      </c>
      <c r="H30">
        <f>YEAR(Tabla1[[#This Row],[Fecha]])</f>
        <v>2021</v>
      </c>
    </row>
    <row r="31" spans="1:11" hidden="1" x14ac:dyDescent="0.25">
      <c r="A31" s="3">
        <v>17</v>
      </c>
      <c r="B31" s="360">
        <v>44348</v>
      </c>
      <c r="C31" s="249">
        <v>502964</v>
      </c>
      <c r="D31" s="3" t="str">
        <f>VLOOKUP(A31,Facturas!A:P,2,0)</f>
        <v>P-1017</v>
      </c>
      <c r="E31" s="3" t="str">
        <f>VLOOKUP(A31,Facturas!A:P,4,0)</f>
        <v>TIS-1015</v>
      </c>
      <c r="F31" t="str">
        <f>VLOOKUP(A31,Facturas!A:P,8,0)</f>
        <v>Comercializadora ERZ SAS</v>
      </c>
      <c r="H31">
        <f>YEAR(Tabla1[[#This Row],[Fecha]])</f>
        <v>2021</v>
      </c>
    </row>
    <row r="32" spans="1:11" hidden="1" x14ac:dyDescent="0.25">
      <c r="A32" s="3">
        <v>22</v>
      </c>
      <c r="B32" s="360">
        <v>44359</v>
      </c>
      <c r="C32" s="249">
        <v>499800</v>
      </c>
      <c r="D32" s="3" t="str">
        <f>VLOOKUP(A32,Facturas!A:P,2,0)</f>
        <v>P-1020</v>
      </c>
      <c r="E32" s="3" t="str">
        <f>VLOOKUP(A32,Facturas!A:P,4,0)</f>
        <v>TIS-1026</v>
      </c>
      <c r="F32" t="str">
        <f>VLOOKUP(A32,Facturas!A:P,8,0)</f>
        <v>IPROMEGA S.A.S.</v>
      </c>
      <c r="H32">
        <f>YEAR(Tabla1[[#This Row],[Fecha]])</f>
        <v>2021</v>
      </c>
    </row>
    <row r="33" spans="1:8" hidden="1" x14ac:dyDescent="0.25">
      <c r="A33" s="3">
        <v>7</v>
      </c>
      <c r="B33" s="360">
        <v>44362</v>
      </c>
      <c r="C33" s="249">
        <v>-52909.599999999999</v>
      </c>
      <c r="D33" s="3" t="str">
        <f>VLOOKUP(A33,Facturas!A:P,2,0)</f>
        <v>TIS-1012</v>
      </c>
      <c r="E33" s="3" t="str">
        <f>VLOOKUP(A33,Facturas!A:P,4,0)</f>
        <v>TIS-1016</v>
      </c>
      <c r="F33" t="str">
        <f>VLOOKUP(A33,Facturas!A:P,8,0)</f>
        <v>Consorcio Sistem IM3</v>
      </c>
      <c r="G33" t="s">
        <v>295</v>
      </c>
      <c r="H33">
        <f>YEAR(Tabla1[[#This Row],[Fecha]])</f>
        <v>2021</v>
      </c>
    </row>
    <row r="34" spans="1:8" hidden="1" x14ac:dyDescent="0.25">
      <c r="A34" s="3">
        <v>27</v>
      </c>
      <c r="B34" s="360">
        <v>44368</v>
      </c>
      <c r="C34" s="249">
        <v>809200</v>
      </c>
      <c r="D34" s="3" t="str">
        <f>VLOOKUP(A34,Facturas!A:P,2,0)</f>
        <v>P-1024</v>
      </c>
      <c r="E34" s="3" t="str">
        <f>VLOOKUP(A34,Facturas!A:P,4,0)</f>
        <v>TIS-1025</v>
      </c>
      <c r="F34" t="str">
        <f>VLOOKUP(A34,Facturas!A:P,8,0)</f>
        <v xml:space="preserve">SOFTESTING SAS </v>
      </c>
      <c r="H34">
        <f>YEAR(Tabla1[[#This Row],[Fecha]])</f>
        <v>2021</v>
      </c>
    </row>
    <row r="35" spans="1:8" hidden="1" x14ac:dyDescent="0.25">
      <c r="A35" s="3">
        <v>5</v>
      </c>
      <c r="B35" s="360">
        <v>44369</v>
      </c>
      <c r="C35" s="250">
        <v>750000</v>
      </c>
      <c r="D35" s="3" t="str">
        <f>VLOOKUP(A35,Facturas!A:P,2,0)</f>
        <v>TIS-1009</v>
      </c>
      <c r="E35" s="3" t="str">
        <f>VLOOKUP(A35,Facturas!A:P,4,0)</f>
        <v>TIS-1024</v>
      </c>
      <c r="F35" t="str">
        <f>VLOOKUP(A35,Facturas!A:P,8,0)</f>
        <v>Diana Sirley Torres Escalona</v>
      </c>
      <c r="H35">
        <f>YEAR(Tabla1[[#This Row],[Fecha]])</f>
        <v>2021</v>
      </c>
    </row>
    <row r="36" spans="1:8" hidden="1" x14ac:dyDescent="0.25">
      <c r="A36" s="3">
        <v>19</v>
      </c>
      <c r="B36" s="360">
        <v>44369</v>
      </c>
      <c r="C36" s="249">
        <v>0</v>
      </c>
      <c r="D36" s="3" t="str">
        <f>VLOOKUP(A36,Facturas!A:P,2,0)</f>
        <v>TIS-1019</v>
      </c>
      <c r="E36" s="3" t="str">
        <f>VLOOKUP(A36,Facturas!A:P,4,0)</f>
        <v>TIS-1022</v>
      </c>
      <c r="F36" t="str">
        <f>VLOOKUP(A36,Facturas!A:P,8,0)</f>
        <v>Consorcio Sistem IM3</v>
      </c>
      <c r="H36">
        <f>YEAR(Tabla1[[#This Row],[Fecha]])</f>
        <v>2021</v>
      </c>
    </row>
    <row r="37" spans="1:8" hidden="1" x14ac:dyDescent="0.25">
      <c r="A37" s="3">
        <v>29</v>
      </c>
      <c r="B37" s="360">
        <v>44370</v>
      </c>
      <c r="C37" s="249">
        <v>620000</v>
      </c>
      <c r="D37" s="3" t="str">
        <f>VLOOKUP(A37,Facturas!A:P,2,0)</f>
        <v>P-1043</v>
      </c>
      <c r="E37" s="3" t="str">
        <f>VLOOKUP(A37,Facturas!A:P,4,0)</f>
        <v>Tis-1052</v>
      </c>
      <c r="F37" t="str">
        <f>VLOOKUP(A37,Facturas!A:P,8,0)</f>
        <v>SOLDMANT LTDA</v>
      </c>
      <c r="H37">
        <f>YEAR(Tabla1[[#This Row],[Fecha]])</f>
        <v>2021</v>
      </c>
    </row>
    <row r="38" spans="1:8" hidden="1" x14ac:dyDescent="0.25">
      <c r="A38" s="3">
        <v>14</v>
      </c>
      <c r="B38" s="360">
        <v>44371</v>
      </c>
      <c r="C38" s="249">
        <v>835000</v>
      </c>
      <c r="D38" s="3" t="str">
        <f>VLOOKUP(A38,Facturas!A:P,2,0)</f>
        <v>TIS-1017</v>
      </c>
      <c r="E38" s="3" t="str">
        <f>VLOOKUP(A38,Facturas!A:P,4,0)</f>
        <v>Tis-1020</v>
      </c>
      <c r="F38" t="str">
        <f>VLOOKUP(A38,Facturas!A:P,8,0)</f>
        <v xml:space="preserve">Grupo consultor Andino </v>
      </c>
      <c r="H38">
        <f>YEAR(Tabla1[[#This Row],[Fecha]])</f>
        <v>2021</v>
      </c>
    </row>
    <row r="39" spans="1:8" hidden="1" x14ac:dyDescent="0.25">
      <c r="A39" s="3">
        <v>23</v>
      </c>
      <c r="B39" s="360">
        <v>44379</v>
      </c>
      <c r="C39" s="249">
        <v>900000</v>
      </c>
      <c r="D39" s="3" t="str">
        <f>VLOOKUP(A39,Facturas!A:P,2,0)</f>
        <v>P-1021</v>
      </c>
      <c r="E39" s="3" t="str">
        <f>VLOOKUP(A39,Facturas!A:P,4,0)</f>
        <v>Tis-1030</v>
      </c>
      <c r="F39" t="str">
        <f>VLOOKUP(A39,Facturas!A:P,8,0)</f>
        <v>Maria del Pilar Alvarado Joya</v>
      </c>
      <c r="H39">
        <f>YEAR(Tabla1[[#This Row],[Fecha]])</f>
        <v>2021</v>
      </c>
    </row>
    <row r="40" spans="1:8" hidden="1" x14ac:dyDescent="0.25">
      <c r="A40" s="3">
        <v>32</v>
      </c>
      <c r="B40" s="360">
        <v>44379</v>
      </c>
      <c r="C40" s="249">
        <v>289737</v>
      </c>
      <c r="D40" s="3" t="str">
        <f>VLOOKUP(A40,Facturas!A:P,2,0)</f>
        <v>P-1025</v>
      </c>
      <c r="E40" s="3" t="str">
        <f>VLOOKUP(A40,Facturas!A:P,4,0)</f>
        <v>TIS-1029</v>
      </c>
      <c r="F40" t="str">
        <f>VLOOKUP(A40,Facturas!A:P,8,0)</f>
        <v xml:space="preserve">EUROMETRIC COLOMBIA LTDA </v>
      </c>
      <c r="H40">
        <f>YEAR(Tabla1[[#This Row],[Fecha]])</f>
        <v>2021</v>
      </c>
    </row>
    <row r="41" spans="1:8" hidden="1" x14ac:dyDescent="0.25">
      <c r="A41" s="3">
        <v>35</v>
      </c>
      <c r="B41" s="360">
        <v>44384</v>
      </c>
      <c r="C41" s="252">
        <v>2366595</v>
      </c>
      <c r="D41" s="3" t="str">
        <f>VLOOKUP(A41,Facturas!A:P,2,0)</f>
        <v>P-1028</v>
      </c>
      <c r="E41" s="3" t="str">
        <f>VLOOKUP(A41,Facturas!A:P,4,0)</f>
        <v>TIS-1037</v>
      </c>
      <c r="F41" t="str">
        <f>VLOOKUP(A41,Facturas!A:P,8,0)</f>
        <v>INVERSIONES FRANQUIHER S A S</v>
      </c>
      <c r="H41">
        <f>YEAR(Tabla1[[#This Row],[Fecha]])</f>
        <v>2021</v>
      </c>
    </row>
    <row r="42" spans="1:8" hidden="1" x14ac:dyDescent="0.25">
      <c r="A42" s="3">
        <v>48</v>
      </c>
      <c r="B42" s="360">
        <v>44384</v>
      </c>
      <c r="C42" s="249">
        <v>1041250</v>
      </c>
      <c r="D42" s="3" t="str">
        <f>VLOOKUP(A42,Facturas!A:P,2,0)</f>
        <v>P-1028</v>
      </c>
      <c r="E42" s="3" t="str">
        <f>VLOOKUP(A42,Facturas!A:P,4,0)</f>
        <v>TIS-1038</v>
      </c>
      <c r="F42" t="str">
        <f>VLOOKUP(A42,Facturas!A:P,8,0)</f>
        <v>H &amp; S FRANQUICIAS SAS</v>
      </c>
      <c r="H42">
        <f>YEAR(Tabla1[[#This Row],[Fecha]])</f>
        <v>2021</v>
      </c>
    </row>
    <row r="43" spans="1:8" hidden="1" x14ac:dyDescent="0.25">
      <c r="A43" s="3">
        <v>33</v>
      </c>
      <c r="B43" s="360">
        <v>44386</v>
      </c>
      <c r="C43" s="249">
        <v>600000</v>
      </c>
      <c r="D43" s="3" t="str">
        <f>VLOOKUP(A43,Facturas!A:P,2,0)</f>
        <v>P-1026</v>
      </c>
      <c r="E43" s="3" t="str">
        <f>VLOOKUP(A43,Facturas!A:P,4,0)</f>
        <v>TIS-1051</v>
      </c>
      <c r="F43" t="str">
        <f>VLOOKUP(A43,Facturas!A:P,8,0)</f>
        <v>Yuri Katerine Moya Castañeda</v>
      </c>
      <c r="H43">
        <f>YEAR(Tabla1[[#This Row],[Fecha]])</f>
        <v>2021</v>
      </c>
    </row>
    <row r="44" spans="1:8" hidden="1" x14ac:dyDescent="0.25">
      <c r="A44" s="3">
        <v>39</v>
      </c>
      <c r="B44" s="360">
        <v>44390</v>
      </c>
      <c r="C44" s="249">
        <v>737305</v>
      </c>
      <c r="D44" s="3" t="str">
        <f>VLOOKUP(A44,Facturas!A:P,2,0)</f>
        <v>P-1031</v>
      </c>
      <c r="E44" s="3" t="str">
        <f>VLOOKUP(A44,Facturas!A:P,4,0)</f>
        <v>Tis-1061</v>
      </c>
      <c r="F44" t="str">
        <f>VLOOKUP(A44,Facturas!A:P,8,0)</f>
        <v xml:space="preserve">SBS SEGUROS COLOMBIA S A </v>
      </c>
      <c r="H44">
        <f>YEAR(Tabla1[[#This Row],[Fecha]])</f>
        <v>2021</v>
      </c>
    </row>
    <row r="45" spans="1:8" hidden="1" x14ac:dyDescent="0.25">
      <c r="A45" s="3">
        <v>37</v>
      </c>
      <c r="B45" s="360">
        <v>44403</v>
      </c>
      <c r="C45" s="249">
        <v>294556</v>
      </c>
      <c r="D45" s="3" t="str">
        <f>VLOOKUP(A45,Facturas!A:P,2,0)</f>
        <v>P-1039</v>
      </c>
      <c r="E45" s="3" t="str">
        <f>VLOOKUP(A45,Facturas!A:P,4,0)</f>
        <v>Tis-1042</v>
      </c>
      <c r="F45" t="str">
        <f>VLOOKUP(A45,Facturas!A:P,8,0)</f>
        <v>Comercializadora ERZ SAS</v>
      </c>
      <c r="H45">
        <f>YEAR(Tabla1[[#This Row],[Fecha]])</f>
        <v>2021</v>
      </c>
    </row>
    <row r="46" spans="1:8" hidden="1" x14ac:dyDescent="0.25">
      <c r="A46" s="3">
        <v>38</v>
      </c>
      <c r="B46" s="360">
        <v>44405</v>
      </c>
      <c r="C46" s="249">
        <v>280000</v>
      </c>
      <c r="D46" s="3" t="str">
        <f>VLOOKUP(A46,Facturas!A:P,2,0)</f>
        <v>P-1058</v>
      </c>
      <c r="E46" s="3" t="str">
        <f>VLOOKUP(A46,Facturas!A:P,4,0)</f>
        <v>Tis-1060</v>
      </c>
      <c r="F46" t="str">
        <f>VLOOKUP(A46,Facturas!A:P,8,0)</f>
        <v>Ladrillos Ochoa Limitada</v>
      </c>
      <c r="H46">
        <f>YEAR(Tabla1[[#This Row],[Fecha]])</f>
        <v>2021</v>
      </c>
    </row>
    <row r="47" spans="1:8" hidden="1" x14ac:dyDescent="0.25">
      <c r="A47" s="3">
        <v>40</v>
      </c>
      <c r="B47" s="360">
        <v>44406</v>
      </c>
      <c r="C47" s="249">
        <v>357000</v>
      </c>
      <c r="D47" s="3" t="str">
        <f>VLOOKUP(A47,Facturas!A:P,2,0)</f>
        <v>P-1033</v>
      </c>
      <c r="E47" s="3" t="str">
        <f>VLOOKUP(A47,Facturas!A:P,4,0)</f>
        <v>Tis-1043</v>
      </c>
      <c r="F47" t="str">
        <f>VLOOKUP(A47,Facturas!A:P,8,0)</f>
        <v>EZGO S A</v>
      </c>
      <c r="H47">
        <f>YEAR(Tabla1[[#This Row],[Fecha]])</f>
        <v>2021</v>
      </c>
    </row>
    <row r="48" spans="1:8" hidden="1" x14ac:dyDescent="0.25">
      <c r="A48" s="3">
        <v>30</v>
      </c>
      <c r="B48" s="360">
        <v>44407</v>
      </c>
      <c r="C48" s="249">
        <v>119421</v>
      </c>
      <c r="D48" s="3" t="str">
        <f>VLOOKUP(A48,Facturas!A:P,2,0)</f>
        <v>P-1014</v>
      </c>
      <c r="E48" s="3" t="str">
        <f>VLOOKUP(A48,Facturas!A:P,4,0)</f>
        <v>TIS-1027</v>
      </c>
      <c r="F48" t="str">
        <f>VLOOKUP(A48,Facturas!A:P,8,0)</f>
        <v>Constructora Conconcreto S.A.</v>
      </c>
      <c r="H48">
        <f>YEAR(Tabla1[[#This Row],[Fecha]])</f>
        <v>2021</v>
      </c>
    </row>
    <row r="49" spans="1:8" hidden="1" x14ac:dyDescent="0.25">
      <c r="A49" s="3">
        <v>31</v>
      </c>
      <c r="B49" s="360">
        <v>44407</v>
      </c>
      <c r="C49" s="249">
        <v>5031075</v>
      </c>
      <c r="D49" s="3" t="str">
        <f>VLOOKUP(A49,Facturas!A:P,2,0)</f>
        <v>P-1013</v>
      </c>
      <c r="E49" s="3" t="str">
        <f>VLOOKUP(A49,Facturas!A:P,4,0)</f>
        <v>TIS-1028</v>
      </c>
      <c r="F49" t="str">
        <f>VLOOKUP(A49,Facturas!A:P,8,0)</f>
        <v>Coljuegos</v>
      </c>
      <c r="H49">
        <f>YEAR(Tabla1[[#This Row],[Fecha]])</f>
        <v>2021</v>
      </c>
    </row>
    <row r="50" spans="1:8" hidden="1" x14ac:dyDescent="0.25">
      <c r="A50" s="3">
        <v>41</v>
      </c>
      <c r="B50" s="360">
        <v>44415</v>
      </c>
      <c r="C50" s="249">
        <v>900000</v>
      </c>
      <c r="D50" s="3" t="str">
        <f>VLOOKUP(A50,Facturas!A:P,2,0)</f>
        <v>P-1032</v>
      </c>
      <c r="E50" s="3" t="str">
        <f>VLOOKUP(A50,Facturas!A:P,4,0)</f>
        <v>TIS-1033</v>
      </c>
      <c r="F50" t="str">
        <f>VLOOKUP(A50,Facturas!A:P,8,0)</f>
        <v>Maria del Pilar Alvarado Joya</v>
      </c>
      <c r="H50">
        <f>YEAR(Tabla1[[#This Row],[Fecha]])</f>
        <v>2021</v>
      </c>
    </row>
    <row r="51" spans="1:8" hidden="1" x14ac:dyDescent="0.25">
      <c r="A51" s="3">
        <v>42</v>
      </c>
      <c r="B51" s="360">
        <v>44427</v>
      </c>
      <c r="C51" s="249">
        <v>3292719</v>
      </c>
      <c r="D51" s="3" t="str">
        <f>VLOOKUP(A51,Facturas!A:P,2,0)</f>
        <v>P-1024</v>
      </c>
      <c r="E51" s="3" t="str">
        <f>VLOOKUP(A51,Facturas!A:P,4,0)</f>
        <v>TIS-1032</v>
      </c>
      <c r="F51" t="str">
        <f>VLOOKUP(A51,Facturas!A:P,8,0)</f>
        <v>Pro service Call center</v>
      </c>
      <c r="H51">
        <f>YEAR(Tabla1[[#This Row],[Fecha]])</f>
        <v>2021</v>
      </c>
    </row>
    <row r="52" spans="1:8" hidden="1" x14ac:dyDescent="0.25">
      <c r="A52" s="3">
        <v>43</v>
      </c>
      <c r="B52" s="360">
        <v>44432</v>
      </c>
      <c r="C52" s="249">
        <v>432000</v>
      </c>
      <c r="D52" s="3" t="str">
        <f>VLOOKUP(A52,Facturas!A:P,2,0)</f>
        <v>P-1034</v>
      </c>
      <c r="E52" s="3" t="str">
        <f>VLOOKUP(A52,Facturas!A:P,4,0)</f>
        <v>TIS-1035</v>
      </c>
      <c r="F52" t="str">
        <f>VLOOKUP(A52,Facturas!A:P,8,0)</f>
        <v>Organizaciones Oliver SAS</v>
      </c>
      <c r="H52">
        <f>YEAR(Tabla1[[#This Row],[Fecha]])</f>
        <v>2021</v>
      </c>
    </row>
    <row r="53" spans="1:8" hidden="1" x14ac:dyDescent="0.25">
      <c r="A53" s="3">
        <v>35</v>
      </c>
      <c r="B53" s="360">
        <v>44435</v>
      </c>
      <c r="C53" s="249">
        <v>2945250</v>
      </c>
      <c r="D53" s="3" t="str">
        <f>VLOOKUP(A53,Facturas!A:P,2,0)</f>
        <v>P-1028</v>
      </c>
      <c r="E53" s="3" t="str">
        <f>VLOOKUP(A53,Facturas!A:P,4,0)</f>
        <v>TIS-1037</v>
      </c>
      <c r="F53" t="str">
        <f>VLOOKUP(A53,Facturas!A:P,8,0)</f>
        <v>INVERSIONES FRANQUIHER S A S</v>
      </c>
      <c r="H53">
        <f>YEAR(Tabla1[[#This Row],[Fecha]])</f>
        <v>2021</v>
      </c>
    </row>
    <row r="54" spans="1:8" hidden="1" x14ac:dyDescent="0.25">
      <c r="A54" s="3">
        <v>48</v>
      </c>
      <c r="B54" s="360">
        <v>44435</v>
      </c>
      <c r="C54" s="252">
        <v>461090</v>
      </c>
      <c r="D54" s="3" t="str">
        <f>VLOOKUP(A54,Facturas!A:P,2,0)</f>
        <v>P-1028</v>
      </c>
      <c r="E54" s="3" t="str">
        <f>VLOOKUP(A54,Facturas!A:P,4,0)</f>
        <v>TIS-1038</v>
      </c>
      <c r="F54" t="str">
        <f>VLOOKUP(A54,Facturas!A:P,8,0)</f>
        <v>H &amp; S FRANQUICIAS SAS</v>
      </c>
      <c r="H54">
        <f>YEAR(Tabla1[[#This Row],[Fecha]])</f>
        <v>2021</v>
      </c>
    </row>
    <row r="55" spans="1:8" hidden="1" x14ac:dyDescent="0.25">
      <c r="A55" s="3">
        <v>70</v>
      </c>
      <c r="B55" s="360">
        <v>44435</v>
      </c>
      <c r="C55" s="249">
        <v>599858</v>
      </c>
      <c r="D55" s="3" t="str">
        <f>VLOOKUP(A55,Facturas!A:P,2,0)</f>
        <v>P-1058</v>
      </c>
      <c r="E55" s="3" t="str">
        <f>VLOOKUP(A55,Facturas!A:P,4,0)</f>
        <v>T-147</v>
      </c>
      <c r="F55" t="str">
        <f>VLOOKUP(A55,Facturas!A:P,8,0)</f>
        <v>Arrigui Asociados SAS</v>
      </c>
      <c r="H55">
        <f>YEAR(Tabla1[[#This Row],[Fecha]])</f>
        <v>2021</v>
      </c>
    </row>
    <row r="56" spans="1:8" hidden="1" x14ac:dyDescent="0.25">
      <c r="A56" s="3">
        <v>44</v>
      </c>
      <c r="B56" s="360">
        <v>44438</v>
      </c>
      <c r="C56" s="249">
        <v>226181</v>
      </c>
      <c r="D56" s="3" t="str">
        <f>VLOOKUP(A56,Facturas!A:P,2,0)</f>
        <v>P-1011</v>
      </c>
      <c r="E56" s="3" t="str">
        <f>VLOOKUP(A56,Facturas!A:P,4,0)</f>
        <v>TIS-1034</v>
      </c>
      <c r="F56" t="str">
        <f>VLOOKUP(A56,Facturas!A:P,8,0)</f>
        <v>BIOMETROMED SAS</v>
      </c>
      <c r="H56">
        <f>YEAR(Tabla1[[#This Row],[Fecha]])</f>
        <v>2021</v>
      </c>
    </row>
    <row r="57" spans="1:8" hidden="1" x14ac:dyDescent="0.25">
      <c r="A57" s="3">
        <v>25</v>
      </c>
      <c r="B57" s="360">
        <v>44442</v>
      </c>
      <c r="C57" s="249">
        <f>236062+15400</f>
        <v>251462</v>
      </c>
      <c r="D57" s="3" t="str">
        <f>VLOOKUP(A57,Facturas!A:P,2,0)</f>
        <v>P-1015</v>
      </c>
      <c r="E57" s="3" t="str">
        <f>VLOOKUP(A57,Facturas!A:P,4,0)</f>
        <v>Tis-1021</v>
      </c>
      <c r="F57" t="str">
        <f>VLOOKUP(A57,Facturas!A:P,8,0)</f>
        <v>Comercializadora ERZ SAS</v>
      </c>
      <c r="H57">
        <f>YEAR(Tabla1[[#This Row],[Fecha]])</f>
        <v>2021</v>
      </c>
    </row>
    <row r="58" spans="1:8" hidden="1" x14ac:dyDescent="0.25">
      <c r="A58" s="3">
        <v>36</v>
      </c>
      <c r="B58" s="360">
        <v>44442</v>
      </c>
      <c r="C58" s="249">
        <f>754446-C57</f>
        <v>502984</v>
      </c>
      <c r="D58" s="3" t="str">
        <f>VLOOKUP(A58,Facturas!A:P,2,0)</f>
        <v>P-1029</v>
      </c>
      <c r="E58" s="3" t="str">
        <f>VLOOKUP(A58,Facturas!A:P,4,0)</f>
        <v>Tis-1040</v>
      </c>
      <c r="F58" t="str">
        <f>VLOOKUP(A58,Facturas!A:P,8,0)</f>
        <v>Comercializadora ERZ SAS</v>
      </c>
      <c r="H58">
        <f>YEAR(Tabla1[[#This Row],[Fecha]])</f>
        <v>2021</v>
      </c>
    </row>
    <row r="59" spans="1:8" hidden="1" x14ac:dyDescent="0.25">
      <c r="A59" s="3">
        <v>46</v>
      </c>
      <c r="B59" s="360">
        <v>44442</v>
      </c>
      <c r="C59" s="249">
        <v>385560</v>
      </c>
      <c r="D59" s="3" t="str">
        <f>VLOOKUP(A59,Facturas!A:P,2,0)</f>
        <v>P-1036</v>
      </c>
      <c r="E59" s="3" t="str">
        <f>VLOOKUP(A59,Facturas!A:P,4,0)</f>
        <v>Tis-1084</v>
      </c>
      <c r="F59" t="str">
        <f>VLOOKUP(A59,Facturas!A:P,8,0)</f>
        <v>Antonio Cely SAS</v>
      </c>
      <c r="H59">
        <f>YEAR(Tabla1[[#This Row],[Fecha]])</f>
        <v>2021</v>
      </c>
    </row>
    <row r="60" spans="1:8" hidden="1" x14ac:dyDescent="0.25">
      <c r="A60" s="3">
        <v>49</v>
      </c>
      <c r="B60" s="360">
        <v>44453</v>
      </c>
      <c r="C60" s="249">
        <v>446250</v>
      </c>
      <c r="D60" s="3" t="str">
        <f>VLOOKUP(A60,Facturas!A:P,2,0)</f>
        <v>P-1038</v>
      </c>
      <c r="E60" s="3" t="str">
        <f>VLOOKUP(A60,Facturas!A:P,4,0)</f>
        <v>Tis-1050</v>
      </c>
      <c r="F60" t="str">
        <f>VLOOKUP(A60,Facturas!A:P,8,0)</f>
        <v>HACIK SOLUCIONES INTEGRALES DE INGENIERIA SAS</v>
      </c>
      <c r="H60">
        <f>YEAR(Tabla1[[#This Row],[Fecha]])</f>
        <v>2021</v>
      </c>
    </row>
    <row r="61" spans="1:8" hidden="1" x14ac:dyDescent="0.25">
      <c r="A61" s="3">
        <v>51</v>
      </c>
      <c r="B61" s="360">
        <v>44454</v>
      </c>
      <c r="C61" s="249">
        <v>900000</v>
      </c>
      <c r="D61" s="3" t="str">
        <f>VLOOKUP(A61,Facturas!A:P,2,0)</f>
        <v>P-1040</v>
      </c>
      <c r="E61" s="3" t="str">
        <f>VLOOKUP(A61,Facturas!A:P,4,0)</f>
        <v>Tis-1041</v>
      </c>
      <c r="F61" t="str">
        <f>VLOOKUP(A61,Facturas!A:P,8,0)</f>
        <v>Maria del Pilar Alvarado Joya</v>
      </c>
      <c r="H61">
        <f>YEAR(Tabla1[[#This Row],[Fecha]])</f>
        <v>2021</v>
      </c>
    </row>
    <row r="62" spans="1:8" hidden="1" x14ac:dyDescent="0.25">
      <c r="A62" s="3">
        <v>53</v>
      </c>
      <c r="B62" s="360">
        <v>44460</v>
      </c>
      <c r="C62" s="249">
        <v>1450000</v>
      </c>
      <c r="D62" s="3" t="str">
        <f>VLOOKUP(A62,Facturas!A:P,2,0)</f>
        <v>P-1041</v>
      </c>
      <c r="E62" s="3" t="str">
        <f>VLOOKUP(A62,Facturas!A:P,4,0)</f>
        <v>Tis-1044</v>
      </c>
      <c r="F62" t="str">
        <f>VLOOKUP(A62,Facturas!A:P,8,0)</f>
        <v>NAVAR SOLUCIONES S.A.S</v>
      </c>
      <c r="H62">
        <f>YEAR(Tabla1[[#This Row],[Fecha]])</f>
        <v>2021</v>
      </c>
    </row>
    <row r="63" spans="1:8" hidden="1" x14ac:dyDescent="0.25">
      <c r="A63" s="3">
        <v>54</v>
      </c>
      <c r="B63" s="360">
        <v>44461</v>
      </c>
      <c r="C63" s="249">
        <v>1560090</v>
      </c>
      <c r="D63" s="3" t="str">
        <f>VLOOKUP(A63,Facturas!A:P,2,0)</f>
        <v>P-1042</v>
      </c>
      <c r="E63" s="3" t="str">
        <f>VLOOKUP(A63,Facturas!A:P,4,0)</f>
        <v>Tis-1045</v>
      </c>
      <c r="F63" t="str">
        <f>VLOOKUP(A63,Facturas!A:P,8,0)</f>
        <v>NAVAR CATERING SERVICES S.A.S ZOMAC</v>
      </c>
      <c r="H63">
        <f>YEAR(Tabla1[[#This Row],[Fecha]])</f>
        <v>2021</v>
      </c>
    </row>
    <row r="64" spans="1:8" hidden="1" x14ac:dyDescent="0.25">
      <c r="A64" s="3">
        <v>55</v>
      </c>
      <c r="B64" s="360">
        <v>44462</v>
      </c>
      <c r="C64" s="249">
        <v>339150</v>
      </c>
      <c r="D64" s="3" t="e">
        <f>VLOOKUP(A64,Facturas!A:P,2,0)</f>
        <v>#N/A</v>
      </c>
      <c r="E64" s="3" t="e">
        <f>VLOOKUP(A64,Facturas!A:P,4,0)</f>
        <v>#N/A</v>
      </c>
      <c r="F64" t="e">
        <f>VLOOKUP(A64,Facturas!A:P,8,0)</f>
        <v>#N/A</v>
      </c>
      <c r="H64">
        <f>YEAR(Tabla1[[#This Row],[Fecha]])</f>
        <v>2021</v>
      </c>
    </row>
    <row r="65" spans="1:8" hidden="1" x14ac:dyDescent="0.25">
      <c r="A65" s="3">
        <v>58</v>
      </c>
      <c r="B65" s="360">
        <v>44462</v>
      </c>
      <c r="C65" s="249">
        <v>891000</v>
      </c>
      <c r="D65" s="3" t="str">
        <f>VLOOKUP(A65,Facturas!A:P,2,0)</f>
        <v>P-1046</v>
      </c>
      <c r="E65" s="3" t="str">
        <f>VLOOKUP(A65,Facturas!A:P,4,0)</f>
        <v>Tis-1055</v>
      </c>
      <c r="F65" t="str">
        <f>VLOOKUP(A65,Facturas!A:P,8,0)</f>
        <v>Procesos 2000 S.A.S.</v>
      </c>
      <c r="H65">
        <f>YEAR(Tabla1[[#This Row],[Fecha]])</f>
        <v>2021</v>
      </c>
    </row>
    <row r="66" spans="1:8" hidden="1" x14ac:dyDescent="0.25">
      <c r="A66" s="3">
        <v>62</v>
      </c>
      <c r="B66" s="360">
        <v>44462</v>
      </c>
      <c r="C66" s="249">
        <v>468809</v>
      </c>
      <c r="D66" s="3" t="str">
        <f>VLOOKUP(A66,Facturas!A:P,2,0)</f>
        <v>P-1050</v>
      </c>
      <c r="E66" s="3" t="str">
        <f>VLOOKUP(A66,Facturas!A:P,4,0)</f>
        <v>Tis-1066</v>
      </c>
      <c r="F66" t="str">
        <f>VLOOKUP(A66,Facturas!A:P,8,0)</f>
        <v>BETA LOGISTIC SERVICES SAS</v>
      </c>
      <c r="H66">
        <f>YEAR(Tabla1[[#This Row],[Fecha]])</f>
        <v>2021</v>
      </c>
    </row>
    <row r="67" spans="1:8" hidden="1" x14ac:dyDescent="0.25">
      <c r="A67" s="3">
        <v>34</v>
      </c>
      <c r="B67" s="360">
        <v>44463</v>
      </c>
      <c r="C67" s="249">
        <v>935079</v>
      </c>
      <c r="D67" s="3" t="str">
        <f>VLOOKUP(A67,Facturas!A:P,2,0)</f>
        <v>P-1027</v>
      </c>
      <c r="E67" s="3" t="str">
        <f>VLOOKUP(A67,Facturas!A:P,4,0)</f>
        <v>TIS-1036</v>
      </c>
      <c r="F67" t="str">
        <f>VLOOKUP(A67,Facturas!A:P,8,0)</f>
        <v xml:space="preserve">CONSTRUCTORA DE MARCAS S. A. S. </v>
      </c>
      <c r="H67">
        <f>YEAR(Tabla1[[#This Row],[Fecha]])</f>
        <v>2021</v>
      </c>
    </row>
    <row r="68" spans="1:8" hidden="1" x14ac:dyDescent="0.25">
      <c r="A68" s="3">
        <v>59</v>
      </c>
      <c r="B68" s="360">
        <v>44463</v>
      </c>
      <c r="C68" s="249">
        <v>486115</v>
      </c>
      <c r="D68" s="3" t="str">
        <f>VLOOKUP(A68,Facturas!A:P,2,0)</f>
        <v>P-1047</v>
      </c>
      <c r="E68" s="3" t="str">
        <f>VLOOKUP(A68,Facturas!A:P,4,0)</f>
        <v>Tis-1046</v>
      </c>
      <c r="F68" t="str">
        <f>VLOOKUP(A68,Facturas!A:P,8,0)</f>
        <v>EVAL.COM CONSULTING SAS</v>
      </c>
      <c r="H68">
        <f>YEAR(Tabla1[[#This Row],[Fecha]])</f>
        <v>2021</v>
      </c>
    </row>
    <row r="69" spans="1:8" hidden="1" x14ac:dyDescent="0.25">
      <c r="A69" s="3">
        <v>47</v>
      </c>
      <c r="B69" s="360">
        <v>44466</v>
      </c>
      <c r="C69" s="249">
        <f>1380000-60000</f>
        <v>1320000</v>
      </c>
      <c r="D69" s="3" t="str">
        <f>VLOOKUP(A69,Facturas!A:P,2,0)</f>
        <v>P-1037</v>
      </c>
      <c r="E69" s="3" t="str">
        <f>VLOOKUP(A69,Facturas!A:P,4,0)</f>
        <v>Tis-1053</v>
      </c>
      <c r="F69" t="str">
        <f>VLOOKUP(A69,Facturas!A:P,8,0)</f>
        <v>Inversiones Sajamib SAS</v>
      </c>
      <c r="H69">
        <f>YEAR(Tabla1[[#This Row],[Fecha]])</f>
        <v>2021</v>
      </c>
    </row>
    <row r="70" spans="1:8" hidden="1" x14ac:dyDescent="0.25">
      <c r="A70" s="3">
        <v>55</v>
      </c>
      <c r="B70" s="360">
        <v>44467</v>
      </c>
      <c r="C70" s="249">
        <v>203490</v>
      </c>
      <c r="D70" s="3" t="e">
        <f>VLOOKUP(A70,Facturas!A:P,2,0)</f>
        <v>#N/A</v>
      </c>
      <c r="E70" s="3" t="e">
        <f>VLOOKUP(A70,Facturas!A:P,4,0)</f>
        <v>#N/A</v>
      </c>
      <c r="F70" t="e">
        <f>VLOOKUP(A70,Facturas!A:P,8,0)</f>
        <v>#N/A</v>
      </c>
      <c r="H70">
        <f>YEAR(Tabla1[[#This Row],[Fecha]])</f>
        <v>2021</v>
      </c>
    </row>
    <row r="71" spans="1:8" hidden="1" x14ac:dyDescent="0.25">
      <c r="A71" s="3">
        <v>54</v>
      </c>
      <c r="B71" s="360">
        <v>44470</v>
      </c>
      <c r="C71" s="249">
        <v>331000</v>
      </c>
      <c r="D71" s="3" t="str">
        <f>VLOOKUP(A71,Facturas!A:P,2,0)</f>
        <v>P-1042</v>
      </c>
      <c r="E71" s="3" t="str">
        <f>VLOOKUP(A71,Facturas!A:P,4,0)</f>
        <v>Tis-1045</v>
      </c>
      <c r="F71" t="str">
        <f>VLOOKUP(A71,Facturas!A:P,8,0)</f>
        <v>NAVAR CATERING SERVICES S.A.S ZOMAC</v>
      </c>
      <c r="H71">
        <f>YEAR(Tabla1[[#This Row],[Fecha]])</f>
        <v>2021</v>
      </c>
    </row>
    <row r="72" spans="1:8" hidden="1" x14ac:dyDescent="0.25">
      <c r="A72" s="3">
        <v>54</v>
      </c>
      <c r="B72" s="360">
        <v>44474</v>
      </c>
      <c r="C72" s="249">
        <v>979860</v>
      </c>
      <c r="D72" s="3" t="str">
        <f>VLOOKUP(A72,Facturas!A:P,2,0)</f>
        <v>P-1042</v>
      </c>
      <c r="E72" s="3" t="str">
        <f>VLOOKUP(A72,Facturas!A:P,4,0)</f>
        <v>Tis-1045</v>
      </c>
      <c r="F72" t="str">
        <f>VLOOKUP(A72,Facturas!A:P,8,0)</f>
        <v>NAVAR CATERING SERVICES S.A.S ZOMAC</v>
      </c>
      <c r="H72">
        <f>YEAR(Tabla1[[#This Row],[Fecha]])</f>
        <v>2021</v>
      </c>
    </row>
    <row r="73" spans="1:8" hidden="1" x14ac:dyDescent="0.25">
      <c r="A73" s="3">
        <v>55</v>
      </c>
      <c r="B73" s="360">
        <v>44475</v>
      </c>
      <c r="C73" s="249">
        <v>135660</v>
      </c>
      <c r="D73" s="3" t="e">
        <f>VLOOKUP(A73,Facturas!A:P,2,0)</f>
        <v>#N/A</v>
      </c>
      <c r="E73" s="3" t="e">
        <f>VLOOKUP(A73,Facturas!A:P,4,0)</f>
        <v>#N/A</v>
      </c>
      <c r="F73" t="e">
        <f>VLOOKUP(A73,Facturas!A:P,8,0)</f>
        <v>#N/A</v>
      </c>
      <c r="H73">
        <f>YEAR(Tabla1[[#This Row],[Fecha]])</f>
        <v>2021</v>
      </c>
    </row>
    <row r="74" spans="1:8" hidden="1" x14ac:dyDescent="0.25">
      <c r="A74" s="3">
        <v>33</v>
      </c>
      <c r="B74" s="360">
        <v>44477</v>
      </c>
      <c r="C74" s="249">
        <v>600000</v>
      </c>
      <c r="D74" s="3" t="str">
        <f>VLOOKUP(A74,Facturas!A:P,2,0)</f>
        <v>P-1026</v>
      </c>
      <c r="E74" s="3" t="str">
        <f>VLOOKUP(A74,Facturas!A:P,4,0)</f>
        <v>TIS-1051</v>
      </c>
      <c r="F74" t="str">
        <f>VLOOKUP(A74,Facturas!A:P,8,0)</f>
        <v>Yuri Katerine Moya Castañeda</v>
      </c>
      <c r="G74" t="s">
        <v>296</v>
      </c>
      <c r="H74">
        <f>YEAR(Tabla1[[#This Row],[Fecha]])</f>
        <v>2021</v>
      </c>
    </row>
    <row r="75" spans="1:8" hidden="1" x14ac:dyDescent="0.25">
      <c r="A75" s="3">
        <v>40</v>
      </c>
      <c r="B75" s="360">
        <v>44477</v>
      </c>
      <c r="C75" s="249">
        <v>384221</v>
      </c>
      <c r="D75" s="3" t="str">
        <f>VLOOKUP(A75,Facturas!A:P,2,0)</f>
        <v>P-1033</v>
      </c>
      <c r="E75" s="3" t="str">
        <f>VLOOKUP(A75,Facturas!A:P,4,0)</f>
        <v>Tis-1043</v>
      </c>
      <c r="F75" t="str">
        <f>VLOOKUP(A75,Facturas!A:P,8,0)</f>
        <v>EZGO S A</v>
      </c>
      <c r="H75">
        <f>YEAR(Tabla1[[#This Row],[Fecha]])</f>
        <v>2021</v>
      </c>
    </row>
    <row r="76" spans="1:8" hidden="1" x14ac:dyDescent="0.25">
      <c r="A76" s="3">
        <v>57</v>
      </c>
      <c r="B76" s="360">
        <v>44477</v>
      </c>
      <c r="C76" s="249">
        <v>678500</v>
      </c>
      <c r="D76" s="3" t="str">
        <f>VLOOKUP(A76,Facturas!A:P,2,0)</f>
        <v>P-1045</v>
      </c>
      <c r="E76" s="3" t="str">
        <f>VLOOKUP(A76,Facturas!A:P,4,0)</f>
        <v>TIS-1048</v>
      </c>
      <c r="F76" t="str">
        <f>VLOOKUP(A76,Facturas!A:P,8,0)</f>
        <v>FUNDACION FERNANDO BORRERO CAICEDO</v>
      </c>
      <c r="H76">
        <f>YEAR(Tabla1[[#This Row],[Fecha]])</f>
        <v>2021</v>
      </c>
    </row>
    <row r="77" spans="1:8" hidden="1" x14ac:dyDescent="0.25">
      <c r="A77" s="3">
        <v>45</v>
      </c>
      <c r="B77" s="360">
        <v>44481</v>
      </c>
      <c r="C77" s="249">
        <v>150000</v>
      </c>
      <c r="D77" s="3" t="str">
        <f>VLOOKUP(A77,Facturas!A:P,2,0)</f>
        <v>P-1035</v>
      </c>
      <c r="E77" s="3" t="str">
        <f>VLOOKUP(A77,Facturas!A:P,4,0)</f>
        <v>TIS-1062</v>
      </c>
      <c r="F77" t="str">
        <f>VLOOKUP(A77,Facturas!A:P,8,0)</f>
        <v>HILVERDAFLORIST COLOMBIA S.A.S</v>
      </c>
      <c r="H77">
        <f>YEAR(Tabla1[[#This Row],[Fecha]])</f>
        <v>2021</v>
      </c>
    </row>
    <row r="78" spans="1:8" hidden="1" x14ac:dyDescent="0.25">
      <c r="A78" s="3">
        <v>58</v>
      </c>
      <c r="B78" s="360">
        <v>44483</v>
      </c>
      <c r="C78" s="249">
        <v>843480</v>
      </c>
      <c r="D78" s="3" t="str">
        <f>VLOOKUP(A78,Facturas!A:P,2,0)</f>
        <v>P-1046</v>
      </c>
      <c r="E78" s="3" t="str">
        <f>VLOOKUP(A78,Facturas!A:P,4,0)</f>
        <v>Tis-1055</v>
      </c>
      <c r="F78" t="str">
        <f>VLOOKUP(A78,Facturas!A:P,8,0)</f>
        <v>Procesos 2000 S.A.S.</v>
      </c>
      <c r="H78">
        <f>YEAR(Tabla1[[#This Row],[Fecha]])</f>
        <v>2021</v>
      </c>
    </row>
    <row r="79" spans="1:8" hidden="1" x14ac:dyDescent="0.25">
      <c r="A79" s="3">
        <v>49</v>
      </c>
      <c r="B79" s="360">
        <v>44490</v>
      </c>
      <c r="C79" s="249">
        <v>411076</v>
      </c>
      <c r="D79" s="3" t="str">
        <f>VLOOKUP(A79,Facturas!A:P,2,0)</f>
        <v>P-1038</v>
      </c>
      <c r="E79" s="3" t="str">
        <f>VLOOKUP(A79,Facturas!A:P,4,0)</f>
        <v>Tis-1050</v>
      </c>
      <c r="F79" t="str">
        <f>VLOOKUP(A79,Facturas!A:P,8,0)</f>
        <v>HACIK SOLUCIONES INTEGRALES DE INGENIERIA SAS</v>
      </c>
      <c r="H79">
        <f>YEAR(Tabla1[[#This Row],[Fecha]])</f>
        <v>2021</v>
      </c>
    </row>
    <row r="80" spans="1:8" hidden="1" x14ac:dyDescent="0.25">
      <c r="A80" s="3">
        <v>60</v>
      </c>
      <c r="B80" s="360">
        <v>44490</v>
      </c>
      <c r="C80" s="249">
        <v>900000</v>
      </c>
      <c r="D80" s="3" t="str">
        <f>VLOOKUP(A80,Facturas!A:P,2,0)</f>
        <v>P-1048</v>
      </c>
      <c r="E80" s="3" t="str">
        <f>VLOOKUP(A80,Facturas!A:P,4,0)</f>
        <v>Tis-1058</v>
      </c>
      <c r="F80" t="str">
        <f>VLOOKUP(A80,Facturas!A:P,8,0)</f>
        <v>Maria del Pilar Alvarado Joya</v>
      </c>
      <c r="H80">
        <f>YEAR(Tabla1[[#This Row],[Fecha]])</f>
        <v>2021</v>
      </c>
    </row>
    <row r="81" spans="1:8" hidden="1" x14ac:dyDescent="0.25">
      <c r="A81" s="3">
        <v>67</v>
      </c>
      <c r="B81" s="360">
        <v>44490</v>
      </c>
      <c r="C81" s="249">
        <v>735000</v>
      </c>
      <c r="D81" s="3" t="str">
        <f>VLOOKUP(A81,Facturas!A:P,2,0)</f>
        <v>P-1055</v>
      </c>
      <c r="E81" s="3" t="str">
        <f>VLOOKUP(A81,Facturas!A:P,4,0)</f>
        <v>TIS-1075</v>
      </c>
      <c r="F81" t="str">
        <f>VLOOKUP(A81,Facturas!A:P,8,0)</f>
        <v>RENAL MEDICAL MARKETING LIMITADA</v>
      </c>
      <c r="H81">
        <f>YEAR(Tabla1[[#This Row],[Fecha]])</f>
        <v>2021</v>
      </c>
    </row>
    <row r="82" spans="1:8" hidden="1" x14ac:dyDescent="0.25">
      <c r="A82" s="3">
        <v>24</v>
      </c>
      <c r="B82" s="360">
        <v>44496</v>
      </c>
      <c r="C82" s="249">
        <v>728460</v>
      </c>
      <c r="D82" s="3" t="str">
        <f>VLOOKUP(A82,Facturas!A:P,2,0)</f>
        <v>P-1022</v>
      </c>
      <c r="E82" s="3" t="str">
        <f>VLOOKUP(A82,Facturas!A:P,4,0)</f>
        <v>Tis-1056</v>
      </c>
      <c r="F82" t="str">
        <f>VLOOKUP(A82,Facturas!A:P,8,0)</f>
        <v>ww pack SAS</v>
      </c>
      <c r="H82">
        <f>YEAR(Tabla1[[#This Row],[Fecha]])</f>
        <v>2021</v>
      </c>
    </row>
    <row r="83" spans="1:8" hidden="1" x14ac:dyDescent="0.25">
      <c r="A83" s="3">
        <v>38</v>
      </c>
      <c r="B83" s="360">
        <v>44498</v>
      </c>
      <c r="C83" s="249">
        <v>294731</v>
      </c>
      <c r="D83" s="3" t="str">
        <f>VLOOKUP(A83,Facturas!A:P,2,0)</f>
        <v>P-1058</v>
      </c>
      <c r="E83" s="3" t="str">
        <f>VLOOKUP(A83,Facturas!A:P,4,0)</f>
        <v>Tis-1060</v>
      </c>
      <c r="F83" t="str">
        <f>VLOOKUP(A83,Facturas!A:P,8,0)</f>
        <v>Ladrillos Ochoa Limitada</v>
      </c>
      <c r="H83">
        <f>YEAR(Tabla1[[#This Row],[Fecha]])</f>
        <v>2021</v>
      </c>
    </row>
    <row r="84" spans="1:8" hidden="1" x14ac:dyDescent="0.25">
      <c r="A84" s="3">
        <v>59</v>
      </c>
      <c r="B84" s="360">
        <v>44498</v>
      </c>
      <c r="C84" s="249">
        <v>291669</v>
      </c>
      <c r="D84" s="3" t="str">
        <f>VLOOKUP(A84,Facturas!A:P,2,0)</f>
        <v>P-1047</v>
      </c>
      <c r="E84" s="3" t="str">
        <f>VLOOKUP(A84,Facturas!A:P,4,0)</f>
        <v>Tis-1046</v>
      </c>
      <c r="F84" t="str">
        <f>VLOOKUP(A84,Facturas!A:P,8,0)</f>
        <v>EVAL.COM CONSULTING SAS</v>
      </c>
      <c r="H84">
        <f>YEAR(Tabla1[[#This Row],[Fecha]])</f>
        <v>2021</v>
      </c>
    </row>
    <row r="85" spans="1:8" hidden="1" x14ac:dyDescent="0.25">
      <c r="A85" s="3">
        <v>56</v>
      </c>
      <c r="B85" s="360">
        <v>44505</v>
      </c>
      <c r="C85" s="249">
        <v>1636825</v>
      </c>
      <c r="D85" s="3" t="str">
        <f>VLOOKUP(A85,Facturas!A:P,2,0)</f>
        <v>P-1044</v>
      </c>
      <c r="E85" s="3" t="str">
        <f>VLOOKUP(A85,Facturas!A:P,4,0)</f>
        <v>TIS-1047</v>
      </c>
      <c r="F85" t="str">
        <f>VLOOKUP(A85,Facturas!A:P,8,0)</f>
        <v>INVERSIONES MEDICAS DE ANTIOQUIA S.A</v>
      </c>
      <c r="H85">
        <f>YEAR(Tabla1[[#This Row],[Fecha]])</f>
        <v>2021</v>
      </c>
    </row>
    <row r="86" spans="1:8" hidden="1" x14ac:dyDescent="0.25">
      <c r="A86" s="3">
        <v>73</v>
      </c>
      <c r="B86" s="360">
        <v>44505</v>
      </c>
      <c r="C86" s="249">
        <v>274890</v>
      </c>
      <c r="D86" s="3" t="str">
        <f>VLOOKUP(A86,Facturas!A:P,2,0)</f>
        <v>P-1061</v>
      </c>
      <c r="E86" s="3" t="str">
        <f>VLOOKUP(A86,Facturas!A:P,4,0)</f>
        <v>Tis-1083</v>
      </c>
      <c r="F86" t="str">
        <f>VLOOKUP(A86,Facturas!A:P,8,0)</f>
        <v>Aviatek SAS</v>
      </c>
      <c r="H86">
        <f>YEAR(Tabla1[[#This Row],[Fecha]])</f>
        <v>2021</v>
      </c>
    </row>
    <row r="87" spans="1:8" hidden="1" x14ac:dyDescent="0.25">
      <c r="A87" s="3">
        <v>71</v>
      </c>
      <c r="B87" s="360">
        <v>44510</v>
      </c>
      <c r="C87" s="249">
        <v>599995</v>
      </c>
      <c r="D87" s="3" t="str">
        <f>VLOOKUP(A87,Facturas!A:P,2,0)</f>
        <v>P-1059</v>
      </c>
      <c r="E87" s="3" t="str">
        <f>VLOOKUP(A87,Facturas!A:P,4,0)</f>
        <v>Tis-1073</v>
      </c>
      <c r="F87" t="str">
        <f>VLOOKUP(A87,Facturas!A:P,8,0)</f>
        <v>Procesos 2000 S.A.S.</v>
      </c>
      <c r="H87">
        <f>YEAR(Tabla1[[#This Row],[Fecha]])</f>
        <v>2021</v>
      </c>
    </row>
    <row r="88" spans="1:8" hidden="1" x14ac:dyDescent="0.25">
      <c r="A88" s="3">
        <v>59</v>
      </c>
      <c r="B88" s="360">
        <v>44511</v>
      </c>
      <c r="C88" s="249">
        <v>194446</v>
      </c>
      <c r="D88" s="3" t="str">
        <f>VLOOKUP(A88,Facturas!A:P,2,0)</f>
        <v>P-1047</v>
      </c>
      <c r="E88" s="3" t="str">
        <f>VLOOKUP(A88,Facturas!A:P,4,0)</f>
        <v>Tis-1046</v>
      </c>
      <c r="F88" t="str">
        <f>VLOOKUP(A88,Facturas!A:P,8,0)</f>
        <v>EVAL.COM CONSULTING SAS</v>
      </c>
      <c r="H88">
        <f>YEAR(Tabla1[[#This Row],[Fecha]])</f>
        <v>2021</v>
      </c>
    </row>
    <row r="89" spans="1:8" hidden="1" x14ac:dyDescent="0.25">
      <c r="A89" s="3">
        <v>62</v>
      </c>
      <c r="B89" s="360">
        <v>44511</v>
      </c>
      <c r="C89" s="249">
        <v>468809</v>
      </c>
      <c r="D89" s="3" t="str">
        <f>VLOOKUP(A89,Facturas!A:P,2,0)</f>
        <v>P-1050</v>
      </c>
      <c r="E89" s="3" t="str">
        <f>VLOOKUP(A89,Facturas!A:P,4,0)</f>
        <v>Tis-1066</v>
      </c>
      <c r="F89" t="str">
        <f>VLOOKUP(A89,Facturas!A:P,8,0)</f>
        <v>BETA LOGISTIC SERVICES SAS</v>
      </c>
      <c r="H89">
        <f>YEAR(Tabla1[[#This Row],[Fecha]])</f>
        <v>2021</v>
      </c>
    </row>
    <row r="90" spans="1:8" hidden="1" x14ac:dyDescent="0.25">
      <c r="A90" s="3">
        <v>65</v>
      </c>
      <c r="B90" s="360">
        <v>44516</v>
      </c>
      <c r="C90" s="249">
        <v>900000</v>
      </c>
      <c r="D90" s="3" t="str">
        <f>VLOOKUP(A90,Facturas!A:P,2,0)</f>
        <v>P-1053</v>
      </c>
      <c r="E90" s="3" t="str">
        <f>VLOOKUP(A90,Facturas!A:P,4,0)</f>
        <v>TIS-1067</v>
      </c>
      <c r="F90" t="str">
        <f>VLOOKUP(A90,Facturas!A:P,8,0)</f>
        <v>Maria del Pilar Alvarado Joya</v>
      </c>
      <c r="H90">
        <f>YEAR(Tabla1[[#This Row],[Fecha]])</f>
        <v>2021</v>
      </c>
    </row>
    <row r="91" spans="1:8" hidden="1" x14ac:dyDescent="0.25">
      <c r="A91" s="3">
        <v>66</v>
      </c>
      <c r="B91" s="360">
        <v>44517</v>
      </c>
      <c r="C91" s="249">
        <f>237000+60000</f>
        <v>297000</v>
      </c>
      <c r="D91" s="3" t="str">
        <f>VLOOKUP(A91,Facturas!A:P,2,0)</f>
        <v>P-1054</v>
      </c>
      <c r="E91" s="3" t="str">
        <f>VLOOKUP(A91,Facturas!A:P,4,0)</f>
        <v>TIS-1071</v>
      </c>
      <c r="F91" t="str">
        <f>VLOOKUP(A91,Facturas!A:P,8,0)</f>
        <v>Inversiones Sajamib SAS</v>
      </c>
      <c r="H91">
        <f>YEAR(Tabla1[[#This Row],[Fecha]])</f>
        <v>2021</v>
      </c>
    </row>
    <row r="92" spans="1:8" hidden="1" x14ac:dyDescent="0.25">
      <c r="A92" s="3">
        <v>68</v>
      </c>
      <c r="B92" s="360">
        <v>44522</v>
      </c>
      <c r="C92" s="249">
        <v>183600</v>
      </c>
      <c r="D92" s="3" t="str">
        <f>VLOOKUP(A92,Facturas!A:P,2,0)</f>
        <v>P-1056</v>
      </c>
      <c r="E92" s="3" t="str">
        <f>VLOOKUP(A92,Facturas!A:P,4,0)</f>
        <v>Tis-1057</v>
      </c>
      <c r="F92" t="str">
        <f>VLOOKUP(A92,Facturas!A:P,8,0)</f>
        <v>PRODUCTORA INTERAMERICANA DE PLASTICOS S.A.S.</v>
      </c>
      <c r="H92">
        <f>YEAR(Tabla1[[#This Row],[Fecha]])</f>
        <v>2021</v>
      </c>
    </row>
    <row r="93" spans="1:8" hidden="1" x14ac:dyDescent="0.25">
      <c r="A93" s="3">
        <v>80</v>
      </c>
      <c r="B93" s="360">
        <v>44522</v>
      </c>
      <c r="C93" s="249">
        <v>1404200</v>
      </c>
      <c r="D93" s="3" t="str">
        <f>VLOOKUP(A93,Facturas!A:P,2,0)</f>
        <v>P-1068</v>
      </c>
      <c r="E93" s="3" t="str">
        <f>VLOOKUP(A93,Facturas!A:P,4,0)</f>
        <v>TIS-1070</v>
      </c>
      <c r="F93" t="str">
        <f>VLOOKUP(A93,Facturas!A:P,8,0)</f>
        <v>LACTEOS APPENZELL S.A.S</v>
      </c>
      <c r="H93">
        <f>YEAR(Tabla1[[#This Row],[Fecha]])</f>
        <v>2021</v>
      </c>
    </row>
    <row r="94" spans="1:8" hidden="1" x14ac:dyDescent="0.25">
      <c r="A94" s="3">
        <v>83</v>
      </c>
      <c r="B94" s="360">
        <v>44523</v>
      </c>
      <c r="C94" s="249">
        <v>442950</v>
      </c>
      <c r="D94" s="3" t="str">
        <f>VLOOKUP(A94,Facturas!A:P,2,0)</f>
        <v>P-1071</v>
      </c>
      <c r="E94" s="3" t="str">
        <f>VLOOKUP(A94,Facturas!A:P,4,0)</f>
        <v>TIS-1065</v>
      </c>
      <c r="F94" t="str">
        <f>VLOOKUP(A94,Facturas!A:P,8,0)</f>
        <v>NAVAR CATERING SERVICES S.A.S ZOMAC</v>
      </c>
      <c r="H94">
        <f>YEAR(Tabla1[[#This Row],[Fecha]])</f>
        <v>2021</v>
      </c>
    </row>
    <row r="95" spans="1:8" hidden="1" x14ac:dyDescent="0.25">
      <c r="A95" s="3">
        <v>73</v>
      </c>
      <c r="B95" s="360">
        <v>44525</v>
      </c>
      <c r="C95" s="249">
        <v>164934</v>
      </c>
      <c r="D95" s="3" t="str">
        <f>VLOOKUP(A95,Facturas!A:P,2,0)</f>
        <v>P-1061</v>
      </c>
      <c r="E95" s="3" t="str">
        <f>VLOOKUP(A95,Facturas!A:P,4,0)</f>
        <v>Tis-1083</v>
      </c>
      <c r="F95" t="str">
        <f>VLOOKUP(A95,Facturas!A:P,8,0)</f>
        <v>Aviatek SAS</v>
      </c>
      <c r="H95">
        <f>YEAR(Tabla1[[#This Row],[Fecha]])</f>
        <v>2021</v>
      </c>
    </row>
    <row r="96" spans="1:8" hidden="1" x14ac:dyDescent="0.25">
      <c r="A96" s="3">
        <v>71</v>
      </c>
      <c r="B96" s="360">
        <v>44531</v>
      </c>
      <c r="C96" s="249">
        <v>695994</v>
      </c>
      <c r="D96" s="3" t="str">
        <f>VLOOKUP(A96,Facturas!A:P,2,0)</f>
        <v>P-1059</v>
      </c>
      <c r="E96" s="3" t="str">
        <f>VLOOKUP(A96,Facturas!A:P,4,0)</f>
        <v>Tis-1073</v>
      </c>
      <c r="F96" t="str">
        <f>VLOOKUP(A96,Facturas!A:P,8,0)</f>
        <v>Procesos 2000 S.A.S.</v>
      </c>
      <c r="H96">
        <f>YEAR(Tabla1[[#This Row],[Fecha]])</f>
        <v>2021</v>
      </c>
    </row>
    <row r="97" spans="1:8" hidden="1" x14ac:dyDescent="0.25">
      <c r="A97" s="3">
        <v>90</v>
      </c>
      <c r="B97" s="360">
        <v>44537</v>
      </c>
      <c r="C97" s="249">
        <v>380000</v>
      </c>
      <c r="D97" s="3" t="str">
        <f>VLOOKUP(A97,Facturas!A:P,2,0)</f>
        <v>P-1077</v>
      </c>
      <c r="E97" s="3" t="str">
        <f>VLOOKUP(A97,Facturas!A:P,4,0)</f>
        <v>TIS1101</v>
      </c>
      <c r="F97" t="str">
        <f>VLOOKUP(A97,Facturas!A:P,8,0)</f>
        <v>SERVIPETROLEOS S.A.S</v>
      </c>
      <c r="H97">
        <f>YEAR(Tabla1[[#This Row],[Fecha]])</f>
        <v>2021</v>
      </c>
    </row>
    <row r="98" spans="1:8" hidden="1" x14ac:dyDescent="0.25">
      <c r="A98" s="3">
        <v>81</v>
      </c>
      <c r="B98" s="360">
        <v>44539</v>
      </c>
      <c r="C98" s="249">
        <v>972000</v>
      </c>
      <c r="D98" s="3" t="str">
        <f>VLOOKUP(A98,Facturas!A:P,2,0)</f>
        <v>P-1069</v>
      </c>
      <c r="E98" s="3" t="str">
        <f>VLOOKUP(A98,Facturas!A:P,4,0)</f>
        <v>TIS-1074</v>
      </c>
      <c r="F98" t="str">
        <f>VLOOKUP(A98,Facturas!A:P,8,0)</f>
        <v>RENAL MEDICAL MARKETING LIMITADA</v>
      </c>
      <c r="H98">
        <f>YEAR(Tabla1[[#This Row],[Fecha]])</f>
        <v>2021</v>
      </c>
    </row>
    <row r="99" spans="1:8" hidden="1" x14ac:dyDescent="0.25">
      <c r="A99" s="3">
        <v>72</v>
      </c>
      <c r="B99" s="360">
        <v>44540</v>
      </c>
      <c r="C99" s="249">
        <v>624750</v>
      </c>
      <c r="D99" s="3" t="str">
        <f>VLOOKUP(A99,Facturas!A:P,2,0)</f>
        <v>P-1060</v>
      </c>
      <c r="E99" s="3" t="str">
        <f>VLOOKUP(A99,Facturas!A:P,4,0)</f>
        <v>TIS-1063</v>
      </c>
      <c r="F99" t="str">
        <f>VLOOKUP(A99,Facturas!A:P,8,0)</f>
        <v>WOLTA SAS</v>
      </c>
      <c r="H99">
        <f>YEAR(Tabla1[[#This Row],[Fecha]])</f>
        <v>2021</v>
      </c>
    </row>
    <row r="100" spans="1:8" hidden="1" x14ac:dyDescent="0.25">
      <c r="A100" s="3">
        <v>76</v>
      </c>
      <c r="B100" s="360">
        <v>44541</v>
      </c>
      <c r="C100" s="249">
        <v>181958</v>
      </c>
      <c r="D100" s="3" t="str">
        <f>VLOOKUP(A100,Facturas!A:P,2,0)</f>
        <v>P-1064</v>
      </c>
      <c r="E100" s="3" t="str">
        <f>VLOOKUP(A100,Facturas!A:P,4,0)</f>
        <v>TIS-1068</v>
      </c>
      <c r="F100" t="str">
        <f>VLOOKUP(A100,Facturas!A:P,8,0)</f>
        <v>PRODUCTORA INTERAMERICANA DE PLASTICOS S.A.S.</v>
      </c>
      <c r="H100">
        <f>YEAR(Tabla1[[#This Row],[Fecha]])</f>
        <v>2021</v>
      </c>
    </row>
    <row r="101" spans="1:8" hidden="1" x14ac:dyDescent="0.25">
      <c r="A101" s="3">
        <v>89</v>
      </c>
      <c r="B101" s="360">
        <v>44545</v>
      </c>
      <c r="C101" s="249">
        <v>1309000</v>
      </c>
      <c r="D101" s="3" t="str">
        <f>VLOOKUP(A101,Facturas!A:P,2,0)</f>
        <v>P-1078</v>
      </c>
      <c r="E101" s="3" t="str">
        <f>VLOOKUP(A101,Facturas!A:P,4,0)</f>
        <v>Tis-1082</v>
      </c>
      <c r="F101" t="str">
        <f>VLOOKUP(A101,Facturas!A:P,8,0)</f>
        <v xml:space="preserve">ASOCIACION RED DE DEFENSORES Y DEFENSORAS DE DERECHOS HUMANOS </v>
      </c>
      <c r="H101">
        <f>YEAR(Tabla1[[#This Row],[Fecha]])</f>
        <v>2021</v>
      </c>
    </row>
    <row r="102" spans="1:8" hidden="1" x14ac:dyDescent="0.25">
      <c r="A102" s="3">
        <v>53</v>
      </c>
      <c r="B102" s="360">
        <v>44546</v>
      </c>
      <c r="C102" s="249">
        <v>814000</v>
      </c>
      <c r="D102" s="3" t="str">
        <f>VLOOKUP(A102,Facturas!A:P,2,0)</f>
        <v>P-1041</v>
      </c>
      <c r="E102" s="3" t="str">
        <f>VLOOKUP(A102,Facturas!A:P,4,0)</f>
        <v>Tis-1044</v>
      </c>
      <c r="F102" t="str">
        <f>VLOOKUP(A102,Facturas!A:P,8,0)</f>
        <v>NAVAR SOLUCIONES S.A.S</v>
      </c>
      <c r="H102">
        <f>YEAR(Tabla1[[#This Row],[Fecha]])</f>
        <v>2021</v>
      </c>
    </row>
    <row r="103" spans="1:8" hidden="1" x14ac:dyDescent="0.25">
      <c r="A103" s="3">
        <v>82</v>
      </c>
      <c r="B103" s="360">
        <v>44546</v>
      </c>
      <c r="C103" s="249">
        <v>230000</v>
      </c>
      <c r="D103" s="3" t="str">
        <f>VLOOKUP(A103,Facturas!A:P,2,0)</f>
        <v>P-1070</v>
      </c>
      <c r="E103" s="3" t="str">
        <f>VLOOKUP(A103,Facturas!A:P,4,0)</f>
        <v>TIS-1072</v>
      </c>
      <c r="F103" t="str">
        <f>VLOOKUP(A103,Facturas!A:P,8,0)</f>
        <v>NAVAR SOLUCIONES S.A.S</v>
      </c>
      <c r="H103">
        <f>YEAR(Tabla1[[#This Row],[Fecha]])</f>
        <v>2021</v>
      </c>
    </row>
    <row r="104" spans="1:8" hidden="1" x14ac:dyDescent="0.25">
      <c r="A104" s="3">
        <v>88</v>
      </c>
      <c r="B104" s="360">
        <v>44546</v>
      </c>
      <c r="C104" s="249">
        <v>604800</v>
      </c>
      <c r="D104" s="3" t="str">
        <f>VLOOKUP(A104,Facturas!A:P,2,0)</f>
        <v>P-1076</v>
      </c>
      <c r="E104" s="3" t="str">
        <f>VLOOKUP(A104,Facturas!A:P,4,0)</f>
        <v>Tis-1078</v>
      </c>
      <c r="F104" t="str">
        <f>VLOOKUP(A104,Facturas!A:P,8,0)</f>
        <v>RENAL MEDICAL MARKETING LIMITADA</v>
      </c>
      <c r="H104">
        <f>YEAR(Tabla1[[#This Row],[Fecha]])</f>
        <v>2021</v>
      </c>
    </row>
    <row r="105" spans="1:8" hidden="1" x14ac:dyDescent="0.25">
      <c r="A105" s="3">
        <v>91</v>
      </c>
      <c r="B105" s="360">
        <v>44550</v>
      </c>
      <c r="C105" s="249">
        <v>342125</v>
      </c>
      <c r="D105" s="3" t="str">
        <f>VLOOKUP(A105,Facturas!A:P,2,0)</f>
        <v>P-1079</v>
      </c>
      <c r="E105" s="3" t="str">
        <f>VLOOKUP(A105,Facturas!A:P,4,0)</f>
        <v>Tis-1080</v>
      </c>
      <c r="F105" t="str">
        <f>VLOOKUP(A105,Facturas!A:P,8,0)</f>
        <v>PROYECTO COLOMBIA DIVERSA</v>
      </c>
      <c r="H105">
        <f>YEAR(Tabla1[[#This Row],[Fecha]])</f>
        <v>2021</v>
      </c>
    </row>
    <row r="106" spans="1:8" hidden="1" x14ac:dyDescent="0.25">
      <c r="A106" s="3">
        <v>50</v>
      </c>
      <c r="B106" s="360">
        <v>44552</v>
      </c>
      <c r="C106" s="249">
        <v>502000</v>
      </c>
      <c r="D106" s="3" t="e">
        <f>VLOOKUP(A106,Facturas!A:P,2,0)</f>
        <v>#N/A</v>
      </c>
      <c r="E106" s="3" t="e">
        <f>VLOOKUP(A106,Facturas!A:P,4,0)</f>
        <v>#N/A</v>
      </c>
      <c r="F106" t="e">
        <f>VLOOKUP(A106,Facturas!A:P,8,0)</f>
        <v>#N/A</v>
      </c>
      <c r="H106">
        <f>YEAR(Tabla1[[#This Row],[Fecha]])</f>
        <v>2021</v>
      </c>
    </row>
    <row r="107" spans="1:8" hidden="1" x14ac:dyDescent="0.25">
      <c r="A107" s="3">
        <v>64</v>
      </c>
      <c r="B107" s="360">
        <v>44552</v>
      </c>
      <c r="C107" s="249">
        <v>252446</v>
      </c>
      <c r="D107" s="3" t="str">
        <f>VLOOKUP(A107,Facturas!A:P,2,0)</f>
        <v>P-1052</v>
      </c>
      <c r="E107" s="3" t="str">
        <f>VLOOKUP(A107,Facturas!A:P,4,0)</f>
        <v>TIS-1049</v>
      </c>
      <c r="F107" t="str">
        <f>VLOOKUP(A107,Facturas!A:P,8,0)</f>
        <v>Comercializadora ERZ SAS</v>
      </c>
      <c r="H107">
        <f>YEAR(Tabla1[[#This Row],[Fecha]])</f>
        <v>2021</v>
      </c>
    </row>
    <row r="108" spans="1:8" hidden="1" x14ac:dyDescent="0.25">
      <c r="A108" s="3">
        <v>45</v>
      </c>
      <c r="B108" s="360">
        <v>44553</v>
      </c>
      <c r="C108" s="249">
        <v>28000</v>
      </c>
      <c r="D108" s="3" t="str">
        <f>VLOOKUP(A108,Facturas!A:P,2,0)</f>
        <v>P-1035</v>
      </c>
      <c r="E108" s="3" t="str">
        <f>VLOOKUP(A108,Facturas!A:P,4,0)</f>
        <v>TIS-1062</v>
      </c>
      <c r="F108" t="str">
        <f>VLOOKUP(A108,Facturas!A:P,8,0)</f>
        <v>HILVERDAFLORIST COLOMBIA S.A.S</v>
      </c>
      <c r="G108" t="s">
        <v>297</v>
      </c>
      <c r="H108">
        <f>YEAR(Tabla1[[#This Row],[Fecha]])</f>
        <v>2021</v>
      </c>
    </row>
    <row r="109" spans="1:8" hidden="1" x14ac:dyDescent="0.25">
      <c r="A109" s="3">
        <v>61</v>
      </c>
      <c r="B109" s="360">
        <v>44553</v>
      </c>
      <c r="C109" s="249">
        <v>150000</v>
      </c>
      <c r="D109" s="3" t="str">
        <f>VLOOKUP(A109,Facturas!A:P,2,0)</f>
        <v>P-1049</v>
      </c>
      <c r="E109" s="3" t="str">
        <f>VLOOKUP(A109,Facturas!A:P,4,0)</f>
        <v>Tis-1059</v>
      </c>
      <c r="F109" t="str">
        <f>VLOOKUP(A109,Facturas!A:P,8,0)</f>
        <v>Maria del Pilar Alvarado Joya</v>
      </c>
      <c r="H109">
        <f>YEAR(Tabla1[[#This Row],[Fecha]])</f>
        <v>2021</v>
      </c>
    </row>
    <row r="110" spans="1:8" hidden="1" x14ac:dyDescent="0.25">
      <c r="A110" s="3">
        <v>79</v>
      </c>
      <c r="B110" s="360">
        <v>44553</v>
      </c>
      <c r="C110" s="249">
        <v>900000</v>
      </c>
      <c r="D110" s="3" t="str">
        <f>VLOOKUP(A110,Facturas!A:P,2,0)</f>
        <v>P-1067</v>
      </c>
      <c r="E110" s="3" t="str">
        <f>VLOOKUP(A110,Facturas!A:P,4,0)</f>
        <v>Tis-1086</v>
      </c>
      <c r="F110" t="str">
        <f>VLOOKUP(A110,Facturas!A:P,8,0)</f>
        <v>Maria del Pilar Alvarado Joya</v>
      </c>
      <c r="H110">
        <f>YEAR(Tabla1[[#This Row],[Fecha]])</f>
        <v>2021</v>
      </c>
    </row>
    <row r="111" spans="1:8" hidden="1" x14ac:dyDescent="0.25">
      <c r="A111" s="3">
        <v>92</v>
      </c>
      <c r="B111" s="360">
        <v>44553</v>
      </c>
      <c r="C111" s="249">
        <v>486000</v>
      </c>
      <c r="D111" s="3" t="str">
        <f>VLOOKUP(A111,Facturas!A:P,2,0)</f>
        <v>P-1080</v>
      </c>
      <c r="E111" s="3" t="str">
        <f>VLOOKUP(A111,Facturas!A:P,4,0)</f>
        <v>Tis-1081</v>
      </c>
      <c r="F111" t="str">
        <f>VLOOKUP(A111,Facturas!A:P,8,0)</f>
        <v>RENAL MEDICAL MARKETING LIMITADA</v>
      </c>
      <c r="H111">
        <f>YEAR(Tabla1[[#This Row],[Fecha]])</f>
        <v>2021</v>
      </c>
    </row>
    <row r="112" spans="1:8" hidden="1" x14ac:dyDescent="0.25">
      <c r="A112" s="3">
        <v>93</v>
      </c>
      <c r="B112" s="360">
        <v>44554</v>
      </c>
      <c r="C112" s="249">
        <v>3341600</v>
      </c>
      <c r="D112" s="3" t="str">
        <f>VLOOKUP(A112,Facturas!A:P,2,0)</f>
        <v>P-1081</v>
      </c>
      <c r="E112" s="3" t="str">
        <f>VLOOKUP(A112,Facturas!A:P,4,0)</f>
        <v>Tis-1127</v>
      </c>
      <c r="F112" t="str">
        <f>VLOOKUP(A112,Facturas!A:P,8,0)</f>
        <v>SEQ CONSULTORES LTDA</v>
      </c>
      <c r="H112">
        <f>YEAR(Tabla1[[#This Row],[Fecha]])</f>
        <v>2021</v>
      </c>
    </row>
    <row r="113" spans="1:8" hidden="1" x14ac:dyDescent="0.25">
      <c r="A113" s="3">
        <v>89</v>
      </c>
      <c r="B113" s="360">
        <v>44557</v>
      </c>
      <c r="C113" s="249">
        <v>1067000</v>
      </c>
      <c r="D113" s="3" t="str">
        <f>VLOOKUP(A113,Facturas!A:P,2,0)</f>
        <v>P-1078</v>
      </c>
      <c r="E113" s="3" t="str">
        <f>VLOOKUP(A113,Facturas!A:P,4,0)</f>
        <v>Tis-1082</v>
      </c>
      <c r="F113" t="str">
        <f>VLOOKUP(A113,Facturas!A:P,8,0)</f>
        <v xml:space="preserve">ASOCIACION RED DE DEFENSORES Y DEFENSORAS DE DERECHOS HUMANOS </v>
      </c>
      <c r="H113">
        <f>YEAR(Tabla1[[#This Row],[Fecha]])</f>
        <v>2021</v>
      </c>
    </row>
    <row r="114" spans="1:8" hidden="1" x14ac:dyDescent="0.25">
      <c r="A114" s="3">
        <v>46</v>
      </c>
      <c r="B114" s="360">
        <v>44560</v>
      </c>
      <c r="C114" s="249">
        <v>899640</v>
      </c>
      <c r="D114" s="3" t="str">
        <f>VLOOKUP(A114,Facturas!A:P,2,0)</f>
        <v>P-1036</v>
      </c>
      <c r="E114" s="3" t="str">
        <f>VLOOKUP(A114,Facturas!A:P,4,0)</f>
        <v>Tis-1084</v>
      </c>
      <c r="F114" t="str">
        <f>VLOOKUP(A114,Facturas!A:P,8,0)</f>
        <v>Antonio Cely SAS</v>
      </c>
      <c r="H114">
        <f>YEAR(Tabla1[[#This Row],[Fecha]])</f>
        <v>2021</v>
      </c>
    </row>
    <row r="115" spans="1:8" hidden="1" x14ac:dyDescent="0.25">
      <c r="A115" s="3">
        <v>52</v>
      </c>
      <c r="B115" s="360">
        <v>44564</v>
      </c>
      <c r="C115" s="249">
        <v>557967</v>
      </c>
      <c r="D115" s="3" t="str">
        <f>VLOOKUP(A115,Facturas!A:P,2,0)</f>
        <v>P-1010</v>
      </c>
      <c r="E115" s="3" t="str">
        <f>VLOOKUP(A115,Facturas!A:P,4,0)</f>
        <v>Tis-1039</v>
      </c>
      <c r="F115" t="str">
        <f>VLOOKUP(A115,Facturas!A:P,8,0)</f>
        <v>TECNOLOGIA DE OFICINA S.A.S.</v>
      </c>
      <c r="H115">
        <f>YEAR(Tabla1[[#This Row],[Fecha]])</f>
        <v>2022</v>
      </c>
    </row>
    <row r="116" spans="1:8" hidden="1" x14ac:dyDescent="0.25">
      <c r="A116" s="3">
        <v>74</v>
      </c>
      <c r="B116" s="360">
        <v>44565</v>
      </c>
      <c r="C116" s="249">
        <v>4575703</v>
      </c>
      <c r="D116" s="3" t="str">
        <f>VLOOKUP(A116,Facturas!A:P,2,0)</f>
        <v>P-1062</v>
      </c>
      <c r="E116" s="3" t="str">
        <f>VLOOKUP(A116,Facturas!A:P,4,0)</f>
        <v>TIS-1077</v>
      </c>
      <c r="F116" t="str">
        <f>VLOOKUP(A116,Facturas!A:P,8,0)</f>
        <v xml:space="preserve">BOCCHERINI S A </v>
      </c>
      <c r="H116">
        <f>YEAR(Tabla1[[#This Row],[Fecha]])</f>
        <v>2022</v>
      </c>
    </row>
    <row r="117" spans="1:8" hidden="1" x14ac:dyDescent="0.25">
      <c r="A117" s="3">
        <v>7</v>
      </c>
      <c r="B117" s="360">
        <v>44572</v>
      </c>
      <c r="C117" s="249">
        <v>31309</v>
      </c>
      <c r="D117" s="3" t="str">
        <f>VLOOKUP(A117,Facturas!A:P,2,0)</f>
        <v>TIS-1012</v>
      </c>
      <c r="E117" s="3" t="str">
        <f>VLOOKUP(A117,Facturas!A:P,4,0)</f>
        <v>TIS-1016</v>
      </c>
      <c r="F117" t="str">
        <f>VLOOKUP(A117,Facturas!A:P,8,0)</f>
        <v>Consorcio Sistem IM3</v>
      </c>
      <c r="H117">
        <f>YEAR(Tabla1[[#This Row],[Fecha]])</f>
        <v>2022</v>
      </c>
    </row>
    <row r="118" spans="1:8" hidden="1" x14ac:dyDescent="0.25">
      <c r="A118" s="3">
        <v>45</v>
      </c>
      <c r="B118" s="360">
        <v>44578</v>
      </c>
      <c r="C118" s="249">
        <v>6450</v>
      </c>
      <c r="D118" s="3" t="str">
        <f>VLOOKUP(A118,Facturas!A:P,2,0)</f>
        <v>P-1035</v>
      </c>
      <c r="E118" s="3" t="str">
        <f>VLOOKUP(A118,Facturas!A:P,4,0)</f>
        <v>TIS-1062</v>
      </c>
      <c r="F118" t="str">
        <f>VLOOKUP(A118,Facturas!A:P,8,0)</f>
        <v>HILVERDAFLORIST COLOMBIA S.A.S</v>
      </c>
      <c r="H118">
        <f>YEAR(Tabla1[[#This Row],[Fecha]])</f>
        <v>2022</v>
      </c>
    </row>
    <row r="119" spans="1:8" hidden="1" x14ac:dyDescent="0.25">
      <c r="A119" s="3">
        <v>73</v>
      </c>
      <c r="B119" s="360">
        <v>44593</v>
      </c>
      <c r="C119" s="249">
        <v>88288</v>
      </c>
      <c r="D119" s="3" t="str">
        <f>VLOOKUP(A119,Facturas!A:P,2,0)</f>
        <v>P-1061</v>
      </c>
      <c r="E119" s="3" t="str">
        <f>VLOOKUP(A119,Facturas!A:P,4,0)</f>
        <v>Tis-1083</v>
      </c>
      <c r="F119" t="str">
        <f>VLOOKUP(A119,Facturas!A:P,8,0)</f>
        <v>Aviatek SAS</v>
      </c>
      <c r="H119">
        <f>YEAR(Tabla1[[#This Row],[Fecha]])</f>
        <v>2022</v>
      </c>
    </row>
    <row r="120" spans="1:8" hidden="1" x14ac:dyDescent="0.25">
      <c r="A120" s="3">
        <v>77</v>
      </c>
      <c r="B120" s="360">
        <v>44593</v>
      </c>
      <c r="C120" s="249">
        <v>306010</v>
      </c>
      <c r="D120" s="3" t="str">
        <f>VLOOKUP(A120,Facturas!A:P,2,0)</f>
        <v>P-1065</v>
      </c>
      <c r="E120" s="3" t="str">
        <f>VLOOKUP(A120,Facturas!A:P,4,0)</f>
        <v>TIS-1090</v>
      </c>
      <c r="F120" t="str">
        <f>VLOOKUP(A120,Facturas!A:P,8,0)</f>
        <v>Inversiones Sajamib SAS</v>
      </c>
      <c r="H120">
        <f>YEAR(Tabla1[[#This Row],[Fecha]])</f>
        <v>2022</v>
      </c>
    </row>
    <row r="121" spans="1:8" hidden="1" x14ac:dyDescent="0.25">
      <c r="A121" s="3">
        <v>95</v>
      </c>
      <c r="B121" s="360">
        <v>44593</v>
      </c>
      <c r="C121" s="249">
        <v>306010</v>
      </c>
      <c r="D121" s="3" t="str">
        <f>VLOOKUP(A121,Facturas!A:P,2,0)</f>
        <v>P-1083</v>
      </c>
      <c r="E121" s="3" t="str">
        <f>VLOOKUP(A121,Facturas!A:P,4,0)</f>
        <v>TIS-1090</v>
      </c>
      <c r="F121" t="str">
        <f>VLOOKUP(A121,Facturas!A:P,8,0)</f>
        <v>Inversiones Sajamib SAS</v>
      </c>
      <c r="H121">
        <f>YEAR(Tabla1[[#This Row],[Fecha]])</f>
        <v>2022</v>
      </c>
    </row>
    <row r="122" spans="1:8" hidden="1" x14ac:dyDescent="0.25">
      <c r="A122" s="3">
        <v>94</v>
      </c>
      <c r="B122" s="360">
        <v>44594</v>
      </c>
      <c r="C122" s="249">
        <v>567000</v>
      </c>
      <c r="D122" s="3" t="str">
        <f>VLOOKUP(A122,Facturas!A:P,2,0)</f>
        <v>P-1082</v>
      </c>
      <c r="E122" s="3" t="str">
        <f>VLOOKUP(A122,Facturas!A:P,4,0)</f>
        <v>TIS-1093</v>
      </c>
      <c r="F122" t="str">
        <f>VLOOKUP(A122,Facturas!A:P,8,0)</f>
        <v>PILYQ COLOMBIA S.A.S.</v>
      </c>
      <c r="H122">
        <f>YEAR(Tabla1[[#This Row],[Fecha]])</f>
        <v>2022</v>
      </c>
    </row>
    <row r="123" spans="1:8" hidden="1" x14ac:dyDescent="0.25">
      <c r="A123" s="3">
        <v>100</v>
      </c>
      <c r="B123" s="360">
        <v>44599</v>
      </c>
      <c r="C123" s="249">
        <v>1353950</v>
      </c>
      <c r="D123" s="3" t="str">
        <f>VLOOKUP(A123,Facturas!A:P,2,0)</f>
        <v>P-1088</v>
      </c>
      <c r="E123" s="3" t="str">
        <f>VLOOKUP(A123,Facturas!A:P,4,0)</f>
        <v>TIS-1089</v>
      </c>
      <c r="F123" t="str">
        <f>VLOOKUP(A123,Facturas!A:P,8,0)</f>
        <v>Colegio Integrado Nacional Oriente de Caldas</v>
      </c>
      <c r="H123">
        <f>YEAR(Tabla1[[#This Row],[Fecha]])</f>
        <v>2022</v>
      </c>
    </row>
    <row r="124" spans="1:8" hidden="1" x14ac:dyDescent="0.25">
      <c r="A124" s="3">
        <v>93</v>
      </c>
      <c r="B124" s="360">
        <v>44600</v>
      </c>
      <c r="C124" s="249">
        <v>2004900</v>
      </c>
      <c r="D124" s="3" t="str">
        <f>VLOOKUP(A124,Facturas!A:P,2,0)</f>
        <v>P-1081</v>
      </c>
      <c r="E124" s="3" t="str">
        <f>VLOOKUP(A124,Facturas!A:P,4,0)</f>
        <v>Tis-1127</v>
      </c>
      <c r="F124" t="str">
        <f>VLOOKUP(A124,Facturas!A:P,8,0)</f>
        <v>SEQ CONSULTORES LTDA</v>
      </c>
      <c r="H124">
        <f>YEAR(Tabla1[[#This Row],[Fecha]])</f>
        <v>2022</v>
      </c>
    </row>
    <row r="125" spans="1:8" hidden="1" x14ac:dyDescent="0.25">
      <c r="A125" s="3">
        <v>67</v>
      </c>
      <c r="B125" s="360">
        <v>44602</v>
      </c>
      <c r="C125" s="249">
        <f>1338600-C126</f>
        <v>852600</v>
      </c>
      <c r="D125" s="3" t="str">
        <f>VLOOKUP(A125,Facturas!A:P,2,0)</f>
        <v>P-1055</v>
      </c>
      <c r="E125" s="3" t="str">
        <f>VLOOKUP(A125,Facturas!A:P,4,0)</f>
        <v>TIS-1075</v>
      </c>
      <c r="F125" t="str">
        <f>VLOOKUP(A125,Facturas!A:P,8,0)</f>
        <v>RENAL MEDICAL MARKETING LIMITADA</v>
      </c>
      <c r="H125">
        <f>YEAR(Tabla1[[#This Row],[Fecha]])</f>
        <v>2022</v>
      </c>
    </row>
    <row r="126" spans="1:8" hidden="1" x14ac:dyDescent="0.25">
      <c r="A126" s="3">
        <v>99</v>
      </c>
      <c r="B126" s="360">
        <v>44602</v>
      </c>
      <c r="C126" s="249">
        <v>486000</v>
      </c>
      <c r="D126" s="3" t="str">
        <f>VLOOKUP(A126,Facturas!A:P,2,0)</f>
        <v>P-1087</v>
      </c>
      <c r="E126" s="3" t="str">
        <f>VLOOKUP(A126,Facturas!A:P,4,0)</f>
        <v>TIS-1087</v>
      </c>
      <c r="F126" t="str">
        <f>VLOOKUP(A126,Facturas!A:P,8,0)</f>
        <v>RENAL MEDICAL MARKETING LIMITADA</v>
      </c>
      <c r="H126">
        <f>YEAR(Tabla1[[#This Row],[Fecha]])</f>
        <v>2022</v>
      </c>
    </row>
    <row r="127" spans="1:8" hidden="1" x14ac:dyDescent="0.25">
      <c r="A127" s="3">
        <v>101</v>
      </c>
      <c r="B127" s="360">
        <v>44603</v>
      </c>
      <c r="C127" s="249">
        <v>3991932</v>
      </c>
      <c r="D127" s="3" t="str">
        <f>VLOOKUP(A127,Facturas!A:P,2,0)</f>
        <v>P-1089</v>
      </c>
      <c r="E127" s="3" t="str">
        <f>VLOOKUP(A127,Facturas!A:P,4,0)</f>
        <v>TIS-1094</v>
      </c>
      <c r="F127" t="str">
        <f>VLOOKUP(A127,Facturas!A:P,8,0)</f>
        <v>PASTRY CHEF PASTELERIA Y COCINA GOURMET SAS</v>
      </c>
      <c r="H127">
        <f>YEAR(Tabla1[[#This Row],[Fecha]])</f>
        <v>2022</v>
      </c>
    </row>
    <row r="128" spans="1:8" hidden="1" x14ac:dyDescent="0.25">
      <c r="A128" s="3">
        <v>97</v>
      </c>
      <c r="B128" s="360">
        <v>44607</v>
      </c>
      <c r="C128" s="249">
        <v>2980800</v>
      </c>
      <c r="D128" s="3" t="str">
        <f>VLOOKUP(A128,Facturas!A:P,2,0)</f>
        <v>P-1085</v>
      </c>
      <c r="E128" s="3" t="str">
        <f>VLOOKUP(A128,Facturas!A:P,4,0)</f>
        <v>TIS-1095</v>
      </c>
      <c r="F128" t="str">
        <f>VLOOKUP(A128,Facturas!A:P,8,0)</f>
        <v>Procesos 2000 S.A.S.</v>
      </c>
      <c r="H128">
        <f>YEAR(Tabla1[[#This Row],[Fecha]])</f>
        <v>2022</v>
      </c>
    </row>
    <row r="129" spans="1:8" hidden="1" x14ac:dyDescent="0.25">
      <c r="A129" s="3">
        <v>105</v>
      </c>
      <c r="B129" s="360">
        <v>44611</v>
      </c>
      <c r="C129" s="249">
        <v>401752</v>
      </c>
      <c r="D129" s="3" t="str">
        <f>VLOOKUP(A129,Facturas!A:P,2,0)</f>
        <v>P-1093</v>
      </c>
      <c r="E129" s="3" t="str">
        <f>VLOOKUP(A129,Facturas!A:P,4,0)</f>
        <v>Tis-1091</v>
      </c>
      <c r="F129" t="str">
        <f>VLOOKUP(A129,Facturas!A:P,8,0)</f>
        <v>K-2 INGENIERIA S.A.S.</v>
      </c>
      <c r="H129">
        <f>YEAR(Tabla1[[#This Row],[Fecha]])</f>
        <v>2022</v>
      </c>
    </row>
    <row r="130" spans="1:8" hidden="1" x14ac:dyDescent="0.25">
      <c r="A130" s="3">
        <v>94</v>
      </c>
      <c r="B130" s="360">
        <v>44613</v>
      </c>
      <c r="C130" s="249">
        <v>340200</v>
      </c>
      <c r="D130" s="3" t="str">
        <f>VLOOKUP(A130,Facturas!A:P,2,0)</f>
        <v>P-1082</v>
      </c>
      <c r="E130" s="3" t="str">
        <f>VLOOKUP(A130,Facturas!A:P,4,0)</f>
        <v>TIS-1093</v>
      </c>
      <c r="F130" t="str">
        <f>VLOOKUP(A130,Facturas!A:P,8,0)</f>
        <v>PILYQ COLOMBIA S.A.S.</v>
      </c>
      <c r="H130">
        <f>YEAR(Tabla1[[#This Row],[Fecha]])</f>
        <v>2022</v>
      </c>
    </row>
    <row r="131" spans="1:8" hidden="1" x14ac:dyDescent="0.25">
      <c r="A131" s="3">
        <v>118</v>
      </c>
      <c r="B131" s="360">
        <v>44614</v>
      </c>
      <c r="C131" s="249">
        <v>225000</v>
      </c>
      <c r="D131" s="3" t="str">
        <f>VLOOKUP(A131,Facturas!A:P,2,0)</f>
        <v>P-1106</v>
      </c>
      <c r="E131" s="3" t="str">
        <f>VLOOKUP(A131,Facturas!A:P,4,0)</f>
        <v>TIS-1096</v>
      </c>
      <c r="F131" t="str">
        <f>VLOOKUP(A131,Facturas!A:P,8,0)</f>
        <v>VUELTACANELA S.A.S</v>
      </c>
      <c r="G131" t="s">
        <v>298</v>
      </c>
      <c r="H131">
        <f>YEAR(Tabla1[[#This Row],[Fecha]])</f>
        <v>2022</v>
      </c>
    </row>
    <row r="132" spans="1:8" hidden="1" x14ac:dyDescent="0.25">
      <c r="A132" s="3">
        <v>91</v>
      </c>
      <c r="B132" s="360">
        <v>44616</v>
      </c>
      <c r="C132" s="249">
        <v>278875</v>
      </c>
      <c r="D132" s="3" t="str">
        <f>VLOOKUP(A132,Facturas!A:P,2,0)</f>
        <v>P-1079</v>
      </c>
      <c r="E132" s="3" t="str">
        <f>VLOOKUP(A132,Facturas!A:P,4,0)</f>
        <v>Tis-1080</v>
      </c>
      <c r="F132" t="str">
        <f>VLOOKUP(A132,Facturas!A:P,8,0)</f>
        <v>PROYECTO COLOMBIA DIVERSA</v>
      </c>
      <c r="H132">
        <f>YEAR(Tabla1[[#This Row],[Fecha]])</f>
        <v>2022</v>
      </c>
    </row>
    <row r="133" spans="1:8" hidden="1" x14ac:dyDescent="0.25">
      <c r="A133" s="3">
        <v>98</v>
      </c>
      <c r="B133" s="360">
        <v>44622</v>
      </c>
      <c r="C133" s="249">
        <v>322000</v>
      </c>
      <c r="D133" s="3" t="str">
        <f>VLOOKUP(A133,Facturas!A:P,2,0)</f>
        <v>P-1086</v>
      </c>
      <c r="E133" s="3" t="str">
        <f>VLOOKUP(A133,Facturas!A:P,4,0)</f>
        <v>TIS-1116</v>
      </c>
      <c r="F133" t="str">
        <f>VLOOKUP(A133,Facturas!A:P,8,0)</f>
        <v>Inversiones Sajamib SAS</v>
      </c>
      <c r="H133">
        <f>YEAR(Tabla1[[#This Row],[Fecha]])</f>
        <v>2022</v>
      </c>
    </row>
    <row r="134" spans="1:8" hidden="1" x14ac:dyDescent="0.25">
      <c r="A134" s="3">
        <v>109</v>
      </c>
      <c r="B134" s="360">
        <v>44622</v>
      </c>
      <c r="C134" s="249">
        <v>200000</v>
      </c>
      <c r="D134" s="3" t="str">
        <f>VLOOKUP(A134,Facturas!A:P,2,0)</f>
        <v>P-1097</v>
      </c>
      <c r="E134" s="3" t="str">
        <f>VLOOKUP(A134,Facturas!A:P,4,0)</f>
        <v>TIS-1107</v>
      </c>
      <c r="F134" t="str">
        <f>VLOOKUP(A134,Facturas!A:P,8,0)</f>
        <v>Liz Adriana Granados</v>
      </c>
      <c r="H134">
        <f>YEAR(Tabla1[[#This Row],[Fecha]])</f>
        <v>2022</v>
      </c>
    </row>
    <row r="135" spans="1:8" hidden="1" x14ac:dyDescent="0.25">
      <c r="A135" s="3">
        <v>121</v>
      </c>
      <c r="B135" s="360">
        <v>44624</v>
      </c>
      <c r="C135" s="249">
        <v>104125</v>
      </c>
      <c r="D135" s="3" t="str">
        <f>VLOOKUP(A135,Facturas!A:P,2,0)</f>
        <v>P-1109</v>
      </c>
      <c r="E135" s="3" t="str">
        <f>VLOOKUP(A135,Facturas!A:P,4,0)</f>
        <v>TIS-1105</v>
      </c>
      <c r="F135" t="str">
        <f>VLOOKUP(A135,Facturas!A:P,8,0)</f>
        <v>Fonseca Abogados Asesoria Empresarial SAS</v>
      </c>
      <c r="H135">
        <f>YEAR(Tabla1[[#This Row],[Fecha]])</f>
        <v>2022</v>
      </c>
    </row>
    <row r="136" spans="1:8" hidden="1" x14ac:dyDescent="0.25">
      <c r="A136" s="3">
        <v>87</v>
      </c>
      <c r="B136" s="360">
        <v>44628</v>
      </c>
      <c r="C136" s="249">
        <v>900000</v>
      </c>
      <c r="D136" s="3" t="str">
        <f>VLOOKUP(A136,Facturas!A:P,2,0)</f>
        <v>P-1075</v>
      </c>
      <c r="E136" s="3" t="str">
        <f>VLOOKUP(A136,Facturas!A:P,4,0)</f>
        <v>TIS-1102</v>
      </c>
      <c r="F136" t="str">
        <f>VLOOKUP(A136,Facturas!A:P,8,0)</f>
        <v>Maria del Pilar Alvarado Joya</v>
      </c>
      <c r="H136">
        <f>YEAR(Tabla1[[#This Row],[Fecha]])</f>
        <v>2022</v>
      </c>
    </row>
    <row r="137" spans="1:8" hidden="1" x14ac:dyDescent="0.25">
      <c r="A137" s="3">
        <v>119</v>
      </c>
      <c r="B137" s="360">
        <v>44631</v>
      </c>
      <c r="C137" s="249">
        <v>638633</v>
      </c>
      <c r="D137" s="3" t="str">
        <f>VLOOKUP(A137,Facturas!A:P,2,0)</f>
        <v>P-1107</v>
      </c>
      <c r="E137" s="3" t="str">
        <f>VLOOKUP(A137,Facturas!A:P,4,0)</f>
        <v>Tis-1097</v>
      </c>
      <c r="F137" t="str">
        <f>VLOOKUP(A137,Facturas!A:P,8,0)</f>
        <v>Procesos 2000 S.A.S.</v>
      </c>
      <c r="H137">
        <f>YEAR(Tabla1[[#This Row],[Fecha]])</f>
        <v>2022</v>
      </c>
    </row>
    <row r="138" spans="1:8" hidden="1" x14ac:dyDescent="0.25">
      <c r="A138" s="3">
        <v>118</v>
      </c>
      <c r="B138" s="360">
        <v>44634</v>
      </c>
      <c r="C138" s="249">
        <v>288153</v>
      </c>
      <c r="D138" s="3" t="str">
        <f>VLOOKUP(A138,Facturas!A:P,2,0)</f>
        <v>P-1106</v>
      </c>
      <c r="E138" s="3" t="str">
        <f>VLOOKUP(A138,Facturas!A:P,4,0)</f>
        <v>TIS-1096</v>
      </c>
      <c r="F138" t="str">
        <f>VLOOKUP(A138,Facturas!A:P,8,0)</f>
        <v>VUELTACANELA S.A.S</v>
      </c>
      <c r="G138" t="s">
        <v>298</v>
      </c>
      <c r="H138">
        <f>YEAR(Tabla1[[#This Row],[Fecha]])</f>
        <v>2022</v>
      </c>
    </row>
    <row r="139" spans="1:8" hidden="1" x14ac:dyDescent="0.25">
      <c r="A139" s="3">
        <v>110</v>
      </c>
      <c r="B139" s="327">
        <v>44637</v>
      </c>
      <c r="C139" s="249">
        <v>1028160</v>
      </c>
      <c r="D139" s="3" t="str">
        <f>VLOOKUP(A139,Facturas!A:P,2,0)</f>
        <v>P-1098</v>
      </c>
      <c r="E139" s="3" t="str">
        <f>VLOOKUP(A139,Facturas!A:P,4,0)</f>
        <v>TIS-1098</v>
      </c>
      <c r="F139" t="str">
        <f>VLOOKUP(A139,Facturas!A:P,8,0)</f>
        <v>MASTERLINE COLOMBIA SOCIEDAD POR ACCIONES SIMPLIFICADA</v>
      </c>
      <c r="H139">
        <f>YEAR(Tabla1[[#This Row],[Fecha]])</f>
        <v>2022</v>
      </c>
    </row>
    <row r="140" spans="1:8" hidden="1" x14ac:dyDescent="0.25">
      <c r="A140" s="3">
        <v>112</v>
      </c>
      <c r="B140" s="360">
        <v>44644</v>
      </c>
      <c r="C140" s="249">
        <v>31980</v>
      </c>
      <c r="D140" s="3" t="str">
        <f>VLOOKUP(A140,Facturas!A:P,2,0)</f>
        <v>P-1100</v>
      </c>
      <c r="E140" s="3" t="str">
        <f>VLOOKUP(A140,Facturas!A:P,4,0)</f>
        <v>TIS-1117</v>
      </c>
      <c r="F140" t="str">
        <f>VLOOKUP(A140,Facturas!A:P,8,0)</f>
        <v>Inversiones Sajamib SAS</v>
      </c>
      <c r="H140">
        <f>YEAR(Tabla1[[#This Row],[Fecha]])</f>
        <v>2022</v>
      </c>
    </row>
    <row r="141" spans="1:8" hidden="1" x14ac:dyDescent="0.25">
      <c r="A141" s="3">
        <v>117</v>
      </c>
      <c r="B141" s="360">
        <v>44644</v>
      </c>
      <c r="C141" s="249">
        <v>819910</v>
      </c>
      <c r="D141" s="3" t="str">
        <f>VLOOKUP(A141,Facturas!A:P,2,0)</f>
        <v>P-1105</v>
      </c>
      <c r="E141" s="3" t="str">
        <f>VLOOKUP(A141,Facturas!A:P,4,0)</f>
        <v>TIS-1099</v>
      </c>
      <c r="F141" t="str">
        <f>VLOOKUP(A141,Facturas!A:P,8,0)</f>
        <v>ENERGINN S.A.S</v>
      </c>
      <c r="H141">
        <f>YEAR(Tabla1[[#This Row],[Fecha]])</f>
        <v>2022</v>
      </c>
    </row>
    <row r="142" spans="1:8" hidden="1" x14ac:dyDescent="0.25">
      <c r="A142" s="3">
        <v>126</v>
      </c>
      <c r="B142" s="360">
        <v>44645</v>
      </c>
      <c r="C142" s="249">
        <v>850000</v>
      </c>
      <c r="D142" s="3" t="str">
        <f>VLOOKUP(A142,Facturas!A:P,2,0)</f>
        <v>P-1114</v>
      </c>
      <c r="E142" s="3" t="str">
        <f>VLOOKUP(A142,Facturas!A:P,4,0)</f>
        <v>Tis-1140</v>
      </c>
      <c r="F142" t="str">
        <f>VLOOKUP(A142,Facturas!A:P,8,0)</f>
        <v>FET GROUP SAS</v>
      </c>
      <c r="H142">
        <f>YEAR(Tabla1[[#This Row],[Fecha]])</f>
        <v>2022</v>
      </c>
    </row>
    <row r="143" spans="1:8" hidden="1" x14ac:dyDescent="0.25">
      <c r="A143" s="3">
        <v>96</v>
      </c>
      <c r="B143" s="360">
        <v>44651</v>
      </c>
      <c r="C143" s="249">
        <f>642204/3</f>
        <v>214068</v>
      </c>
      <c r="D143" s="3" t="str">
        <f>VLOOKUP(A143,Facturas!A:P,2,0)</f>
        <v>P-1084</v>
      </c>
      <c r="E143" s="3" t="str">
        <f>VLOOKUP(A143,Facturas!A:P,4,0)</f>
        <v>Tis-1085</v>
      </c>
      <c r="F143" t="str">
        <f>VLOOKUP(A143,Facturas!A:P,8,0)</f>
        <v>PRODUCTORA INTERAMERICANA DE PLASTICOS S.A.S.</v>
      </c>
      <c r="H143">
        <f>YEAR(Tabla1[[#This Row],[Fecha]])</f>
        <v>2022</v>
      </c>
    </row>
    <row r="144" spans="1:8" hidden="1" x14ac:dyDescent="0.25">
      <c r="A144" s="3">
        <v>111</v>
      </c>
      <c r="B144" s="360">
        <v>44651</v>
      </c>
      <c r="C144" s="249">
        <v>214068</v>
      </c>
      <c r="D144" s="3" t="str">
        <f>VLOOKUP(A144,Facturas!A:P,2,0)</f>
        <v>P-1099</v>
      </c>
      <c r="E144" s="3" t="str">
        <f>VLOOKUP(A144,Facturas!A:P,4,0)</f>
        <v>TIS-1100</v>
      </c>
      <c r="F144" t="str">
        <f>VLOOKUP(A144,Facturas!A:P,8,0)</f>
        <v>PRODUCTORA INTERAMERICANA DE PLASTICOS S.A.S.</v>
      </c>
      <c r="H144">
        <f>YEAR(Tabla1[[#This Row],[Fecha]])</f>
        <v>2022</v>
      </c>
    </row>
    <row r="145" spans="1:8" hidden="1" x14ac:dyDescent="0.25">
      <c r="A145" s="3">
        <v>152</v>
      </c>
      <c r="B145" s="360">
        <v>44651</v>
      </c>
      <c r="C145" s="249">
        <v>214068</v>
      </c>
      <c r="D145" s="3" t="str">
        <f>VLOOKUP(A145,Facturas!A:P,2,0)</f>
        <v>P-1140</v>
      </c>
      <c r="E145" s="3" t="str">
        <f>VLOOKUP(A145,Facturas!A:P,4,0)</f>
        <v>TIS-1146</v>
      </c>
      <c r="F145" t="str">
        <f>VLOOKUP(A145,Facturas!A:P,8,0)</f>
        <v>PRODUCTORA INTERAMERICANA DE PLASTICOS S.A.S.</v>
      </c>
      <c r="H145">
        <f>YEAR(Tabla1[[#This Row],[Fecha]])</f>
        <v>2022</v>
      </c>
    </row>
    <row r="146" spans="1:8" hidden="1" x14ac:dyDescent="0.25">
      <c r="A146" s="3">
        <v>119</v>
      </c>
      <c r="B146" s="360">
        <v>44652</v>
      </c>
      <c r="C146" s="249">
        <v>638634</v>
      </c>
      <c r="D146" s="3" t="str">
        <f>VLOOKUP(A146,Facturas!A:P,2,0)</f>
        <v>P-1107</v>
      </c>
      <c r="E146" s="3" t="str">
        <f>VLOOKUP(A146,Facturas!A:P,4,0)</f>
        <v>Tis-1097</v>
      </c>
      <c r="F146" t="str">
        <f>VLOOKUP(A146,Facturas!A:P,8,0)</f>
        <v>Procesos 2000 S.A.S.</v>
      </c>
      <c r="H146">
        <f>YEAR(Tabla1[[#This Row],[Fecha]])</f>
        <v>2022</v>
      </c>
    </row>
    <row r="147" spans="1:8" hidden="1" x14ac:dyDescent="0.25">
      <c r="A147" s="3">
        <v>132</v>
      </c>
      <c r="B147" s="360">
        <v>44652</v>
      </c>
      <c r="C147" s="249">
        <v>1000000</v>
      </c>
      <c r="D147" s="3" t="str">
        <f>VLOOKUP(A147,Facturas!A:P,2,0)</f>
        <v>P-1120</v>
      </c>
      <c r="E147" s="3" t="str">
        <f>VLOOKUP(A147,Facturas!A:P,4,0)</f>
        <v>TIS-1208</v>
      </c>
      <c r="F147" t="str">
        <f>VLOOKUP(A147,Facturas!A:P,8,0)</f>
        <v>CAVACOR S.A.S</v>
      </c>
      <c r="H147">
        <f>YEAR(Tabla1[[#This Row],[Fecha]])</f>
        <v>2022</v>
      </c>
    </row>
    <row r="148" spans="1:8" hidden="1" x14ac:dyDescent="0.25">
      <c r="A148" s="3">
        <v>102</v>
      </c>
      <c r="B148" s="360">
        <v>44653</v>
      </c>
      <c r="C148" s="249">
        <v>900000</v>
      </c>
      <c r="D148" s="3" t="str">
        <f>VLOOKUP(A148,Facturas!A:P,2,0)</f>
        <v>P-1090</v>
      </c>
      <c r="E148" s="3" t="str">
        <f>VLOOKUP(A148,Facturas!A:P,4,0)</f>
        <v>TIS-1010</v>
      </c>
      <c r="F148" t="str">
        <f>VLOOKUP(A148,Facturas!A:P,8,0)</f>
        <v>Maria del Pilar Alvarado Joya</v>
      </c>
      <c r="H148">
        <f>YEAR(Tabla1[[#This Row],[Fecha]])</f>
        <v>2022</v>
      </c>
    </row>
    <row r="149" spans="1:8" hidden="1" x14ac:dyDescent="0.25">
      <c r="A149" s="3">
        <v>121</v>
      </c>
      <c r="B149" s="360">
        <v>44656</v>
      </c>
      <c r="C149" s="249">
        <v>104125</v>
      </c>
      <c r="D149" s="3" t="str">
        <f>VLOOKUP(A149,Facturas!A:P,2,0)</f>
        <v>P-1109</v>
      </c>
      <c r="E149" s="3" t="str">
        <f>VLOOKUP(A149,Facturas!A:P,4,0)</f>
        <v>TIS-1105</v>
      </c>
      <c r="F149" t="str">
        <f>VLOOKUP(A149,Facturas!A:P,8,0)</f>
        <v>Fonseca Abogados Asesoria Empresarial SAS</v>
      </c>
      <c r="H149">
        <f>YEAR(Tabla1[[#This Row],[Fecha]])</f>
        <v>2022</v>
      </c>
    </row>
    <row r="150" spans="1:8" hidden="1" x14ac:dyDescent="0.25">
      <c r="A150" s="3">
        <v>114</v>
      </c>
      <c r="B150" s="360">
        <v>44658</v>
      </c>
      <c r="C150" s="249">
        <f>972000/2</f>
        <v>486000</v>
      </c>
      <c r="D150" s="3" t="str">
        <f>VLOOKUP(A150,Facturas!A:P,2,0)</f>
        <v>P-1102</v>
      </c>
      <c r="E150" s="3" t="str">
        <f>VLOOKUP(A150,Facturas!A:P,4,0)</f>
        <v>TIS-1103</v>
      </c>
      <c r="F150" t="str">
        <f>VLOOKUP(A150,Facturas!A:P,8,0)</f>
        <v>RENAL MEDICAL MARKETING LIMITADA</v>
      </c>
      <c r="H150">
        <f>YEAR(Tabla1[[#This Row],[Fecha]])</f>
        <v>2022</v>
      </c>
    </row>
    <row r="151" spans="1:8" hidden="1" x14ac:dyDescent="0.25">
      <c r="A151" s="3">
        <v>120</v>
      </c>
      <c r="B151" s="360">
        <v>44658</v>
      </c>
      <c r="C151" s="249">
        <f>972000/2</f>
        <v>486000</v>
      </c>
      <c r="D151" s="3" t="str">
        <f>VLOOKUP(A151,Facturas!A:P,2,0)</f>
        <v>P-1108</v>
      </c>
      <c r="E151" s="3" t="str">
        <f>VLOOKUP(A151,Facturas!A:P,4,0)</f>
        <v>Tis-1104</v>
      </c>
      <c r="F151" t="str">
        <f>VLOOKUP(A151,Facturas!A:P,8,0)</f>
        <v>RENAL MEDICAL MARKETING LIMITADA</v>
      </c>
      <c r="H151">
        <f>YEAR(Tabla1[[#This Row],[Fecha]])</f>
        <v>2022</v>
      </c>
    </row>
    <row r="152" spans="1:8" hidden="1" x14ac:dyDescent="0.25">
      <c r="A152" s="3">
        <v>122</v>
      </c>
      <c r="B152" s="360">
        <v>44659</v>
      </c>
      <c r="C152" s="249">
        <v>1593900</v>
      </c>
      <c r="D152" s="3" t="str">
        <f>VLOOKUP(A152,Facturas!A:P,2,0)</f>
        <v>P-1110</v>
      </c>
      <c r="E152" s="3" t="str">
        <f>VLOOKUP(A152,Facturas!A:P,4,0)</f>
        <v>TIS-1106</v>
      </c>
      <c r="F152" t="str">
        <f>VLOOKUP(A152,Facturas!A:P,8,0)</f>
        <v>ROCKETFY S.A.S.</v>
      </c>
      <c r="G152" t="s">
        <v>298</v>
      </c>
      <c r="H152">
        <f>YEAR(Tabla1[[#This Row],[Fecha]])</f>
        <v>2022</v>
      </c>
    </row>
    <row r="153" spans="1:8" hidden="1" x14ac:dyDescent="0.25">
      <c r="A153" s="3">
        <v>110</v>
      </c>
      <c r="B153" s="360">
        <v>44672</v>
      </c>
      <c r="C153" s="249">
        <v>542419</v>
      </c>
      <c r="D153" s="3" t="str">
        <f>VLOOKUP(A153,Facturas!A:P,2,0)</f>
        <v>P-1098</v>
      </c>
      <c r="E153" s="3" t="str">
        <f>VLOOKUP(A153,Facturas!A:P,4,0)</f>
        <v>TIS-1098</v>
      </c>
      <c r="F153" t="str">
        <f>VLOOKUP(A153,Facturas!A:P,8,0)</f>
        <v>MASTERLINE COLOMBIA SOCIEDAD POR ACCIONES SIMPLIFICADA</v>
      </c>
      <c r="H153">
        <f>YEAR(Tabla1[[#This Row],[Fecha]])</f>
        <v>2022</v>
      </c>
    </row>
    <row r="154" spans="1:8" hidden="1" x14ac:dyDescent="0.25">
      <c r="A154" s="3">
        <v>117</v>
      </c>
      <c r="B154" s="360">
        <v>44673</v>
      </c>
      <c r="C154" s="249">
        <v>723503</v>
      </c>
      <c r="D154" s="3" t="str">
        <f>VLOOKUP(A154,Facturas!A:P,2,0)</f>
        <v>P-1105</v>
      </c>
      <c r="E154" s="3" t="str">
        <f>VLOOKUP(A154,Facturas!A:P,4,0)</f>
        <v>TIS-1099</v>
      </c>
      <c r="F154" t="str">
        <f>VLOOKUP(A154,Facturas!A:P,8,0)</f>
        <v>ENERGINN S.A.S</v>
      </c>
      <c r="H154">
        <f>YEAR(Tabla1[[#This Row],[Fecha]])</f>
        <v>2022</v>
      </c>
    </row>
    <row r="155" spans="1:8" hidden="1" x14ac:dyDescent="0.25">
      <c r="A155" s="3">
        <v>112</v>
      </c>
      <c r="B155" s="360">
        <v>44678</v>
      </c>
      <c r="C155" s="249">
        <v>322000</v>
      </c>
      <c r="D155" s="3" t="str">
        <f>VLOOKUP(A155,Facturas!A:P,2,0)</f>
        <v>P-1100</v>
      </c>
      <c r="E155" s="3" t="str">
        <f>VLOOKUP(A155,Facturas!A:P,4,0)</f>
        <v>TIS-1117</v>
      </c>
      <c r="F155" t="str">
        <f>VLOOKUP(A155,Facturas!A:P,8,0)</f>
        <v>Inversiones Sajamib SAS</v>
      </c>
      <c r="H155">
        <f>YEAR(Tabla1[[#This Row],[Fecha]])</f>
        <v>2022</v>
      </c>
    </row>
    <row r="156" spans="1:8" hidden="1" x14ac:dyDescent="0.25">
      <c r="A156" s="3">
        <v>128</v>
      </c>
      <c r="B156" s="360">
        <v>44678</v>
      </c>
      <c r="C156" s="249">
        <v>322000</v>
      </c>
      <c r="D156" s="3" t="str">
        <f>VLOOKUP(A156,Facturas!A:P,2,0)</f>
        <v>P-1116</v>
      </c>
      <c r="E156" s="3" t="str">
        <f>VLOOKUP(A156,Facturas!A:P,4,0)</f>
        <v>Tis-1118</v>
      </c>
      <c r="F156" t="str">
        <f>VLOOKUP(A156,Facturas!A:P,8,0)</f>
        <v>Inversiones Sajamib SAS</v>
      </c>
      <c r="H156">
        <f>YEAR(Tabla1[[#This Row],[Fecha]])</f>
        <v>2022</v>
      </c>
    </row>
    <row r="157" spans="1:8" hidden="1" x14ac:dyDescent="0.25">
      <c r="A157" s="3">
        <v>119</v>
      </c>
      <c r="B157" s="360">
        <v>44680</v>
      </c>
      <c r="C157" s="249">
        <v>638634</v>
      </c>
      <c r="D157" s="3" t="str">
        <f>VLOOKUP(A157,Facturas!A:P,2,0)</f>
        <v>P-1107</v>
      </c>
      <c r="E157" s="3" t="str">
        <f>VLOOKUP(A157,Facturas!A:P,4,0)</f>
        <v>Tis-1097</v>
      </c>
      <c r="F157" t="str">
        <f>VLOOKUP(A157,Facturas!A:P,8,0)</f>
        <v>Procesos 2000 S.A.S.</v>
      </c>
      <c r="H157">
        <f>YEAR(Tabla1[[#This Row],[Fecha]])</f>
        <v>2022</v>
      </c>
    </row>
    <row r="158" spans="1:8" hidden="1" x14ac:dyDescent="0.25">
      <c r="A158" s="3">
        <v>149</v>
      </c>
      <c r="B158" s="360">
        <v>44680</v>
      </c>
      <c r="C158" s="249">
        <v>1082900</v>
      </c>
      <c r="D158" s="3" t="str">
        <f>VLOOKUP(A158,Facturas!A:P,2,0)</f>
        <v>P-1137</v>
      </c>
      <c r="E158" s="3" t="str">
        <f>VLOOKUP(A158,Facturas!A:P,4,0)</f>
        <v>TIS-1150</v>
      </c>
      <c r="F158" t="str">
        <f>VLOOKUP(A158,Facturas!A:P,8,0)</f>
        <v>LABORATORIO MAXPROTEC S.A.S.</v>
      </c>
      <c r="G158" t="s">
        <v>298</v>
      </c>
      <c r="H158">
        <f>YEAR(Tabla1[[#This Row],[Fecha]])</f>
        <v>2022</v>
      </c>
    </row>
    <row r="159" spans="1:8" hidden="1" x14ac:dyDescent="0.25">
      <c r="A159" s="3">
        <v>129</v>
      </c>
      <c r="B159" s="360">
        <v>44683</v>
      </c>
      <c r="C159" s="249">
        <v>1126650</v>
      </c>
      <c r="D159" s="3" t="str">
        <f>VLOOKUP(A159,Facturas!A:P,2,0)</f>
        <v>P-1117</v>
      </c>
      <c r="E159" s="3" t="str">
        <f>VLOOKUP(A159,Facturas!A:P,4,0)</f>
        <v>TIS-1113</v>
      </c>
      <c r="F159" t="str">
        <f>VLOOKUP(A159,Facturas!A:P,8,0)</f>
        <v>HUTERCOL S.A.S.</v>
      </c>
      <c r="H159">
        <f>YEAR(Tabla1[[#This Row],[Fecha]])</f>
        <v>2022</v>
      </c>
    </row>
    <row r="160" spans="1:8" hidden="1" x14ac:dyDescent="0.25">
      <c r="A160" s="3">
        <v>125</v>
      </c>
      <c r="B160" s="360">
        <v>44684</v>
      </c>
      <c r="C160" s="249">
        <v>856800</v>
      </c>
      <c r="D160" s="3" t="str">
        <f>VLOOKUP(A160,Facturas!A:P,2,0)</f>
        <v>P-1113</v>
      </c>
      <c r="E160" s="3" t="str">
        <f>VLOOKUP(A160,Facturas!A:P,4,0)</f>
        <v>TIS-1111</v>
      </c>
      <c r="F160" t="str">
        <f>VLOOKUP(A160,Facturas!A:P,8,0)</f>
        <v>BARRO BLANCO FARMS SAS</v>
      </c>
      <c r="H160">
        <f>YEAR(Tabla1[[#This Row],[Fecha]])</f>
        <v>2022</v>
      </c>
    </row>
    <row r="161" spans="1:8" hidden="1" x14ac:dyDescent="0.25">
      <c r="A161" s="3">
        <v>123</v>
      </c>
      <c r="B161" s="360">
        <v>44685</v>
      </c>
      <c r="C161" s="249">
        <f>401752-C162</f>
        <v>241201</v>
      </c>
      <c r="D161" s="3" t="str">
        <f>VLOOKUP(A161,Facturas!A:P,2,0)</f>
        <v>P-1111</v>
      </c>
      <c r="E161" s="3" t="str">
        <f>VLOOKUP(A161,Facturas!A:P,4,0)</f>
        <v>TIS-1108</v>
      </c>
      <c r="F161" t="str">
        <f>VLOOKUP(A161,Facturas!A:P,8,0)</f>
        <v>K-2 INGENIERIA S.A.S.</v>
      </c>
      <c r="H161">
        <f>YEAR(Tabla1[[#This Row],[Fecha]])</f>
        <v>2022</v>
      </c>
    </row>
    <row r="162" spans="1:8" hidden="1" x14ac:dyDescent="0.25">
      <c r="A162" s="3">
        <v>124</v>
      </c>
      <c r="B162" s="360">
        <v>44685</v>
      </c>
      <c r="C162" s="249">
        <v>160551</v>
      </c>
      <c r="D162" s="3" t="str">
        <f>VLOOKUP(A162,Facturas!A:P,2,0)</f>
        <v>P-1112</v>
      </c>
      <c r="E162" s="3" t="str">
        <f>VLOOKUP(A162,Facturas!A:P,4,0)</f>
        <v>TIS-1109</v>
      </c>
      <c r="F162" t="str">
        <f>VLOOKUP(A162,Facturas!A:P,8,0)</f>
        <v>K-2 INGENIERIA S.A.S.</v>
      </c>
      <c r="H162">
        <f>YEAR(Tabla1[[#This Row],[Fecha]])</f>
        <v>2022</v>
      </c>
    </row>
    <row r="163" spans="1:8" hidden="1" x14ac:dyDescent="0.25">
      <c r="A163" s="3">
        <v>127</v>
      </c>
      <c r="B163" s="360">
        <v>44686</v>
      </c>
      <c r="C163" s="249">
        <v>776208</v>
      </c>
      <c r="D163" s="3" t="str">
        <f>VLOOKUP(A163,Facturas!A:P,2,0)</f>
        <v>P-1115</v>
      </c>
      <c r="E163" s="3" t="str">
        <f>VLOOKUP(A163,Facturas!A:P,4,0)</f>
        <v>TIS-1119</v>
      </c>
      <c r="F163" t="str">
        <f>VLOOKUP(A163,Facturas!A:P,8,0)</f>
        <v>PASTRY CHEF PASTELERIA Y COCINA GOURMET SAS</v>
      </c>
      <c r="H163">
        <f>YEAR(Tabla1[[#This Row],[Fecha]])</f>
        <v>2022</v>
      </c>
    </row>
    <row r="164" spans="1:8" hidden="1" x14ac:dyDescent="0.25">
      <c r="A164" s="3">
        <v>130</v>
      </c>
      <c r="B164" s="360">
        <v>44686</v>
      </c>
      <c r="C164" s="249">
        <v>486000</v>
      </c>
      <c r="D164" s="3" t="str">
        <f>VLOOKUP(A164,Facturas!A:P,2,0)</f>
        <v>P-1118</v>
      </c>
      <c r="E164" s="3" t="str">
        <f>VLOOKUP(A164,Facturas!A:P,4,0)</f>
        <v>TIS-1114</v>
      </c>
      <c r="F164" t="str">
        <f>VLOOKUP(A164,Facturas!A:P,8,0)</f>
        <v>RENAL MEDICAL MARKETING LIMITADA</v>
      </c>
      <c r="H164">
        <f>YEAR(Tabla1[[#This Row],[Fecha]])</f>
        <v>2022</v>
      </c>
    </row>
    <row r="165" spans="1:8" hidden="1" x14ac:dyDescent="0.25">
      <c r="A165" s="3">
        <v>94</v>
      </c>
      <c r="B165" s="360">
        <v>44687</v>
      </c>
      <c r="C165" s="249">
        <v>226800</v>
      </c>
      <c r="D165" s="3" t="str">
        <f>VLOOKUP(A165,Facturas!A:P,2,0)</f>
        <v>P-1082</v>
      </c>
      <c r="E165" s="3" t="str">
        <f>VLOOKUP(A165,Facturas!A:P,4,0)</f>
        <v>TIS-1093</v>
      </c>
      <c r="F165" t="str">
        <f>VLOOKUP(A165,Facturas!A:P,8,0)</f>
        <v>PILYQ COLOMBIA S.A.S.</v>
      </c>
      <c r="H165">
        <f>YEAR(Tabla1[[#This Row],[Fecha]])</f>
        <v>2022</v>
      </c>
    </row>
    <row r="166" spans="1:8" hidden="1" x14ac:dyDescent="0.25">
      <c r="A166" s="3">
        <v>131</v>
      </c>
      <c r="B166" s="360">
        <v>44697</v>
      </c>
      <c r="C166" s="249">
        <v>214068</v>
      </c>
      <c r="D166" s="3" t="str">
        <f>VLOOKUP(A166,Facturas!A:P,2,0)</f>
        <v>P-1119</v>
      </c>
      <c r="E166" s="3" t="str">
        <f>VLOOKUP(A166,Facturas!A:P,4,0)</f>
        <v>TIS-1115</v>
      </c>
      <c r="F166" t="str">
        <f>VLOOKUP(A166,Facturas!A:P,8,0)</f>
        <v>PRODUCTORA INTERAMERICANA DE PLASTICOS S.A.S.</v>
      </c>
      <c r="H166">
        <f>YEAR(Tabla1[[#This Row],[Fecha]])</f>
        <v>2022</v>
      </c>
    </row>
    <row r="167" spans="1:8" hidden="1" x14ac:dyDescent="0.25">
      <c r="A167" s="3">
        <v>138</v>
      </c>
      <c r="B167" s="360">
        <v>44697</v>
      </c>
      <c r="C167" s="249">
        <v>627187</v>
      </c>
      <c r="D167" s="3" t="str">
        <f>VLOOKUP(A167,Facturas!A:P,2,0)</f>
        <v>P-1126</v>
      </c>
      <c r="E167" s="3" t="str">
        <f>VLOOKUP(A167,Facturas!A:P,4,0)</f>
        <v>Tis-1129</v>
      </c>
      <c r="F167" t="str">
        <f>VLOOKUP(A167,Facturas!A:P,8,0)</f>
        <v>AXIOMATICA SOLUCIONES TECNOLOGICAS SAS</v>
      </c>
      <c r="G167" t="s">
        <v>298</v>
      </c>
      <c r="H167">
        <f>YEAR(Tabla1[[#This Row],[Fecha]])</f>
        <v>2022</v>
      </c>
    </row>
    <row r="168" spans="1:8" hidden="1" x14ac:dyDescent="0.25">
      <c r="A168" s="3">
        <v>84</v>
      </c>
      <c r="B168" s="360">
        <v>44698</v>
      </c>
      <c r="C168" s="249">
        <v>352765</v>
      </c>
      <c r="D168" s="3" t="str">
        <f>VLOOKUP(A168,Facturas!A:P,2,0)</f>
        <v>P-1072</v>
      </c>
      <c r="E168" s="3" t="str">
        <f>VLOOKUP(A168,Facturas!A:P,4,0)</f>
        <v>TIS-1122</v>
      </c>
      <c r="F168" t="str">
        <f>VLOOKUP(A168,Facturas!A:P,8,0)</f>
        <v>MICROSITIOS SAS</v>
      </c>
      <c r="H168">
        <f>YEAR(Tabla1[[#This Row],[Fecha]])</f>
        <v>2022</v>
      </c>
    </row>
    <row r="169" spans="1:8" hidden="1" x14ac:dyDescent="0.25">
      <c r="A169" s="3">
        <v>93</v>
      </c>
      <c r="B169" s="360">
        <v>44706</v>
      </c>
      <c r="C169" s="249">
        <v>1063205</v>
      </c>
      <c r="D169" s="3" t="str">
        <f>VLOOKUP(A169,Facturas!A:P,2,0)</f>
        <v>P-1081</v>
      </c>
      <c r="E169" s="3" t="str">
        <f>VLOOKUP(A169,Facturas!A:P,4,0)</f>
        <v>Tis-1127</v>
      </c>
      <c r="F169" t="str">
        <f>VLOOKUP(A169,Facturas!A:P,8,0)</f>
        <v>SEQ CONSULTORES LTDA</v>
      </c>
      <c r="H169">
        <f>YEAR(Tabla1[[#This Row],[Fecha]])</f>
        <v>2022</v>
      </c>
    </row>
    <row r="170" spans="1:8" hidden="1" x14ac:dyDescent="0.25">
      <c r="A170" s="3">
        <v>134</v>
      </c>
      <c r="B170" s="360">
        <v>44712</v>
      </c>
      <c r="C170" s="249">
        <v>75565397.090000004</v>
      </c>
      <c r="D170" s="3" t="str">
        <f>VLOOKUP(A170,Facturas!A:P,2,0)</f>
        <v>P-1122</v>
      </c>
      <c r="E170" s="3" t="str">
        <f>VLOOKUP(A170,Facturas!A:P,4,0)</f>
        <v>TIS-1121</v>
      </c>
      <c r="F170" t="str">
        <f>VLOOKUP(A170,Facturas!A:P,8,0)</f>
        <v>Banco de Bogota S.A.</v>
      </c>
      <c r="G170" t="s">
        <v>298</v>
      </c>
      <c r="H170">
        <f>YEAR(Tabla1[[#This Row],[Fecha]])</f>
        <v>2022</v>
      </c>
    </row>
    <row r="171" spans="1:8" hidden="1" x14ac:dyDescent="0.25">
      <c r="A171" s="3">
        <v>141</v>
      </c>
      <c r="B171" s="360">
        <v>44712</v>
      </c>
      <c r="C171" s="249">
        <v>355000</v>
      </c>
      <c r="D171" s="3" t="str">
        <f>VLOOKUP(A171,Facturas!A:P,2,0)</f>
        <v>P-1129</v>
      </c>
      <c r="E171" s="3" t="str">
        <f>VLOOKUP(A171,Facturas!A:P,4,0)</f>
        <v>Tis-1135</v>
      </c>
      <c r="F171" t="str">
        <f>VLOOKUP(A171,Facturas!A:P,8,0)</f>
        <v>AUTOMOTORES LLANO GRANDE S. A.</v>
      </c>
      <c r="G171" t="s">
        <v>298</v>
      </c>
      <c r="H171">
        <f>YEAR(Tabla1[[#This Row],[Fecha]])</f>
        <v>2022</v>
      </c>
    </row>
    <row r="172" spans="1:8" hidden="1" x14ac:dyDescent="0.25">
      <c r="A172" s="3">
        <v>119</v>
      </c>
      <c r="B172" s="360">
        <v>44713</v>
      </c>
      <c r="C172" s="249">
        <v>638634</v>
      </c>
      <c r="D172" s="3" t="str">
        <f>VLOOKUP(A172,Facturas!A:P,2,0)</f>
        <v>P-1107</v>
      </c>
      <c r="E172" s="3" t="str">
        <f>VLOOKUP(A172,Facturas!A:P,4,0)</f>
        <v>Tis-1097</v>
      </c>
      <c r="F172" t="str">
        <f>VLOOKUP(A172,Facturas!A:P,8,0)</f>
        <v>Procesos 2000 S.A.S.</v>
      </c>
      <c r="H172">
        <f>YEAR(Tabla1[[#This Row],[Fecha]])</f>
        <v>2022</v>
      </c>
    </row>
    <row r="173" spans="1:8" hidden="1" x14ac:dyDescent="0.25">
      <c r="A173" s="3">
        <v>137</v>
      </c>
      <c r="B173" s="360">
        <v>44715</v>
      </c>
      <c r="C173" s="249">
        <v>776208</v>
      </c>
      <c r="D173" s="3" t="str">
        <f>VLOOKUP(A173,Facturas!A:P,2,0)</f>
        <v>P-1125</v>
      </c>
      <c r="E173" s="3" t="str">
        <f>VLOOKUP(A173,Facturas!A:P,4,0)</f>
        <v>Tis-1124</v>
      </c>
      <c r="F173" t="str">
        <f>VLOOKUP(A173,Facturas!A:P,8,0)</f>
        <v>PASTRY CHEF PASTELERIA Y COCINA GOURMET SAS</v>
      </c>
      <c r="H173">
        <f>YEAR(Tabla1[[#This Row],[Fecha]])</f>
        <v>2022</v>
      </c>
    </row>
    <row r="174" spans="1:8" hidden="1" x14ac:dyDescent="0.25">
      <c r="A174" s="3">
        <v>133</v>
      </c>
      <c r="B174" s="360">
        <v>44716</v>
      </c>
      <c r="C174" s="249">
        <v>322000</v>
      </c>
      <c r="D174" s="3" t="str">
        <f>VLOOKUP(A174,Facturas!A:P,2,0)</f>
        <v>P-1121</v>
      </c>
      <c r="E174" s="3" t="str">
        <f>VLOOKUP(A174,Facturas!A:P,4,0)</f>
        <v>Tis-1125</v>
      </c>
      <c r="F174" t="str">
        <f>VLOOKUP(A174,Facturas!A:P,8,0)</f>
        <v>Inversiones Sajamib SAS</v>
      </c>
      <c r="H174">
        <f>YEAR(Tabla1[[#This Row],[Fecha]])</f>
        <v>2022</v>
      </c>
    </row>
    <row r="175" spans="1:8" hidden="1" x14ac:dyDescent="0.25">
      <c r="A175" s="3">
        <v>136</v>
      </c>
      <c r="B175" s="360">
        <v>44716</v>
      </c>
      <c r="C175" s="249">
        <v>448000</v>
      </c>
      <c r="D175" s="3" t="str">
        <f>VLOOKUP(A175,Facturas!A:P,2,0)</f>
        <v>P-1124</v>
      </c>
      <c r="E175" s="3" t="str">
        <f>VLOOKUP(A175,Facturas!A:P,4,0)</f>
        <v>TIS-1149</v>
      </c>
      <c r="F175" t="str">
        <f>VLOOKUP(A175,Facturas!A:P,8,0)</f>
        <v>Maria del Pilar Alvarado Joya</v>
      </c>
      <c r="H175">
        <f>YEAR(Tabla1[[#This Row],[Fecha]])</f>
        <v>2022</v>
      </c>
    </row>
    <row r="176" spans="1:8" hidden="1" x14ac:dyDescent="0.25">
      <c r="A176" s="3">
        <v>220</v>
      </c>
      <c r="B176" s="360">
        <v>44719</v>
      </c>
      <c r="C176" s="249">
        <v>600000</v>
      </c>
      <c r="D176" s="3" t="str">
        <f>VLOOKUP(A176,Facturas!A:P,2,0)</f>
        <v>P-1208</v>
      </c>
      <c r="E176" s="3" t="str">
        <f>VLOOKUP(A176,Facturas!A:P,4,0)</f>
        <v>TIS-1198</v>
      </c>
      <c r="F176" t="str">
        <f>VLOOKUP(A176,Facturas!A:P,8,0)</f>
        <v>V2S COLOMBIA SAS</v>
      </c>
      <c r="G176" t="s">
        <v>299</v>
      </c>
      <c r="H176">
        <f>YEAR(Tabla1[[#This Row],[Fecha]])</f>
        <v>2022</v>
      </c>
    </row>
    <row r="177" spans="1:8" hidden="1" x14ac:dyDescent="0.25">
      <c r="A177" s="3">
        <v>156</v>
      </c>
      <c r="B177" s="360">
        <v>44722</v>
      </c>
      <c r="C177" s="249">
        <v>514000</v>
      </c>
      <c r="D177" s="3" t="str">
        <f>VLOOKUP(A177,Facturas!A:P,2,0)</f>
        <v>P-1144</v>
      </c>
      <c r="E177" s="3" t="str">
        <f>VLOOKUP(A177,Facturas!A:P,4,0)</f>
        <v>Tis-1165</v>
      </c>
      <c r="F177" t="str">
        <f>VLOOKUP(A177,Facturas!A:P,8,0)</f>
        <v>CARNES FRIAS ITALIA SAS</v>
      </c>
      <c r="G177" t="s">
        <v>300</v>
      </c>
      <c r="H177">
        <f>YEAR(Tabla1[[#This Row],[Fecha]])</f>
        <v>2022</v>
      </c>
    </row>
    <row r="178" spans="1:8" hidden="1" x14ac:dyDescent="0.25">
      <c r="A178" s="3">
        <v>113</v>
      </c>
      <c r="B178" s="360">
        <v>44725</v>
      </c>
      <c r="C178" s="249">
        <v>1048410</v>
      </c>
      <c r="D178" s="3" t="str">
        <f>VLOOKUP(A178,Facturas!A:P,2,0)</f>
        <v>P-1101</v>
      </c>
      <c r="E178" s="3" t="str">
        <f>VLOOKUP(A178,Facturas!A:P,4,0)</f>
        <v>TIS-1120</v>
      </c>
      <c r="F178" t="str">
        <f>VLOOKUP(A178,Facturas!A:P,8,0)</f>
        <v>Comercializadora ERZ SAS</v>
      </c>
      <c r="H178">
        <f>YEAR(Tabla1[[#This Row],[Fecha]])</f>
        <v>2022</v>
      </c>
    </row>
    <row r="179" spans="1:8" hidden="1" x14ac:dyDescent="0.25">
      <c r="A179" s="3">
        <v>144</v>
      </c>
      <c r="B179" s="360">
        <v>44725</v>
      </c>
      <c r="C179" s="249">
        <v>322000</v>
      </c>
      <c r="D179" s="3" t="str">
        <f>VLOOKUP(A179,Facturas!A:P,2,0)</f>
        <v>P-1132</v>
      </c>
      <c r="E179" s="3" t="str">
        <f>VLOOKUP(A179,Facturas!A:P,4,0)</f>
        <v>Tis-1138</v>
      </c>
      <c r="F179" t="str">
        <f>VLOOKUP(A179,Facturas!A:P,8,0)</f>
        <v>Inversiones Sajamib SAS</v>
      </c>
      <c r="H179">
        <f>YEAR(Tabla1[[#This Row],[Fecha]])</f>
        <v>2022</v>
      </c>
    </row>
    <row r="180" spans="1:8" hidden="1" x14ac:dyDescent="0.25">
      <c r="A180" s="3">
        <v>140</v>
      </c>
      <c r="B180" s="360">
        <v>44726</v>
      </c>
      <c r="C180" s="249">
        <v>486000</v>
      </c>
      <c r="D180" s="3" t="str">
        <f>VLOOKUP(A180,Facturas!A:P,2,0)</f>
        <v>P-1128</v>
      </c>
      <c r="E180" s="3" t="str">
        <f>VLOOKUP(A180,Facturas!A:P,4,0)</f>
        <v>TIS-1133</v>
      </c>
      <c r="F180" t="str">
        <f>VLOOKUP(A180,Facturas!A:P,8,0)</f>
        <v>RENAL MEDICAL MARKETING LIMITADA</v>
      </c>
      <c r="H180">
        <f>YEAR(Tabla1[[#This Row],[Fecha]])</f>
        <v>2022</v>
      </c>
    </row>
    <row r="181" spans="1:8" hidden="1" x14ac:dyDescent="0.25">
      <c r="A181" s="3">
        <v>142</v>
      </c>
      <c r="B181" s="360">
        <v>44726</v>
      </c>
      <c r="C181" s="249">
        <v>2078930</v>
      </c>
      <c r="D181" s="3" t="str">
        <f>VLOOKUP(A181,Facturas!A:P,2,0)</f>
        <v>P-1130</v>
      </c>
      <c r="E181" s="3" t="str">
        <f>VLOOKUP(A181,Facturas!A:P,4,0)</f>
        <v>Tis-1136</v>
      </c>
      <c r="F181" t="str">
        <f>VLOOKUP(A181,Facturas!A:P,8,0)</f>
        <v>LC TALLER DE ESCULTURAS SAS</v>
      </c>
      <c r="G181" t="s">
        <v>298</v>
      </c>
      <c r="H181">
        <f>YEAR(Tabla1[[#This Row],[Fecha]])</f>
        <v>2022</v>
      </c>
    </row>
    <row r="182" spans="1:8" hidden="1" x14ac:dyDescent="0.25">
      <c r="A182" s="3">
        <v>175</v>
      </c>
      <c r="B182" s="360">
        <v>44727</v>
      </c>
      <c r="C182" s="249">
        <v>374619</v>
      </c>
      <c r="D182" s="3" t="str">
        <f>VLOOKUP(A182,Facturas!A:P,2,0)</f>
        <v>P-1163</v>
      </c>
      <c r="E182" s="3" t="str">
        <f>VLOOKUP(A182,Facturas!A:P,4,0)</f>
        <v>TIS-1170</v>
      </c>
      <c r="F182" t="str">
        <f>VLOOKUP(A182,Facturas!A:P,8,0)</f>
        <v>CONSTRUCCIONES Y AMBIENTE - CONAMBIENTE - S.A.S</v>
      </c>
      <c r="G182" t="s">
        <v>298</v>
      </c>
      <c r="H182">
        <f>YEAR(Tabla1[[#This Row],[Fecha]])</f>
        <v>2022</v>
      </c>
    </row>
    <row r="183" spans="1:8" hidden="1" x14ac:dyDescent="0.25">
      <c r="A183" s="3">
        <v>104</v>
      </c>
      <c r="B183" s="360">
        <v>44728</v>
      </c>
      <c r="C183" s="249">
        <v>1080000</v>
      </c>
      <c r="D183" s="3" t="str">
        <f>VLOOKUP(A183,Facturas!A:P,2,0)</f>
        <v>P-1092</v>
      </c>
      <c r="E183" s="3" t="str">
        <f>VLOOKUP(A183,Facturas!A:P,4,0)</f>
        <v>TIS-1142</v>
      </c>
      <c r="F183" t="str">
        <f>VLOOKUP(A183,Facturas!A:P,8,0)</f>
        <v>CONSTRUCCIONES CIVILES JMR S.A.S</v>
      </c>
      <c r="H183">
        <f>YEAR(Tabla1[[#This Row],[Fecha]])</f>
        <v>2022</v>
      </c>
    </row>
    <row r="184" spans="1:8" hidden="1" x14ac:dyDescent="0.25">
      <c r="A184" s="3">
        <v>126</v>
      </c>
      <c r="B184" s="360">
        <v>44732</v>
      </c>
      <c r="C184" s="249">
        <v>1173000</v>
      </c>
      <c r="D184" s="3" t="str">
        <f>VLOOKUP(A184,Facturas!A:P,2,0)</f>
        <v>P-1114</v>
      </c>
      <c r="E184" s="3" t="str">
        <f>VLOOKUP(A184,Facturas!A:P,4,0)</f>
        <v>Tis-1140</v>
      </c>
      <c r="F184" t="str">
        <f>VLOOKUP(A184,Facturas!A:P,8,0)</f>
        <v>FET GROUP SAS</v>
      </c>
      <c r="H184">
        <f>YEAR(Tabla1[[#This Row],[Fecha]])</f>
        <v>2022</v>
      </c>
    </row>
    <row r="185" spans="1:8" hidden="1" x14ac:dyDescent="0.25">
      <c r="A185" s="3">
        <v>126</v>
      </c>
      <c r="B185" s="360">
        <v>44733</v>
      </c>
      <c r="C185" s="249">
        <v>1173000</v>
      </c>
      <c r="D185" s="3" t="str">
        <f>VLOOKUP(A185,Facturas!A:P,2,0)</f>
        <v>P-1114</v>
      </c>
      <c r="E185" s="3" t="str">
        <f>VLOOKUP(A185,Facturas!A:P,4,0)</f>
        <v>Tis-1140</v>
      </c>
      <c r="F185" t="str">
        <f>VLOOKUP(A185,Facturas!A:P,8,0)</f>
        <v>FET GROUP SAS</v>
      </c>
      <c r="H185">
        <f>YEAR(Tabla1[[#This Row],[Fecha]])</f>
        <v>2022</v>
      </c>
    </row>
    <row r="186" spans="1:8" hidden="1" x14ac:dyDescent="0.25">
      <c r="A186" s="3">
        <v>135</v>
      </c>
      <c r="B186" s="360">
        <v>44737</v>
      </c>
      <c r="C186" s="249">
        <v>428136</v>
      </c>
      <c r="D186" s="3" t="str">
        <f>VLOOKUP(A186,Facturas!A:P,2,0)</f>
        <v>P-1123</v>
      </c>
      <c r="E186" s="3" t="str">
        <f>VLOOKUP(A186,Facturas!A:P,4,0)</f>
        <v>TIS-1134</v>
      </c>
      <c r="F186" t="str">
        <f>VLOOKUP(A186,Facturas!A:P,8,0)</f>
        <v>PRODUCTORA INTERAMERICANA DE PLASTICOS S.A.S.</v>
      </c>
      <c r="H186">
        <f>YEAR(Tabla1[[#This Row],[Fecha]])</f>
        <v>2022</v>
      </c>
    </row>
    <row r="187" spans="1:8" hidden="1" x14ac:dyDescent="0.25">
      <c r="A187" s="3">
        <v>119</v>
      </c>
      <c r="B187" s="360">
        <v>44742</v>
      </c>
      <c r="C187" s="249">
        <v>638634</v>
      </c>
      <c r="D187" s="3" t="str">
        <f>VLOOKUP(A187,Facturas!A:P,2,0)</f>
        <v>P-1107</v>
      </c>
      <c r="E187" s="3" t="str">
        <f>VLOOKUP(A187,Facturas!A:P,4,0)</f>
        <v>Tis-1097</v>
      </c>
      <c r="F187" t="str">
        <f>VLOOKUP(A187,Facturas!A:P,8,0)</f>
        <v>Procesos 2000 S.A.S.</v>
      </c>
      <c r="H187">
        <f>YEAR(Tabla1[[#This Row],[Fecha]])</f>
        <v>2022</v>
      </c>
    </row>
    <row r="188" spans="1:8" hidden="1" x14ac:dyDescent="0.25">
      <c r="A188" s="3">
        <v>141</v>
      </c>
      <c r="B188" s="360">
        <v>44747</v>
      </c>
      <c r="C188" s="249">
        <v>333333</v>
      </c>
      <c r="D188" s="3" t="str">
        <f>VLOOKUP(A188,Facturas!A:P,2,0)</f>
        <v>P-1129</v>
      </c>
      <c r="E188" s="3" t="str">
        <f>VLOOKUP(A188,Facturas!A:P,4,0)</f>
        <v>Tis-1135</v>
      </c>
      <c r="F188" t="str">
        <f>VLOOKUP(A188,Facturas!A:P,8,0)</f>
        <v>AUTOMOTORES LLANO GRANDE S. A.</v>
      </c>
      <c r="G188" t="s">
        <v>298</v>
      </c>
      <c r="H188">
        <f>YEAR(Tabla1[[#This Row],[Fecha]])</f>
        <v>2022</v>
      </c>
    </row>
    <row r="189" spans="1:8" hidden="1" x14ac:dyDescent="0.25">
      <c r="A189" s="3">
        <v>145</v>
      </c>
      <c r="B189" s="360">
        <v>44747</v>
      </c>
      <c r="C189" s="249">
        <v>25372752</v>
      </c>
      <c r="D189" s="3" t="str">
        <f>VLOOKUP(A189,Facturas!A:P,2,0)</f>
        <v>P-1133</v>
      </c>
      <c r="E189" s="3" t="str">
        <f>VLOOKUP(A189,Facturas!A:P,4,0)</f>
        <v>TIS-1131</v>
      </c>
      <c r="F189" t="str">
        <f>VLOOKUP(A189,Facturas!A:P,8,0)</f>
        <v>Banco de Bogota S.A.</v>
      </c>
      <c r="G189" t="s">
        <v>298</v>
      </c>
      <c r="H189">
        <f>YEAR(Tabla1[[#This Row],[Fecha]])</f>
        <v>2022</v>
      </c>
    </row>
    <row r="190" spans="1:8" hidden="1" x14ac:dyDescent="0.25">
      <c r="A190" s="3">
        <v>143</v>
      </c>
      <c r="B190" s="360">
        <v>44753</v>
      </c>
      <c r="C190" s="249">
        <v>772090</v>
      </c>
      <c r="D190" s="3" t="str">
        <f>VLOOKUP(A190,Facturas!A:P,2,0)</f>
        <v>P-1131</v>
      </c>
      <c r="E190" s="3" t="str">
        <f>VLOOKUP(A190,Facturas!A:P,4,0)</f>
        <v>Tis-1137</v>
      </c>
      <c r="F190" t="str">
        <f>VLOOKUP(A190,Facturas!A:P,8,0)</f>
        <v>PASTRY CHEF PASTELERIA Y COCINA GOURMET SAS</v>
      </c>
      <c r="H190">
        <f>YEAR(Tabla1[[#This Row],[Fecha]])</f>
        <v>2022</v>
      </c>
    </row>
    <row r="191" spans="1:8" hidden="1" x14ac:dyDescent="0.25">
      <c r="A191" s="3">
        <v>153</v>
      </c>
      <c r="B191" s="360">
        <v>44756</v>
      </c>
      <c r="C191" s="249">
        <v>486000</v>
      </c>
      <c r="D191" s="3" t="str">
        <f>VLOOKUP(A191,Facturas!A:P,2,0)</f>
        <v>P-1141</v>
      </c>
      <c r="E191" s="3" t="str">
        <f>VLOOKUP(A191,Facturas!A:P,4,0)</f>
        <v>TIS-1147</v>
      </c>
      <c r="F191" t="str">
        <f>VLOOKUP(A191,Facturas!A:P,8,0)</f>
        <v>RENAL MEDICAL MARKETING LIMITADA</v>
      </c>
      <c r="H191">
        <f>YEAR(Tabla1[[#This Row],[Fecha]])</f>
        <v>2022</v>
      </c>
    </row>
    <row r="192" spans="1:8" hidden="1" x14ac:dyDescent="0.25">
      <c r="A192" s="3">
        <v>162</v>
      </c>
      <c r="B192" s="360">
        <v>44756</v>
      </c>
      <c r="C192" s="249">
        <v>1365958.5</v>
      </c>
      <c r="D192" s="3" t="str">
        <f>VLOOKUP(A192,Facturas!A:P,2,0)</f>
        <v>P-1150</v>
      </c>
      <c r="E192" s="3" t="str">
        <f>VLOOKUP(A192,Facturas!A:P,4,0)</f>
        <v>TIS-1153</v>
      </c>
      <c r="F192" t="str">
        <f>VLOOKUP(A192,Facturas!A:P,8,0)</f>
        <v>STT Group sucursal colombia SA</v>
      </c>
      <c r="G192" t="s">
        <v>298</v>
      </c>
      <c r="H192">
        <f>YEAR(Tabla1[[#This Row],[Fecha]])</f>
        <v>2022</v>
      </c>
    </row>
    <row r="193" spans="1:8" hidden="1" x14ac:dyDescent="0.25">
      <c r="A193" s="3">
        <v>176</v>
      </c>
      <c r="B193" s="360">
        <v>44756</v>
      </c>
      <c r="C193" s="249">
        <v>526500</v>
      </c>
      <c r="D193" s="3" t="str">
        <f>VLOOKUP(A193,Facturas!A:P,2,0)</f>
        <v>P-1164</v>
      </c>
      <c r="E193" s="3" t="str">
        <f>VLOOKUP(A193,Facturas!A:P,4,0)</f>
        <v>TIS-1171</v>
      </c>
      <c r="F193" t="str">
        <f>VLOOKUP(A193,Facturas!A:P,8,0)</f>
        <v>COEL INGENIERIA LTDA</v>
      </c>
      <c r="G193" t="s">
        <v>301</v>
      </c>
      <c r="H193">
        <f>YEAR(Tabla1[[#This Row],[Fecha]])</f>
        <v>2022</v>
      </c>
    </row>
    <row r="194" spans="1:8" hidden="1" x14ac:dyDescent="0.25">
      <c r="A194" s="3">
        <v>148</v>
      </c>
      <c r="B194" s="360">
        <v>44757</v>
      </c>
      <c r="C194" s="249">
        <v>1200000</v>
      </c>
      <c r="D194" s="3" t="str">
        <f>VLOOKUP(A194,Facturas!A:P,2,0)</f>
        <v>P-1136</v>
      </c>
      <c r="E194" s="3">
        <f>VLOOKUP(A194,Facturas!A:P,4,0)</f>
        <v>0</v>
      </c>
      <c r="F194" t="str">
        <f>VLOOKUP(A194,Facturas!A:P,8,0)</f>
        <v>Maria del Pilar Alvarado Joya</v>
      </c>
      <c r="G194">
        <v>3140629331</v>
      </c>
      <c r="H194">
        <f>YEAR(Tabla1[[#This Row],[Fecha]])</f>
        <v>2022</v>
      </c>
    </row>
    <row r="195" spans="1:8" hidden="1" x14ac:dyDescent="0.25">
      <c r="A195" s="3">
        <v>78</v>
      </c>
      <c r="B195" s="360">
        <v>44767</v>
      </c>
      <c r="C195" s="249">
        <v>251482</v>
      </c>
      <c r="D195" s="3" t="str">
        <f>VLOOKUP(A195,Facturas!A:P,2,0)</f>
        <v>P-1066</v>
      </c>
      <c r="E195" s="3" t="str">
        <f>VLOOKUP(A195,Facturas!A:P,4,0)</f>
        <v>Tis-1069</v>
      </c>
      <c r="F195" t="str">
        <f>VLOOKUP(A195,Facturas!A:P,8,0)</f>
        <v>Comercializadora ERZ SAS</v>
      </c>
      <c r="H195">
        <f>YEAR(Tabla1[[#This Row],[Fecha]])</f>
        <v>2022</v>
      </c>
    </row>
    <row r="196" spans="1:8" hidden="1" x14ac:dyDescent="0.25">
      <c r="A196" s="3">
        <v>90</v>
      </c>
      <c r="B196" s="360">
        <v>44768</v>
      </c>
      <c r="C196" s="249">
        <v>187000</v>
      </c>
      <c r="D196" s="3" t="str">
        <f>VLOOKUP(A196,Facturas!A:P,2,0)</f>
        <v>P-1077</v>
      </c>
      <c r="E196" s="3" t="str">
        <f>VLOOKUP(A196,Facturas!A:P,4,0)</f>
        <v>TIS1101</v>
      </c>
      <c r="F196" t="str">
        <f>VLOOKUP(A196,Facturas!A:P,8,0)</f>
        <v>SERVIPETROLEOS S.A.S</v>
      </c>
      <c r="H196">
        <f>YEAR(Tabla1[[#This Row],[Fecha]])</f>
        <v>2022</v>
      </c>
    </row>
    <row r="197" spans="1:8" hidden="1" x14ac:dyDescent="0.25">
      <c r="A197" s="3">
        <v>119</v>
      </c>
      <c r="B197" s="360">
        <v>44768</v>
      </c>
      <c r="C197" s="249">
        <v>638634</v>
      </c>
      <c r="D197" s="3" t="str">
        <f>VLOOKUP(A197,Facturas!A:P,2,0)</f>
        <v>P-1107</v>
      </c>
      <c r="E197" s="3" t="str">
        <f>VLOOKUP(A197,Facturas!A:P,4,0)</f>
        <v>Tis-1097</v>
      </c>
      <c r="F197" t="str">
        <f>VLOOKUP(A197,Facturas!A:P,8,0)</f>
        <v>Procesos 2000 S.A.S.</v>
      </c>
      <c r="H197">
        <f>YEAR(Tabla1[[#This Row],[Fecha]])</f>
        <v>2022</v>
      </c>
    </row>
    <row r="198" spans="1:8" hidden="1" x14ac:dyDescent="0.25">
      <c r="A198" s="3">
        <v>150</v>
      </c>
      <c r="B198" s="360">
        <v>44770</v>
      </c>
      <c r="C198" s="249">
        <v>25372752</v>
      </c>
      <c r="D198" s="3" t="str">
        <f>VLOOKUP(A198,Facturas!A:P,2,0)</f>
        <v>P-1138</v>
      </c>
      <c r="E198" s="3" t="str">
        <f>VLOOKUP(A198,Facturas!A:P,4,0)</f>
        <v>TIS-1144</v>
      </c>
      <c r="F198" t="str">
        <f>VLOOKUP(A198,Facturas!A:P,8,0)</f>
        <v>Banco de Bogota S.A.</v>
      </c>
      <c r="G198" t="s">
        <v>298</v>
      </c>
      <c r="H198">
        <f>YEAR(Tabla1[[#This Row],[Fecha]])</f>
        <v>2022</v>
      </c>
    </row>
    <row r="199" spans="1:8" hidden="1" x14ac:dyDescent="0.25">
      <c r="A199" s="3">
        <v>155</v>
      </c>
      <c r="B199" s="360">
        <v>44771</v>
      </c>
      <c r="C199" s="249">
        <v>3500000</v>
      </c>
      <c r="D199" s="3" t="str">
        <f>VLOOKUP(A199,Facturas!A:P,2,0)</f>
        <v>P-1143</v>
      </c>
      <c r="E199" s="3" t="s">
        <v>302</v>
      </c>
      <c r="F199" t="str">
        <f>VLOOKUP(A199,Facturas!A:P,8,0)</f>
        <v>Colombiana de Envases Industriales S. A.</v>
      </c>
      <c r="G199" t="s">
        <v>298</v>
      </c>
      <c r="H199">
        <f>YEAR(Tabla1[[#This Row],[Fecha]])</f>
        <v>2022</v>
      </c>
    </row>
    <row r="200" spans="1:8" hidden="1" x14ac:dyDescent="0.25">
      <c r="A200" s="3">
        <v>157</v>
      </c>
      <c r="B200" s="360">
        <v>44783</v>
      </c>
      <c r="C200" s="249">
        <v>3284000</v>
      </c>
      <c r="D200" s="3" t="str">
        <f>VLOOKUP(A200,Facturas!A:P,2,0)</f>
        <v>P-1145</v>
      </c>
      <c r="E200" s="3" t="s">
        <v>303</v>
      </c>
      <c r="F200" t="str">
        <f>VLOOKUP(A200,Facturas!A:P,8,0)</f>
        <v>QUICK HELP S.A.S</v>
      </c>
      <c r="G200" t="s">
        <v>304</v>
      </c>
      <c r="H200">
        <f>YEAR(Tabla1[[#This Row],[Fecha]])</f>
        <v>2022</v>
      </c>
    </row>
    <row r="201" spans="1:8" hidden="1" x14ac:dyDescent="0.25">
      <c r="A201" s="3"/>
      <c r="B201" s="360">
        <v>44785</v>
      </c>
      <c r="C201" s="249">
        <v>300000</v>
      </c>
      <c r="D201" s="3" t="e">
        <f>VLOOKUP(A201,Facturas!A:P,2,0)</f>
        <v>#N/A</v>
      </c>
      <c r="E201" s="3" t="e">
        <f>VLOOKUP(A201,Facturas!A:P,4,0)</f>
        <v>#N/A</v>
      </c>
      <c r="F201" t="e">
        <f>VLOOKUP(A201,Facturas!A:P,8,0)</f>
        <v>#N/A</v>
      </c>
      <c r="G201" t="s">
        <v>305</v>
      </c>
      <c r="H201">
        <f>YEAR(Tabla1[[#This Row],[Fecha]])</f>
        <v>2022</v>
      </c>
    </row>
    <row r="202" spans="1:8" hidden="1" x14ac:dyDescent="0.25">
      <c r="A202" s="3">
        <v>159</v>
      </c>
      <c r="B202" s="360">
        <v>44796</v>
      </c>
      <c r="C202" s="249">
        <v>629510</v>
      </c>
      <c r="D202" s="3" t="str">
        <f>VLOOKUP(A202,Facturas!A:P,2,0)</f>
        <v>P-1147</v>
      </c>
      <c r="E202" s="3" t="str">
        <f>VLOOKUP(A202,Facturas!A:P,4,0)</f>
        <v>Tis-1161</v>
      </c>
      <c r="F202" t="str">
        <f>VLOOKUP(A202,Facturas!A:P,8,0)</f>
        <v>Soluciones Avanzadas de Ingeniería SAS</v>
      </c>
      <c r="G202" t="s">
        <v>298</v>
      </c>
      <c r="H202">
        <f>YEAR(Tabla1[[#This Row],[Fecha]])</f>
        <v>2022</v>
      </c>
    </row>
    <row r="203" spans="1:8" hidden="1" x14ac:dyDescent="0.25">
      <c r="A203" s="3">
        <v>139</v>
      </c>
      <c r="B203" s="360">
        <v>44797</v>
      </c>
      <c r="C203" s="249">
        <v>10779525</v>
      </c>
      <c r="D203" s="3" t="str">
        <f>VLOOKUP(A203,Facturas!A:P,2,0)</f>
        <v>P-1127</v>
      </c>
      <c r="E203" s="3" t="str">
        <f>VLOOKUP(A203,Facturas!A:P,4,0)</f>
        <v>Tis-1155</v>
      </c>
      <c r="F203" t="str">
        <f>VLOOKUP(A203,Facturas!A:P,8,0)</f>
        <v>Universidad Santo Tomas</v>
      </c>
      <c r="G203" t="s">
        <v>298</v>
      </c>
      <c r="H203">
        <f>YEAR(Tabla1[[#This Row],[Fecha]])</f>
        <v>2022</v>
      </c>
    </row>
    <row r="204" spans="1:8" hidden="1" x14ac:dyDescent="0.25">
      <c r="A204" s="3">
        <v>161</v>
      </c>
      <c r="B204" s="360">
        <v>44798</v>
      </c>
      <c r="C204" s="249">
        <v>291550</v>
      </c>
      <c r="D204" s="3" t="str">
        <f>VLOOKUP(A204,Facturas!A:P,2,0)</f>
        <v>P-1149</v>
      </c>
      <c r="E204" s="3">
        <f>VLOOKUP(A204,Facturas!A:P,4,0)</f>
        <v>0</v>
      </c>
      <c r="F204" t="str">
        <f>VLOOKUP(A204,Facturas!A:P,8,0)</f>
        <v>Inversiones Londoño Sepulveda S.A.S</v>
      </c>
      <c r="G204" t="s">
        <v>298</v>
      </c>
      <c r="H204">
        <f>YEAR(Tabla1[[#This Row],[Fecha]])</f>
        <v>2022</v>
      </c>
    </row>
    <row r="205" spans="1:8" hidden="1" x14ac:dyDescent="0.25">
      <c r="A205" s="3">
        <v>151</v>
      </c>
      <c r="B205" s="360">
        <v>44799</v>
      </c>
      <c r="C205" s="249">
        <v>776209</v>
      </c>
      <c r="D205" s="3" t="str">
        <f>VLOOKUP(A205,Facturas!A:P,2,0)</f>
        <v>P-1139</v>
      </c>
      <c r="E205" s="3" t="str">
        <f>VLOOKUP(A205,Facturas!A:P,4,0)</f>
        <v>TIS-1145</v>
      </c>
      <c r="F205" t="str">
        <f>VLOOKUP(A205,Facturas!A:P,8,0)</f>
        <v>PASTRY CHEF PASTELERIA Y COCINA GOURMET SAS</v>
      </c>
      <c r="H205">
        <f>YEAR(Tabla1[[#This Row],[Fecha]])</f>
        <v>2022</v>
      </c>
    </row>
    <row r="206" spans="1:8" hidden="1" x14ac:dyDescent="0.25">
      <c r="A206" s="3">
        <v>167</v>
      </c>
      <c r="B206" s="360">
        <v>44802</v>
      </c>
      <c r="C206" s="249">
        <v>1064880</v>
      </c>
      <c r="D206" s="3" t="str">
        <f>VLOOKUP(A206,Facturas!A:P,2,0)</f>
        <v>P-1155</v>
      </c>
      <c r="E206" s="3" t="str">
        <f>VLOOKUP(A206,Facturas!A:P,4,0)</f>
        <v>TIS-1160</v>
      </c>
      <c r="F206" t="str">
        <f>VLOOKUP(A206,Facturas!A:P,8,0)</f>
        <v>PACKVISION SAS</v>
      </c>
      <c r="G206" t="s">
        <v>306</v>
      </c>
      <c r="H206">
        <f>YEAR(Tabla1[[#This Row],[Fecha]])</f>
        <v>2022</v>
      </c>
    </row>
    <row r="207" spans="1:8" hidden="1" x14ac:dyDescent="0.25">
      <c r="A207" s="3">
        <v>119</v>
      </c>
      <c r="B207" s="360">
        <v>44803</v>
      </c>
      <c r="C207" s="249">
        <v>638634</v>
      </c>
      <c r="D207" s="3" t="str">
        <f>VLOOKUP(A207,Facturas!A:P,2,0)</f>
        <v>P-1107</v>
      </c>
      <c r="E207" s="3" t="str">
        <f>VLOOKUP(A207,Facturas!A:P,4,0)</f>
        <v>Tis-1097</v>
      </c>
      <c r="F207" t="str">
        <f>VLOOKUP(A207,Facturas!A:P,8,0)</f>
        <v>Procesos 2000 S.A.S.</v>
      </c>
      <c r="G207" t="s">
        <v>307</v>
      </c>
      <c r="H207">
        <f>YEAR(Tabla1[[#This Row],[Fecha]])</f>
        <v>2022</v>
      </c>
    </row>
    <row r="208" spans="1:8" hidden="1" x14ac:dyDescent="0.25">
      <c r="A208" s="3">
        <v>166</v>
      </c>
      <c r="B208" s="360">
        <v>44805</v>
      </c>
      <c r="C208" s="249">
        <v>1126650</v>
      </c>
      <c r="D208" s="3" t="str">
        <f>VLOOKUP(A208,Facturas!A:P,2,0)</f>
        <v>P-1154</v>
      </c>
      <c r="E208" s="3" t="str">
        <f>VLOOKUP(A208,Facturas!A:P,4,0)</f>
        <v>Tis-1162</v>
      </c>
      <c r="F208" t="str">
        <f>VLOOKUP(A208,Facturas!A:P,8,0)</f>
        <v>HUTERCOL S.A.S.</v>
      </c>
      <c r="G208" t="s">
        <v>308</v>
      </c>
      <c r="H208">
        <f>YEAR(Tabla1[[#This Row],[Fecha]])</f>
        <v>2022</v>
      </c>
    </row>
    <row r="209" spans="1:8" hidden="1" x14ac:dyDescent="0.25">
      <c r="A209" s="3">
        <v>180</v>
      </c>
      <c r="B209" s="360">
        <v>44809</v>
      </c>
      <c r="C209" s="249">
        <v>570170</v>
      </c>
      <c r="D209" s="3" t="str">
        <f>VLOOKUP(A209,Facturas!A:P,2,0)</f>
        <v>P-1168</v>
      </c>
      <c r="E209" s="3" t="str">
        <f>VLOOKUP(A209,Facturas!A:P,4,0)</f>
        <v>TIS-1175</v>
      </c>
      <c r="F209" t="str">
        <f>VLOOKUP(A209,Facturas!A:P,8,0)</f>
        <v>MEMCO SAS</v>
      </c>
      <c r="G209" t="s">
        <v>309</v>
      </c>
      <c r="H209">
        <f>YEAR(Tabla1[[#This Row],[Fecha]])</f>
        <v>2022</v>
      </c>
    </row>
    <row r="210" spans="1:8" hidden="1" x14ac:dyDescent="0.25">
      <c r="A210" s="3">
        <v>160</v>
      </c>
      <c r="B210" s="360">
        <v>44810</v>
      </c>
      <c r="C210" s="249">
        <v>28737000</v>
      </c>
      <c r="D210" s="3" t="str">
        <f>VLOOKUP(A210,Facturas!A:P,2,0)</f>
        <v>P-1148</v>
      </c>
      <c r="E210" s="3" t="str">
        <f>VLOOKUP(A210,Facturas!A:P,4,0)</f>
        <v>TIS-1164</v>
      </c>
      <c r="F210" t="str">
        <f>VLOOKUP(A210,Facturas!A:P,8,0)</f>
        <v>D&amp;G ASESORES LTDA</v>
      </c>
      <c r="H210">
        <f>YEAR(Tabla1[[#This Row],[Fecha]])</f>
        <v>2022</v>
      </c>
    </row>
    <row r="211" spans="1:8" hidden="1" x14ac:dyDescent="0.25">
      <c r="A211" s="3">
        <v>146</v>
      </c>
      <c r="B211" s="360">
        <v>44816</v>
      </c>
      <c r="C211" s="249">
        <v>399119</v>
      </c>
      <c r="D211" s="3" t="str">
        <f>VLOOKUP(A211,Facturas!A:P,2,0)</f>
        <v>P-1134</v>
      </c>
      <c r="E211" s="3" t="str">
        <f>VLOOKUP(A211,Facturas!A:P,4,0)</f>
        <v>Tis-1132</v>
      </c>
      <c r="F211" t="str">
        <f>VLOOKUP(A211,Facturas!A:P,8,0)</f>
        <v>CONSTRUCCIONES Y AMBIENTE - CONAMBIENTE - S.A.S</v>
      </c>
      <c r="G211" t="s">
        <v>298</v>
      </c>
      <c r="H211">
        <f>YEAR(Tabla1[[#This Row],[Fecha]])</f>
        <v>2022</v>
      </c>
    </row>
    <row r="212" spans="1:8" hidden="1" x14ac:dyDescent="0.25">
      <c r="A212" s="3">
        <v>156</v>
      </c>
      <c r="B212" s="360">
        <v>44816</v>
      </c>
      <c r="C212" s="253">
        <v>332300</v>
      </c>
      <c r="D212" s="3" t="str">
        <f>VLOOKUP(A212,Facturas!A:P,2,0)</f>
        <v>P-1144</v>
      </c>
      <c r="E212" s="3" t="str">
        <f>VLOOKUP(A212,Facturas!A:P,4,0)</f>
        <v>Tis-1165</v>
      </c>
      <c r="F212" t="str">
        <f>VLOOKUP(A212,Facturas!A:P,8,0)</f>
        <v>CARNES FRIAS ITALIA SAS</v>
      </c>
      <c r="G212" s="190"/>
      <c r="H212">
        <f>YEAR(Tabla1[[#This Row],[Fecha]])</f>
        <v>2022</v>
      </c>
    </row>
    <row r="213" spans="1:8" hidden="1" x14ac:dyDescent="0.25">
      <c r="A213" s="3">
        <v>171</v>
      </c>
      <c r="B213" s="360">
        <v>44816</v>
      </c>
      <c r="C213" s="254">
        <v>25372752</v>
      </c>
      <c r="D213" s="3" t="str">
        <f>VLOOKUP(A213,Facturas!A:P,2,0)</f>
        <v>P-1159</v>
      </c>
      <c r="E213" s="3" t="str">
        <f>VLOOKUP(A213,Facturas!A:P,4,0)</f>
        <v>TIS-1158</v>
      </c>
      <c r="F213" t="str">
        <f>VLOOKUP(A213,Facturas!A:P,8,0)</f>
        <v>Banco de Bogota S.A.</v>
      </c>
      <c r="G213" t="s">
        <v>310</v>
      </c>
      <c r="H213">
        <f>YEAR(Tabla1[[#This Row],[Fecha]])</f>
        <v>2022</v>
      </c>
    </row>
    <row r="214" spans="1:8" hidden="1" x14ac:dyDescent="0.25">
      <c r="A214" s="3">
        <v>212</v>
      </c>
      <c r="B214" s="360">
        <v>44817</v>
      </c>
      <c r="C214" s="254">
        <v>904500</v>
      </c>
      <c r="D214" s="3" t="str">
        <f>VLOOKUP(A214,Facturas!A:P,2,0)</f>
        <v>P-1200</v>
      </c>
      <c r="E214" s="3" t="str">
        <f>VLOOKUP(A214,Facturas!A:P,4,0)</f>
        <v>Tis-1192</v>
      </c>
      <c r="F214" t="str">
        <f>VLOOKUP(A214,Facturas!A:P,8,0)</f>
        <v>FEDERACION NACIONAL DE COMERCIANTES FENALCO SECCIONAL BOGOTA CUNDINAMARCA</v>
      </c>
      <c r="G214" t="s">
        <v>311</v>
      </c>
      <c r="H214">
        <f>YEAR(Tabla1[[#This Row],[Fecha]])</f>
        <v>2022</v>
      </c>
    </row>
    <row r="215" spans="1:8" hidden="1" x14ac:dyDescent="0.25">
      <c r="A215" s="3">
        <v>231</v>
      </c>
      <c r="B215" s="360">
        <v>44818</v>
      </c>
      <c r="C215" s="254">
        <v>580125</v>
      </c>
      <c r="D215" s="3" t="str">
        <f>VLOOKUP(A215,Facturas!A:P,2,0)</f>
        <v>P-1219</v>
      </c>
      <c r="E215" s="3" t="str">
        <f>VLOOKUP(A215,Facturas!A:P,4,0)</f>
        <v>TIS-1207</v>
      </c>
      <c r="F215" t="str">
        <f>VLOOKUP(A215,Facturas!A:P,8,0)</f>
        <v>LABORATORIOS VIDA STEVIA SA</v>
      </c>
      <c r="G215" s="190" t="s">
        <v>312</v>
      </c>
      <c r="H215">
        <f>YEAR(Tabla1[[#This Row],[Fecha]])</f>
        <v>2022</v>
      </c>
    </row>
    <row r="216" spans="1:8" hidden="1" x14ac:dyDescent="0.25">
      <c r="A216" s="3">
        <v>176</v>
      </c>
      <c r="B216" s="360">
        <v>44819</v>
      </c>
      <c r="C216" s="254">
        <v>643989</v>
      </c>
      <c r="D216" s="3" t="str">
        <f>VLOOKUP(A216,Facturas!A:P,2,0)</f>
        <v>P-1164</v>
      </c>
      <c r="E216" s="3" t="str">
        <f>VLOOKUP(A216,Facturas!A:P,4,0)</f>
        <v>TIS-1171</v>
      </c>
      <c r="F216" t="str">
        <f>VLOOKUP(A216,Facturas!A:P,8,0)</f>
        <v>COEL INGENIERIA LTDA</v>
      </c>
      <c r="G216" t="s">
        <v>313</v>
      </c>
      <c r="H216">
        <f>YEAR(Tabla1[[#This Row],[Fecha]])</f>
        <v>2022</v>
      </c>
    </row>
    <row r="217" spans="1:8" hidden="1" x14ac:dyDescent="0.25">
      <c r="A217" s="3">
        <v>207</v>
      </c>
      <c r="B217" s="360">
        <v>44819</v>
      </c>
      <c r="C217" s="249">
        <v>486000</v>
      </c>
      <c r="D217" s="3" t="str">
        <f>VLOOKUP(A217,Facturas!A:P,2,0)</f>
        <v>P-1195</v>
      </c>
      <c r="E217" s="3" t="str">
        <f>VLOOKUP(A217,Facturas!A:P,4,0)</f>
        <v>TIS-1167</v>
      </c>
      <c r="F217" t="str">
        <f>VLOOKUP(A217,Facturas!A:P,8,0)</f>
        <v>RENAL MEDICAL MARKETING LIMITADA</v>
      </c>
      <c r="G217" t="s">
        <v>314</v>
      </c>
      <c r="H217">
        <f>YEAR(Tabla1[[#This Row],[Fecha]])</f>
        <v>2022</v>
      </c>
    </row>
    <row r="218" spans="1:8" hidden="1" x14ac:dyDescent="0.25">
      <c r="A218" s="3"/>
      <c r="B218" s="360">
        <v>44819</v>
      </c>
      <c r="C218" s="249">
        <v>300000</v>
      </c>
      <c r="D218" s="3" t="e">
        <f>VLOOKUP(A218,Facturas!A:P,2,0)</f>
        <v>#N/A</v>
      </c>
      <c r="E218" s="3" t="e">
        <f>VLOOKUP(A218,Facturas!A:P,4,0)</f>
        <v>#N/A</v>
      </c>
      <c r="F218" t="e">
        <f>VLOOKUP(A218,Facturas!A:P,8,0)</f>
        <v>#N/A</v>
      </c>
      <c r="G218" s="190" t="s">
        <v>315</v>
      </c>
      <c r="H218">
        <f>YEAR(Tabla1[[#This Row],[Fecha]])</f>
        <v>2022</v>
      </c>
    </row>
    <row r="219" spans="1:8" hidden="1" x14ac:dyDescent="0.25">
      <c r="A219" s="3">
        <v>155</v>
      </c>
      <c r="B219" s="360">
        <v>44820</v>
      </c>
      <c r="C219" s="254">
        <v>3292690</v>
      </c>
      <c r="D219" s="3" t="str">
        <f>VLOOKUP(A219,Facturas!A:P,2,0)</f>
        <v>P-1143</v>
      </c>
      <c r="E219" s="3" t="str">
        <f>VLOOKUP(A219,Facturas!A:P,4,0)</f>
        <v>Tis-1157</v>
      </c>
      <c r="F219" t="str">
        <f>VLOOKUP(A219,Facturas!A:P,8,0)</f>
        <v>Colombiana de Envases Industriales S. A.</v>
      </c>
      <c r="G219" t="s">
        <v>298</v>
      </c>
      <c r="H219">
        <f>YEAR(Tabla1[[#This Row],[Fecha]])</f>
        <v>2022</v>
      </c>
    </row>
    <row r="220" spans="1:8" hidden="1" x14ac:dyDescent="0.25">
      <c r="A220" s="3">
        <v>158</v>
      </c>
      <c r="B220" s="360">
        <v>44820</v>
      </c>
      <c r="C220" s="249">
        <v>966000</v>
      </c>
      <c r="D220" s="3" t="str">
        <f>VLOOKUP(A220,Facturas!A:P,2,0)</f>
        <v>P-1146</v>
      </c>
      <c r="E220" s="3" t="str">
        <f>VLOOKUP(A220,Facturas!A:P,4,0)</f>
        <v>Tis-1166</v>
      </c>
      <c r="F220" t="str">
        <f>VLOOKUP(A220,Facturas!A:P,8,0)</f>
        <v>Inversiones Sajamib SAS</v>
      </c>
      <c r="H220">
        <f>YEAR(Tabla1[[#This Row],[Fecha]])</f>
        <v>2022</v>
      </c>
    </row>
    <row r="221" spans="1:8" hidden="1" x14ac:dyDescent="0.25">
      <c r="A221" s="3">
        <v>168</v>
      </c>
      <c r="B221" s="360">
        <v>44821</v>
      </c>
      <c r="C221" s="249">
        <v>1530586</v>
      </c>
      <c r="D221" s="3" t="str">
        <f>VLOOKUP(A221,Facturas!A:P,2,0)</f>
        <v>P-1156</v>
      </c>
      <c r="E221" s="3" t="str">
        <f>VLOOKUP(A221,Facturas!A:P,4,0)</f>
        <v>TIS-1159</v>
      </c>
      <c r="F221" t="str">
        <f>VLOOKUP(A221,Facturas!A:P,8,0)</f>
        <v>PRODUCTORA INTERAMERICANA DE PLASTICOS S.A.S.</v>
      </c>
      <c r="G221" t="s">
        <v>316</v>
      </c>
      <c r="H221">
        <f>YEAR(Tabla1[[#This Row],[Fecha]])</f>
        <v>2022</v>
      </c>
    </row>
    <row r="222" spans="1:8" hidden="1" x14ac:dyDescent="0.25">
      <c r="A222" s="3">
        <v>164</v>
      </c>
      <c r="B222" s="360">
        <v>44826</v>
      </c>
      <c r="C222" s="249">
        <v>1457500</v>
      </c>
      <c r="D222" s="3" t="str">
        <f>VLOOKUP(A222,Facturas!A:P,2,0)</f>
        <v>P-1152</v>
      </c>
      <c r="E222" s="3" t="str">
        <f>VLOOKUP(A222,Facturas!A:P,4,0)</f>
        <v>TIS-1176</v>
      </c>
      <c r="F222" t="str">
        <f>VLOOKUP(A222,Facturas!A:P,8,0)</f>
        <v>GRUPO S I E SAS</v>
      </c>
      <c r="G222" s="222" t="s">
        <v>317</v>
      </c>
      <c r="H222">
        <f>YEAR(Tabla1[[#This Row],[Fecha]])</f>
        <v>2022</v>
      </c>
    </row>
    <row r="223" spans="1:8" hidden="1" x14ac:dyDescent="0.25">
      <c r="A223" s="3">
        <v>179</v>
      </c>
      <c r="B223" s="360">
        <v>44826</v>
      </c>
      <c r="C223" s="249">
        <v>200000</v>
      </c>
      <c r="D223" s="3" t="str">
        <f>VLOOKUP(A223,Facturas!A:P,2,0)</f>
        <v>P-1167</v>
      </c>
      <c r="E223" s="3" t="str">
        <f>VLOOKUP(A223,Facturas!A:P,4,0)</f>
        <v>TIS-1174</v>
      </c>
      <c r="F223" t="str">
        <f>VLOOKUP(A223,Facturas!A:P,8,0)</f>
        <v>NATALIA GUARNIZO VARON</v>
      </c>
      <c r="G223" t="s">
        <v>318</v>
      </c>
      <c r="H223">
        <f>YEAR(Tabla1[[#This Row],[Fecha]])</f>
        <v>2022</v>
      </c>
    </row>
    <row r="224" spans="1:8" hidden="1" x14ac:dyDescent="0.25">
      <c r="A224" s="3">
        <v>161</v>
      </c>
      <c r="B224" s="360">
        <v>44827</v>
      </c>
      <c r="C224" s="254">
        <v>208250</v>
      </c>
      <c r="D224" s="3" t="str">
        <f>VLOOKUP(A224,Facturas!A:P,2,0)</f>
        <v>P-1149</v>
      </c>
      <c r="E224" s="3">
        <f>VLOOKUP(A224,Facturas!A:P,4,0)</f>
        <v>0</v>
      </c>
      <c r="F224" t="str">
        <f>VLOOKUP(A224,Facturas!A:P,8,0)</f>
        <v>Inversiones Londoño Sepulveda S.A.S</v>
      </c>
      <c r="G224" t="s">
        <v>319</v>
      </c>
      <c r="H224">
        <f>YEAR(Tabla1[[#This Row],[Fecha]])</f>
        <v>2022</v>
      </c>
    </row>
    <row r="225" spans="1:8" hidden="1" x14ac:dyDescent="0.25">
      <c r="A225" s="3">
        <v>165</v>
      </c>
      <c r="B225" s="360">
        <v>44827</v>
      </c>
      <c r="C225" s="254">
        <v>353430</v>
      </c>
      <c r="D225" s="3" t="str">
        <f>VLOOKUP(A225,Facturas!A:P,2,0)</f>
        <v>P-1153</v>
      </c>
      <c r="E225" s="3" t="str">
        <f>VLOOKUP(A225,Facturas!A:P,4,0)</f>
        <v>Tis-1180</v>
      </c>
      <c r="F225" t="str">
        <f>VLOOKUP(A225,Facturas!A:P,8,0)</f>
        <v>INSTRUMENTACION Y SOLUCIONES PARA LABORATORIO S A S</v>
      </c>
      <c r="G225" t="s">
        <v>320</v>
      </c>
      <c r="H225">
        <f>YEAR(Tabla1[[#This Row],[Fecha]])</f>
        <v>2022</v>
      </c>
    </row>
    <row r="226" spans="1:8" hidden="1" x14ac:dyDescent="0.25">
      <c r="A226" s="3">
        <v>172</v>
      </c>
      <c r="B226" s="360">
        <v>44827</v>
      </c>
      <c r="C226" s="254">
        <v>25372752</v>
      </c>
      <c r="D226" s="3" t="str">
        <f>VLOOKUP(A226,Facturas!A:P,2,0)</f>
        <v>P-1160</v>
      </c>
      <c r="E226" s="3" t="str">
        <f>VLOOKUP(A226,Facturas!A:P,4,0)</f>
        <v>TIS-1163</v>
      </c>
      <c r="F226" t="str">
        <f>VLOOKUP(A226,Facturas!A:P,8,0)</f>
        <v>Banco de Bogota S.A.</v>
      </c>
      <c r="G226" t="s">
        <v>321</v>
      </c>
      <c r="H226">
        <f>YEAR(Tabla1[[#This Row],[Fecha]])</f>
        <v>2022</v>
      </c>
    </row>
    <row r="227" spans="1:8" hidden="1" x14ac:dyDescent="0.25">
      <c r="A227" s="3">
        <v>177</v>
      </c>
      <c r="B227" s="360">
        <v>44827</v>
      </c>
      <c r="C227" s="254">
        <v>2675808</v>
      </c>
      <c r="D227" s="3" t="str">
        <f>VLOOKUP(A227,Facturas!A:P,2,0)</f>
        <v>P-1165</v>
      </c>
      <c r="E227" s="3" t="str">
        <f>VLOOKUP(A227,Facturas!A:P,4,0)</f>
        <v>TIS-1172</v>
      </c>
      <c r="F227" t="str">
        <f>VLOOKUP(A227,Facturas!A:P,8,0)</f>
        <v>TRANSPORTES ESPECIALES ALIADOS S.A.S</v>
      </c>
      <c r="G227" t="s">
        <v>322</v>
      </c>
      <c r="H227">
        <f>YEAR(Tabla1[[#This Row],[Fecha]])</f>
        <v>2022</v>
      </c>
    </row>
    <row r="228" spans="1:8" hidden="1" x14ac:dyDescent="0.25">
      <c r="A228" s="3">
        <v>183</v>
      </c>
      <c r="B228" s="360">
        <v>44827</v>
      </c>
      <c r="C228" s="254">
        <v>300000</v>
      </c>
      <c r="D228" s="3" t="str">
        <f>VLOOKUP(A228,Facturas!A:P,2,0)</f>
        <v>P-1171</v>
      </c>
      <c r="E228" s="3" t="str">
        <f>VLOOKUP(A228,Facturas!A:P,4,0)</f>
        <v>TIS-1185</v>
      </c>
      <c r="F228" t="str">
        <f>VLOOKUP(A228,Facturas!A:P,8,0)</f>
        <v>HIPRA COLOMBIA SAS</v>
      </c>
      <c r="G228" t="s">
        <v>323</v>
      </c>
      <c r="H228">
        <f>YEAR(Tabla1[[#This Row],[Fecha]])</f>
        <v>2022</v>
      </c>
    </row>
    <row r="229" spans="1:8" hidden="1" x14ac:dyDescent="0.25">
      <c r="A229" s="3">
        <v>190</v>
      </c>
      <c r="B229" s="360">
        <v>44827</v>
      </c>
      <c r="C229" s="254">
        <v>250000</v>
      </c>
      <c r="D229" s="3" t="str">
        <f>VLOOKUP(A229,Facturas!A:P,2,0)</f>
        <v>P-1218</v>
      </c>
      <c r="E229" s="3" t="str">
        <f>VLOOKUP(A229,Facturas!A:P,4,0)</f>
        <v>NC31</v>
      </c>
      <c r="F229" t="str">
        <f>VLOOKUP(A229,Facturas!A:P,8,0)</f>
        <v>ATECNO S.A.S</v>
      </c>
      <c r="H229">
        <f>YEAR(Tabla1[[#This Row],[Fecha]])</f>
        <v>2022</v>
      </c>
    </row>
    <row r="230" spans="1:8" hidden="1" x14ac:dyDescent="0.25">
      <c r="A230" s="3">
        <v>119</v>
      </c>
      <c r="B230" s="360">
        <v>44831</v>
      </c>
      <c r="C230" s="249">
        <v>638634</v>
      </c>
      <c r="D230" s="3" t="str">
        <f>VLOOKUP(A230,Facturas!A:P,2,0)</f>
        <v>P-1107</v>
      </c>
      <c r="E230" s="3" t="str">
        <f>VLOOKUP(A230,Facturas!A:P,4,0)</f>
        <v>Tis-1097</v>
      </c>
      <c r="F230" t="str">
        <f>VLOOKUP(A230,Facturas!A:P,8,0)</f>
        <v>Procesos 2000 S.A.S.</v>
      </c>
      <c r="H230">
        <f>YEAR(Tabla1[[#This Row],[Fecha]])</f>
        <v>2022</v>
      </c>
    </row>
    <row r="231" spans="1:8" hidden="1" x14ac:dyDescent="0.25">
      <c r="A231" s="3">
        <v>164</v>
      </c>
      <c r="B231" s="360">
        <v>44832</v>
      </c>
      <c r="C231" s="254">
        <v>1458000</v>
      </c>
      <c r="D231" s="3" t="str">
        <f>VLOOKUP(A231,Facturas!A:P,2,0)</f>
        <v>P-1152</v>
      </c>
      <c r="E231" s="3" t="str">
        <f>VLOOKUP(A231,Facturas!A:P,4,0)</f>
        <v>TIS-1176</v>
      </c>
      <c r="F231" t="str">
        <f>VLOOKUP(A231,Facturas!A:P,8,0)</f>
        <v>GRUPO S I E SAS</v>
      </c>
      <c r="G231" s="222" t="s">
        <v>317</v>
      </c>
      <c r="H231">
        <f>YEAR(Tabla1[[#This Row],[Fecha]])</f>
        <v>2022</v>
      </c>
    </row>
    <row r="232" spans="1:8" hidden="1" x14ac:dyDescent="0.25">
      <c r="A232" s="3">
        <v>206</v>
      </c>
      <c r="B232" s="360">
        <v>44834</v>
      </c>
      <c r="C232" s="249">
        <v>200000</v>
      </c>
      <c r="D232" s="3" t="str">
        <f>VLOOKUP(A232,Facturas!A:P,2,0)</f>
        <v>P-1194</v>
      </c>
      <c r="E232" s="3" t="str">
        <f>VLOOKUP(A232,Facturas!A:P,4,0)</f>
        <v>TIS-1177</v>
      </c>
      <c r="F232" t="str">
        <f>VLOOKUP(A232,Facturas!A:P,8,0)</f>
        <v>LILIANA MERCEDES ANDRADE SERRANO</v>
      </c>
      <c r="G232">
        <v>7686222289</v>
      </c>
      <c r="H232">
        <f>YEAR(Tabla1[[#This Row],[Fecha]])</f>
        <v>2022</v>
      </c>
    </row>
    <row r="233" spans="1:8" hidden="1" x14ac:dyDescent="0.25">
      <c r="A233" s="3">
        <v>180</v>
      </c>
      <c r="B233" s="360">
        <v>44837</v>
      </c>
      <c r="C233" s="254">
        <v>627187</v>
      </c>
      <c r="D233" s="3" t="str">
        <f>VLOOKUP(A233,Facturas!A:P,2,0)</f>
        <v>P-1168</v>
      </c>
      <c r="E233" s="3" t="str">
        <f>VLOOKUP(A233,Facturas!A:P,4,0)</f>
        <v>TIS-1175</v>
      </c>
      <c r="F233" t="str">
        <f>VLOOKUP(A233,Facturas!A:P,8,0)</f>
        <v>MEMCO SAS</v>
      </c>
      <c r="G233" t="s">
        <v>309</v>
      </c>
      <c r="H233">
        <f>YEAR(Tabla1[[#This Row],[Fecha]])</f>
        <v>2022</v>
      </c>
    </row>
    <row r="234" spans="1:8" hidden="1" x14ac:dyDescent="0.25">
      <c r="A234" s="3">
        <v>173</v>
      </c>
      <c r="B234" s="360">
        <v>44841</v>
      </c>
      <c r="C234" s="249">
        <v>1552420</v>
      </c>
      <c r="D234" s="3" t="str">
        <f>VLOOKUP(A234,Facturas!A:P,2,0)</f>
        <v>P-1161</v>
      </c>
      <c r="E234" s="3" t="str">
        <f>VLOOKUP(A234,Facturas!A:P,4,0)</f>
        <v>TIS-1168</v>
      </c>
      <c r="F234" t="str">
        <f>VLOOKUP(A234,Facturas!A:P,8,0)</f>
        <v>PASTRY CHEF PASTELERIA Y COCINA GOURMET SAS</v>
      </c>
      <c r="G234" t="s">
        <v>324</v>
      </c>
      <c r="H234">
        <f>YEAR(Tabla1[[#This Row],[Fecha]])</f>
        <v>2022</v>
      </c>
    </row>
    <row r="235" spans="1:8" hidden="1" x14ac:dyDescent="0.25">
      <c r="A235" s="3"/>
      <c r="B235" s="360">
        <v>44844</v>
      </c>
      <c r="C235" s="249">
        <v>300000</v>
      </c>
      <c r="D235" s="3" t="e">
        <f>VLOOKUP(A235,Facturas!A:P,2,0)</f>
        <v>#N/A</v>
      </c>
      <c r="E235" s="3" t="e">
        <f>VLOOKUP(A235,Facturas!A:P,4,0)</f>
        <v>#N/A</v>
      </c>
      <c r="F235" t="e">
        <f>VLOOKUP(A235,Facturas!A:P,8,0)</f>
        <v>#N/A</v>
      </c>
      <c r="G235" s="190" t="s">
        <v>325</v>
      </c>
      <c r="H235">
        <f>YEAR(Tabla1[[#This Row],[Fecha]])</f>
        <v>2022</v>
      </c>
    </row>
    <row r="236" spans="1:8" hidden="1" x14ac:dyDescent="0.25">
      <c r="A236" s="3">
        <v>181</v>
      </c>
      <c r="B236" s="360">
        <v>44848</v>
      </c>
      <c r="C236" s="254">
        <v>25372752</v>
      </c>
      <c r="D236" s="3" t="str">
        <f>VLOOKUP(A236,Facturas!A:P,2,0)</f>
        <v>P-1169</v>
      </c>
      <c r="E236" s="3" t="str">
        <f>VLOOKUP(A236,Facturas!A:P,4,0)</f>
        <v>TIS-1178</v>
      </c>
      <c r="F236" t="str">
        <f>VLOOKUP(A236,Facturas!A:P,8,0)</f>
        <v>Banco de Bogota S.A.</v>
      </c>
      <c r="G236" t="s">
        <v>321</v>
      </c>
      <c r="H236">
        <f>YEAR(Tabla1[[#This Row],[Fecha]])</f>
        <v>2022</v>
      </c>
    </row>
    <row r="237" spans="1:8" hidden="1" x14ac:dyDescent="0.25">
      <c r="A237" s="3">
        <v>222</v>
      </c>
      <c r="B237" s="360">
        <v>44853</v>
      </c>
      <c r="C237" s="254">
        <v>300000</v>
      </c>
      <c r="D237" s="3" t="str">
        <f>VLOOKUP(A237,Facturas!A:P,2,0)</f>
        <v>P-1210</v>
      </c>
      <c r="E237" s="3" t="str">
        <f>VLOOKUP(A237,Facturas!A:P,4,0)</f>
        <v>TIS-1204</v>
      </c>
      <c r="F237" t="str">
        <f>VLOOKUP(A237,Facturas!A:P,8,0)</f>
        <v>SUPPLYTEC SAS</v>
      </c>
      <c r="G237" t="s">
        <v>326</v>
      </c>
      <c r="H237">
        <f>YEAR(Tabla1[[#This Row],[Fecha]])</f>
        <v>2022</v>
      </c>
    </row>
    <row r="238" spans="1:8" hidden="1" x14ac:dyDescent="0.25">
      <c r="A238" s="3">
        <v>228</v>
      </c>
      <c r="B238" s="360">
        <v>44853</v>
      </c>
      <c r="C238" s="254">
        <v>199500</v>
      </c>
      <c r="D238" s="3" t="str">
        <f>VLOOKUP(A238,Facturas!A:P,2,0)</f>
        <v>P-1216</v>
      </c>
      <c r="E238" s="3" t="str">
        <f>VLOOKUP(A238,Facturas!A:P,4,0)</f>
        <v>TIS-1203</v>
      </c>
      <c r="F238" t="str">
        <f>VLOOKUP(A238,Facturas!A:P,8,0)</f>
        <v>COMERCIALIZADORA INTERNACIONAL DYNAMIC TRADING CORPORATION S.A.S</v>
      </c>
      <c r="G238" t="s">
        <v>327</v>
      </c>
      <c r="H238">
        <f>YEAR(Tabla1[[#This Row],[Fecha]])</f>
        <v>2022</v>
      </c>
    </row>
    <row r="239" spans="1:8" hidden="1" x14ac:dyDescent="0.25">
      <c r="A239" s="3">
        <v>147</v>
      </c>
      <c r="B239" s="360">
        <v>44856</v>
      </c>
      <c r="C239" s="249">
        <f>+C238</f>
        <v>199500</v>
      </c>
      <c r="D239" s="3" t="str">
        <f>VLOOKUP(A239,Facturas!A:P,2,0)</f>
        <v>P-1135</v>
      </c>
      <c r="E239" s="3" t="str">
        <f>VLOOKUP(A239,Facturas!A:P,4,0)</f>
        <v>TIS-1139</v>
      </c>
      <c r="F239" t="str">
        <f>VLOOKUP(A239,Facturas!A:P,8,0)</f>
        <v>Comercializadora ERZ SAS</v>
      </c>
      <c r="H239">
        <f>YEAR(Tabla1[[#This Row],[Fecha]])</f>
        <v>2022</v>
      </c>
    </row>
    <row r="240" spans="1:8" hidden="1" x14ac:dyDescent="0.25">
      <c r="A240" s="3">
        <v>154</v>
      </c>
      <c r="B240" s="360">
        <v>44856</v>
      </c>
      <c r="C240" s="249">
        <f>504000/2</f>
        <v>252000</v>
      </c>
      <c r="D240" s="3" t="str">
        <f>VLOOKUP(A240,Facturas!A:P,2,0)</f>
        <v>P-1142</v>
      </c>
      <c r="E240" s="3" t="str">
        <f>VLOOKUP(A240,Facturas!A:P,4,0)</f>
        <v>TIS-1148</v>
      </c>
      <c r="F240" t="str">
        <f>VLOOKUP(A240,Facturas!A:P,8,0)</f>
        <v>Comercializadora ERZ SAS</v>
      </c>
      <c r="G240" t="s">
        <v>328</v>
      </c>
      <c r="H240">
        <f>YEAR(Tabla1[[#This Row],[Fecha]])</f>
        <v>2022</v>
      </c>
    </row>
    <row r="241" spans="1:8" hidden="1" x14ac:dyDescent="0.25">
      <c r="A241" s="3">
        <v>119</v>
      </c>
      <c r="B241" s="360">
        <v>44858</v>
      </c>
      <c r="C241" s="249">
        <v>638634</v>
      </c>
      <c r="D241" s="3" t="str">
        <f>VLOOKUP(A241,Facturas!A:P,2,0)</f>
        <v>P-1107</v>
      </c>
      <c r="E241" s="3" t="str">
        <f>VLOOKUP(A241,Facturas!A:P,4,0)</f>
        <v>Tis-1097</v>
      </c>
      <c r="F241" t="str">
        <f>VLOOKUP(A241,Facturas!A:P,8,0)</f>
        <v>Procesos 2000 S.A.S.</v>
      </c>
      <c r="G241" t="s">
        <v>307</v>
      </c>
      <c r="H241">
        <f>YEAR(Tabla1[[#This Row],[Fecha]])</f>
        <v>2022</v>
      </c>
    </row>
    <row r="242" spans="1:8" hidden="1" x14ac:dyDescent="0.25">
      <c r="A242" s="3">
        <v>178</v>
      </c>
      <c r="B242" s="360">
        <v>44862</v>
      </c>
      <c r="C242" s="249">
        <v>3450000</v>
      </c>
      <c r="D242" s="3" t="str">
        <f>VLOOKUP(A242,Facturas!A:P,2,0)</f>
        <v>P-1166</v>
      </c>
      <c r="E242" s="3" t="str">
        <f>VLOOKUP(A242,Facturas!A:P,4,0)</f>
        <v>TIS-1173</v>
      </c>
      <c r="F242" t="str">
        <f>VLOOKUP(A242,Facturas!A:P,8,0)</f>
        <v>Terminales Automotrices SA</v>
      </c>
      <c r="G242" t="s">
        <v>329</v>
      </c>
      <c r="H242">
        <f>YEAR(Tabla1[[#This Row],[Fecha]])</f>
        <v>2022</v>
      </c>
    </row>
    <row r="243" spans="1:8" hidden="1" x14ac:dyDescent="0.25">
      <c r="A243" s="3">
        <v>232</v>
      </c>
      <c r="B243" s="360">
        <v>44866</v>
      </c>
      <c r="C243" s="249">
        <v>15430800</v>
      </c>
      <c r="D243" s="3" t="str">
        <f>VLOOKUP(A243,Facturas!A:P,2,0)</f>
        <v>P-1220</v>
      </c>
      <c r="E243" s="3" t="str">
        <f>VLOOKUP(A243,Facturas!A:P,4,0)</f>
        <v>TIS-1213</v>
      </c>
      <c r="F243" t="str">
        <f>VLOOKUP(A243,Facturas!A:P,8,0)</f>
        <v>Megalinea S.A.</v>
      </c>
      <c r="G243" s="190" t="s">
        <v>330</v>
      </c>
      <c r="H243">
        <f>YEAR(Tabla1[[#This Row],[Fecha]])</f>
        <v>2022</v>
      </c>
    </row>
    <row r="244" spans="1:8" hidden="1" x14ac:dyDescent="0.25">
      <c r="A244" s="3"/>
      <c r="B244" s="360">
        <v>44875</v>
      </c>
      <c r="C244" s="249">
        <v>300000</v>
      </c>
      <c r="D244" s="3" t="e">
        <f>VLOOKUP(A244,Facturas!A:P,2,0)</f>
        <v>#N/A</v>
      </c>
      <c r="E244" s="3" t="e">
        <f>VLOOKUP(A244,Facturas!A:P,4,0)</f>
        <v>#N/A</v>
      </c>
      <c r="F244" t="e">
        <f>VLOOKUP(A244,Facturas!A:P,8,0)</f>
        <v>#N/A</v>
      </c>
      <c r="G244" s="190" t="s">
        <v>331</v>
      </c>
      <c r="H244">
        <f>YEAR(Tabla1[[#This Row],[Fecha]])</f>
        <v>2022</v>
      </c>
    </row>
    <row r="245" spans="1:8" hidden="1" x14ac:dyDescent="0.25">
      <c r="A245" s="3">
        <v>204</v>
      </c>
      <c r="B245" s="360">
        <v>44876</v>
      </c>
      <c r="C245" s="249">
        <v>241276</v>
      </c>
      <c r="D245" s="3" t="str">
        <f>VLOOKUP(A245,Facturas!A:P,2,0)</f>
        <v>P-1192</v>
      </c>
      <c r="E245" s="3" t="str">
        <f>VLOOKUP(A245,Facturas!A:P,4,0)</f>
        <v>TIS-1179</v>
      </c>
      <c r="F245" t="str">
        <f>VLOOKUP(A245,Facturas!A:P,8,0)</f>
        <v>BETA SERVICIOS TEMPORALES S A S</v>
      </c>
      <c r="G245" t="s">
        <v>332</v>
      </c>
      <c r="H245">
        <f>YEAR(Tabla1[[#This Row],[Fecha]])</f>
        <v>2022</v>
      </c>
    </row>
    <row r="246" spans="1:8" hidden="1" x14ac:dyDescent="0.25">
      <c r="A246" s="3">
        <v>245</v>
      </c>
      <c r="B246" s="360">
        <v>44889</v>
      </c>
      <c r="C246" s="249">
        <v>850000</v>
      </c>
      <c r="D246" s="3" t="str">
        <f>VLOOKUP(A246,Facturas!A:P,2,0)</f>
        <v>P-1233</v>
      </c>
      <c r="E246" s="3" t="str">
        <f>VLOOKUP(A246,Facturas!A:P,4,0)</f>
        <v>TIS-1223</v>
      </c>
      <c r="F246" t="str">
        <f>VLOOKUP(A246,Facturas!A:P,8,0)</f>
        <v>EXPRESS CLEAN LAVANDERIA</v>
      </c>
      <c r="G246" s="190" t="s">
        <v>333</v>
      </c>
      <c r="H246">
        <f>YEAR(Tabla1[[#This Row],[Fecha]])</f>
        <v>2022</v>
      </c>
    </row>
    <row r="247" spans="1:8" hidden="1" x14ac:dyDescent="0.25">
      <c r="A247" s="3">
        <v>119</v>
      </c>
      <c r="B247" s="360">
        <v>44890</v>
      </c>
      <c r="C247" s="249">
        <v>638634</v>
      </c>
      <c r="D247" s="3" t="str">
        <f>VLOOKUP(A247,Facturas!A:P,2,0)</f>
        <v>P-1107</v>
      </c>
      <c r="E247" s="3" t="str">
        <f>VLOOKUP(A247,Facturas!A:P,4,0)</f>
        <v>Tis-1097</v>
      </c>
      <c r="F247" t="str">
        <f>VLOOKUP(A247,Facturas!A:P,8,0)</f>
        <v>Procesos 2000 S.A.S.</v>
      </c>
      <c r="H247">
        <f>YEAR(Tabla1[[#This Row],[Fecha]])</f>
        <v>2022</v>
      </c>
    </row>
    <row r="248" spans="1:8" hidden="1" x14ac:dyDescent="0.25">
      <c r="A248" s="3">
        <v>183</v>
      </c>
      <c r="B248" s="360">
        <v>44890</v>
      </c>
      <c r="C248" s="249">
        <v>342804</v>
      </c>
      <c r="D248" s="3" t="str">
        <f>VLOOKUP(A248,Facturas!A:P,2,0)</f>
        <v>P-1171</v>
      </c>
      <c r="E248" s="3" t="str">
        <f>VLOOKUP(A248,Facturas!A:P,4,0)</f>
        <v>TIS-1185</v>
      </c>
      <c r="F248" t="str">
        <f>VLOOKUP(A248,Facturas!A:P,8,0)</f>
        <v>HIPRA COLOMBIA SAS</v>
      </c>
      <c r="G248" t="s">
        <v>298</v>
      </c>
      <c r="H248">
        <f>YEAR(Tabla1[[#This Row],[Fecha]])</f>
        <v>2022</v>
      </c>
    </row>
    <row r="249" spans="1:8" hidden="1" x14ac:dyDescent="0.25">
      <c r="A249" s="3">
        <v>165</v>
      </c>
      <c r="B249" s="360">
        <v>44894</v>
      </c>
      <c r="C249" s="249">
        <v>282946</v>
      </c>
      <c r="D249" s="3" t="str">
        <f>VLOOKUP(A249,Facturas!A:P,2,0)</f>
        <v>P-1153</v>
      </c>
      <c r="E249" s="3" t="str">
        <f>VLOOKUP(A249,Facturas!A:P,4,0)</f>
        <v>Tis-1180</v>
      </c>
      <c r="F249" t="str">
        <f>VLOOKUP(A249,Facturas!A:P,8,0)</f>
        <v>INSTRUMENTACION Y SOLUCIONES PARA LABORATORIO S A S</v>
      </c>
      <c r="G249" t="s">
        <v>298</v>
      </c>
      <c r="H249">
        <f>YEAR(Tabla1[[#This Row],[Fecha]])</f>
        <v>2022</v>
      </c>
    </row>
    <row r="250" spans="1:8" hidden="1" x14ac:dyDescent="0.25">
      <c r="A250" s="3">
        <v>229</v>
      </c>
      <c r="B250" s="360">
        <v>44894</v>
      </c>
      <c r="C250" s="249">
        <v>208250</v>
      </c>
      <c r="D250" s="3" t="str">
        <f>VLOOKUP(A250,Facturas!A:P,2,0)</f>
        <v>P-1217</v>
      </c>
      <c r="E250" s="3" t="str">
        <f>VLOOKUP(A250,Facturas!A:P,4,0)</f>
        <v>TIS-1206</v>
      </c>
      <c r="F250" t="str">
        <f>VLOOKUP(A250,Facturas!A:P,8,0)</f>
        <v>SOLDMANT LTDA</v>
      </c>
      <c r="H250">
        <f>YEAR(Tabla1[[#This Row],[Fecha]])</f>
        <v>2022</v>
      </c>
    </row>
    <row r="251" spans="1:8" hidden="1" x14ac:dyDescent="0.25">
      <c r="A251" s="3">
        <v>182</v>
      </c>
      <c r="B251" s="360">
        <v>44897</v>
      </c>
      <c r="C251" s="249">
        <v>25372752</v>
      </c>
      <c r="D251" s="3" t="str">
        <f>VLOOKUP(A251,Facturas!A:P,2,0)</f>
        <v>P-1170</v>
      </c>
      <c r="E251" s="3" t="str">
        <f>VLOOKUP(A251,Facturas!A:P,4,0)</f>
        <v>TIS-1182</v>
      </c>
      <c r="F251" t="str">
        <f>VLOOKUP(A251,Facturas!A:P,8,0)</f>
        <v>Banco de Bogota S.A.</v>
      </c>
      <c r="H251">
        <f>YEAR(Tabla1[[#This Row],[Fecha]])</f>
        <v>2022</v>
      </c>
    </row>
    <row r="252" spans="1:8" hidden="1" x14ac:dyDescent="0.25">
      <c r="A252" s="3">
        <v>190</v>
      </c>
      <c r="B252" s="360">
        <v>44900</v>
      </c>
      <c r="C252" s="249">
        <v>250000</v>
      </c>
      <c r="D252" s="3" t="str">
        <f>VLOOKUP(A252,Facturas!A:P,2,0)</f>
        <v>P-1218</v>
      </c>
      <c r="E252" s="3" t="str">
        <f>VLOOKUP(A252,Facturas!A:P,4,0)</f>
        <v>NC31</v>
      </c>
      <c r="F252" t="str">
        <f>VLOOKUP(A252,Facturas!A:P,8,0)</f>
        <v>ATECNO S.A.S</v>
      </c>
      <c r="G252" t="s">
        <v>334</v>
      </c>
      <c r="H252">
        <f>YEAR(Tabla1[[#This Row],[Fecha]])</f>
        <v>2022</v>
      </c>
    </row>
    <row r="253" spans="1:8" hidden="1" x14ac:dyDescent="0.25">
      <c r="A253" s="3">
        <v>266</v>
      </c>
      <c r="B253" s="360">
        <v>44901</v>
      </c>
      <c r="C253" s="249">
        <v>4098978.48</v>
      </c>
      <c r="D253" s="3" t="str">
        <f>VLOOKUP(A253,Facturas!A:P,2,0)</f>
        <v>P-1254</v>
      </c>
      <c r="E253" s="3" t="str">
        <f>VLOOKUP(A253,Facturas!A:P,4,0)</f>
        <v>TIS-1245</v>
      </c>
      <c r="F253" t="str">
        <f>VLOOKUP(A253,Facturas!A:P,8,0)</f>
        <v>FIDEICOMISOS SOCIEDAD FIDUCIARIA DE OCCIDENTE SA</v>
      </c>
      <c r="G253" t="s">
        <v>335</v>
      </c>
      <c r="H253">
        <f>YEAR(Tabla1[[#This Row],[Fecha]])</f>
        <v>2022</v>
      </c>
    </row>
    <row r="254" spans="1:8" hidden="1" x14ac:dyDescent="0.25">
      <c r="A254" s="3">
        <v>216</v>
      </c>
      <c r="B254" s="360">
        <v>44907</v>
      </c>
      <c r="C254" s="249">
        <v>2377675</v>
      </c>
      <c r="D254" s="3" t="str">
        <f>VLOOKUP(A254,Facturas!A:P,2,0)</f>
        <v>P-1204</v>
      </c>
      <c r="E254" s="3" t="str">
        <f>VLOOKUP(A254,Facturas!A:P,4,0)</f>
        <v>TIS-1193</v>
      </c>
      <c r="F254" t="str">
        <f>VLOOKUP(A254,Facturas!A:P,8,0)</f>
        <v>INSUMOS VETERINARIOS Y FARMACEUTICOS DE COLOMBIA SAS</v>
      </c>
      <c r="H254">
        <f>YEAR(Tabla1[[#This Row],[Fecha]])</f>
        <v>2022</v>
      </c>
    </row>
    <row r="255" spans="1:8" hidden="1" x14ac:dyDescent="0.25">
      <c r="A255" s="3">
        <v>219</v>
      </c>
      <c r="B255" s="360">
        <v>44911</v>
      </c>
      <c r="C255" s="249">
        <v>561680</v>
      </c>
      <c r="D255" s="3" t="str">
        <f>VLOOKUP(A255,Facturas!A:P,2,0)</f>
        <v>P-1207</v>
      </c>
      <c r="E255" s="3" t="str">
        <f>VLOOKUP(A255,Facturas!A:P,4,0)</f>
        <v>TIS-1197</v>
      </c>
      <c r="F255" t="str">
        <f>VLOOKUP(A255,Facturas!A:P,8,0)</f>
        <v>FORMADERAS Y CASETONES WP SAS</v>
      </c>
      <c r="G255" t="s">
        <v>336</v>
      </c>
      <c r="H255">
        <f>YEAR(Tabla1[[#This Row],[Fecha]])</f>
        <v>2022</v>
      </c>
    </row>
    <row r="256" spans="1:8" hidden="1" x14ac:dyDescent="0.25">
      <c r="A256" s="3">
        <v>212</v>
      </c>
      <c r="B256" s="360">
        <v>44914</v>
      </c>
      <c r="C256" s="249">
        <v>773218</v>
      </c>
      <c r="D256" s="3" t="str">
        <f>VLOOKUP(A256,Facturas!A:P,2,0)</f>
        <v>P-1200</v>
      </c>
      <c r="E256" s="3" t="str">
        <f>VLOOKUP(A256,Facturas!A:P,4,0)</f>
        <v>Tis-1192</v>
      </c>
      <c r="F256" t="str">
        <f>VLOOKUP(A256,Facturas!A:P,8,0)</f>
        <v>FEDERACION NACIONAL DE COMERCIANTES FENALCO SECCIONAL BOGOTA CUNDINAMARCA</v>
      </c>
      <c r="H256">
        <f>YEAR(Tabla1[[#This Row],[Fecha]])</f>
        <v>2022</v>
      </c>
    </row>
    <row r="257" spans="1:8" hidden="1" x14ac:dyDescent="0.25">
      <c r="A257" s="3">
        <v>215</v>
      </c>
      <c r="B257" s="360">
        <v>44915</v>
      </c>
      <c r="C257" s="249">
        <v>24082747.870000001</v>
      </c>
      <c r="D257" s="3" t="str">
        <f>VLOOKUP(A257,Facturas!A:P,2,0)</f>
        <v>P-1203</v>
      </c>
      <c r="E257" s="3" t="str">
        <f>VLOOKUP(A257,Facturas!A:P,4,0)</f>
        <v>Tis-1196</v>
      </c>
      <c r="F257" t="str">
        <f>VLOOKUP(A257,Facturas!A:P,8,0)</f>
        <v>Banco de Bogota S.A.</v>
      </c>
      <c r="H257">
        <f>YEAR(Tabla1[[#This Row],[Fecha]])</f>
        <v>2022</v>
      </c>
    </row>
    <row r="258" spans="1:8" hidden="1" x14ac:dyDescent="0.25">
      <c r="A258" s="3">
        <v>169</v>
      </c>
      <c r="B258" s="360">
        <v>44917</v>
      </c>
      <c r="C258" s="249">
        <v>1005928</v>
      </c>
      <c r="D258" s="3" t="str">
        <f>VLOOKUP(A258,Facturas!A:P,2,0)</f>
        <v>P-1157</v>
      </c>
      <c r="E258" s="3" t="str">
        <f>VLOOKUP(A258,Facturas!A:P,4,0)</f>
        <v>TIS-1183</v>
      </c>
      <c r="F258" t="str">
        <f>VLOOKUP(A258,Facturas!A:P,8,0)</f>
        <v>Comercializadora ERZ SAS</v>
      </c>
      <c r="H258">
        <f>YEAR(Tabla1[[#This Row],[Fecha]])</f>
        <v>2022</v>
      </c>
    </row>
    <row r="259" spans="1:8" hidden="1" x14ac:dyDescent="0.25">
      <c r="A259" s="3">
        <v>209</v>
      </c>
      <c r="B259" s="360">
        <v>44918</v>
      </c>
      <c r="C259" s="249">
        <v>966000</v>
      </c>
      <c r="D259" s="3" t="str">
        <f>VLOOKUP(A259,Facturas!A:P,2,0)</f>
        <v>P-1197</v>
      </c>
      <c r="E259" s="3" t="str">
        <f>VLOOKUP(A259,Facturas!A:P,4,0)</f>
        <v>Tis-1188</v>
      </c>
      <c r="F259" t="str">
        <f>VLOOKUP(A259,Facturas!A:P,8,0)</f>
        <v>Inversiones Sajamib SAS</v>
      </c>
      <c r="H259">
        <f>YEAR(Tabla1[[#This Row],[Fecha]])</f>
        <v>2022</v>
      </c>
    </row>
    <row r="260" spans="1:8" hidden="1" x14ac:dyDescent="0.25">
      <c r="A260" s="3">
        <v>219</v>
      </c>
      <c r="B260" s="360">
        <v>44918</v>
      </c>
      <c r="C260" s="249">
        <v>147042</v>
      </c>
      <c r="D260" s="3" t="str">
        <f>VLOOKUP(A260,Facturas!A:P,2,0)</f>
        <v>P-1207</v>
      </c>
      <c r="E260" s="3" t="str">
        <f>VLOOKUP(A260,Facturas!A:P,4,0)</f>
        <v>TIS-1197</v>
      </c>
      <c r="F260" t="str">
        <f>VLOOKUP(A260,Facturas!A:P,8,0)</f>
        <v>FORMADERAS Y CASETONES WP SAS</v>
      </c>
      <c r="G260" t="s">
        <v>337</v>
      </c>
      <c r="H260">
        <f>YEAR(Tabla1[[#This Row],[Fecha]])</f>
        <v>2022</v>
      </c>
    </row>
    <row r="261" spans="1:8" hidden="1" x14ac:dyDescent="0.25">
      <c r="A261" s="3">
        <v>221</v>
      </c>
      <c r="B261" s="360">
        <v>44921</v>
      </c>
      <c r="C261" s="249">
        <v>3487575</v>
      </c>
      <c r="D261" s="3" t="str">
        <f>VLOOKUP(A261,Facturas!A:P,2,0)</f>
        <v>P-1209</v>
      </c>
      <c r="E261" s="3" t="str">
        <f>VLOOKUP(A261,Facturas!A:P,4,0)</f>
        <v>TIS-1199</v>
      </c>
      <c r="F261" t="str">
        <f>VLOOKUP(A261,Facturas!A:P,8,0)</f>
        <v>INVERSIONES FRANQUIHER S A S</v>
      </c>
      <c r="H261">
        <f>YEAR(Tabla1[[#This Row],[Fecha]])</f>
        <v>2022</v>
      </c>
    </row>
    <row r="262" spans="1:8" hidden="1" x14ac:dyDescent="0.25">
      <c r="A262" s="3">
        <v>223</v>
      </c>
      <c r="B262" s="360">
        <v>44921</v>
      </c>
      <c r="C262" s="249">
        <v>3487575</v>
      </c>
      <c r="D262" s="3" t="str">
        <f>VLOOKUP(A262,Facturas!A:P,2,0)</f>
        <v>P-1211</v>
      </c>
      <c r="E262" s="3" t="str">
        <f>VLOOKUP(A262,Facturas!A:P,4,0)</f>
        <v>TIS-1200</v>
      </c>
      <c r="F262" t="str">
        <f>VLOOKUP(A262,Facturas!A:P,8,0)</f>
        <v>H &amp; S FRANQUICIAS SAS</v>
      </c>
      <c r="H262">
        <f>YEAR(Tabla1[[#This Row],[Fecha]])</f>
        <v>2022</v>
      </c>
    </row>
    <row r="263" spans="1:8" hidden="1" x14ac:dyDescent="0.25">
      <c r="A263" s="3">
        <v>119</v>
      </c>
      <c r="B263" s="360">
        <v>44922</v>
      </c>
      <c r="C263" s="249">
        <v>660861</v>
      </c>
      <c r="D263" s="3" t="str">
        <f>VLOOKUP(A263,Facturas!A:P,2,0)</f>
        <v>P-1107</v>
      </c>
      <c r="E263" s="3" t="str">
        <f>VLOOKUP(A263,Facturas!A:P,4,0)</f>
        <v>Tis-1097</v>
      </c>
      <c r="F263" t="str">
        <f>VLOOKUP(A263,Facturas!A:P,8,0)</f>
        <v>Procesos 2000 S.A.S.</v>
      </c>
      <c r="H263">
        <f>YEAR(Tabla1[[#This Row],[Fecha]])</f>
        <v>2022</v>
      </c>
    </row>
    <row r="264" spans="1:8" hidden="1" x14ac:dyDescent="0.25">
      <c r="A264" s="3">
        <v>217</v>
      </c>
      <c r="B264" s="360">
        <v>44923</v>
      </c>
      <c r="C264" s="249">
        <v>741221</v>
      </c>
      <c r="D264" s="3" t="str">
        <f>VLOOKUP(A264,Facturas!A:P,2,0)</f>
        <v>P-1205</v>
      </c>
      <c r="E264" s="3" t="str">
        <f>VLOOKUP(A264,Facturas!A:P,4,0)</f>
        <v>TIS-1194</v>
      </c>
      <c r="F264" t="str">
        <f>VLOOKUP(A264,Facturas!A:P,8,0)</f>
        <v>CONSTRUCCIONES Y AMBIENTE - CONAMBIENTE - S.A.S</v>
      </c>
      <c r="G264" t="s">
        <v>176</v>
      </c>
      <c r="H264">
        <f>YEAR(Tabla1[[#This Row],[Fecha]])</f>
        <v>2022</v>
      </c>
    </row>
    <row r="265" spans="1:8" hidden="1" x14ac:dyDescent="0.25">
      <c r="A265" s="3">
        <v>208</v>
      </c>
      <c r="B265" s="360">
        <v>44928</v>
      </c>
      <c r="C265" s="249">
        <v>1552420</v>
      </c>
      <c r="D265" s="3" t="str">
        <f>VLOOKUP(A265,Facturas!A:P,2,0)</f>
        <v>P-1196</v>
      </c>
      <c r="E265" s="3" t="str">
        <f>VLOOKUP(A265,Facturas!A:P,4,0)</f>
        <v>Tis-1189</v>
      </c>
      <c r="F265" t="str">
        <f>VLOOKUP(A265,Facturas!A:P,8,0)</f>
        <v>PASTRY CHEF PASTELERIA Y COCINA GOURMET SAS</v>
      </c>
      <c r="H265">
        <f>YEAR(Tabla1[[#This Row],[Fecha]])</f>
        <v>2023</v>
      </c>
    </row>
    <row r="266" spans="1:8" hidden="1" x14ac:dyDescent="0.25">
      <c r="A266" s="3">
        <v>218</v>
      </c>
      <c r="B266" s="360">
        <v>44928</v>
      </c>
      <c r="C266" s="255">
        <v>8856000</v>
      </c>
      <c r="D266" s="3" t="str">
        <f>VLOOKUP(A266,Facturas!A:P,2,0)</f>
        <v>P-1206</v>
      </c>
      <c r="E266" s="3" t="str">
        <f>VLOOKUP(A266,Facturas!A:P,4,0)</f>
        <v>TIS-1195</v>
      </c>
      <c r="F266" t="str">
        <f>VLOOKUP(A266,Facturas!A:P,8,0)</f>
        <v>CONCESIONARIA DEL DESARROLLO VIAL DE LA SABANA</v>
      </c>
      <c r="G266" t="s">
        <v>338</v>
      </c>
      <c r="H266">
        <f>YEAR(Tabla1[[#This Row],[Fecha]])</f>
        <v>2023</v>
      </c>
    </row>
    <row r="267" spans="1:8" hidden="1" x14ac:dyDescent="0.25">
      <c r="A267" s="3">
        <v>229</v>
      </c>
      <c r="B267" s="360">
        <v>44930</v>
      </c>
      <c r="C267" s="249">
        <v>208250</v>
      </c>
      <c r="D267" s="3" t="str">
        <f>VLOOKUP(A267,Facturas!A:P,2,0)</f>
        <v>P-1217</v>
      </c>
      <c r="E267" s="3" t="str">
        <f>VLOOKUP(A267,Facturas!A:P,4,0)</f>
        <v>TIS-1206</v>
      </c>
      <c r="F267" t="str">
        <f>VLOOKUP(A267,Facturas!A:P,8,0)</f>
        <v>SOLDMANT LTDA</v>
      </c>
      <c r="G267" t="s">
        <v>298</v>
      </c>
      <c r="H267">
        <f>YEAR(Tabla1[[#This Row],[Fecha]])</f>
        <v>2023</v>
      </c>
    </row>
    <row r="268" spans="1:8" hidden="1" x14ac:dyDescent="0.25">
      <c r="A268" s="3">
        <v>184</v>
      </c>
      <c r="B268" s="360">
        <v>44935</v>
      </c>
      <c r="C268" s="249">
        <v>900000</v>
      </c>
      <c r="D268" s="3" t="str">
        <f>VLOOKUP(A268,Facturas!A:P,2,0)</f>
        <v>P-1172</v>
      </c>
      <c r="E268" s="3" t="str">
        <f>VLOOKUP(A268,Facturas!A:P,4,0)</f>
        <v>TIS-1110</v>
      </c>
      <c r="F268" t="str">
        <f>VLOOKUP(A268,Facturas!A:P,8,0)</f>
        <v>Maria del Pilar Alvarado Joya</v>
      </c>
      <c r="G268" s="236" t="s">
        <v>339</v>
      </c>
      <c r="H268">
        <f>YEAR(Tabla1[[#This Row],[Fecha]])</f>
        <v>2023</v>
      </c>
    </row>
    <row r="269" spans="1:8" hidden="1" x14ac:dyDescent="0.25">
      <c r="A269" s="3">
        <v>254</v>
      </c>
      <c r="B269" s="360">
        <v>44935</v>
      </c>
      <c r="C269" s="249">
        <v>900000</v>
      </c>
      <c r="D269" s="3" t="str">
        <f>VLOOKUP(A269,Facturas!A:P,2,0)</f>
        <v>P-1242</v>
      </c>
      <c r="E269" s="3" t="str">
        <f>VLOOKUP(A269,Facturas!A:P,4,0)</f>
        <v>TIS-1232</v>
      </c>
      <c r="F269" t="str">
        <f>VLOOKUP(A269,Facturas!A:P,8,0)</f>
        <v>Maria del Pilar Alvarado Joya</v>
      </c>
      <c r="G269" s="236" t="s">
        <v>339</v>
      </c>
      <c r="H269">
        <f>YEAR(Tabla1[[#This Row],[Fecha]])</f>
        <v>2023</v>
      </c>
    </row>
    <row r="270" spans="1:8" hidden="1" x14ac:dyDescent="0.25">
      <c r="A270" s="3">
        <v>227</v>
      </c>
      <c r="B270" s="360">
        <v>44938</v>
      </c>
      <c r="C270" s="249">
        <v>704272</v>
      </c>
      <c r="D270" s="3" t="str">
        <f>VLOOKUP(A270,Facturas!A:P,2,0)</f>
        <v>P-1215</v>
      </c>
      <c r="E270" s="3" t="str">
        <f>VLOOKUP(A270,Facturas!A:P,4,0)</f>
        <v>TIS-1202</v>
      </c>
      <c r="F270" t="str">
        <f>VLOOKUP(A270,Facturas!A:P,8,0)</f>
        <v>PRODUCTORA INTERAMERICANA DE PLASTICOS S.A.S.</v>
      </c>
      <c r="H270">
        <f>YEAR(Tabla1[[#This Row],[Fecha]])</f>
        <v>2023</v>
      </c>
    </row>
    <row r="271" spans="1:8" hidden="1" x14ac:dyDescent="0.25">
      <c r="A271" s="3">
        <v>222</v>
      </c>
      <c r="B271" s="360">
        <v>44942</v>
      </c>
      <c r="C271" s="249">
        <v>321754</v>
      </c>
      <c r="D271" s="3" t="str">
        <f>VLOOKUP(A271,Facturas!A:P,2,0)</f>
        <v>P-1210</v>
      </c>
      <c r="E271" s="3" t="str">
        <f>VLOOKUP(A271,Facturas!A:P,4,0)</f>
        <v>TIS-1204</v>
      </c>
      <c r="F271" t="str">
        <f>VLOOKUP(A271,Facturas!A:P,8,0)</f>
        <v>SUPPLYTEC SAS</v>
      </c>
      <c r="G271" t="s">
        <v>298</v>
      </c>
      <c r="H271">
        <f>YEAR(Tabla1[[#This Row],[Fecha]])</f>
        <v>2023</v>
      </c>
    </row>
    <row r="272" spans="1:8" hidden="1" x14ac:dyDescent="0.25">
      <c r="A272" s="3">
        <v>228</v>
      </c>
      <c r="B272" s="360">
        <v>44942</v>
      </c>
      <c r="C272" s="249">
        <v>495598</v>
      </c>
      <c r="D272" s="3" t="str">
        <f>VLOOKUP(A272,Facturas!A:P,2,0)</f>
        <v>P-1216</v>
      </c>
      <c r="E272" s="3" t="str">
        <f>VLOOKUP(A272,Facturas!A:P,4,0)</f>
        <v>TIS-1203</v>
      </c>
      <c r="F272" t="str">
        <f>VLOOKUP(A272,Facturas!A:P,8,0)</f>
        <v>COMERCIALIZADORA INTERNACIONAL DYNAMIC TRADING CORPORATION S.A.S</v>
      </c>
      <c r="G272" s="222" t="s">
        <v>340</v>
      </c>
      <c r="H272">
        <f>YEAR(Tabla1[[#This Row],[Fecha]])</f>
        <v>2023</v>
      </c>
    </row>
    <row r="273" spans="1:8" hidden="1" x14ac:dyDescent="0.25">
      <c r="A273" s="3">
        <v>226</v>
      </c>
      <c r="B273" s="360">
        <v>44958</v>
      </c>
      <c r="C273" s="255">
        <v>9401400</v>
      </c>
      <c r="D273" s="3" t="str">
        <f>VLOOKUP(A273,Facturas!A:P,2,0)</f>
        <v>P-1214</v>
      </c>
      <c r="E273" s="3" t="str">
        <f>VLOOKUP(A273,Facturas!A:P,4,0)</f>
        <v>TIS-1205</v>
      </c>
      <c r="F273" t="str">
        <f>VLOOKUP(A273,Facturas!A:P,8,0)</f>
        <v>MCCANN ERICKSON CORPORATION S A</v>
      </c>
      <c r="G273" t="s">
        <v>341</v>
      </c>
      <c r="H273">
        <f>YEAR(Tabla1[[#This Row],[Fecha]])</f>
        <v>2023</v>
      </c>
    </row>
    <row r="274" spans="1:8" hidden="1" x14ac:dyDescent="0.25">
      <c r="A274" s="3">
        <v>220</v>
      </c>
      <c r="B274" s="360">
        <v>44972</v>
      </c>
      <c r="C274" s="249">
        <v>768448</v>
      </c>
      <c r="D274" s="3" t="str">
        <f>VLOOKUP(A274,Facturas!A:P,2,0)</f>
        <v>P-1208</v>
      </c>
      <c r="E274" s="3" t="str">
        <f>VLOOKUP(A274,Facturas!A:P,4,0)</f>
        <v>TIS-1198</v>
      </c>
      <c r="F274" t="str">
        <f>VLOOKUP(A274,Facturas!A:P,8,0)</f>
        <v>V2S COLOMBIA SAS</v>
      </c>
      <c r="G274" t="s">
        <v>299</v>
      </c>
      <c r="H274">
        <f>YEAR(Tabla1[[#This Row],[Fecha]])</f>
        <v>2023</v>
      </c>
    </row>
    <row r="275" spans="1:8" hidden="1" x14ac:dyDescent="0.25">
      <c r="A275" s="3">
        <v>177</v>
      </c>
      <c r="B275" s="360">
        <v>44986</v>
      </c>
      <c r="C275" s="249">
        <v>2675808</v>
      </c>
      <c r="D275" s="3" t="str">
        <f>VLOOKUP(A275,Facturas!A:P,2,0)</f>
        <v>P-1165</v>
      </c>
      <c r="E275" s="3" t="str">
        <f>VLOOKUP(A275,Facturas!A:P,4,0)</f>
        <v>TIS-1172</v>
      </c>
      <c r="F275" t="str">
        <f>VLOOKUP(A275,Facturas!A:P,8,0)</f>
        <v>TRANSPORTES ESPECIALES ALIADOS S.A.S</v>
      </c>
      <c r="G275" s="190" t="s">
        <v>322</v>
      </c>
      <c r="H275">
        <f>YEAR(Tabla1[[#This Row],[Fecha]])</f>
        <v>2023</v>
      </c>
    </row>
    <row r="276" spans="1:8" hidden="1" x14ac:dyDescent="0.25">
      <c r="A276" s="3">
        <v>233</v>
      </c>
      <c r="B276" s="360">
        <v>44987</v>
      </c>
      <c r="C276" s="249">
        <v>570204</v>
      </c>
      <c r="D276" s="3" t="str">
        <f>VLOOKUP(A276,Facturas!A:P,2,0)</f>
        <v>P-1221</v>
      </c>
      <c r="E276" s="3" t="str">
        <f>VLOOKUP(A276,Facturas!A:P,4,0)</f>
        <v>TIS-1209</v>
      </c>
      <c r="F276" t="str">
        <f>VLOOKUP(A276,Facturas!A:P,8,0)</f>
        <v>CONPORTUARIO LTDA</v>
      </c>
      <c r="G276" t="s">
        <v>342</v>
      </c>
      <c r="H276">
        <f>YEAR(Tabla1[[#This Row],[Fecha]])</f>
        <v>2023</v>
      </c>
    </row>
    <row r="277" spans="1:8" hidden="1" x14ac:dyDescent="0.25">
      <c r="A277" s="3">
        <v>231</v>
      </c>
      <c r="B277" s="360">
        <v>44988</v>
      </c>
      <c r="C277" s="249">
        <v>1067022</v>
      </c>
      <c r="D277" s="3" t="str">
        <f>VLOOKUP(A277,Facturas!A:P,2,0)</f>
        <v>P-1219</v>
      </c>
      <c r="E277" s="3" t="str">
        <f>VLOOKUP(A277,Facturas!A:P,4,0)</f>
        <v>TIS-1207</v>
      </c>
      <c r="F277" t="str">
        <f>VLOOKUP(A277,Facturas!A:P,8,0)</f>
        <v>LABORATORIOS VIDA STEVIA SA</v>
      </c>
      <c r="G277" s="190" t="s">
        <v>343</v>
      </c>
      <c r="H277">
        <f>YEAR(Tabla1[[#This Row],[Fecha]])</f>
        <v>2023</v>
      </c>
    </row>
    <row r="278" spans="1:8" hidden="1" x14ac:dyDescent="0.25">
      <c r="A278" s="3">
        <v>263</v>
      </c>
      <c r="B278" s="360">
        <v>44988</v>
      </c>
      <c r="C278" s="249">
        <v>669375</v>
      </c>
      <c r="D278" s="3" t="str">
        <f>VLOOKUP(A278,Facturas!A:P,2,0)</f>
        <v>P-1251</v>
      </c>
      <c r="E278" s="3" t="str">
        <f>VLOOKUP(A278,Facturas!A:P,4,0)</f>
        <v>TIS-1243</v>
      </c>
      <c r="F278" t="str">
        <f>VLOOKUP(A278,Facturas!A:P,8,0)</f>
        <v xml:space="preserve">JALO RENT SAS </v>
      </c>
      <c r="G278" s="222" t="s">
        <v>344</v>
      </c>
      <c r="H278">
        <f>YEAR(Tabla1[[#This Row],[Fecha]])</f>
        <v>2023</v>
      </c>
    </row>
    <row r="279" spans="1:8" x14ac:dyDescent="0.25">
      <c r="A279" s="3">
        <v>264</v>
      </c>
      <c r="B279" s="360">
        <v>44995</v>
      </c>
      <c r="C279" s="249">
        <v>667500</v>
      </c>
      <c r="D279" s="3" t="str">
        <f>VLOOKUP(A279,Facturas!A:P,2,0)</f>
        <v>P-1252</v>
      </c>
      <c r="E279" s="3" t="str">
        <f>VLOOKUP(A279,Facturas!A:P,4,0)</f>
        <v>TIS-1217</v>
      </c>
      <c r="F279" t="str">
        <f>VLOOKUP(A279,Facturas!A:P,8,0)</f>
        <v>ROYCO SOLUCIONES SAS</v>
      </c>
      <c r="G279" s="190" t="s">
        <v>345</v>
      </c>
      <c r="H279">
        <f>YEAR(Tabla1[[#This Row],[Fecha]])</f>
        <v>2023</v>
      </c>
    </row>
    <row r="280" spans="1:8" hidden="1" x14ac:dyDescent="0.25">
      <c r="A280" s="3">
        <v>234</v>
      </c>
      <c r="B280" s="360">
        <v>44998</v>
      </c>
      <c r="C280" s="249">
        <v>6951661</v>
      </c>
      <c r="D280" s="3" t="str">
        <f>VLOOKUP(A280,Facturas!A:P,2,0)</f>
        <v>P-1222</v>
      </c>
      <c r="E280" s="3" t="str">
        <f>VLOOKUP(A280,Facturas!A:P,4,0)</f>
        <v>TIS-1210</v>
      </c>
      <c r="F280" t="str">
        <f>VLOOKUP(A280,Facturas!A:P,8,0)</f>
        <v>INSTITUTO DISTRITAL DE CIENCIA, BIOTECNOLOGIA E INNOVACION EN SALUD</v>
      </c>
      <c r="G280" s="190" t="s">
        <v>346</v>
      </c>
      <c r="H280">
        <f>YEAR(Tabla1[[#This Row],[Fecha]])</f>
        <v>2023</v>
      </c>
    </row>
    <row r="281" spans="1:8" hidden="1" x14ac:dyDescent="0.25">
      <c r="A281" s="3">
        <v>243</v>
      </c>
      <c r="B281" s="360">
        <v>45000</v>
      </c>
      <c r="C281" s="249">
        <v>342482</v>
      </c>
      <c r="D281" s="3" t="str">
        <f>VLOOKUP(A281,Facturas!A:P,2,0)</f>
        <v>P-1231</v>
      </c>
      <c r="E281" s="3" t="str">
        <f>VLOOKUP(A281,Facturas!A:P,4,0)</f>
        <v>TIS-1221</v>
      </c>
      <c r="F281" t="str">
        <f>VLOOKUP(A281,Facturas!A:P,8,0)</f>
        <v>CLEAN MAX SAS</v>
      </c>
      <c r="G281" s="190" t="s">
        <v>347</v>
      </c>
      <c r="H281">
        <f>YEAR(Tabla1[[#This Row],[Fecha]])</f>
        <v>2023</v>
      </c>
    </row>
    <row r="282" spans="1:8" hidden="1" x14ac:dyDescent="0.25">
      <c r="A282" s="3">
        <v>232</v>
      </c>
      <c r="B282" s="360">
        <v>45002</v>
      </c>
      <c r="C282" s="249">
        <v>24105350</v>
      </c>
      <c r="D282" s="3" t="str">
        <f>VLOOKUP(A282,Facturas!A:P,2,0)</f>
        <v>P-1220</v>
      </c>
      <c r="E282" s="3" t="str">
        <f>VLOOKUP(A282,Facturas!A:P,4,0)</f>
        <v>TIS-1213</v>
      </c>
      <c r="F282" t="str">
        <f>VLOOKUP(A282,Facturas!A:P,8,0)</f>
        <v>Megalinea S.A.</v>
      </c>
      <c r="G282" s="190" t="s">
        <v>348</v>
      </c>
      <c r="H282">
        <f>YEAR(Tabla1[[#This Row],[Fecha]])</f>
        <v>2023</v>
      </c>
    </row>
    <row r="283" spans="1:8" hidden="1" x14ac:dyDescent="0.25">
      <c r="A283" s="3">
        <v>239</v>
      </c>
      <c r="B283" s="360">
        <v>45002</v>
      </c>
      <c r="C283" s="249">
        <v>644000</v>
      </c>
      <c r="D283" s="3" t="str">
        <f>VLOOKUP(A283,Facturas!A:P,2,0)</f>
        <v>P-1227</v>
      </c>
      <c r="E283" s="3" t="str">
        <f>VLOOKUP(A283,Facturas!A:P,4,0)</f>
        <v>TIS-1216</v>
      </c>
      <c r="F283" t="str">
        <f>VLOOKUP(A283,Facturas!A:P,8,0)</f>
        <v>Inversiones Sajamib SAS</v>
      </c>
      <c r="G283" t="s">
        <v>349</v>
      </c>
      <c r="H283">
        <f>YEAR(Tabla1[[#This Row],[Fecha]])</f>
        <v>2023</v>
      </c>
    </row>
    <row r="284" spans="1:8" hidden="1" x14ac:dyDescent="0.25">
      <c r="A284" s="3">
        <v>364</v>
      </c>
      <c r="B284" s="360">
        <v>45737</v>
      </c>
      <c r="C284" s="316">
        <v>463539</v>
      </c>
      <c r="D284" s="3" t="str">
        <f>VLOOKUP(A284,Facturas!A:P,2,0)</f>
        <v>P-1352</v>
      </c>
      <c r="E284" s="3" t="str">
        <f>VLOOKUP(A284,Facturas!A:P,4,0)</f>
        <v>TIS-1332</v>
      </c>
      <c r="F284" t="str">
        <f>VLOOKUP(A284,Facturas!A:P,8,0)</f>
        <v>TBTB GLOBAL LAB SAS</v>
      </c>
      <c r="H284">
        <f>YEAR(Tabla1[[#This Row],[Fecha]])</f>
        <v>2025</v>
      </c>
    </row>
    <row r="285" spans="1:8" hidden="1" x14ac:dyDescent="0.25">
      <c r="A285" s="3">
        <v>235</v>
      </c>
      <c r="B285" s="360">
        <v>45007</v>
      </c>
      <c r="C285" s="249">
        <f>963306-C286</f>
        <v>642204</v>
      </c>
      <c r="D285" s="3" t="str">
        <f>VLOOKUP(A285,Facturas!A:P,2,0)</f>
        <v>P-1223</v>
      </c>
      <c r="E285" s="3" t="str">
        <f>VLOOKUP(A285,Facturas!A:P,4,0)</f>
        <v>TIS-1211</v>
      </c>
      <c r="F285" t="str">
        <f>VLOOKUP(A285,Facturas!A:P,8,0)</f>
        <v>PRODUCTORA INTERAMERICANA DE PLASTICOS S.A.S.</v>
      </c>
      <c r="G285" t="s">
        <v>316</v>
      </c>
      <c r="H285">
        <f>YEAR(Tabla1[[#This Row],[Fecha]])</f>
        <v>2023</v>
      </c>
    </row>
    <row r="286" spans="1:8" hidden="1" x14ac:dyDescent="0.25">
      <c r="A286" s="3">
        <v>238</v>
      </c>
      <c r="B286" s="360">
        <v>45007</v>
      </c>
      <c r="C286" s="249">
        <f>249000+72102</f>
        <v>321102</v>
      </c>
      <c r="D286" s="3" t="str">
        <f>VLOOKUP(A286,Facturas!A:P,2,0)</f>
        <v>P-1226</v>
      </c>
      <c r="E286" s="3" t="str">
        <f>VLOOKUP(A286,Facturas!A:P,4,0)</f>
        <v>TIS-1215</v>
      </c>
      <c r="F286" t="str">
        <f>VLOOKUP(A286,Facturas!A:P,8,0)</f>
        <v>PRODUCTORA INTERAMERICANA DE PLASTICOS S.A.S.</v>
      </c>
      <c r="G286" t="s">
        <v>316</v>
      </c>
      <c r="H286">
        <f>YEAR(Tabla1[[#This Row],[Fecha]])</f>
        <v>2023</v>
      </c>
    </row>
    <row r="287" spans="1:8" hidden="1" x14ac:dyDescent="0.25">
      <c r="A287" s="3">
        <v>241</v>
      </c>
      <c r="B287" s="360">
        <v>45007</v>
      </c>
      <c r="C287" s="249">
        <v>503000</v>
      </c>
      <c r="D287" s="3" t="str">
        <f>VLOOKUP(A287,Facturas!A:P,2,0)</f>
        <v>P-1229</v>
      </c>
      <c r="E287" s="3" t="str">
        <f>VLOOKUP(A287,Facturas!A:P,4,0)</f>
        <v>TIS-1219</v>
      </c>
      <c r="F287" t="str">
        <f>VLOOKUP(A287,Facturas!A:P,8,0)</f>
        <v>TECNOLOGIA DE OFICINA S.A.S.</v>
      </c>
      <c r="G287" t="s">
        <v>350</v>
      </c>
      <c r="H287">
        <f>YEAR(Tabla1[[#This Row],[Fecha]])</f>
        <v>2023</v>
      </c>
    </row>
    <row r="288" spans="1:8" hidden="1" x14ac:dyDescent="0.25">
      <c r="A288" s="3">
        <v>255</v>
      </c>
      <c r="B288" s="360">
        <v>45007</v>
      </c>
      <c r="C288" s="249">
        <v>558000</v>
      </c>
      <c r="D288" s="3" t="str">
        <f>VLOOKUP(A288,Facturas!A:P,2,0)</f>
        <v>P-1243</v>
      </c>
      <c r="E288" s="3" t="str">
        <f>VLOOKUP(A288,Facturas!A:P,4,0)</f>
        <v>TIS-1234</v>
      </c>
      <c r="F288" t="str">
        <f>VLOOKUP(A288,Facturas!A:P,8,0)</f>
        <v>STT Group sucursal colombia SA</v>
      </c>
      <c r="G288" t="s">
        <v>351</v>
      </c>
      <c r="H288">
        <f>YEAR(Tabla1[[#This Row],[Fecha]])</f>
        <v>2023</v>
      </c>
    </row>
    <row r="289" spans="1:8" hidden="1" x14ac:dyDescent="0.25">
      <c r="A289" s="3">
        <v>240</v>
      </c>
      <c r="B289" s="360">
        <v>45009</v>
      </c>
      <c r="C289" s="249">
        <f>2555101-C290</f>
        <v>1723268</v>
      </c>
      <c r="D289" s="3" t="str">
        <f>VLOOKUP(A289,Facturas!A:P,2,0)</f>
        <v>P-1228</v>
      </c>
      <c r="E289" s="3" t="str">
        <f>VLOOKUP(A289,Facturas!A:P,4,0)</f>
        <v>TIS-1218</v>
      </c>
      <c r="F289" t="str">
        <f>VLOOKUP(A289,Facturas!A:P,8,0)</f>
        <v>PASTRY CHEF PASTELERIA Y COCINA GOURMET SAS</v>
      </c>
      <c r="G289" t="s">
        <v>324</v>
      </c>
      <c r="H289">
        <f>YEAR(Tabla1[[#This Row],[Fecha]])</f>
        <v>2023</v>
      </c>
    </row>
    <row r="290" spans="1:8" hidden="1" x14ac:dyDescent="0.25">
      <c r="A290" s="3">
        <v>248</v>
      </c>
      <c r="B290" s="360">
        <v>45009</v>
      </c>
      <c r="C290" s="249">
        <f>774000+50000+7833</f>
        <v>831833</v>
      </c>
      <c r="D290" s="3" t="str">
        <f>VLOOKUP(A290,Facturas!A:P,2,0)</f>
        <v>P-1236</v>
      </c>
      <c r="E290" s="3" t="str">
        <f>VLOOKUP(A290,Facturas!A:P,4,0)</f>
        <v xml:space="preserve">TIS-1226 </v>
      </c>
      <c r="F290" t="str">
        <f>VLOOKUP(A290,Facturas!A:P,8,0)</f>
        <v>PASTRY CHEF PASTELERIA Y COCINA GOURMET SAS</v>
      </c>
      <c r="H290">
        <f>YEAR(Tabla1[[#This Row],[Fecha]])</f>
        <v>2023</v>
      </c>
    </row>
    <row r="291" spans="1:8" hidden="1" x14ac:dyDescent="0.25">
      <c r="A291" s="3">
        <v>246</v>
      </c>
      <c r="B291" s="360">
        <v>45013</v>
      </c>
      <c r="C291" s="249">
        <v>1287600</v>
      </c>
      <c r="D291" s="3" t="str">
        <f>VLOOKUP(A291,Facturas!A:P,2,0)</f>
        <v>P-1234</v>
      </c>
      <c r="E291" s="3" t="str">
        <f>VLOOKUP(A291,Facturas!A:P,4,0)</f>
        <v xml:space="preserve">TIS-1224 </v>
      </c>
      <c r="F291" t="str">
        <f>VLOOKUP(A291,Facturas!A:P,8,0)</f>
        <v>HUTERCOL S.A.S.</v>
      </c>
      <c r="G291" t="s">
        <v>308</v>
      </c>
      <c r="H291">
        <f>YEAR(Tabla1[[#This Row],[Fecha]])</f>
        <v>2023</v>
      </c>
    </row>
    <row r="292" spans="1:8" hidden="1" x14ac:dyDescent="0.25">
      <c r="A292" s="3">
        <v>247</v>
      </c>
      <c r="B292" s="360">
        <v>45014</v>
      </c>
      <c r="C292" s="249">
        <v>570000</v>
      </c>
      <c r="D292" s="3" t="str">
        <f>VLOOKUP(A292,Facturas!A:P,2,0)</f>
        <v>P-1235</v>
      </c>
      <c r="E292" s="3" t="str">
        <f>VLOOKUP(A292,Facturas!A:P,4,0)</f>
        <v>TIS-1225</v>
      </c>
      <c r="F292" t="str">
        <f>VLOOKUP(A292,Facturas!A:P,8,0)</f>
        <v>CHILLER PLANT SERVICES SAS</v>
      </c>
      <c r="G292" s="190" t="s">
        <v>352</v>
      </c>
      <c r="H292">
        <f>YEAR(Tabla1[[#This Row],[Fecha]])</f>
        <v>2023</v>
      </c>
    </row>
    <row r="293" spans="1:8" hidden="1" x14ac:dyDescent="0.25">
      <c r="A293" s="3">
        <v>132</v>
      </c>
      <c r="B293" s="360">
        <v>45016</v>
      </c>
      <c r="C293" s="249">
        <v>995840</v>
      </c>
      <c r="D293" s="3" t="str">
        <f>VLOOKUP(A293,Facturas!A:P,2,0)</f>
        <v>P-1120</v>
      </c>
      <c r="E293" s="3" t="str">
        <f>VLOOKUP(A293,Facturas!A:P,4,0)</f>
        <v>TIS-1208</v>
      </c>
      <c r="F293" t="str">
        <f>VLOOKUP(A293,Facturas!A:P,8,0)</f>
        <v>CAVACOR S.A.S</v>
      </c>
      <c r="G293" s="190" t="s">
        <v>353</v>
      </c>
      <c r="H293">
        <f>YEAR(Tabla1[[#This Row],[Fecha]])</f>
        <v>2023</v>
      </c>
    </row>
    <row r="294" spans="1:8" hidden="1" x14ac:dyDescent="0.25">
      <c r="A294" s="3">
        <v>245</v>
      </c>
      <c r="B294" s="360">
        <v>45016</v>
      </c>
      <c r="C294" s="249">
        <v>154728</v>
      </c>
      <c r="D294" s="3" t="str">
        <f>VLOOKUP(A294,Facturas!A:P,2,0)</f>
        <v>P-1233</v>
      </c>
      <c r="E294" s="3" t="str">
        <f>VLOOKUP(A294,Facturas!A:P,4,0)</f>
        <v>TIS-1223</v>
      </c>
      <c r="F294" t="str">
        <f>VLOOKUP(A294,Facturas!A:P,8,0)</f>
        <v>EXPRESS CLEAN LAVANDERIA</v>
      </c>
      <c r="G294" s="190" t="s">
        <v>333</v>
      </c>
      <c r="H294">
        <f>YEAR(Tabla1[[#This Row],[Fecha]])</f>
        <v>2023</v>
      </c>
    </row>
    <row r="295" spans="1:8" hidden="1" x14ac:dyDescent="0.25">
      <c r="A295" s="3">
        <v>237</v>
      </c>
      <c r="B295" s="360">
        <v>45028</v>
      </c>
      <c r="C295" s="249">
        <v>5597919</v>
      </c>
      <c r="D295" s="3" t="str">
        <f>VLOOKUP(A295,Facturas!A:P,2,0)</f>
        <v>P-1225</v>
      </c>
      <c r="E295" s="3" t="str">
        <f>VLOOKUP(A295,Facturas!A:P,4,0)</f>
        <v>TIS-1214</v>
      </c>
      <c r="F295" t="str">
        <f>VLOOKUP(A295,Facturas!A:P,8,0)</f>
        <v>ATECNO S.A.S</v>
      </c>
      <c r="G295" t="s">
        <v>354</v>
      </c>
      <c r="H295">
        <f>YEAR(Tabla1[[#This Row],[Fecha]])</f>
        <v>2023</v>
      </c>
    </row>
    <row r="296" spans="1:8" hidden="1" x14ac:dyDescent="0.25">
      <c r="A296" s="3">
        <v>251</v>
      </c>
      <c r="B296" s="360">
        <v>45028</v>
      </c>
      <c r="C296" s="249">
        <v>400000</v>
      </c>
      <c r="D296" s="3" t="str">
        <f>VLOOKUP(A296,Facturas!A:P,2,0)</f>
        <v>P-1239</v>
      </c>
      <c r="E296" s="3" t="str">
        <f>VLOOKUP(A296,Facturas!A:P,4,0)</f>
        <v>TIS-1229</v>
      </c>
      <c r="F296" t="str">
        <f>VLOOKUP(A296,Facturas!A:P,8,0)</f>
        <v>Inversiones Sajamib SAS</v>
      </c>
      <c r="G296" t="s">
        <v>355</v>
      </c>
      <c r="H296">
        <f>YEAR(Tabla1[[#This Row],[Fecha]])</f>
        <v>2023</v>
      </c>
    </row>
    <row r="297" spans="1:8" hidden="1" x14ac:dyDescent="0.25">
      <c r="A297" s="3">
        <v>252</v>
      </c>
      <c r="B297" s="360">
        <v>45028</v>
      </c>
      <c r="C297" s="249">
        <v>547363</v>
      </c>
      <c r="D297" s="3" t="str">
        <f>VLOOKUP(A297,Facturas!A:P,2,0)</f>
        <v>P-1240</v>
      </c>
      <c r="E297" s="3" t="str">
        <f>VLOOKUP(A297,Facturas!A:P,4,0)</f>
        <v>TIS-1230</v>
      </c>
      <c r="F297" t="str">
        <f>VLOOKUP(A297,Facturas!A:P,8,0)</f>
        <v>MEMCO SAS</v>
      </c>
      <c r="G297" t="s">
        <v>309</v>
      </c>
      <c r="H297">
        <f>YEAR(Tabla1[[#This Row],[Fecha]])</f>
        <v>2023</v>
      </c>
    </row>
    <row r="298" spans="1:8" hidden="1" x14ac:dyDescent="0.25">
      <c r="A298" s="3">
        <v>265</v>
      </c>
      <c r="B298" s="360">
        <v>45042</v>
      </c>
      <c r="C298" s="249">
        <v>862500</v>
      </c>
      <c r="D298" s="3" t="str">
        <f>VLOOKUP(A298,Facturas!A:P,2,0)</f>
        <v>P-1253</v>
      </c>
      <c r="E298" s="3" t="str">
        <f>VLOOKUP(A298,Facturas!A:P,4,0)</f>
        <v>TIS-1233</v>
      </c>
      <c r="F298" t="str">
        <f>VLOOKUP(A298,Facturas!A:P,8,0)</f>
        <v>BBC HOLDING SAS</v>
      </c>
      <c r="G298" t="s">
        <v>356</v>
      </c>
      <c r="H298">
        <f>YEAR(Tabla1[[#This Row],[Fecha]])</f>
        <v>2023</v>
      </c>
    </row>
    <row r="299" spans="1:8" hidden="1" x14ac:dyDescent="0.25">
      <c r="A299" s="3">
        <v>284</v>
      </c>
      <c r="B299" s="360">
        <v>45049</v>
      </c>
      <c r="C299" s="249">
        <v>2350000</v>
      </c>
      <c r="D299" s="3" t="str">
        <f>VLOOKUP(A299,Facturas!A:P,2,0)</f>
        <v>P-1272</v>
      </c>
      <c r="E299" s="3" t="str">
        <f>VLOOKUP(A299,Facturas!A:P,4,0)</f>
        <v>TIS-1255</v>
      </c>
      <c r="F299" t="str">
        <f>VLOOKUP(A299,Facturas!A:P,8,0)</f>
        <v>ALFONSO URIBE S &amp; CIA SA</v>
      </c>
      <c r="G299" t="s">
        <v>357</v>
      </c>
      <c r="H299">
        <f>YEAR(Tabla1[[#This Row],[Fecha]])</f>
        <v>2023</v>
      </c>
    </row>
    <row r="300" spans="1:8" hidden="1" x14ac:dyDescent="0.25">
      <c r="A300" s="3">
        <v>298</v>
      </c>
      <c r="B300" s="360">
        <v>45050</v>
      </c>
      <c r="C300" s="249">
        <v>565250</v>
      </c>
      <c r="D300" s="3" t="str">
        <f>VLOOKUP(A300,Facturas!A:P,2,0)</f>
        <v>P-1286</v>
      </c>
      <c r="E300" s="3" t="str">
        <f>VLOOKUP(A300,Facturas!A:P,4,0)</f>
        <v>TIS-1267</v>
      </c>
      <c r="F300" t="str">
        <f>VLOOKUP(A300,Facturas!A:P,8,0)</f>
        <v xml:space="preserve">VENTAS Y MARCAS SAS </v>
      </c>
      <c r="G300" t="s">
        <v>358</v>
      </c>
      <c r="H300">
        <f>YEAR(Tabla1[[#This Row],[Fecha]])</f>
        <v>2023</v>
      </c>
    </row>
    <row r="301" spans="1:8" hidden="1" x14ac:dyDescent="0.25">
      <c r="A301" s="3">
        <v>275</v>
      </c>
      <c r="B301" s="360">
        <v>45055</v>
      </c>
      <c r="C301" s="249">
        <v>535500</v>
      </c>
      <c r="D301" s="3" t="str">
        <f>VLOOKUP(A301,Facturas!A:P,2,0)</f>
        <v>P-1263</v>
      </c>
      <c r="E301" s="3" t="str">
        <f>VLOOKUP(A301,Facturas!A:P,4,0)</f>
        <v>TIS-1246</v>
      </c>
      <c r="F301" t="str">
        <f>VLOOKUP(A301,Facturas!A:P,8,0)</f>
        <v>RADIOLOGICAL PROTECTION SERVICES SAS</v>
      </c>
      <c r="G301" s="190" t="s">
        <v>359</v>
      </c>
      <c r="H301">
        <f>YEAR(Tabla1[[#This Row],[Fecha]])</f>
        <v>2023</v>
      </c>
    </row>
    <row r="302" spans="1:8" hidden="1" x14ac:dyDescent="0.25">
      <c r="A302" s="3">
        <v>263</v>
      </c>
      <c r="B302" s="360">
        <v>45058</v>
      </c>
      <c r="C302" s="249">
        <v>535882</v>
      </c>
      <c r="D302" s="3" t="str">
        <f>VLOOKUP(A302,Facturas!A:P,2,0)</f>
        <v>P-1251</v>
      </c>
      <c r="E302" s="3" t="str">
        <f>VLOOKUP(A302,Facturas!A:P,4,0)</f>
        <v>TIS-1243</v>
      </c>
      <c r="F302" t="str">
        <f>VLOOKUP(A302,Facturas!A:P,8,0)</f>
        <v xml:space="preserve">JALO RENT SAS </v>
      </c>
      <c r="G302" t="s">
        <v>344</v>
      </c>
      <c r="H302">
        <f>YEAR(Tabla1[[#This Row],[Fecha]])</f>
        <v>2023</v>
      </c>
    </row>
    <row r="303" spans="1:8" hidden="1" x14ac:dyDescent="0.25">
      <c r="A303" s="3">
        <v>257</v>
      </c>
      <c r="B303" s="360">
        <v>45061</v>
      </c>
      <c r="C303" s="249">
        <v>2944657.2</v>
      </c>
      <c r="D303" s="3" t="str">
        <f>VLOOKUP(A303,Facturas!A:P,2,0)</f>
        <v>P-1245</v>
      </c>
      <c r="E303" s="3" t="str">
        <f>VLOOKUP(A303,Facturas!A:P,4,0)</f>
        <v>TIS-1236</v>
      </c>
      <c r="F303" t="str">
        <f>VLOOKUP(A303,Facturas!A:P,8,0)</f>
        <v>ETRA INTERANDINA SA</v>
      </c>
      <c r="H303">
        <f>YEAR(Tabla1[[#This Row],[Fecha]])</f>
        <v>2023</v>
      </c>
    </row>
    <row r="304" spans="1:8" hidden="1" x14ac:dyDescent="0.25">
      <c r="A304" s="3">
        <v>259</v>
      </c>
      <c r="B304" s="360">
        <v>45062</v>
      </c>
      <c r="C304" s="249">
        <v>400000</v>
      </c>
      <c r="D304" s="3" t="str">
        <f>VLOOKUP(A304,Facturas!A:P,2,0)</f>
        <v>P-1247</v>
      </c>
      <c r="E304" s="3" t="str">
        <f>VLOOKUP(A304,Facturas!A:P,4,0)</f>
        <v>TIS-1238</v>
      </c>
      <c r="F304" t="str">
        <f>VLOOKUP(A304,Facturas!A:P,8,0)</f>
        <v>Inversiones Sajamib SAS</v>
      </c>
      <c r="G304" t="s">
        <v>360</v>
      </c>
      <c r="H304">
        <f>YEAR(Tabla1[[#This Row],[Fecha]])</f>
        <v>2023</v>
      </c>
    </row>
    <row r="305" spans="1:8" hidden="1" x14ac:dyDescent="0.25">
      <c r="A305" s="3">
        <v>236</v>
      </c>
      <c r="B305" s="360">
        <v>45064</v>
      </c>
      <c r="C305" s="249">
        <f>842400-C306-C307</f>
        <v>458501</v>
      </c>
      <c r="D305" s="3" t="str">
        <f>VLOOKUP(A305,Facturas!A:P,2,0)</f>
        <v>P-1224</v>
      </c>
      <c r="E305" s="3" t="str">
        <f>VLOOKUP(A305,Facturas!A:P,4,0)</f>
        <v>TIS-1212</v>
      </c>
      <c r="F305" t="str">
        <f>VLOOKUP(A305,Facturas!A:P,8,0)</f>
        <v>Comercializadora ERZ SAS</v>
      </c>
      <c r="H305">
        <f>YEAR(Tabla1[[#This Row],[Fecha]])</f>
        <v>2023</v>
      </c>
    </row>
    <row r="306" spans="1:8" hidden="1" x14ac:dyDescent="0.25">
      <c r="A306" s="3">
        <v>250</v>
      </c>
      <c r="B306" s="360">
        <v>45064</v>
      </c>
      <c r="C306" s="249">
        <v>278899</v>
      </c>
      <c r="D306" s="3" t="str">
        <f>VLOOKUP(A306,Facturas!A:P,2,0)</f>
        <v>P-1238</v>
      </c>
      <c r="E306" s="3" t="str">
        <f>VLOOKUP(A306,Facturas!A:P,4,0)</f>
        <v>TIS-1228</v>
      </c>
      <c r="F306" t="str">
        <f>VLOOKUP(A306,Facturas!A:P,8,0)</f>
        <v>Comercializadora ERZ SAS</v>
      </c>
      <c r="H306">
        <f>YEAR(Tabla1[[#This Row],[Fecha]])</f>
        <v>2023</v>
      </c>
    </row>
    <row r="307" spans="1:8" hidden="1" x14ac:dyDescent="0.25">
      <c r="A307" s="3">
        <v>258</v>
      </c>
      <c r="B307" s="360">
        <v>45064</v>
      </c>
      <c r="C307" s="249">
        <v>105000</v>
      </c>
      <c r="D307" s="3" t="str">
        <f>VLOOKUP(A307,Facturas!A:P,2,0)</f>
        <v>P-1246</v>
      </c>
      <c r="E307" s="3" t="str">
        <f>VLOOKUP(A307,Facturas!A:P,4,0)</f>
        <v>TIS-1237</v>
      </c>
      <c r="F307" t="str">
        <f>VLOOKUP(A307,Facturas!A:P,8,0)</f>
        <v>Comercializadora ERZ SAS</v>
      </c>
      <c r="H307">
        <f>YEAR(Tabla1[[#This Row],[Fecha]])</f>
        <v>2023</v>
      </c>
    </row>
    <row r="308" spans="1:8" hidden="1" x14ac:dyDescent="0.25">
      <c r="A308" s="3">
        <v>256</v>
      </c>
      <c r="B308" s="360">
        <v>45065</v>
      </c>
      <c r="C308" s="249">
        <v>748000</v>
      </c>
      <c r="D308" s="3" t="str">
        <f>VLOOKUP(A308,Facturas!A:P,2,0)</f>
        <v>P-1244</v>
      </c>
      <c r="E308" s="3" t="str">
        <f>VLOOKUP(A308,Facturas!A:P,4,0)</f>
        <v>TIS-1235</v>
      </c>
      <c r="F308" t="str">
        <f>VLOOKUP(A308,Facturas!A:P,8,0)</f>
        <v>DIGITAL MEDIA TECHNOLOGIES COLOMBIA SAS</v>
      </c>
      <c r="G308" t="s">
        <v>361</v>
      </c>
      <c r="H308">
        <f>YEAR(Tabla1[[#This Row],[Fecha]])</f>
        <v>2023</v>
      </c>
    </row>
    <row r="309" spans="1:8" hidden="1" x14ac:dyDescent="0.25">
      <c r="A309" s="3">
        <v>242</v>
      </c>
      <c r="B309" s="360">
        <v>45070</v>
      </c>
      <c r="C309" s="249">
        <f>4093137-C326-C327</f>
        <v>3554371</v>
      </c>
      <c r="D309" s="3" t="str">
        <f>VLOOKUP(A309,Facturas!A:P,2,0)</f>
        <v>P-1230</v>
      </c>
      <c r="E309" s="3" t="str">
        <f>VLOOKUP(A309,Facturas!A:P,4,0)</f>
        <v>TIS-1220</v>
      </c>
      <c r="F309" t="str">
        <f>VLOOKUP(A309,Facturas!A:P,8,0)</f>
        <v>PRODUCTORA INTERAMERICANA DE PLASTICOS S.A.S.</v>
      </c>
      <c r="H309">
        <f>YEAR(Tabla1[[#This Row],[Fecha]])</f>
        <v>2023</v>
      </c>
    </row>
    <row r="310" spans="1:8" hidden="1" x14ac:dyDescent="0.25">
      <c r="A310" s="3">
        <v>244</v>
      </c>
      <c r="B310" s="360">
        <v>45070</v>
      </c>
      <c r="C310" s="249">
        <v>464757.48</v>
      </c>
      <c r="D310" s="3" t="str">
        <f>VLOOKUP(A310,Facturas!A:P,2,0)</f>
        <v>P-1232</v>
      </c>
      <c r="E310" s="3" t="str">
        <f>VLOOKUP(A310,Facturas!A:P,4,0)</f>
        <v>TIS-1222</v>
      </c>
      <c r="F310" t="str">
        <f>VLOOKUP(A310,Facturas!A:P,8,0)</f>
        <v>SOLUCIONES INDUSTRIALES MONTERREY SAS</v>
      </c>
      <c r="G310" t="s">
        <v>362</v>
      </c>
      <c r="H310">
        <f>YEAR(Tabla1[[#This Row],[Fecha]])</f>
        <v>2023</v>
      </c>
    </row>
    <row r="311" spans="1:8" hidden="1" x14ac:dyDescent="0.25">
      <c r="A311" s="3">
        <v>319</v>
      </c>
      <c r="B311" s="360">
        <v>45070</v>
      </c>
      <c r="C311" s="249">
        <f>249000+72102</f>
        <v>321102</v>
      </c>
      <c r="D311" s="3" t="str">
        <f>VLOOKUP(A311,Facturas!A:P,2,0)</f>
        <v>P-1307</v>
      </c>
      <c r="E311" s="3" t="str">
        <f>VLOOKUP(A311,Facturas!A:P,4,0)</f>
        <v>TIS-1288</v>
      </c>
      <c r="F311" t="str">
        <f>VLOOKUP(A311,Facturas!A:P,8,0)</f>
        <v>PRODUCTORA INTERAMERICANA DE PLASTICOS S.A.S.</v>
      </c>
      <c r="H311">
        <f>YEAR(Tabla1[[#This Row],[Fecha]])</f>
        <v>2023</v>
      </c>
    </row>
    <row r="312" spans="1:8" hidden="1" x14ac:dyDescent="0.25">
      <c r="A312" s="3">
        <v>321</v>
      </c>
      <c r="B312" s="360">
        <v>45070</v>
      </c>
      <c r="C312" s="249">
        <f>249000+72102</f>
        <v>321102</v>
      </c>
      <c r="D312" s="3" t="str">
        <f>VLOOKUP(A312,Facturas!A:P,2,0)</f>
        <v>P-1309</v>
      </c>
      <c r="E312" s="3" t="str">
        <f>VLOOKUP(A312,Facturas!A:P,4,0)</f>
        <v>TIS-1290</v>
      </c>
      <c r="F312" t="str">
        <f>VLOOKUP(A312,Facturas!A:P,8,0)</f>
        <v>PRODUCTORA INTERAMERICANA DE PLASTICOS S.A.S.</v>
      </c>
      <c r="H312">
        <f>YEAR(Tabla1[[#This Row],[Fecha]])</f>
        <v>2023</v>
      </c>
    </row>
    <row r="313" spans="1:8" hidden="1" x14ac:dyDescent="0.25">
      <c r="A313" s="3">
        <v>255</v>
      </c>
      <c r="B313" s="360">
        <v>45079</v>
      </c>
      <c r="C313" s="249">
        <v>1195615.44</v>
      </c>
      <c r="D313" s="3" t="str">
        <f>VLOOKUP(A313,Facturas!A:P,2,0)</f>
        <v>P-1243</v>
      </c>
      <c r="E313" s="3" t="str">
        <f>VLOOKUP(A313,Facturas!A:P,4,0)</f>
        <v>TIS-1234</v>
      </c>
      <c r="F313" t="str">
        <f>VLOOKUP(A313,Facturas!A:P,8,0)</f>
        <v>STT Group sucursal colombia SA</v>
      </c>
      <c r="G313" t="s">
        <v>351</v>
      </c>
      <c r="H313">
        <f>YEAR(Tabla1[[#This Row],[Fecha]])</f>
        <v>2023</v>
      </c>
    </row>
    <row r="314" spans="1:8" hidden="1" x14ac:dyDescent="0.25">
      <c r="A314" s="3">
        <v>267</v>
      </c>
      <c r="B314" s="360">
        <v>45085</v>
      </c>
      <c r="C314" s="249">
        <v>1266887</v>
      </c>
      <c r="D314" s="3" t="str">
        <f>VLOOKUP(A314,Facturas!A:P,2,0)</f>
        <v>P-1255</v>
      </c>
      <c r="E314" s="3" t="str">
        <f>VLOOKUP(A314,Facturas!A:P,4,0)</f>
        <v>TIS-1242</v>
      </c>
      <c r="F314" t="str">
        <f>VLOOKUP(A314,Facturas!A:P,8,0)</f>
        <v>ATECNO S.A.S</v>
      </c>
      <c r="G314" t="s">
        <v>354</v>
      </c>
      <c r="H314">
        <f>YEAR(Tabla1[[#This Row],[Fecha]])</f>
        <v>2023</v>
      </c>
    </row>
    <row r="315" spans="1:8" hidden="1" x14ac:dyDescent="0.25">
      <c r="A315" s="3">
        <v>275</v>
      </c>
      <c r="B315" s="360">
        <v>45085</v>
      </c>
      <c r="C315" s="249">
        <v>500035</v>
      </c>
      <c r="D315" s="3" t="str">
        <f>VLOOKUP(A315,Facturas!A:P,2,0)</f>
        <v>P-1263</v>
      </c>
      <c r="E315" s="3" t="str">
        <f>VLOOKUP(A315,Facturas!A:P,4,0)</f>
        <v>TIS-1246</v>
      </c>
      <c r="F315" t="str">
        <f>VLOOKUP(A315,Facturas!A:P,8,0)</f>
        <v>RADIOLOGICAL PROTECTION SERVICES SAS</v>
      </c>
      <c r="G315" s="190"/>
      <c r="H315">
        <f>YEAR(Tabla1[[#This Row],[Fecha]])</f>
        <v>2023</v>
      </c>
    </row>
    <row r="316" spans="1:8" hidden="1" x14ac:dyDescent="0.25">
      <c r="A316" s="3">
        <v>283</v>
      </c>
      <c r="B316" s="360">
        <v>45086</v>
      </c>
      <c r="C316" s="249">
        <v>672750</v>
      </c>
      <c r="D316" s="3" t="str">
        <f>VLOOKUP(A316,Facturas!A:P,2,0)</f>
        <v>P-1271</v>
      </c>
      <c r="E316" s="3" t="str">
        <f>VLOOKUP(A316,Facturas!A:P,4,0)</f>
        <v>TIS-1254</v>
      </c>
      <c r="F316" t="str">
        <f>VLOOKUP(A316,Facturas!A:P,8,0)</f>
        <v>JALO HASHTAG 98 SAS</v>
      </c>
      <c r="H316">
        <f>YEAR(Tabla1[[#This Row],[Fecha]])</f>
        <v>2023</v>
      </c>
    </row>
    <row r="317" spans="1:8" hidden="1" x14ac:dyDescent="0.25">
      <c r="A317" s="3">
        <v>262</v>
      </c>
      <c r="B317" s="360">
        <v>45090</v>
      </c>
      <c r="C317" s="256">
        <v>20161100</v>
      </c>
      <c r="D317" s="3" t="str">
        <f>VLOOKUP(A317,Facturas!A:P,2,0)</f>
        <v>P-1250</v>
      </c>
      <c r="E317" s="3" t="str">
        <f>VLOOKUP(A317,Facturas!A:P,4,0)</f>
        <v>TIS-1241</v>
      </c>
      <c r="F317" t="e">
        <f>VLOOKUP(A317,Facturas!A:P,8,0)</f>
        <v>#N/A</v>
      </c>
      <c r="G317" t="s">
        <v>363</v>
      </c>
      <c r="H317">
        <f>YEAR(Tabla1[[#This Row],[Fecha]])</f>
        <v>2023</v>
      </c>
    </row>
    <row r="318" spans="1:8" hidden="1" x14ac:dyDescent="0.25">
      <c r="A318" s="3">
        <v>276</v>
      </c>
      <c r="B318" s="360">
        <v>45091</v>
      </c>
      <c r="C318" s="249">
        <v>280800</v>
      </c>
      <c r="D318" s="3" t="str">
        <f>VLOOKUP(A318,Facturas!A:P,2,0)</f>
        <v>P-1264</v>
      </c>
      <c r="E318" s="3" t="str">
        <f>VLOOKUP(A318,Facturas!A:P,4,0)</f>
        <v>TIS-1247</v>
      </c>
      <c r="F318" t="str">
        <f>VLOOKUP(A318,Facturas!A:P,8,0)</f>
        <v>Comercializadora ERZ SAS</v>
      </c>
      <c r="G318" t="s">
        <v>328</v>
      </c>
      <c r="H318">
        <f>YEAR(Tabla1[[#This Row],[Fecha]])</f>
        <v>2023</v>
      </c>
    </row>
    <row r="319" spans="1:8" hidden="1" x14ac:dyDescent="0.25">
      <c r="A319" s="3">
        <v>266</v>
      </c>
      <c r="B319" s="360">
        <v>45093</v>
      </c>
      <c r="C319" s="249">
        <v>3155850.83</v>
      </c>
      <c r="D319" s="3" t="str">
        <f>VLOOKUP(A319,Facturas!A:P,2,0)</f>
        <v>P-1254</v>
      </c>
      <c r="E319" s="3" t="str">
        <f>VLOOKUP(A319,Facturas!A:P,4,0)</f>
        <v>TIS-1245</v>
      </c>
      <c r="F319" t="str">
        <f>VLOOKUP(A319,Facturas!A:P,8,0)</f>
        <v>FIDEICOMISOS SOCIEDAD FIDUCIARIA DE OCCIDENTE SA</v>
      </c>
      <c r="G319" t="s">
        <v>364</v>
      </c>
      <c r="H319">
        <f>YEAR(Tabla1[[#This Row],[Fecha]])</f>
        <v>2023</v>
      </c>
    </row>
    <row r="320" spans="1:8" hidden="1" x14ac:dyDescent="0.25">
      <c r="A320" s="3">
        <v>280</v>
      </c>
      <c r="B320" s="360">
        <v>45093</v>
      </c>
      <c r="C320" s="249">
        <v>400000</v>
      </c>
      <c r="D320" s="3" t="str">
        <f>VLOOKUP(A320,Facturas!A:P,2,0)</f>
        <v>P-1268</v>
      </c>
      <c r="E320" s="3" t="str">
        <f>VLOOKUP(A320,Facturas!A:P,4,0)</f>
        <v>TIS-1251</v>
      </c>
      <c r="F320" t="str">
        <f>VLOOKUP(A320,Facturas!A:P,8,0)</f>
        <v>Inversiones Sajamib SAS</v>
      </c>
      <c r="G320" t="s">
        <v>355</v>
      </c>
      <c r="H320">
        <f>YEAR(Tabla1[[#This Row],[Fecha]])</f>
        <v>2023</v>
      </c>
    </row>
    <row r="321" spans="1:8" hidden="1" x14ac:dyDescent="0.25">
      <c r="A321" s="3">
        <v>281</v>
      </c>
      <c r="B321" s="360">
        <v>45099</v>
      </c>
      <c r="C321" s="249">
        <v>270000</v>
      </c>
      <c r="D321" s="3" t="str">
        <f>VLOOKUP(A321,Facturas!A:P,2,0)</f>
        <v>P-1269</v>
      </c>
      <c r="E321" s="3" t="str">
        <f>VLOOKUP(A321,Facturas!A:P,4,0)</f>
        <v>TIS-1252</v>
      </c>
      <c r="F321" t="str">
        <f>VLOOKUP(A321,Facturas!A:P,8,0)</f>
        <v>DIGITAL MEDIA TECHNOLOGIES COLOMBIA SAS</v>
      </c>
      <c r="G321" t="s">
        <v>361</v>
      </c>
      <c r="H321">
        <f>YEAR(Tabla1[[#This Row],[Fecha]])</f>
        <v>2023</v>
      </c>
    </row>
    <row r="322" spans="1:8" hidden="1" x14ac:dyDescent="0.25">
      <c r="A322" s="3">
        <v>287</v>
      </c>
      <c r="B322" s="360">
        <v>45104</v>
      </c>
      <c r="C322" s="249">
        <v>12558000</v>
      </c>
      <c r="D322" s="3" t="str">
        <f>VLOOKUP(A322,Facturas!A:P,2,0)</f>
        <v>P-1275</v>
      </c>
      <c r="E322" s="3" t="str">
        <f>VLOOKUP(A322,Facturas!A:P,4,0)</f>
        <v>TIS-1256</v>
      </c>
      <c r="F322" t="str">
        <f>VLOOKUP(A322,Facturas!A:P,8,0)</f>
        <v>LUCTA GRANCOLOMBIA SAS</v>
      </c>
      <c r="G322" s="190" t="s">
        <v>365</v>
      </c>
      <c r="H322">
        <f>YEAR(Tabla1[[#This Row],[Fecha]])</f>
        <v>2023</v>
      </c>
    </row>
    <row r="323" spans="1:8" hidden="1" x14ac:dyDescent="0.25">
      <c r="A323" s="3">
        <v>285</v>
      </c>
      <c r="B323" s="360">
        <v>45105</v>
      </c>
      <c r="C323" s="256">
        <v>1393200</v>
      </c>
      <c r="D323" s="3" t="str">
        <f>VLOOKUP(A323,Facturas!A:P,2,0)</f>
        <v>P-1273</v>
      </c>
      <c r="E323" s="3" t="str">
        <f>VLOOKUP(A323,Facturas!A:P,4,0)</f>
        <v>TIS-1257</v>
      </c>
      <c r="F323" t="str">
        <f>VLOOKUP(A323,Facturas!A:P,8,0)</f>
        <v xml:space="preserve">GENERAL RIKS SERVICES SAS </v>
      </c>
      <c r="G323" s="190" t="s">
        <v>366</v>
      </c>
      <c r="H323">
        <f>YEAR(Tabla1[[#This Row],[Fecha]])</f>
        <v>2023</v>
      </c>
    </row>
    <row r="324" spans="1:8" hidden="1" x14ac:dyDescent="0.25">
      <c r="A324" s="3">
        <v>286</v>
      </c>
      <c r="B324" s="360">
        <v>45120</v>
      </c>
      <c r="C324" s="316">
        <v>113050</v>
      </c>
      <c r="D324" s="3" t="str">
        <f>VLOOKUP(A324,Facturas!A:P,2,0)</f>
        <v>P-1274</v>
      </c>
      <c r="E324" s="3" t="str">
        <f>VLOOKUP(A324,Facturas!A:P,4,0)</f>
        <v>TIS-1258</v>
      </c>
      <c r="F324" t="str">
        <f>VLOOKUP(A324,Facturas!A:P,8,0)</f>
        <v>CHILLER PLANT SERVICES SAS</v>
      </c>
      <c r="G324" t="s">
        <v>352</v>
      </c>
      <c r="H324">
        <f>YEAR(Tabla1[[#This Row],[Fecha]])</f>
        <v>2023</v>
      </c>
    </row>
    <row r="325" spans="1:8" x14ac:dyDescent="0.25">
      <c r="A325" s="3">
        <v>261</v>
      </c>
      <c r="B325" s="360">
        <v>45121</v>
      </c>
      <c r="C325" s="316">
        <v>187310</v>
      </c>
      <c r="D325" s="3" t="str">
        <f>VLOOKUP(A325,Facturas!A:P,2,0)</f>
        <v>P-1249</v>
      </c>
      <c r="E325" s="3" t="str">
        <f>VLOOKUP(A325,Facturas!A:P,4,0)</f>
        <v>TIS-1240</v>
      </c>
      <c r="F325" t="str">
        <f>VLOOKUP(A325,Facturas!A:P,8,0)</f>
        <v>ROYCO SOLUCIONES SAS</v>
      </c>
      <c r="G325" t="s">
        <v>345</v>
      </c>
      <c r="H325">
        <f>YEAR(Tabla1[[#This Row],[Fecha]])</f>
        <v>2023</v>
      </c>
    </row>
    <row r="326" spans="1:8" x14ac:dyDescent="0.25">
      <c r="A326" s="3">
        <v>278</v>
      </c>
      <c r="B326" s="360">
        <v>45121</v>
      </c>
      <c r="C326" s="316">
        <f>376973-C335</f>
        <v>55871</v>
      </c>
      <c r="D326" s="3" t="str">
        <f>VLOOKUP(A326,Facturas!A:P,2,0)</f>
        <v>P-1266</v>
      </c>
      <c r="E326" s="3" t="str">
        <f>VLOOKUP(A326,Facturas!A:P,4,0)</f>
        <v>TIS-1249</v>
      </c>
      <c r="F326" t="str">
        <f>VLOOKUP(A326,Facturas!A:P,8,0)</f>
        <v>ROYCO SOLUCIONES SAS</v>
      </c>
      <c r="G326" t="s">
        <v>345</v>
      </c>
      <c r="H326">
        <f>YEAR(Tabla1[[#This Row],[Fecha]])</f>
        <v>2023</v>
      </c>
    </row>
    <row r="327" spans="1:8" hidden="1" x14ac:dyDescent="0.25">
      <c r="A327" s="3">
        <v>299</v>
      </c>
      <c r="B327" s="360">
        <v>45131</v>
      </c>
      <c r="C327" s="316">
        <v>482895</v>
      </c>
      <c r="D327" s="3" t="str">
        <f>VLOOKUP(A327,Facturas!A:P,2,0)</f>
        <v>P-1287</v>
      </c>
      <c r="E327" s="3" t="str">
        <f>VLOOKUP(A327,Facturas!A:P,4,0)</f>
        <v>TIS-1268</v>
      </c>
      <c r="F327" t="str">
        <f>VLOOKUP(A327,Facturas!A:P,8,0)</f>
        <v>INVERSIONES FRANQUIHER S A S</v>
      </c>
      <c r="G327" t="s">
        <v>367</v>
      </c>
      <c r="H327">
        <f>YEAR(Tabla1[[#This Row],[Fecha]])</f>
        <v>2023</v>
      </c>
    </row>
    <row r="328" spans="1:8" hidden="1" x14ac:dyDescent="0.25">
      <c r="A328" s="3">
        <v>300</v>
      </c>
      <c r="B328" s="360">
        <v>45131</v>
      </c>
      <c r="C328" s="316">
        <v>482895</v>
      </c>
      <c r="D328" s="3" t="str">
        <f>VLOOKUP(A328,Facturas!A:P,2,0)</f>
        <v>P-1288</v>
      </c>
      <c r="E328" s="3" t="str">
        <f>VLOOKUP(A328,Facturas!A:P,4,0)</f>
        <v>TIS-1269</v>
      </c>
      <c r="F328" t="str">
        <f>VLOOKUP(A328,Facturas!A:P,8,0)</f>
        <v>H &amp; S FRANQUICIAS SAS</v>
      </c>
      <c r="G328" t="s">
        <v>368</v>
      </c>
      <c r="H328">
        <f>YEAR(Tabla1[[#This Row],[Fecha]])</f>
        <v>2023</v>
      </c>
    </row>
    <row r="329" spans="1:8" hidden="1" x14ac:dyDescent="0.25">
      <c r="A329" s="3">
        <v>258</v>
      </c>
      <c r="B329" s="360">
        <v>45133</v>
      </c>
      <c r="C329" s="316">
        <v>280800</v>
      </c>
      <c r="D329" s="3" t="str">
        <f>VLOOKUP(A329,Facturas!A:P,2,0)</f>
        <v>P-1246</v>
      </c>
      <c r="E329" s="3" t="str">
        <f>VLOOKUP(A329,Facturas!A:P,4,0)</f>
        <v>TIS-1237</v>
      </c>
      <c r="F329" t="str">
        <f>VLOOKUP(A329,Facturas!A:P,8,0)</f>
        <v>Comercializadora ERZ SAS</v>
      </c>
      <c r="G329" t="s">
        <v>328</v>
      </c>
      <c r="H329">
        <f>YEAR(Tabla1[[#This Row],[Fecha]])</f>
        <v>2023</v>
      </c>
    </row>
    <row r="330" spans="1:8" hidden="1" x14ac:dyDescent="0.25">
      <c r="A330" s="3">
        <v>291</v>
      </c>
      <c r="B330" s="360">
        <v>45134</v>
      </c>
      <c r="C330" s="316">
        <v>321102</v>
      </c>
      <c r="D330" s="3" t="str">
        <f>VLOOKUP(A330,Facturas!A:P,2,0)</f>
        <v>P-1279</v>
      </c>
      <c r="E330" s="3" t="str">
        <f>VLOOKUP(A330,Facturas!A:P,4,0)</f>
        <v>TIS-1260</v>
      </c>
      <c r="F330" t="str">
        <f>VLOOKUP(A330,Facturas!A:P,8,0)</f>
        <v>PRODUCTORA INTERAMERICANA DE PLASTICOS S.A.S.</v>
      </c>
      <c r="G330" t="s">
        <v>316</v>
      </c>
      <c r="H330">
        <f>YEAR(Tabla1[[#This Row],[Fecha]])</f>
        <v>2023</v>
      </c>
    </row>
    <row r="331" spans="1:8" hidden="1" x14ac:dyDescent="0.25">
      <c r="A331" s="3">
        <v>293</v>
      </c>
      <c r="B331" s="360">
        <v>45134</v>
      </c>
      <c r="C331" s="316">
        <v>270000</v>
      </c>
      <c r="D331" s="3" t="str">
        <f>VLOOKUP(A331,Facturas!A:P,2,0)</f>
        <v>P-1281</v>
      </c>
      <c r="E331" s="3" t="str">
        <f>VLOOKUP(A331,Facturas!A:P,4,0)</f>
        <v>TIS-1262</v>
      </c>
      <c r="F331" t="str">
        <f>VLOOKUP(A331,Facturas!A:P,8,0)</f>
        <v>DIGITAL MEDIA TECHNOLOGIES COLOMBIA SAS</v>
      </c>
      <c r="G331" t="s">
        <v>361</v>
      </c>
      <c r="H331">
        <f>YEAR(Tabla1[[#This Row],[Fecha]])</f>
        <v>2023</v>
      </c>
    </row>
    <row r="332" spans="1:8" hidden="1" x14ac:dyDescent="0.25">
      <c r="A332" s="3">
        <v>311</v>
      </c>
      <c r="B332" s="360">
        <v>45134</v>
      </c>
      <c r="C332" s="316">
        <v>400000</v>
      </c>
      <c r="D332" s="3" t="str">
        <f>VLOOKUP(A332,Facturas!A:P,2,0)</f>
        <v>P-1299</v>
      </c>
      <c r="E332" s="3" t="str">
        <f>VLOOKUP(A332,Facturas!A:P,4,0)</f>
        <v>TIS-1280</v>
      </c>
      <c r="F332" t="str">
        <f>VLOOKUP(A332,Facturas!A:P,8,0)</f>
        <v>Walsom SAS</v>
      </c>
      <c r="G332" t="s">
        <v>369</v>
      </c>
      <c r="H332">
        <f>YEAR(Tabla1[[#This Row],[Fecha]])</f>
        <v>2023</v>
      </c>
    </row>
    <row r="333" spans="1:8" hidden="1" x14ac:dyDescent="0.25">
      <c r="A333" s="3">
        <v>284</v>
      </c>
      <c r="B333" s="360">
        <v>45141</v>
      </c>
      <c r="C333" s="316">
        <v>1239040</v>
      </c>
      <c r="D333" s="3" t="str">
        <f>VLOOKUP(A333,Facturas!A:P,2,0)</f>
        <v>P-1272</v>
      </c>
      <c r="E333" s="3" t="str">
        <f>VLOOKUP(A333,Facturas!A:P,4,0)</f>
        <v>TIS-1255</v>
      </c>
      <c r="F333" t="str">
        <f>VLOOKUP(A333,Facturas!A:P,8,0)</f>
        <v>ALFONSO URIBE S &amp; CIA SA</v>
      </c>
      <c r="G333" t="s">
        <v>357</v>
      </c>
      <c r="H333">
        <f>YEAR(Tabla1[[#This Row],[Fecha]])</f>
        <v>2023</v>
      </c>
    </row>
    <row r="334" spans="1:8" hidden="1" x14ac:dyDescent="0.25">
      <c r="A334" s="3">
        <v>310</v>
      </c>
      <c r="B334" s="360">
        <v>45148</v>
      </c>
      <c r="C334" s="316">
        <v>500000</v>
      </c>
      <c r="D334" s="3" t="str">
        <f>VLOOKUP(A334,Facturas!A:P,2,0)</f>
        <v>P-1298</v>
      </c>
      <c r="E334" s="3" t="str">
        <f>VLOOKUP(A334,Facturas!A:P,4,0)</f>
        <v>TIS-1279</v>
      </c>
      <c r="F334" t="str">
        <f>VLOOKUP(A334,Facturas!A:P,8,0)</f>
        <v>EXPRESS CLEAN LAVANDERIA</v>
      </c>
      <c r="G334" t="s">
        <v>370</v>
      </c>
      <c r="H334">
        <f>YEAR(Tabla1[[#This Row],[Fecha]])</f>
        <v>2023</v>
      </c>
    </row>
    <row r="335" spans="1:8" hidden="1" x14ac:dyDescent="0.25">
      <c r="A335" s="3">
        <v>249</v>
      </c>
      <c r="B335" s="360">
        <v>45149</v>
      </c>
      <c r="C335" s="316">
        <v>321102</v>
      </c>
      <c r="D335" s="3" t="str">
        <f>VLOOKUP(A335,Facturas!A:P,2,0)</f>
        <v>P-1237</v>
      </c>
      <c r="E335" s="3" t="str">
        <f>VLOOKUP(A335,Facturas!A:P,4,0)</f>
        <v>TIS-1227</v>
      </c>
      <c r="F335" t="str">
        <f>VLOOKUP(A335,Facturas!A:P,8,0)</f>
        <v>PRODUCTORA INTERAMERICANA DE PLASTICOS S.A.S.</v>
      </c>
      <c r="G335" s="227" t="s">
        <v>316</v>
      </c>
      <c r="H335">
        <f>YEAR(Tabla1[[#This Row],[Fecha]])</f>
        <v>2023</v>
      </c>
    </row>
    <row r="336" spans="1:8" hidden="1" x14ac:dyDescent="0.25">
      <c r="A336" s="3">
        <v>298</v>
      </c>
      <c r="B336" s="360">
        <v>45154</v>
      </c>
      <c r="C336" s="316">
        <v>452523</v>
      </c>
      <c r="D336" s="3" t="str">
        <f>VLOOKUP(A336,Facturas!A:P,2,0)</f>
        <v>P-1286</v>
      </c>
      <c r="E336" s="3" t="str">
        <f>VLOOKUP(A336,Facturas!A:P,4,0)</f>
        <v>TIS-1267</v>
      </c>
      <c r="F336" t="str">
        <f>VLOOKUP(A336,Facturas!A:P,8,0)</f>
        <v xml:space="preserve">VENTAS Y MARCAS SAS </v>
      </c>
      <c r="G336" s="227" t="s">
        <v>358</v>
      </c>
      <c r="H336">
        <f>YEAR(Tabla1[[#This Row],[Fecha]])</f>
        <v>2023</v>
      </c>
    </row>
    <row r="337" spans="1:8" hidden="1" x14ac:dyDescent="0.25">
      <c r="A337" s="3">
        <v>331</v>
      </c>
      <c r="B337" s="360">
        <v>45160</v>
      </c>
      <c r="C337" s="316">
        <v>2516850</v>
      </c>
      <c r="D337" s="3" t="str">
        <f>VLOOKUP(A337,Facturas!A:P,2,0)</f>
        <v>P-1319</v>
      </c>
      <c r="E337" s="3" t="str">
        <f>VLOOKUP(A337,Facturas!A:P,4,0)</f>
        <v>TIS-1299</v>
      </c>
      <c r="F337" t="str">
        <f>VLOOKUP(A337,Facturas!A:P,8,0)</f>
        <v>INDUSTRIA COLOMBIANA DE PERFILES METALICOS S.A.</v>
      </c>
      <c r="G337" s="227" t="s">
        <v>371</v>
      </c>
      <c r="H337">
        <f>YEAR(Tabla1[[#This Row],[Fecha]])</f>
        <v>2023</v>
      </c>
    </row>
    <row r="338" spans="1:8" hidden="1" x14ac:dyDescent="0.25">
      <c r="A338" s="3">
        <v>294</v>
      </c>
      <c r="B338" s="360">
        <v>45162</v>
      </c>
      <c r="C338" s="316">
        <v>400000</v>
      </c>
      <c r="D338" s="3" t="str">
        <f>VLOOKUP(A338,Facturas!A:P,2,0)</f>
        <v>P-1282</v>
      </c>
      <c r="E338" s="3" t="str">
        <f>VLOOKUP(A338,Facturas!A:P,4,0)</f>
        <v>TIS-1263</v>
      </c>
      <c r="F338" t="str">
        <f>VLOOKUP(A338,Facturas!A:P,8,0)</f>
        <v>Inversiones Sajamib SAS</v>
      </c>
      <c r="G338" s="227" t="s">
        <v>372</v>
      </c>
      <c r="H338">
        <f>YEAR(Tabla1[[#This Row],[Fecha]])</f>
        <v>2023</v>
      </c>
    </row>
    <row r="339" spans="1:8" hidden="1" x14ac:dyDescent="0.25">
      <c r="A339" s="3">
        <v>309</v>
      </c>
      <c r="B339" s="360">
        <v>45162</v>
      </c>
      <c r="C339" s="316">
        <v>1584000</v>
      </c>
      <c r="D339" s="3" t="str">
        <f>VLOOKUP(A339,Facturas!A:P,2,0)</f>
        <v>P-1297</v>
      </c>
      <c r="E339" s="3" t="str">
        <f>VLOOKUP(A339,Facturas!A:P,4,0)</f>
        <v>TIS-1278</v>
      </c>
      <c r="F339" t="str">
        <f>VLOOKUP(A339,Facturas!A:P,8,0)</f>
        <v>SUPPLYTEC SAS</v>
      </c>
      <c r="G339" s="227" t="s">
        <v>373</v>
      </c>
      <c r="H339">
        <f>YEAR(Tabla1[[#This Row],[Fecha]])</f>
        <v>2023</v>
      </c>
    </row>
    <row r="340" spans="1:8" hidden="1" x14ac:dyDescent="0.25">
      <c r="A340" s="3">
        <v>311</v>
      </c>
      <c r="B340" s="360">
        <v>45162</v>
      </c>
      <c r="C340" s="316">
        <v>398938</v>
      </c>
      <c r="D340" s="3" t="str">
        <f>VLOOKUP(A340,Facturas!A:P,2,0)</f>
        <v>P-1299</v>
      </c>
      <c r="E340" s="3" t="str">
        <f>VLOOKUP(A340,Facturas!A:P,4,0)</f>
        <v>TIS-1280</v>
      </c>
      <c r="F340" t="str">
        <f>VLOOKUP(A340,Facturas!A:P,8,0)</f>
        <v>Walsom SAS</v>
      </c>
      <c r="G340" s="227" t="s">
        <v>369</v>
      </c>
      <c r="H340">
        <f>YEAR(Tabla1[[#This Row],[Fecha]])</f>
        <v>2023</v>
      </c>
    </row>
    <row r="341" spans="1:8" hidden="1" x14ac:dyDescent="0.25">
      <c r="A341" s="3">
        <v>333</v>
      </c>
      <c r="B341" s="360">
        <v>45167</v>
      </c>
      <c r="C341" s="316">
        <v>1287600</v>
      </c>
      <c r="D341" s="3" t="str">
        <f>VLOOKUP(A341,Facturas!A:P,2,0)</f>
        <v>P-1321</v>
      </c>
      <c r="E341" s="3" t="str">
        <f>VLOOKUP(A341,Facturas!A:P,4,0)</f>
        <v>TIS-1277</v>
      </c>
      <c r="F341" t="str">
        <f>VLOOKUP(A341,Facturas!A:P,8,0)</f>
        <v>HUTERCOL S.A.S.</v>
      </c>
      <c r="G341" s="227" t="s">
        <v>308</v>
      </c>
      <c r="H341">
        <f>YEAR(Tabla1[[#This Row],[Fecha]])</f>
        <v>2023</v>
      </c>
    </row>
    <row r="342" spans="1:8" hidden="1" x14ac:dyDescent="0.25">
      <c r="A342" s="3">
        <v>304</v>
      </c>
      <c r="B342" s="360">
        <v>45169</v>
      </c>
      <c r="C342" s="316">
        <v>270000</v>
      </c>
      <c r="D342" s="3" t="str">
        <f>VLOOKUP(A342,Facturas!A:P,2,0)</f>
        <v>P-1292</v>
      </c>
      <c r="E342" s="3" t="str">
        <f>VLOOKUP(A342,Facturas!A:P,4,0)</f>
        <v>TIS-1272</v>
      </c>
      <c r="F342" t="str">
        <f>VLOOKUP(A342,Facturas!A:P,8,0)</f>
        <v>DIGITAL MEDIA TECHNOLOGIES COLOMBIA SAS</v>
      </c>
      <c r="G342" s="227" t="s">
        <v>374</v>
      </c>
      <c r="H342">
        <f>YEAR(Tabla1[[#This Row],[Fecha]])</f>
        <v>2023</v>
      </c>
    </row>
    <row r="343" spans="1:8" hidden="1" x14ac:dyDescent="0.25">
      <c r="A343" s="3">
        <v>277</v>
      </c>
      <c r="B343" s="360">
        <v>45173</v>
      </c>
      <c r="C343" s="316">
        <v>321102</v>
      </c>
      <c r="D343" s="3" t="str">
        <f>VLOOKUP(A343,Facturas!A:P,2,0)</f>
        <v>P-1265</v>
      </c>
      <c r="E343" s="3" t="str">
        <f>VLOOKUP(A343,Facturas!A:P,4,0)</f>
        <v>TIS-1248</v>
      </c>
      <c r="F343" t="str">
        <f>VLOOKUP(A343,Facturas!A:P,8,0)</f>
        <v>PRODUCTORA INTERAMERICANA DE PLASTICOS S.A.S.</v>
      </c>
      <c r="G343" s="227" t="s">
        <v>316</v>
      </c>
      <c r="H343">
        <f>YEAR(Tabla1[[#This Row],[Fecha]])</f>
        <v>2023</v>
      </c>
    </row>
    <row r="344" spans="1:8" hidden="1" x14ac:dyDescent="0.25">
      <c r="A344" s="3">
        <v>297</v>
      </c>
      <c r="B344" s="360">
        <v>45177</v>
      </c>
      <c r="C344" s="316">
        <v>771120</v>
      </c>
      <c r="D344" s="3" t="str">
        <f>VLOOKUP(A344,Facturas!A:P,2,0)</f>
        <v>P-1285</v>
      </c>
      <c r="E344" s="3" t="str">
        <f>VLOOKUP(A344,Facturas!A:P,4,0)</f>
        <v>TIS-1266</v>
      </c>
      <c r="F344" t="str">
        <f>VLOOKUP(A344,Facturas!A:P,8,0)</f>
        <v>TECNOLOGIA DE OFICINA S.A.S.</v>
      </c>
      <c r="G344" s="227" t="s">
        <v>350</v>
      </c>
      <c r="H344">
        <f>YEAR(Tabla1[[#This Row],[Fecha]])</f>
        <v>2023</v>
      </c>
    </row>
    <row r="345" spans="1:8" hidden="1" x14ac:dyDescent="0.25">
      <c r="A345" s="3">
        <v>308</v>
      </c>
      <c r="B345" s="360">
        <v>45180</v>
      </c>
      <c r="C345" s="316">
        <v>1858110</v>
      </c>
      <c r="D345" s="3" t="str">
        <f>VLOOKUP(A345,Facturas!A:P,2,0)</f>
        <v>P-1296</v>
      </c>
      <c r="E345" s="3" t="str">
        <f>VLOOKUP(A345,Facturas!A:P,4,0)</f>
        <v>TIS-1276</v>
      </c>
      <c r="F345" t="str">
        <f>VLOOKUP(A345,Facturas!A:P,8,0)</f>
        <v>PRODUCTORA INTERAMERICANA DE PLASTICOS S.A.S.</v>
      </c>
      <c r="G345" s="227" t="s">
        <v>375</v>
      </c>
      <c r="H345">
        <f>YEAR(Tabla1[[#This Row],[Fecha]])</f>
        <v>2023</v>
      </c>
    </row>
    <row r="346" spans="1:8" x14ac:dyDescent="0.25">
      <c r="A346" s="3">
        <v>292</v>
      </c>
      <c r="B346" s="360">
        <v>45181</v>
      </c>
      <c r="C346" s="316">
        <f>398940/2</f>
        <v>199470</v>
      </c>
      <c r="D346" s="3" t="str">
        <f>VLOOKUP(A346,Facturas!A:P,2,0)</f>
        <v>P-1280</v>
      </c>
      <c r="E346" s="3" t="str">
        <f>VLOOKUP(A346,Facturas!A:P,4,0)</f>
        <v>TIS-1261</v>
      </c>
      <c r="F346" t="str">
        <f>VLOOKUP(A346,Facturas!A:P,8,0)</f>
        <v>ROYCO SOLUCIONES SAS</v>
      </c>
      <c r="G346" s="227" t="s">
        <v>345</v>
      </c>
      <c r="H346">
        <f>YEAR(Tabla1[[#This Row],[Fecha]])</f>
        <v>2023</v>
      </c>
    </row>
    <row r="347" spans="1:8" x14ac:dyDescent="0.25">
      <c r="A347" s="3">
        <v>303</v>
      </c>
      <c r="B347" s="360">
        <v>45181</v>
      </c>
      <c r="C347" s="316">
        <f>398940/2</f>
        <v>199470</v>
      </c>
      <c r="D347" s="3" t="str">
        <f>VLOOKUP(A347,Facturas!A:P,2,0)</f>
        <v>P-1291</v>
      </c>
      <c r="E347" s="3" t="str">
        <f>VLOOKUP(A347,Facturas!A:P,4,0)</f>
        <v>TIS-1271</v>
      </c>
      <c r="F347" t="str">
        <f>VLOOKUP(A347,Facturas!A:P,8,0)</f>
        <v>ROYCO SOLUCIONES SAS</v>
      </c>
      <c r="G347" s="227" t="s">
        <v>345</v>
      </c>
      <c r="H347">
        <f>YEAR(Tabla1[[#This Row],[Fecha]])</f>
        <v>2023</v>
      </c>
    </row>
    <row r="348" spans="1:8" hidden="1" x14ac:dyDescent="0.25">
      <c r="A348" s="3">
        <v>305</v>
      </c>
      <c r="B348" s="360">
        <v>45188</v>
      </c>
      <c r="C348" s="316">
        <v>400000</v>
      </c>
      <c r="D348" s="3" t="str">
        <f>VLOOKUP(A348,Facturas!A:P,2,0)</f>
        <v>P-1293</v>
      </c>
      <c r="E348" s="3" t="str">
        <f>VLOOKUP(A348,Facturas!A:P,4,0)</f>
        <v>TIS-1273</v>
      </c>
      <c r="F348" t="str">
        <f>VLOOKUP(A348,Facturas!A:P,8,0)</f>
        <v>Inversiones Sajamib SAS</v>
      </c>
      <c r="G348" s="227" t="s">
        <v>372</v>
      </c>
      <c r="H348">
        <f>YEAR(Tabla1[[#This Row],[Fecha]])</f>
        <v>2023</v>
      </c>
    </row>
    <row r="349" spans="1:8" hidden="1" x14ac:dyDescent="0.25">
      <c r="A349" s="3">
        <v>324</v>
      </c>
      <c r="B349" s="360">
        <v>45188</v>
      </c>
      <c r="C349" s="316">
        <v>400000</v>
      </c>
      <c r="D349" s="3" t="str">
        <f>VLOOKUP(A349,Facturas!A:P,2,0)</f>
        <v>P-1312</v>
      </c>
      <c r="E349" s="3" t="str">
        <f>VLOOKUP(A349,Facturas!A:P,4,0)</f>
        <v>TIS-1293</v>
      </c>
      <c r="F349" t="str">
        <f>VLOOKUP(A349,Facturas!A:P,8,0)</f>
        <v>Inversiones Sajamib SAS</v>
      </c>
      <c r="G349" s="227" t="s">
        <v>372</v>
      </c>
      <c r="H349">
        <f>YEAR(Tabla1[[#This Row],[Fecha]])</f>
        <v>2023</v>
      </c>
    </row>
    <row r="350" spans="1:8" hidden="1" x14ac:dyDescent="0.25">
      <c r="A350" s="3">
        <v>260</v>
      </c>
      <c r="B350" s="360">
        <v>45189</v>
      </c>
      <c r="C350" s="316">
        <v>321102</v>
      </c>
      <c r="D350" s="3" t="str">
        <f>VLOOKUP(A350,Facturas!A:P,2,0)</f>
        <v>P-1248</v>
      </c>
      <c r="E350" s="3" t="str">
        <f>VLOOKUP(A350,Facturas!A:P,4,0)</f>
        <v>TIS-1239</v>
      </c>
      <c r="F350" t="str">
        <f>VLOOKUP(A350,Facturas!A:P,8,0)</f>
        <v>PRODUCTORA INTERAMERICANA DE PLASTICOS S.A.S.</v>
      </c>
      <c r="G350" s="227" t="s">
        <v>316</v>
      </c>
      <c r="H350">
        <f>YEAR(Tabla1[[#This Row],[Fecha]])</f>
        <v>2023</v>
      </c>
    </row>
    <row r="351" spans="1:8" hidden="1" x14ac:dyDescent="0.25">
      <c r="A351" s="3">
        <v>315</v>
      </c>
      <c r="B351" s="360">
        <v>45197</v>
      </c>
      <c r="C351" s="316">
        <v>270000</v>
      </c>
      <c r="D351" s="3" t="str">
        <f>VLOOKUP(A351,Facturas!A:P,2,0)</f>
        <v>P-1303</v>
      </c>
      <c r="E351" s="3" t="str">
        <f>VLOOKUP(A351,Facturas!A:P,4,0)</f>
        <v>TIS-1284</v>
      </c>
      <c r="F351" t="str">
        <f>VLOOKUP(A351,Facturas!A:P,8,0)</f>
        <v>DIGITAL MEDIA TECHNOLOGIES COLOMBIA SAS</v>
      </c>
      <c r="G351" t="s">
        <v>374</v>
      </c>
      <c r="H351">
        <f>YEAR(Tabla1[[#This Row],[Fecha]])</f>
        <v>2023</v>
      </c>
    </row>
    <row r="352" spans="1:8" x14ac:dyDescent="0.25">
      <c r="A352" s="3">
        <v>314</v>
      </c>
      <c r="B352" s="360">
        <v>45203</v>
      </c>
      <c r="C352" s="316">
        <v>201250</v>
      </c>
      <c r="D352" s="3" t="str">
        <f>VLOOKUP(A352,Facturas!A:P,2,0)</f>
        <v>P-1302</v>
      </c>
      <c r="E352" s="3" t="str">
        <f>VLOOKUP(A352,Facturas!A:P,4,0)</f>
        <v>TIS-1283</v>
      </c>
      <c r="F352" t="str">
        <f>VLOOKUP(A352,Facturas!A:P,8,0)</f>
        <v>ROYCO SOLUCIONES SAS</v>
      </c>
      <c r="G352" t="s">
        <v>345</v>
      </c>
      <c r="H352">
        <f>YEAR(Tabla1[[#This Row],[Fecha]])</f>
        <v>2023</v>
      </c>
    </row>
    <row r="353" spans="1:8" hidden="1" x14ac:dyDescent="0.25">
      <c r="A353" s="3">
        <v>310</v>
      </c>
      <c r="B353" s="360">
        <v>45204</v>
      </c>
      <c r="C353" s="316">
        <v>517773</v>
      </c>
      <c r="D353" s="3" t="str">
        <f>VLOOKUP(A353,Facturas!A:P,2,0)</f>
        <v>P-1298</v>
      </c>
      <c r="E353" s="3" t="str">
        <f>VLOOKUP(A353,Facturas!A:P,4,0)</f>
        <v>TIS-1279</v>
      </c>
      <c r="F353" t="str">
        <f>VLOOKUP(A353,Facturas!A:P,8,0)</f>
        <v>EXPRESS CLEAN LAVANDERIA</v>
      </c>
      <c r="G353" t="s">
        <v>376</v>
      </c>
      <c r="H353">
        <f>YEAR(Tabla1[[#This Row],[Fecha]])</f>
        <v>2023</v>
      </c>
    </row>
    <row r="354" spans="1:8" hidden="1" x14ac:dyDescent="0.25">
      <c r="A354" s="3">
        <v>360</v>
      </c>
      <c r="B354" s="360">
        <v>45216</v>
      </c>
      <c r="C354" s="316">
        <v>900000</v>
      </c>
      <c r="D354" s="3" t="str">
        <f>VLOOKUP(A354,Facturas!A:P,2,0)</f>
        <v>P-1348</v>
      </c>
      <c r="E354" s="3" t="str">
        <f>VLOOKUP(A354,Facturas!A:P,4,0)</f>
        <v>TIS-1328</v>
      </c>
      <c r="F354" t="str">
        <f>VLOOKUP(A354,Facturas!A:P,8,0)</f>
        <v>Maria del Pilar Alvarado Joya</v>
      </c>
      <c r="G354" t="s">
        <v>339</v>
      </c>
      <c r="H354">
        <f>YEAR(Tabla1[[#This Row],[Fecha]])</f>
        <v>2023</v>
      </c>
    </row>
    <row r="355" spans="1:8" hidden="1" x14ac:dyDescent="0.25">
      <c r="A355" s="3">
        <v>361</v>
      </c>
      <c r="B355" s="360">
        <v>45216</v>
      </c>
      <c r="C355" s="316">
        <v>300000</v>
      </c>
      <c r="D355" s="3" t="str">
        <f>VLOOKUP(A355,Facturas!A:P,2,0)</f>
        <v>P-1349</v>
      </c>
      <c r="E355" s="3" t="str">
        <f>VLOOKUP(A355,Facturas!A:P,4,0)</f>
        <v>TIS-1329</v>
      </c>
      <c r="F355" t="str">
        <f>VLOOKUP(A355,Facturas!A:P,8,0)</f>
        <v>Maria del Pilar Alvarado Joya</v>
      </c>
      <c r="G355" t="s">
        <v>339</v>
      </c>
      <c r="H355">
        <f>YEAR(Tabla1[[#This Row],[Fecha]])</f>
        <v>2023</v>
      </c>
    </row>
    <row r="356" spans="1:8" hidden="1" x14ac:dyDescent="0.25">
      <c r="A356" s="3">
        <v>318</v>
      </c>
      <c r="B356" s="360">
        <v>45217</v>
      </c>
      <c r="C356" s="316">
        <v>1806299</v>
      </c>
      <c r="D356" s="3" t="str">
        <f>VLOOKUP(A356,Facturas!A:P,2,0)</f>
        <v>P-1306</v>
      </c>
      <c r="E356" s="3" t="str">
        <f>VLOOKUP(A356,Facturas!A:P,4,0)</f>
        <v>TIS-1287</v>
      </c>
      <c r="F356" t="str">
        <f>VLOOKUP(A356,Facturas!A:P,8,0)</f>
        <v>TRANSPORTES ESPECIALES ALIADOS S.A.S</v>
      </c>
      <c r="G356" t="s">
        <v>377</v>
      </c>
      <c r="H356">
        <f>YEAR(Tabla1[[#This Row],[Fecha]])</f>
        <v>2023</v>
      </c>
    </row>
    <row r="357" spans="1:8" hidden="1" x14ac:dyDescent="0.25">
      <c r="A357" s="3">
        <v>343</v>
      </c>
      <c r="B357" s="360">
        <v>45217</v>
      </c>
      <c r="C357" s="316">
        <v>536000</v>
      </c>
      <c r="D357" s="3" t="str">
        <f>VLOOKUP(A357,Facturas!A:P,2,0)</f>
        <v>P-1331</v>
      </c>
      <c r="E357" s="3" t="str">
        <f>VLOOKUP(A357,Facturas!A:P,4,0)</f>
        <v>TIS-1311</v>
      </c>
      <c r="F357" t="str">
        <f>VLOOKUP(A357,Facturas!A:P,8,0)</f>
        <v xml:space="preserve">BP CAPITAL SAS </v>
      </c>
      <c r="G357" t="s">
        <v>378</v>
      </c>
      <c r="H357">
        <f>YEAR(Tabla1[[#This Row],[Fecha]])</f>
        <v>2023</v>
      </c>
    </row>
    <row r="358" spans="1:8" hidden="1" x14ac:dyDescent="0.25">
      <c r="A358" s="3">
        <v>290</v>
      </c>
      <c r="B358" s="317">
        <v>45219</v>
      </c>
      <c r="C358" s="320">
        <f>561600/2</f>
        <v>280800</v>
      </c>
      <c r="D358" s="318" t="str">
        <f>VLOOKUP(A358,Facturas!A:P,2,0)</f>
        <v>P-1278</v>
      </c>
      <c r="E358" s="318" t="str">
        <f>VLOOKUP(A358,Facturas!A:P,4,0)</f>
        <v>TIS-1259</v>
      </c>
      <c r="F358" t="str">
        <f>VLOOKUP(A358,Facturas!A:P,8,0)</f>
        <v>Comercializadora ERZ SAS</v>
      </c>
      <c r="G358" s="319"/>
      <c r="H358">
        <f>YEAR(Tabla1[[#This Row],[Fecha]])</f>
        <v>2023</v>
      </c>
    </row>
    <row r="359" spans="1:8" hidden="1" x14ac:dyDescent="0.25">
      <c r="A359" s="3">
        <v>302</v>
      </c>
      <c r="B359" s="317">
        <v>45219</v>
      </c>
      <c r="C359" s="320">
        <f>561600/2</f>
        <v>280800</v>
      </c>
      <c r="D359" s="318" t="str">
        <f>VLOOKUP(A359,Facturas!A:P,2,0)</f>
        <v>P-1290</v>
      </c>
      <c r="E359" s="318" t="str">
        <f>VLOOKUP(A359,Facturas!A:P,4,0)</f>
        <v>TIS-1270</v>
      </c>
      <c r="F359" t="str">
        <f>VLOOKUP(A359,Facturas!A:P,8,0)</f>
        <v>Comercializadora ERZ SAS</v>
      </c>
      <c r="G359" s="319"/>
      <c r="H359">
        <f>YEAR(Tabla1[[#This Row],[Fecha]])</f>
        <v>2023</v>
      </c>
    </row>
    <row r="360" spans="1:8" hidden="1" x14ac:dyDescent="0.25">
      <c r="A360" s="3">
        <v>316</v>
      </c>
      <c r="B360" s="360">
        <v>45223</v>
      </c>
      <c r="C360" s="316">
        <v>400000</v>
      </c>
      <c r="D360" s="3" t="str">
        <f>VLOOKUP(A360,Facturas!A:P,2,0)</f>
        <v>P-1304</v>
      </c>
      <c r="E360" s="3" t="str">
        <f>VLOOKUP(A360,Facturas!A:P,4,0)</f>
        <v>TIS-1285</v>
      </c>
      <c r="F360" t="str">
        <f>VLOOKUP(A360,Facturas!A:P,8,0)</f>
        <v>Inversiones Sajamib SAS</v>
      </c>
      <c r="G360" t="s">
        <v>360</v>
      </c>
      <c r="H360">
        <f>YEAR(Tabla1[[#This Row],[Fecha]])</f>
        <v>2023</v>
      </c>
    </row>
    <row r="361" spans="1:8" hidden="1" x14ac:dyDescent="0.25">
      <c r="A361" s="3">
        <v>327</v>
      </c>
      <c r="B361" s="360">
        <v>45224</v>
      </c>
      <c r="C361" s="316">
        <v>345000</v>
      </c>
      <c r="D361" s="3" t="str">
        <f>VLOOKUP(A361,Facturas!A:P,2,0)</f>
        <v>P-1315</v>
      </c>
      <c r="E361" s="3" t="str">
        <f>VLOOKUP(A361,Facturas!A:P,4,0)</f>
        <v>TIS-1296</v>
      </c>
      <c r="F361" t="str">
        <f>VLOOKUP(A361,Facturas!A:P,8,0)</f>
        <v>ALVEAR ESCOBAR ASOCIADOS S.A.S</v>
      </c>
      <c r="G361" t="s">
        <v>379</v>
      </c>
      <c r="H361">
        <f>YEAR(Tabla1[[#This Row],[Fecha]])</f>
        <v>2023</v>
      </c>
    </row>
    <row r="362" spans="1:8" hidden="1" x14ac:dyDescent="0.25">
      <c r="A362" s="3">
        <v>323</v>
      </c>
      <c r="B362" s="360">
        <v>45225</v>
      </c>
      <c r="C362" s="316">
        <v>270000</v>
      </c>
      <c r="D362" s="3" t="str">
        <f>VLOOKUP(A362,Facturas!A:P,2,0)</f>
        <v>P-1311</v>
      </c>
      <c r="E362" s="3" t="str">
        <f>VLOOKUP(A362,Facturas!A:P,4,0)</f>
        <v>TIS-1292</v>
      </c>
      <c r="F362" t="str">
        <f>VLOOKUP(A362,Facturas!A:P,8,0)</f>
        <v>DIGITAL MEDIA TECHNOLOGIES COLOMBIA SAS</v>
      </c>
      <c r="G362" t="s">
        <v>374</v>
      </c>
      <c r="H362">
        <f>YEAR(Tabla1[[#This Row],[Fecha]])</f>
        <v>2023</v>
      </c>
    </row>
    <row r="363" spans="1:8" hidden="1" x14ac:dyDescent="0.25">
      <c r="A363" s="3"/>
      <c r="B363" s="312">
        <v>45233</v>
      </c>
      <c r="C363" s="255">
        <v>207000</v>
      </c>
      <c r="D363" s="313" t="e">
        <f>VLOOKUP(A363,Facturas!A:P,2,0)</f>
        <v>#N/A</v>
      </c>
      <c r="E363" s="313" t="e">
        <f>VLOOKUP(A363,Facturas!A:P,4,0)</f>
        <v>#N/A</v>
      </c>
      <c r="F363" t="e">
        <f>VLOOKUP(A363,Facturas!A:P,8,0)</f>
        <v>#N/A</v>
      </c>
      <c r="G363" s="311" t="s">
        <v>380</v>
      </c>
      <c r="H363">
        <f>YEAR(Tabla1[[#This Row],[Fecha]])</f>
        <v>2023</v>
      </c>
    </row>
    <row r="364" spans="1:8" hidden="1" x14ac:dyDescent="0.25">
      <c r="A364" s="3">
        <v>247</v>
      </c>
      <c r="B364" s="360">
        <v>45237</v>
      </c>
      <c r="C364" s="316">
        <v>108300</v>
      </c>
      <c r="D364" s="3" t="str">
        <f>VLOOKUP(A364,Facturas!A:P,2,0)</f>
        <v>P-1235</v>
      </c>
      <c r="E364" s="3" t="str">
        <f>VLOOKUP(A364,Facturas!A:P,4,0)</f>
        <v>TIS-1225</v>
      </c>
      <c r="F364" t="str">
        <f>VLOOKUP(A364,Facturas!A:P,8,0)</f>
        <v>CHILLER PLANT SERVICES SAS</v>
      </c>
      <c r="G364" t="s">
        <v>352</v>
      </c>
      <c r="H364">
        <f>YEAR(Tabla1[[#This Row],[Fecha]])</f>
        <v>2023</v>
      </c>
    </row>
    <row r="365" spans="1:8" hidden="1" x14ac:dyDescent="0.25">
      <c r="A365" s="3">
        <v>331</v>
      </c>
      <c r="B365" s="360">
        <v>45237</v>
      </c>
      <c r="C365" s="316">
        <v>1703520</v>
      </c>
      <c r="D365" s="3" t="str">
        <f>VLOOKUP(A365,Facturas!A:P,2,0)</f>
        <v>P-1319</v>
      </c>
      <c r="E365" s="3" t="str">
        <f>VLOOKUP(A365,Facturas!A:P,4,0)</f>
        <v>TIS-1299</v>
      </c>
      <c r="F365" t="str">
        <f>VLOOKUP(A365,Facturas!A:P,8,0)</f>
        <v>INDUSTRIA COLOMBIANA DE PERFILES METALICOS S.A.</v>
      </c>
      <c r="G365" t="s">
        <v>371</v>
      </c>
      <c r="H365">
        <f>YEAR(Tabla1[[#This Row],[Fecha]])</f>
        <v>2023</v>
      </c>
    </row>
    <row r="366" spans="1:8" hidden="1" x14ac:dyDescent="0.25">
      <c r="A366" s="3">
        <v>307</v>
      </c>
      <c r="B366" s="360">
        <v>45244</v>
      </c>
      <c r="C366" s="316">
        <f>642204/2</f>
        <v>321102</v>
      </c>
      <c r="D366" s="3" t="str">
        <f>VLOOKUP(A366,Facturas!A:P,2,0)</f>
        <v>P-1295</v>
      </c>
      <c r="E366" s="3" t="str">
        <f>VLOOKUP(A366,Facturas!A:P,4,0)</f>
        <v>TIS-1275</v>
      </c>
      <c r="F366" t="str">
        <f>VLOOKUP(A366,Facturas!A:P,8,0)</f>
        <v>PRODUCTORA INTERAMERICANA DE PLASTICOS S.A.S.</v>
      </c>
      <c r="G366" s="227" t="s">
        <v>316</v>
      </c>
      <c r="H366">
        <f>YEAR(Tabla1[[#This Row],[Fecha]])</f>
        <v>2023</v>
      </c>
    </row>
    <row r="367" spans="1:8" hidden="1" x14ac:dyDescent="0.25">
      <c r="A367" s="3">
        <v>313</v>
      </c>
      <c r="B367" s="360">
        <v>45244</v>
      </c>
      <c r="C367" s="316">
        <f>642204/2</f>
        <v>321102</v>
      </c>
      <c r="D367" s="3" t="str">
        <f>VLOOKUP(A367,Facturas!A:P,2,0)</f>
        <v>P-1301</v>
      </c>
      <c r="E367" s="3" t="str">
        <f>VLOOKUP(A367,Facturas!A:P,4,0)</f>
        <v>TIS-1282</v>
      </c>
      <c r="F367" t="str">
        <f>VLOOKUP(A367,Facturas!A:P,8,0)</f>
        <v>PRODUCTORA INTERAMERICANA DE PLASTICOS S.A.S.</v>
      </c>
      <c r="G367" s="227" t="s">
        <v>316</v>
      </c>
      <c r="H367">
        <f>YEAR(Tabla1[[#This Row],[Fecha]])</f>
        <v>2023</v>
      </c>
    </row>
    <row r="368" spans="1:8" hidden="1" x14ac:dyDescent="0.25">
      <c r="A368" s="3">
        <v>372</v>
      </c>
      <c r="B368" s="360">
        <v>45250</v>
      </c>
      <c r="C368" s="316">
        <v>1053150</v>
      </c>
      <c r="D368" s="3" t="str">
        <f>VLOOKUP(A368,Facturas!A:P,2,0)</f>
        <v>P-1360</v>
      </c>
      <c r="E368" s="3" t="str">
        <f>VLOOKUP(A368,Facturas!A:P,4,0)</f>
        <v>TIS-1341</v>
      </c>
      <c r="F368" t="str">
        <f>VLOOKUP(A368,Facturas!A:P,8,0)</f>
        <v>FEDERACION NACIONAL DE COMERCIANTES FENALCO SECCIONAL BOGOTA CUNDINAMARCA</v>
      </c>
      <c r="G368" t="s">
        <v>381</v>
      </c>
      <c r="H368">
        <f>YEAR(Tabla1[[#This Row],[Fecha]])</f>
        <v>2023</v>
      </c>
    </row>
    <row r="369" spans="1:8" x14ac:dyDescent="0.25">
      <c r="A369" s="3">
        <v>322</v>
      </c>
      <c r="B369" s="360">
        <v>45257</v>
      </c>
      <c r="C369" s="316">
        <v>201250</v>
      </c>
      <c r="D369" s="3" t="str">
        <f>VLOOKUP(A369,Facturas!A:P,2,0)</f>
        <v>P-1310</v>
      </c>
      <c r="E369" s="3" t="str">
        <f>VLOOKUP(A369,Facturas!A:P,4,0)</f>
        <v>TIS-1291</v>
      </c>
      <c r="F369" t="str">
        <f>VLOOKUP(A369,Facturas!A:P,8,0)</f>
        <v>ROYCO SOLUCIONES SAS</v>
      </c>
      <c r="G369" t="s">
        <v>345</v>
      </c>
      <c r="H369">
        <f>YEAR(Tabla1[[#This Row],[Fecha]])</f>
        <v>2023</v>
      </c>
    </row>
    <row r="370" spans="1:8" hidden="1" x14ac:dyDescent="0.25">
      <c r="A370" s="3">
        <v>328</v>
      </c>
      <c r="B370" s="360">
        <v>45257</v>
      </c>
      <c r="C370" s="316">
        <v>412466</v>
      </c>
      <c r="D370" s="3" t="str">
        <f>VLOOKUP(A370,Facturas!A:P,2,0)</f>
        <v>P-1316</v>
      </c>
      <c r="E370" s="3" t="str">
        <f>VLOOKUP(A370,Facturas!A:P,4,0)</f>
        <v>TIS-1296</v>
      </c>
      <c r="F370" t="str">
        <f>VLOOKUP(A370,Facturas!A:P,8,0)</f>
        <v>INSTRUMENTACION Y SOLUCIONES PARA LABORATORIO S A S</v>
      </c>
      <c r="G370" t="s">
        <v>382</v>
      </c>
      <c r="H370">
        <f>YEAR(Tabla1[[#This Row],[Fecha]])</f>
        <v>2023</v>
      </c>
    </row>
    <row r="371" spans="1:8" hidden="1" x14ac:dyDescent="0.25">
      <c r="A371" s="3">
        <v>335</v>
      </c>
      <c r="B371" s="360">
        <v>45259</v>
      </c>
      <c r="C371" s="316">
        <v>1780680</v>
      </c>
      <c r="D371" s="3" t="str">
        <f>VLOOKUP(A371,Facturas!A:P,2,0)</f>
        <v>P-1323</v>
      </c>
      <c r="E371" s="3" t="str">
        <f>VLOOKUP(A371,Facturas!A:P,4,0)</f>
        <v>TIS-1303</v>
      </c>
      <c r="F371" t="str">
        <f>VLOOKUP(A371,Facturas!A:P,8,0)</f>
        <v>GENUINE TECH SAS</v>
      </c>
      <c r="G371" t="s">
        <v>383</v>
      </c>
      <c r="H371">
        <f>YEAR(Tabla1[[#This Row],[Fecha]])</f>
        <v>2023</v>
      </c>
    </row>
    <row r="372" spans="1:8" hidden="1" x14ac:dyDescent="0.25">
      <c r="A372" s="3">
        <v>341</v>
      </c>
      <c r="B372" s="360">
        <v>45260</v>
      </c>
      <c r="C372" s="316">
        <v>270000</v>
      </c>
      <c r="D372" s="3" t="str">
        <f>VLOOKUP(A372,Facturas!A:P,2,0)</f>
        <v>P-1329</v>
      </c>
      <c r="E372" s="3" t="str">
        <f>VLOOKUP(A372,Facturas!A:P,4,0)</f>
        <v>TIS-1309</v>
      </c>
      <c r="F372" t="str">
        <f>VLOOKUP(A372,Facturas!A:P,8,0)</f>
        <v>DIGITAL MEDIA TECHNOLOGIES COLOMBIA SAS</v>
      </c>
      <c r="G372" t="s">
        <v>374</v>
      </c>
      <c r="H372">
        <f>YEAR(Tabla1[[#This Row],[Fecha]])</f>
        <v>2023</v>
      </c>
    </row>
    <row r="373" spans="1:8" hidden="1" x14ac:dyDescent="0.25">
      <c r="A373" s="3">
        <v>343</v>
      </c>
      <c r="B373" s="360">
        <v>45260</v>
      </c>
      <c r="C373" s="316">
        <v>491206</v>
      </c>
      <c r="D373" s="3" t="str">
        <f>VLOOKUP(A373,Facturas!A:P,2,0)</f>
        <v>P-1331</v>
      </c>
      <c r="E373" s="3" t="str">
        <f>VLOOKUP(A373,Facturas!A:P,4,0)</f>
        <v>TIS-1311</v>
      </c>
      <c r="F373" t="str">
        <f>VLOOKUP(A373,Facturas!A:P,8,0)</f>
        <v xml:space="preserve">BP CAPITAL SAS </v>
      </c>
      <c r="G373" t="s">
        <v>378</v>
      </c>
      <c r="H373">
        <f>YEAR(Tabla1[[#This Row],[Fecha]])</f>
        <v>2023</v>
      </c>
    </row>
    <row r="374" spans="1:8" hidden="1" x14ac:dyDescent="0.25">
      <c r="A374" s="3">
        <v>332</v>
      </c>
      <c r="B374" s="360">
        <v>45265</v>
      </c>
      <c r="C374" s="316">
        <v>11668608</v>
      </c>
      <c r="D374" s="3" t="str">
        <f>VLOOKUP(A374,Facturas!A:P,2,0)</f>
        <v>P-1320</v>
      </c>
      <c r="E374" s="3" t="str">
        <f>VLOOKUP(A374,Facturas!A:P,4,0)</f>
        <v>TIS-1300</v>
      </c>
      <c r="F374" t="str">
        <f>VLOOKUP(A374,Facturas!A:P,8,0)</f>
        <v>FIDEICOMISOS SOCIEDAD FIDUCIARIA DE OCCIDENTE SA</v>
      </c>
      <c r="G374" t="s">
        <v>384</v>
      </c>
      <c r="H374">
        <f>YEAR(Tabla1[[#This Row],[Fecha]])</f>
        <v>2023</v>
      </c>
    </row>
    <row r="375" spans="1:8" hidden="1" x14ac:dyDescent="0.25">
      <c r="A375" s="3"/>
      <c r="B375" s="312">
        <v>45268</v>
      </c>
      <c r="C375" s="255">
        <v>505750</v>
      </c>
      <c r="D375" s="313" t="e">
        <f>VLOOKUP(A375,Facturas!A:P,2,0)</f>
        <v>#N/A</v>
      </c>
      <c r="E375" s="313" t="e">
        <f>VLOOKUP(A375,Facturas!A:P,4,0)</f>
        <v>#N/A</v>
      </c>
      <c r="F375" t="e">
        <f>VLOOKUP(A375,Facturas!A:P,8,0)</f>
        <v>#N/A</v>
      </c>
      <c r="G375" s="311" t="s">
        <v>385</v>
      </c>
      <c r="H375">
        <f>YEAR(Tabla1[[#This Row],[Fecha]])</f>
        <v>2023</v>
      </c>
    </row>
    <row r="376" spans="1:8" hidden="1" x14ac:dyDescent="0.25">
      <c r="A376" s="3">
        <v>279</v>
      </c>
      <c r="B376" s="360">
        <v>45271</v>
      </c>
      <c r="C376" s="316">
        <v>1000000</v>
      </c>
      <c r="D376" s="3" t="str">
        <f>VLOOKUP(A376,Facturas!A:P,2,0)</f>
        <v>P-1267</v>
      </c>
      <c r="E376" s="3" t="str">
        <f>VLOOKUP(A376,Facturas!A:P,4,0)</f>
        <v>TIS-1250</v>
      </c>
      <c r="F376" t="str">
        <f>VLOOKUP(A376,Facturas!A:P,8,0)</f>
        <v>CONSTRUCCIONES CIVILES JMR S.A.S</v>
      </c>
      <c r="G376" t="s">
        <v>386</v>
      </c>
      <c r="H376">
        <f>YEAR(Tabla1[[#This Row],[Fecha]])</f>
        <v>2023</v>
      </c>
    </row>
    <row r="377" spans="1:8" hidden="1" x14ac:dyDescent="0.25">
      <c r="A377" s="3">
        <v>353</v>
      </c>
      <c r="B377" s="360">
        <v>45271</v>
      </c>
      <c r="C377" s="316">
        <v>1071000</v>
      </c>
      <c r="D377" s="3" t="str">
        <f>VLOOKUP(A377,Facturas!A:P,2,0)</f>
        <v>P-1341</v>
      </c>
      <c r="E377" s="3" t="str">
        <f>VLOOKUP(A377,Facturas!A:P,4,0)</f>
        <v>TIS-1321</v>
      </c>
      <c r="F377" t="str">
        <f>VLOOKUP(A377,Facturas!A:P,8,0)</f>
        <v>PURICOL LTDA</v>
      </c>
      <c r="G377" t="s">
        <v>387</v>
      </c>
      <c r="H377">
        <f>YEAR(Tabla1[[#This Row],[Fecha]])</f>
        <v>2023</v>
      </c>
    </row>
    <row r="378" spans="1:8" hidden="1" x14ac:dyDescent="0.25">
      <c r="A378" s="3">
        <v>350</v>
      </c>
      <c r="B378" s="360">
        <v>45274</v>
      </c>
      <c r="C378" s="316">
        <v>215625</v>
      </c>
      <c r="D378" s="3" t="str">
        <f>VLOOKUP(A378,Facturas!A:P,2,0)</f>
        <v>P-1338</v>
      </c>
      <c r="E378" s="3" t="str">
        <f>VLOOKUP(A378,Facturas!A:P,4,0)</f>
        <v>TIS-1318</v>
      </c>
      <c r="F378" t="str">
        <f>VLOOKUP(A378,Facturas!A:P,8,0)</f>
        <v>ALVEAR ESCOBAR ASOCIADOS S.A.S</v>
      </c>
      <c r="G378" t="s">
        <v>388</v>
      </c>
      <c r="H378">
        <f>YEAR(Tabla1[[#This Row],[Fecha]])</f>
        <v>2023</v>
      </c>
    </row>
    <row r="379" spans="1:8" hidden="1" x14ac:dyDescent="0.25">
      <c r="A379" s="3">
        <v>282</v>
      </c>
      <c r="B379" s="360">
        <v>45275</v>
      </c>
      <c r="C379" s="265">
        <v>400000</v>
      </c>
      <c r="D379" s="3" t="str">
        <f>VLOOKUP(A379,Facturas!A:P,2,0)</f>
        <v>P-1270</v>
      </c>
      <c r="E379" s="3" t="str">
        <f>VLOOKUP(A379,Facturas!A:P,4,0)</f>
        <v>TIS-1253</v>
      </c>
      <c r="F379" t="str">
        <f>VLOOKUP(A379,Facturas!A:P,8,0)</f>
        <v>Maria del Pilar Alvarado Joya</v>
      </c>
      <c r="G379" t="s">
        <v>339</v>
      </c>
      <c r="H379">
        <f>YEAR(Tabla1[[#This Row],[Fecha]])</f>
        <v>2023</v>
      </c>
    </row>
    <row r="380" spans="1:8" hidden="1" x14ac:dyDescent="0.25">
      <c r="A380" s="3">
        <v>295</v>
      </c>
      <c r="B380" s="360">
        <v>45275</v>
      </c>
      <c r="C380" s="265">
        <v>900000</v>
      </c>
      <c r="D380" s="3" t="str">
        <f>VLOOKUP(A380,Facturas!A:P,2,0)</f>
        <v>P-1283</v>
      </c>
      <c r="E380" s="3" t="str">
        <f>VLOOKUP(A380,Facturas!A:P,4,0)</f>
        <v>TIS-1264</v>
      </c>
      <c r="F380" t="str">
        <f>VLOOKUP(A380,Facturas!A:P,8,0)</f>
        <v>Maria del Pilar Alvarado Joya</v>
      </c>
      <c r="G380" t="s">
        <v>339</v>
      </c>
      <c r="H380">
        <f>YEAR(Tabla1[[#This Row],[Fecha]])</f>
        <v>2023</v>
      </c>
    </row>
    <row r="381" spans="1:8" hidden="1" x14ac:dyDescent="0.25">
      <c r="A381" s="3">
        <v>296</v>
      </c>
      <c r="B381" s="360">
        <v>45275</v>
      </c>
      <c r="C381" s="265">
        <v>300000</v>
      </c>
      <c r="D381" s="3" t="str">
        <f>VLOOKUP(A381,Facturas!A:P,2,0)</f>
        <v>P-1284</v>
      </c>
      <c r="E381" s="3" t="str">
        <f>VLOOKUP(A381,Facturas!A:P,4,0)</f>
        <v>TIS-1265</v>
      </c>
      <c r="F381" t="str">
        <f>VLOOKUP(A381,Facturas!A:P,8,0)</f>
        <v>Maria del Pilar Alvarado Joya</v>
      </c>
      <c r="G381" t="s">
        <v>339</v>
      </c>
      <c r="H381">
        <f>YEAR(Tabla1[[#This Row],[Fecha]])</f>
        <v>2023</v>
      </c>
    </row>
    <row r="382" spans="1:8" hidden="1" x14ac:dyDescent="0.25">
      <c r="A382" s="3">
        <v>306</v>
      </c>
      <c r="B382" s="360">
        <v>45275</v>
      </c>
      <c r="C382" s="265">
        <v>300000</v>
      </c>
      <c r="D382" s="3" t="str">
        <f>VLOOKUP(A382,Facturas!A:P,2,0)</f>
        <v>P-1294</v>
      </c>
      <c r="E382" s="3" t="str">
        <f>VLOOKUP(A382,Facturas!A:P,4,0)</f>
        <v>TIS-1274</v>
      </c>
      <c r="F382" t="str">
        <f>VLOOKUP(A382,Facturas!A:P,8,0)</f>
        <v>Maria del Pilar Alvarado Joya</v>
      </c>
      <c r="G382" t="s">
        <v>339</v>
      </c>
      <c r="H382">
        <f>YEAR(Tabla1[[#This Row],[Fecha]])</f>
        <v>2023</v>
      </c>
    </row>
    <row r="383" spans="1:8" hidden="1" x14ac:dyDescent="0.25">
      <c r="A383" s="3">
        <v>317</v>
      </c>
      <c r="B383" s="360">
        <v>45275</v>
      </c>
      <c r="C383" s="265">
        <v>300000</v>
      </c>
      <c r="D383" s="3" t="str">
        <f>VLOOKUP(A383,Facturas!A:P,2,0)</f>
        <v>P-1305</v>
      </c>
      <c r="E383" s="3" t="str">
        <f>VLOOKUP(A383,Facturas!A:P,4,0)</f>
        <v>TIS-1286</v>
      </c>
      <c r="F383" t="str">
        <f>VLOOKUP(A383,Facturas!A:P,8,0)</f>
        <v>Maria del Pilar Alvarado Joya</v>
      </c>
      <c r="G383" t="s">
        <v>339</v>
      </c>
      <c r="H383">
        <f>YEAR(Tabla1[[#This Row],[Fecha]])</f>
        <v>2023</v>
      </c>
    </row>
    <row r="384" spans="1:8" hidden="1" x14ac:dyDescent="0.25">
      <c r="A384" s="3">
        <v>325</v>
      </c>
      <c r="B384" s="360">
        <v>45275</v>
      </c>
      <c r="C384" s="265">
        <v>900000</v>
      </c>
      <c r="D384" s="3" t="str">
        <f>VLOOKUP(A384,Facturas!A:P,2,0)</f>
        <v>P-1313</v>
      </c>
      <c r="E384" s="3" t="str">
        <f>VLOOKUP(A384,Facturas!A:P,4,0)</f>
        <v>TIS-1294</v>
      </c>
      <c r="F384" t="str">
        <f>VLOOKUP(A384,Facturas!A:P,8,0)</f>
        <v>Maria del Pilar Alvarado Joya</v>
      </c>
      <c r="G384" t="s">
        <v>339</v>
      </c>
      <c r="H384">
        <f>YEAR(Tabla1[[#This Row],[Fecha]])</f>
        <v>2023</v>
      </c>
    </row>
    <row r="385" spans="1:8" hidden="1" x14ac:dyDescent="0.25">
      <c r="A385" s="3">
        <v>326</v>
      </c>
      <c r="B385" s="360">
        <v>45275</v>
      </c>
      <c r="C385" s="265">
        <v>300000</v>
      </c>
      <c r="D385" s="3" t="str">
        <f>VLOOKUP(A385,Facturas!A:P,2,0)</f>
        <v>P-1314</v>
      </c>
      <c r="E385" s="3" t="str">
        <f>VLOOKUP(A385,Facturas!A:P,4,0)</f>
        <v>TIS-1295</v>
      </c>
      <c r="F385" t="str">
        <f>VLOOKUP(A385,Facturas!A:P,8,0)</f>
        <v>Maria del Pilar Alvarado Joya</v>
      </c>
      <c r="G385" t="s">
        <v>339</v>
      </c>
      <c r="H385">
        <f>YEAR(Tabla1[[#This Row],[Fecha]])</f>
        <v>2023</v>
      </c>
    </row>
    <row r="386" spans="1:8" hidden="1" x14ac:dyDescent="0.25">
      <c r="A386" s="3">
        <v>340</v>
      </c>
      <c r="B386" s="360">
        <v>45275</v>
      </c>
      <c r="C386" s="265">
        <v>300000</v>
      </c>
      <c r="D386" s="3" t="str">
        <f>VLOOKUP(A386,Facturas!A:P,2,0)</f>
        <v>P-1328</v>
      </c>
      <c r="E386" s="3" t="str">
        <f>VLOOKUP(A386,Facturas!A:P,4,0)</f>
        <v>TIS-1308</v>
      </c>
      <c r="F386" t="str">
        <f>VLOOKUP(A386,Facturas!A:P,8,0)</f>
        <v>Maria del Pilar Alvarado Joya</v>
      </c>
      <c r="G386" t="s">
        <v>339</v>
      </c>
      <c r="H386">
        <f>YEAR(Tabla1[[#This Row],[Fecha]])</f>
        <v>2023</v>
      </c>
    </row>
    <row r="387" spans="1:8" hidden="1" x14ac:dyDescent="0.25">
      <c r="A387" s="3">
        <v>352</v>
      </c>
      <c r="B387" s="360">
        <v>45275</v>
      </c>
      <c r="C387" s="265">
        <v>300000</v>
      </c>
      <c r="D387" s="3" t="str">
        <f>VLOOKUP(A387,Facturas!A:P,2,0)</f>
        <v>P-1340</v>
      </c>
      <c r="E387" s="3" t="str">
        <f>VLOOKUP(A387,Facturas!A:P,4,0)</f>
        <v>TIS-1320</v>
      </c>
      <c r="F387" t="str">
        <f>VLOOKUP(A387,Facturas!A:P,8,0)</f>
        <v>Maria del Pilar Alvarado Joya</v>
      </c>
      <c r="G387" t="s">
        <v>339</v>
      </c>
      <c r="H387">
        <f>YEAR(Tabla1[[#This Row],[Fecha]])</f>
        <v>2023</v>
      </c>
    </row>
    <row r="388" spans="1:8" hidden="1" x14ac:dyDescent="0.25">
      <c r="A388" s="3"/>
      <c r="B388" s="360">
        <v>45275</v>
      </c>
      <c r="C388" s="265">
        <v>900000</v>
      </c>
      <c r="D388" s="3" t="e">
        <f>VLOOKUP(A388,Facturas!A:P,2,0)</f>
        <v>#N/A</v>
      </c>
      <c r="E388" s="3" t="e">
        <f>VLOOKUP(A388,Facturas!A:P,4,0)</f>
        <v>#N/A</v>
      </c>
      <c r="F388" t="e">
        <f>VLOOKUP(A388,Facturas!A:P,8,0)</f>
        <v>#N/A</v>
      </c>
      <c r="G388" t="s">
        <v>339</v>
      </c>
      <c r="H388">
        <f>YEAR(Tabla1[[#This Row],[Fecha]])</f>
        <v>2023</v>
      </c>
    </row>
    <row r="389" spans="1:8" hidden="1" x14ac:dyDescent="0.25">
      <c r="A389" s="3">
        <v>174</v>
      </c>
      <c r="B389" s="360">
        <v>45278</v>
      </c>
      <c r="C389" s="316">
        <f>1345364-C385</f>
        <v>1045364</v>
      </c>
      <c r="D389" s="3" t="str">
        <f>VLOOKUP(A389,Facturas!A:P,2,0)</f>
        <v>P-1162</v>
      </c>
      <c r="E389" s="3" t="str">
        <f>VLOOKUP(A389,Facturas!A:P,4,0)</f>
        <v>TIS-1169</v>
      </c>
      <c r="F389" t="str">
        <f>VLOOKUP(A389,Facturas!A:P,8,0)</f>
        <v>Comercializadora ERZ SAS</v>
      </c>
      <c r="H389">
        <f>YEAR(Tabla1[[#This Row],[Fecha]])</f>
        <v>2023</v>
      </c>
    </row>
    <row r="390" spans="1:8" hidden="1" x14ac:dyDescent="0.25">
      <c r="A390" s="3">
        <v>312</v>
      </c>
      <c r="B390" s="360">
        <v>45278</v>
      </c>
      <c r="C390" s="278">
        <v>280800</v>
      </c>
      <c r="D390" s="3" t="str">
        <f>VLOOKUP(A390,Facturas!A:P,2,0)</f>
        <v>P-1300</v>
      </c>
      <c r="E390" s="3" t="str">
        <f>VLOOKUP(A390,Facturas!A:P,4,0)</f>
        <v>TIS-1281</v>
      </c>
      <c r="F390" t="str">
        <f>VLOOKUP(A390,Facturas!A:P,8,0)</f>
        <v>Comercializadora ERZ SAS</v>
      </c>
      <c r="H390">
        <f>YEAR(Tabla1[[#This Row],[Fecha]])</f>
        <v>2023</v>
      </c>
    </row>
    <row r="391" spans="1:8" hidden="1" x14ac:dyDescent="0.25">
      <c r="A391" s="3">
        <v>320</v>
      </c>
      <c r="B391" s="360">
        <v>45278</v>
      </c>
      <c r="C391" s="278">
        <v>280800</v>
      </c>
      <c r="D391" s="3" t="str">
        <f>VLOOKUP(A391,Facturas!A:P,2,0)</f>
        <v>P-1308</v>
      </c>
      <c r="E391" s="3" t="str">
        <f>VLOOKUP(A391,Facturas!A:P,4,0)</f>
        <v>TIS-1289</v>
      </c>
      <c r="F391" t="str">
        <f>VLOOKUP(A391,Facturas!A:P,8,0)</f>
        <v>Comercializadora ERZ SAS</v>
      </c>
      <c r="H391">
        <f>YEAR(Tabla1[[#This Row],[Fecha]])</f>
        <v>2023</v>
      </c>
    </row>
    <row r="392" spans="1:8" hidden="1" x14ac:dyDescent="0.25">
      <c r="A392" s="3">
        <v>336</v>
      </c>
      <c r="B392" s="360">
        <v>45278</v>
      </c>
      <c r="C392" s="278">
        <v>280800</v>
      </c>
      <c r="D392" s="3" t="str">
        <f>VLOOKUP(A392,Facturas!A:P,2,0)</f>
        <v>P-1324</v>
      </c>
      <c r="E392" s="3" t="str">
        <f>VLOOKUP(A392,Facturas!A:P,4,0)</f>
        <v>TIS-1304</v>
      </c>
      <c r="F392" t="str">
        <f>VLOOKUP(A392,Facturas!A:P,8,0)</f>
        <v>Comercializadora ERZ SAS</v>
      </c>
      <c r="H392">
        <f>YEAR(Tabla1[[#This Row],[Fecha]])</f>
        <v>2023</v>
      </c>
    </row>
    <row r="393" spans="1:8" hidden="1" x14ac:dyDescent="0.25">
      <c r="A393" s="3">
        <v>345</v>
      </c>
      <c r="B393" s="360">
        <v>45278</v>
      </c>
      <c r="C393" s="316">
        <v>280800</v>
      </c>
      <c r="D393" s="3" t="str">
        <f>VLOOKUP(A393,Facturas!A:P,2,0)</f>
        <v>P-1333</v>
      </c>
      <c r="E393" s="3" t="str">
        <f>VLOOKUP(A393,Facturas!A:P,4,0)</f>
        <v>TIS-1313</v>
      </c>
      <c r="F393" t="str">
        <f>VLOOKUP(A393,Facturas!A:P,8,0)</f>
        <v>Comercializadora ERZ SAS</v>
      </c>
      <c r="H393">
        <f>YEAR(Tabla1[[#This Row],[Fecha]])</f>
        <v>2023</v>
      </c>
    </row>
    <row r="394" spans="1:8" hidden="1" x14ac:dyDescent="0.25">
      <c r="A394" s="3">
        <v>329</v>
      </c>
      <c r="B394" s="360">
        <v>45280</v>
      </c>
      <c r="C394" s="316">
        <v>39821353</v>
      </c>
      <c r="D394" s="3" t="str">
        <f>VLOOKUP(A394,Facturas!A:P,2,0)</f>
        <v>P-1317</v>
      </c>
      <c r="E394" s="3" t="str">
        <f>VLOOKUP(A394,Facturas!A:P,4,0)</f>
        <v>TIS-1297</v>
      </c>
      <c r="F394" t="str">
        <f>VLOOKUP(A394,Facturas!A:P,8,0)</f>
        <v>ATECNO S.A.S</v>
      </c>
      <c r="G394" t="s">
        <v>354</v>
      </c>
      <c r="H394">
        <f>YEAR(Tabla1[[#This Row],[Fecha]])</f>
        <v>2023</v>
      </c>
    </row>
    <row r="395" spans="1:8" hidden="1" x14ac:dyDescent="0.25">
      <c r="A395" s="3">
        <v>342</v>
      </c>
      <c r="B395" s="360">
        <v>45280</v>
      </c>
      <c r="C395" s="316">
        <v>1322500</v>
      </c>
      <c r="D395" s="3" t="str">
        <f>VLOOKUP(A395,Facturas!A:P,2,0)</f>
        <v>P-1330</v>
      </c>
      <c r="E395" s="3" t="str">
        <f>VLOOKUP(A395,Facturas!A:P,4,0)</f>
        <v>TIS-1310</v>
      </c>
      <c r="F395" t="str">
        <f>VLOOKUP(A395,Facturas!A:P,8,0)</f>
        <v>LOGROS FACTORY COLOMBIA S.A</v>
      </c>
      <c r="G395" t="s">
        <v>389</v>
      </c>
      <c r="H395">
        <f>YEAR(Tabla1[[#This Row],[Fecha]])</f>
        <v>2023</v>
      </c>
    </row>
    <row r="396" spans="1:8" hidden="1" x14ac:dyDescent="0.25">
      <c r="A396" s="3">
        <v>348</v>
      </c>
      <c r="B396" s="360">
        <v>45281</v>
      </c>
      <c r="C396" s="316">
        <v>270000</v>
      </c>
      <c r="D396" s="3" t="str">
        <f>VLOOKUP(A396,Facturas!A:P,2,0)</f>
        <v>P-1336</v>
      </c>
      <c r="E396" s="3" t="str">
        <f>VLOOKUP(A396,Facturas!A:P,4,0)</f>
        <v>TIS-1316</v>
      </c>
      <c r="F396" t="str">
        <f>VLOOKUP(A396,Facturas!A:P,8,0)</f>
        <v>DIGITAL MEDIA TECHNOLOGIES COLOMBIA SAS</v>
      </c>
      <c r="G396" t="s">
        <v>374</v>
      </c>
      <c r="H396">
        <f>YEAR(Tabla1[[#This Row],[Fecha]])</f>
        <v>2023</v>
      </c>
    </row>
    <row r="397" spans="1:8" hidden="1" x14ac:dyDescent="0.25">
      <c r="A397" s="3">
        <v>301</v>
      </c>
      <c r="B397" s="360">
        <v>45286</v>
      </c>
      <c r="C397" s="316">
        <v>3858870</v>
      </c>
      <c r="D397" s="3" t="str">
        <f>VLOOKUP(A397,Facturas!A:P,2,0)</f>
        <v>P-1289</v>
      </c>
      <c r="E397" s="3" t="str">
        <f>VLOOKUP(A397,Facturas!A:P,4,0)</f>
        <v>TIS-1330</v>
      </c>
      <c r="F397" t="str">
        <f>VLOOKUP(A397,Facturas!A:P,8,0)</f>
        <v>INDU B SAS</v>
      </c>
      <c r="G397" t="s">
        <v>390</v>
      </c>
      <c r="H397">
        <f>YEAR(Tabla1[[#This Row],[Fecha]])</f>
        <v>2023</v>
      </c>
    </row>
    <row r="398" spans="1:8" x14ac:dyDescent="0.25">
      <c r="A398" s="3">
        <v>338</v>
      </c>
      <c r="B398" s="360">
        <v>45286</v>
      </c>
      <c r="C398" s="316">
        <v>201250</v>
      </c>
      <c r="D398" s="3" t="str">
        <f>VLOOKUP(A398,Facturas!A:P,2,0)</f>
        <v>P-1326</v>
      </c>
      <c r="E398" s="3" t="str">
        <f>VLOOKUP(A398,Facturas!A:P,4,0)</f>
        <v>TIS-1306</v>
      </c>
      <c r="F398" t="str">
        <f>VLOOKUP(A398,Facturas!A:P,8,0)</f>
        <v>ROYCO SOLUCIONES SAS</v>
      </c>
      <c r="G398" t="s">
        <v>345</v>
      </c>
      <c r="H398">
        <f>YEAR(Tabla1[[#This Row],[Fecha]])</f>
        <v>2023</v>
      </c>
    </row>
    <row r="399" spans="1:8" hidden="1" x14ac:dyDescent="0.25">
      <c r="A399" s="3">
        <v>354</v>
      </c>
      <c r="B399" s="360">
        <v>45287</v>
      </c>
      <c r="C399" s="316">
        <v>11051040</v>
      </c>
      <c r="D399" s="3" t="str">
        <f>VLOOKUP(A399,Facturas!A:P,2,0)</f>
        <v>P-1342</v>
      </c>
      <c r="E399" s="3" t="str">
        <f>VLOOKUP(A399,Facturas!A:P,4,0)</f>
        <v>TIS-1322</v>
      </c>
      <c r="F399" t="str">
        <f>VLOOKUP(A399,Facturas!A:P,8,0)</f>
        <v xml:space="preserve">DEVISAB SAS </v>
      </c>
      <c r="G399" t="s">
        <v>365</v>
      </c>
      <c r="H399">
        <f>YEAR(Tabla1[[#This Row],[Fecha]])</f>
        <v>2023</v>
      </c>
    </row>
    <row r="400" spans="1:8" hidden="1" x14ac:dyDescent="0.25">
      <c r="A400" s="3">
        <v>358</v>
      </c>
      <c r="B400" s="360">
        <v>45296</v>
      </c>
      <c r="C400" s="316">
        <v>270000</v>
      </c>
      <c r="D400" s="3" t="str">
        <f>VLOOKUP(A400,Facturas!A:P,2,0)</f>
        <v>P-1346</v>
      </c>
      <c r="E400" s="3" t="str">
        <f>VLOOKUP(A400,Facturas!A:P,4,0)</f>
        <v>TIS-1326</v>
      </c>
      <c r="F400" t="str">
        <f>VLOOKUP(A400,Facturas!A:P,8,0)</f>
        <v>DIGITAL MEDIA TECHNOLOGIES COLOMBIA SAS</v>
      </c>
      <c r="H400">
        <f>YEAR(Tabla1[[#This Row],[Fecha]])</f>
        <v>2024</v>
      </c>
    </row>
    <row r="401" spans="1:8" x14ac:dyDescent="0.25">
      <c r="A401" s="3">
        <v>347</v>
      </c>
      <c r="B401" s="360">
        <v>45314</v>
      </c>
      <c r="C401" s="316">
        <v>201250</v>
      </c>
      <c r="D401" s="3" t="str">
        <f>VLOOKUP(A401,Facturas!A:P,2,0)</f>
        <v>P-1335</v>
      </c>
      <c r="E401" s="3" t="str">
        <f>VLOOKUP(A401,Facturas!A:P,4,0)</f>
        <v>TIS-1315</v>
      </c>
      <c r="F401" t="str">
        <f>VLOOKUP(A401,Facturas!A:P,8,0)</f>
        <v>ROYCO SOLUCIONES SAS</v>
      </c>
      <c r="H401">
        <f>YEAR(Tabla1[[#This Row],[Fecha]])</f>
        <v>2024</v>
      </c>
    </row>
    <row r="402" spans="1:8" hidden="1" x14ac:dyDescent="0.25">
      <c r="A402" s="3">
        <v>335</v>
      </c>
      <c r="B402" s="360">
        <v>45317</v>
      </c>
      <c r="C402" s="316">
        <v>380000</v>
      </c>
      <c r="D402" s="3" t="str">
        <f>VLOOKUP(A402,Facturas!A:P,2,0)</f>
        <v>P-1323</v>
      </c>
      <c r="E402" s="3" t="str">
        <f>VLOOKUP(A402,Facturas!A:P,4,0)</f>
        <v>TIS-1303</v>
      </c>
      <c r="F402" t="str">
        <f>VLOOKUP(A402,Facturas!A:P,8,0)</f>
        <v>GENUINE TECH SAS</v>
      </c>
      <c r="H402">
        <f>YEAR(Tabla1[[#This Row],[Fecha]])</f>
        <v>2024</v>
      </c>
    </row>
    <row r="403" spans="1:8" hidden="1" x14ac:dyDescent="0.25">
      <c r="A403" s="3">
        <v>377</v>
      </c>
      <c r="B403" s="188">
        <v>45336</v>
      </c>
      <c r="C403" s="316">
        <v>2000000</v>
      </c>
      <c r="D403" s="3" t="str">
        <f>VLOOKUP(A403,Facturas!A:P,2,0)</f>
        <v>P-1365</v>
      </c>
      <c r="E403" s="3" t="str">
        <f>VLOOKUP(A403,Facturas!A:P,4,0)</f>
        <v>TIS-1354</v>
      </c>
      <c r="F403" t="str">
        <f>VLOOKUP(A403,Facturas!A:P,8,0)</f>
        <v>ANTIADHERENTES Y MAQUINADOS ARIZAS SAS</v>
      </c>
      <c r="H403">
        <f>YEAR(Tabla1[[#This Row],[Fecha]])</f>
        <v>2024</v>
      </c>
    </row>
    <row r="404" spans="1:8" hidden="1" x14ac:dyDescent="0.25">
      <c r="A404" s="3">
        <v>369</v>
      </c>
      <c r="B404" s="360">
        <v>45337</v>
      </c>
      <c r="C404" s="316">
        <v>622003</v>
      </c>
      <c r="D404" s="3" t="str">
        <f>VLOOKUP(A404,Facturas!A:P,2,0)</f>
        <v>P-1357</v>
      </c>
      <c r="E404" s="3" t="str">
        <f>VLOOKUP(A404,Facturas!A:P,4,0)</f>
        <v>TIS-1338</v>
      </c>
      <c r="F404" t="str">
        <f>VLOOKUP(A404,Facturas!A:P,8,0)</f>
        <v>GENUINE TECH SAS</v>
      </c>
      <c r="H404">
        <f>YEAR(Tabla1[[#This Row],[Fecha]])</f>
        <v>2024</v>
      </c>
    </row>
    <row r="405" spans="1:8" hidden="1" x14ac:dyDescent="0.25">
      <c r="A405" s="3">
        <v>349</v>
      </c>
      <c r="B405" s="360">
        <v>45338</v>
      </c>
      <c r="C405" s="316">
        <v>449820</v>
      </c>
      <c r="D405" s="3" t="str">
        <f>VLOOKUP(A405,Facturas!A:P,2,0)</f>
        <v>P-1337</v>
      </c>
      <c r="E405" s="3" t="str">
        <f>VLOOKUP(A405,Facturas!A:P,4,0)</f>
        <v>TIS-1317</v>
      </c>
      <c r="F405" t="str">
        <f>VLOOKUP(A405,Facturas!A:P,8,0)</f>
        <v>TECNOLOGIA DE OFICINA S.A.S.</v>
      </c>
      <c r="H405">
        <f>YEAR(Tabla1[[#This Row],[Fecha]])</f>
        <v>2024</v>
      </c>
    </row>
    <row r="406" spans="1:8" hidden="1" x14ac:dyDescent="0.25">
      <c r="A406" s="3">
        <v>367</v>
      </c>
      <c r="B406" s="360">
        <v>45344</v>
      </c>
      <c r="C406" s="316">
        <v>300000</v>
      </c>
      <c r="D406" s="3" t="str">
        <f>VLOOKUP(A406,Facturas!A:P,2,0)</f>
        <v>P-1355</v>
      </c>
      <c r="E406" s="3" t="str">
        <f>VLOOKUP(A406,Facturas!A:P,4,0)</f>
        <v>TIS-1336</v>
      </c>
      <c r="F406" t="str">
        <f>VLOOKUP(A406,Facturas!A:P,8,0)</f>
        <v>STAFF SEGUROS AGENCIA LTDA</v>
      </c>
      <c r="H406">
        <f>YEAR(Tabla1[[#This Row],[Fecha]])</f>
        <v>2024</v>
      </c>
    </row>
    <row r="407" spans="1:8" hidden="1" x14ac:dyDescent="0.25">
      <c r="A407" s="3">
        <v>385</v>
      </c>
      <c r="B407" s="360">
        <v>45345</v>
      </c>
      <c r="C407" s="316">
        <v>2950000</v>
      </c>
      <c r="D407" s="3" t="str">
        <f>VLOOKUP(A407,Facturas!A:P,2,0)</f>
        <v>P-1373</v>
      </c>
      <c r="E407" s="3" t="str">
        <f>VLOOKUP(A407,Facturas!A:P,4,0)</f>
        <v>TIS-1352</v>
      </c>
      <c r="F407" t="str">
        <f>VLOOKUP(A407,Facturas!A:P,8,0)</f>
        <v>ELKIN EDUARDO ORTIZ ORTIZ</v>
      </c>
      <c r="G407" s="222"/>
      <c r="H407">
        <f>YEAR(Tabla1[[#This Row],[Fecha]])</f>
        <v>2024</v>
      </c>
    </row>
    <row r="408" spans="1:8" hidden="1" x14ac:dyDescent="0.25">
      <c r="A408" s="3">
        <v>373</v>
      </c>
      <c r="B408" s="360">
        <v>45348</v>
      </c>
      <c r="C408" s="316">
        <v>304000</v>
      </c>
      <c r="D408" s="3" t="str">
        <f>VLOOKUP(A408,Facturas!A:P,2,0)</f>
        <v>P-1361</v>
      </c>
      <c r="E408" s="3" t="str">
        <f>VLOOKUP(A408,Facturas!A:P,4,0)</f>
        <v>TIS-1342</v>
      </c>
      <c r="F408" t="str">
        <f>VLOOKUP(A408,Facturas!A:P,8,0)</f>
        <v>Soluciones Avanzadas de Ingeniería SAS</v>
      </c>
      <c r="H408">
        <f>YEAR(Tabla1[[#This Row],[Fecha]])</f>
        <v>2024</v>
      </c>
    </row>
    <row r="409" spans="1:8" hidden="1" x14ac:dyDescent="0.25">
      <c r="A409" s="3">
        <v>382</v>
      </c>
      <c r="B409" s="360">
        <v>45351</v>
      </c>
      <c r="C409" s="316">
        <v>270000</v>
      </c>
      <c r="D409" s="3" t="str">
        <f>VLOOKUP(A409,Facturas!A:P,2,0)</f>
        <v>P-1370</v>
      </c>
      <c r="E409" s="3" t="str">
        <f>VLOOKUP(A409,Facturas!A:P,4,0)</f>
        <v>TIS-1348</v>
      </c>
      <c r="F409" t="str">
        <f>VLOOKUP(A409,Facturas!A:P,8,0)</f>
        <v>DIGITAL MEDIA TECHNOLOGIES COLOMBIA SAS</v>
      </c>
      <c r="H409">
        <f>YEAR(Tabla1[[#This Row],[Fecha]])</f>
        <v>2024</v>
      </c>
    </row>
    <row r="410" spans="1:8" hidden="1" x14ac:dyDescent="0.25">
      <c r="A410" s="3">
        <v>355</v>
      </c>
      <c r="B410" s="360">
        <v>45353</v>
      </c>
      <c r="C410" s="316">
        <v>280800</v>
      </c>
      <c r="D410" s="3" t="str">
        <f>VLOOKUP(A410,Facturas!A:P,2,0)</f>
        <v>P-1343</v>
      </c>
      <c r="E410" s="3" t="str">
        <f>VLOOKUP(A410,Facturas!A:P,4,0)</f>
        <v>TIS-1323</v>
      </c>
      <c r="F410" t="str">
        <f>VLOOKUP(A410,Facturas!A:P,8,0)</f>
        <v>Comercializadora ERZ SAS</v>
      </c>
      <c r="H410">
        <f>YEAR(Tabla1[[#This Row],[Fecha]])</f>
        <v>2024</v>
      </c>
    </row>
    <row r="411" spans="1:8" hidden="1" x14ac:dyDescent="0.25">
      <c r="A411" s="3">
        <v>337</v>
      </c>
      <c r="B411" s="360">
        <v>45353</v>
      </c>
      <c r="C411" s="316">
        <v>321102</v>
      </c>
      <c r="D411" s="3" t="str">
        <f>VLOOKUP(A411,Facturas!A:P,2,0)</f>
        <v>P-1325</v>
      </c>
      <c r="E411" s="3" t="str">
        <f>VLOOKUP(A411,Facturas!A:P,4,0)</f>
        <v>TIS-1305</v>
      </c>
      <c r="F411" t="str">
        <f>VLOOKUP(A411,Facturas!A:P,8,0)</f>
        <v>PRODUCTORA INTERAMERICANA DE PLASTICOS S.A.S.</v>
      </c>
      <c r="H411">
        <f>YEAR(Tabla1[[#This Row],[Fecha]])</f>
        <v>2024</v>
      </c>
    </row>
    <row r="412" spans="1:8" hidden="1" x14ac:dyDescent="0.25">
      <c r="A412" s="3">
        <v>346</v>
      </c>
      <c r="B412" s="360">
        <v>45353</v>
      </c>
      <c r="C412" s="316">
        <v>321102</v>
      </c>
      <c r="D412" s="3" t="str">
        <f>VLOOKUP(A412,Facturas!A:P,2,0)</f>
        <v>P-1334</v>
      </c>
      <c r="E412" s="3" t="str">
        <f>VLOOKUP(A412,Facturas!A:P,4,0)</f>
        <v>TIS-1314</v>
      </c>
      <c r="F412" t="str">
        <f>VLOOKUP(A412,Facturas!A:P,8,0)</f>
        <v>PRODUCTORA INTERAMERICANA DE PLASTICOS S.A.S.</v>
      </c>
      <c r="H412">
        <f>YEAR(Tabla1[[#This Row],[Fecha]])</f>
        <v>2024</v>
      </c>
    </row>
    <row r="413" spans="1:8" hidden="1" x14ac:dyDescent="0.25">
      <c r="A413" s="3">
        <v>356</v>
      </c>
      <c r="B413" s="360">
        <v>45353</v>
      </c>
      <c r="C413" s="316">
        <v>321102</v>
      </c>
      <c r="D413" s="3" t="str">
        <f>VLOOKUP(A413,Facturas!A:P,2,0)</f>
        <v>P-1344</v>
      </c>
      <c r="E413" s="3" t="str">
        <f>VLOOKUP(A413,Facturas!A:P,4,0)</f>
        <v>TIS-1324</v>
      </c>
      <c r="F413" t="str">
        <f>VLOOKUP(A413,Facturas!A:P,8,0)</f>
        <v>PRODUCTORA INTERAMERICANA DE PLASTICOS S.A.S.</v>
      </c>
      <c r="H413">
        <f>YEAR(Tabla1[[#This Row],[Fecha]])</f>
        <v>2024</v>
      </c>
    </row>
    <row r="414" spans="1:8" hidden="1" x14ac:dyDescent="0.25">
      <c r="A414" s="3">
        <v>374</v>
      </c>
      <c r="B414" s="360">
        <v>45357</v>
      </c>
      <c r="C414" s="316">
        <v>714000</v>
      </c>
      <c r="D414" s="3" t="str">
        <f>VLOOKUP(A414,Facturas!A:P,2,0)</f>
        <v>P-1362</v>
      </c>
      <c r="E414" s="3" t="str">
        <f>VLOOKUP(A414,Facturas!A:P,4,0)</f>
        <v>TIS-1343</v>
      </c>
      <c r="F414" t="str">
        <f>VLOOKUP(A414,Facturas!A:P,8,0)</f>
        <v>GB BARRETO Y CIA LTDA - ASESORES DE SEGUROS</v>
      </c>
      <c r="H414">
        <f>YEAR(Tabla1[[#This Row],[Fecha]])</f>
        <v>2024</v>
      </c>
    </row>
    <row r="415" spans="1:8" hidden="1" x14ac:dyDescent="0.25">
      <c r="A415" s="3">
        <v>385</v>
      </c>
      <c r="B415" s="360">
        <v>45357</v>
      </c>
      <c r="C415" s="316">
        <v>1767150</v>
      </c>
      <c r="D415" s="3" t="str">
        <f>VLOOKUP(A415,Facturas!A:P,2,0)</f>
        <v>P-1373</v>
      </c>
      <c r="E415" s="3" t="str">
        <f>VLOOKUP(A415,Facturas!A:P,4,0)</f>
        <v>TIS-1352</v>
      </c>
      <c r="F415" t="str">
        <f>VLOOKUP(A415,Facturas!A:P,8,0)</f>
        <v>ELKIN EDUARDO ORTIZ ORTIZ</v>
      </c>
      <c r="G415" s="222"/>
      <c r="H415">
        <f>YEAR(Tabla1[[#This Row],[Fecha]])</f>
        <v>2024</v>
      </c>
    </row>
    <row r="416" spans="1:8" hidden="1" x14ac:dyDescent="0.25">
      <c r="A416" s="3">
        <v>359</v>
      </c>
      <c r="B416" s="360">
        <v>45358</v>
      </c>
      <c r="C416" s="316">
        <v>400000</v>
      </c>
      <c r="D416" s="3" t="str">
        <f>VLOOKUP(A416,Facturas!A:P,2,0)</f>
        <v>P-1347</v>
      </c>
      <c r="E416" s="3" t="str">
        <f>VLOOKUP(A416,Facturas!A:P,4,0)</f>
        <v>TIS-1327</v>
      </c>
      <c r="F416" t="str">
        <f>VLOOKUP(A416,Facturas!A:P,8,0)</f>
        <v>Inversiones Sajamib SAS</v>
      </c>
      <c r="H416">
        <f>YEAR(Tabla1[[#This Row],[Fecha]])</f>
        <v>2024</v>
      </c>
    </row>
    <row r="417" spans="1:8" hidden="1" x14ac:dyDescent="0.25">
      <c r="A417" s="3">
        <v>371</v>
      </c>
      <c r="B417" s="360">
        <v>45358</v>
      </c>
      <c r="C417" s="316">
        <v>400000</v>
      </c>
      <c r="D417" s="3" t="str">
        <f>VLOOKUP(A417,Facturas!A:P,2,0)</f>
        <v>P-1359</v>
      </c>
      <c r="E417" s="3" t="str">
        <f>VLOOKUP(A417,Facturas!A:P,4,0)</f>
        <v>TIS-1340</v>
      </c>
      <c r="F417" t="str">
        <f>VLOOKUP(A417,Facturas!A:P,8,0)</f>
        <v>Inversiones Sajamib SAS</v>
      </c>
      <c r="H417">
        <f>YEAR(Tabla1[[#This Row],[Fecha]])</f>
        <v>2024</v>
      </c>
    </row>
    <row r="418" spans="1:8" hidden="1" x14ac:dyDescent="0.25">
      <c r="A418" s="3">
        <v>378</v>
      </c>
      <c r="B418" s="360">
        <v>45358</v>
      </c>
      <c r="C418" s="316">
        <v>400000</v>
      </c>
      <c r="D418" s="3" t="str">
        <f>VLOOKUP(A418,Facturas!A:P,2,0)</f>
        <v>P-1366</v>
      </c>
      <c r="E418" s="3" t="str">
        <f>VLOOKUP(A418,Facturas!A:P,4,0)</f>
        <v>TIS-1350</v>
      </c>
      <c r="F418" t="str">
        <f>VLOOKUP(A418,Facturas!A:P,8,0)</f>
        <v>Inversiones Sajamib SAS</v>
      </c>
      <c r="H418">
        <f>YEAR(Tabla1[[#This Row],[Fecha]])</f>
        <v>2024</v>
      </c>
    </row>
    <row r="419" spans="1:8" hidden="1" x14ac:dyDescent="0.25">
      <c r="A419" s="3">
        <v>372</v>
      </c>
      <c r="B419" s="360">
        <v>45359</v>
      </c>
      <c r="C419" s="316">
        <v>682421</v>
      </c>
      <c r="D419" s="3" t="str">
        <f>VLOOKUP(A419,Facturas!A:P,2,0)</f>
        <v>P-1360</v>
      </c>
      <c r="E419" s="3" t="str">
        <f>VLOOKUP(A419,Facturas!A:P,4,0)</f>
        <v>TIS-1341</v>
      </c>
      <c r="F419" t="str">
        <f>VLOOKUP(A419,Facturas!A:P,8,0)</f>
        <v>FEDERACION NACIONAL DE COMERCIANTES FENALCO SECCIONAL BOGOTA CUNDINAMARCA</v>
      </c>
      <c r="H419">
        <f>YEAR(Tabla1[[#This Row],[Fecha]])</f>
        <v>2024</v>
      </c>
    </row>
    <row r="420" spans="1:8" hidden="1" x14ac:dyDescent="0.25">
      <c r="A420" s="3">
        <v>373</v>
      </c>
      <c r="B420" s="360">
        <v>45362</v>
      </c>
      <c r="C420" s="316">
        <v>182400</v>
      </c>
      <c r="D420" s="3" t="str">
        <f>VLOOKUP(A420,Facturas!A:P,2,0)</f>
        <v>P-1361</v>
      </c>
      <c r="E420" s="3" t="str">
        <f>VLOOKUP(A420,Facturas!A:P,4,0)</f>
        <v>TIS-1342</v>
      </c>
      <c r="F420" t="str">
        <f>VLOOKUP(A420,Facturas!A:P,8,0)</f>
        <v>Soluciones Avanzadas de Ingeniería SAS</v>
      </c>
      <c r="H420">
        <f>YEAR(Tabla1[[#This Row],[Fecha]])</f>
        <v>2024</v>
      </c>
    </row>
    <row r="421" spans="1:8" hidden="1" x14ac:dyDescent="0.25">
      <c r="A421" s="3">
        <v>377</v>
      </c>
      <c r="B421" s="360">
        <v>45363</v>
      </c>
      <c r="C421" s="316">
        <v>1213000</v>
      </c>
      <c r="D421" s="3" t="str">
        <f>VLOOKUP(A421,Facturas!A:P,2,0)</f>
        <v>P-1365</v>
      </c>
      <c r="E421" s="3" t="str">
        <f>VLOOKUP(A421,Facturas!A:P,4,0)</f>
        <v>TIS-1354</v>
      </c>
      <c r="F421" t="str">
        <f>VLOOKUP(A421,Facturas!A:P,8,0)</f>
        <v>ANTIADHERENTES Y MAQUINADOS ARIZAS SAS</v>
      </c>
      <c r="H421">
        <f>YEAR(Tabla1[[#This Row],[Fecha]])</f>
        <v>2024</v>
      </c>
    </row>
    <row r="422" spans="1:8" hidden="1" x14ac:dyDescent="0.25">
      <c r="A422" s="3">
        <v>383</v>
      </c>
      <c r="B422" s="360">
        <v>45365</v>
      </c>
      <c r="C422" s="316">
        <v>622003</v>
      </c>
      <c r="D422" s="3" t="str">
        <f>VLOOKUP(A422,Facturas!A:P,2,0)</f>
        <v>P-1371</v>
      </c>
      <c r="E422" s="3" t="str">
        <f>VLOOKUP(A422,Facturas!A:P,4,0)</f>
        <v>TIS-1349</v>
      </c>
      <c r="F422" t="str">
        <f>VLOOKUP(A422,Facturas!A:P,8,0)</f>
        <v>GENUINE TECH SAS</v>
      </c>
      <c r="H422">
        <f>YEAR(Tabla1[[#This Row],[Fecha]])</f>
        <v>2024</v>
      </c>
    </row>
    <row r="423" spans="1:8" hidden="1" x14ac:dyDescent="0.25">
      <c r="A423" s="3">
        <v>426</v>
      </c>
      <c r="B423" s="360">
        <v>45366</v>
      </c>
      <c r="C423" s="253">
        <v>1448550</v>
      </c>
      <c r="D423" s="3" t="str">
        <f>VLOOKUP(A423,Facturas!A:P,2,0)</f>
        <v>P-1415</v>
      </c>
      <c r="E423" s="3" t="str">
        <f>VLOOKUP(A423,Facturas!A:P,4,0)</f>
        <v>TIS-1404</v>
      </c>
      <c r="F423" t="str">
        <f>VLOOKUP(A423,Facturas!A:P,8,0)</f>
        <v>HUTERCOL S.A.S.</v>
      </c>
      <c r="H423">
        <f>YEAR(Tabla1[[#This Row],[Fecha]])</f>
        <v>2024</v>
      </c>
    </row>
    <row r="424" spans="1:8" hidden="1" x14ac:dyDescent="0.25">
      <c r="A424" s="3">
        <v>364</v>
      </c>
      <c r="B424" s="360">
        <v>45372</v>
      </c>
      <c r="C424" s="316">
        <v>463539</v>
      </c>
      <c r="D424" s="3" t="str">
        <f>VLOOKUP(A424,Facturas!A:P,2,0)</f>
        <v>P-1352</v>
      </c>
      <c r="E424" s="3" t="str">
        <f>VLOOKUP(A424,Facturas!A:P,4,0)</f>
        <v>TIS-1332</v>
      </c>
      <c r="F424" t="str">
        <f>VLOOKUP(A424,Facturas!A:P,8,0)</f>
        <v>TBTB GLOBAL LAB SAS</v>
      </c>
      <c r="H424">
        <f>YEAR(Tabla1[[#This Row],[Fecha]])</f>
        <v>2024</v>
      </c>
    </row>
    <row r="425" spans="1:8" x14ac:dyDescent="0.25">
      <c r="A425" s="3">
        <v>357</v>
      </c>
      <c r="B425" s="360">
        <v>45373</v>
      </c>
      <c r="C425" s="316">
        <v>201250</v>
      </c>
      <c r="D425" s="3" t="str">
        <f>VLOOKUP(A425,Facturas!A:P,2,0)</f>
        <v>P-1345</v>
      </c>
      <c r="E425" s="3" t="str">
        <f>VLOOKUP(A425,Facturas!A:P,4,0)</f>
        <v>TIS-1325</v>
      </c>
      <c r="F425" t="str">
        <f>VLOOKUP(A425,Facturas!A:P,8,0)</f>
        <v>ROYCO SOLUCIONES SAS</v>
      </c>
      <c r="H425">
        <f>YEAR(Tabla1[[#This Row],[Fecha]])</f>
        <v>2024</v>
      </c>
    </row>
    <row r="426" spans="1:8" hidden="1" x14ac:dyDescent="0.25">
      <c r="A426" s="3">
        <v>392</v>
      </c>
      <c r="B426" s="360">
        <v>45378</v>
      </c>
      <c r="C426" s="316">
        <v>270000</v>
      </c>
      <c r="D426" s="3" t="str">
        <f>VLOOKUP(A426,Facturas!A:P,2,0)</f>
        <v>P-1380</v>
      </c>
      <c r="E426" s="3" t="str">
        <f>VLOOKUP(A426,Facturas!A:P,4,0)</f>
        <v>TIS-1369</v>
      </c>
      <c r="F426" t="str">
        <f>VLOOKUP(A426,Facturas!A:P,8,0)</f>
        <v>DIGITAL MEDIA TECHNOLOGIES COLOMBIA SAS</v>
      </c>
      <c r="H426">
        <f>YEAR(Tabla1[[#This Row],[Fecha]])</f>
        <v>2024</v>
      </c>
    </row>
    <row r="427" spans="1:8" hidden="1" x14ac:dyDescent="0.25">
      <c r="A427" s="3">
        <v>379</v>
      </c>
      <c r="B427" s="360">
        <v>45387</v>
      </c>
      <c r="C427" s="316">
        <v>280800</v>
      </c>
      <c r="D427" s="3" t="str">
        <f>VLOOKUP(A427,Facturas!A:P,2,0)</f>
        <v>P-1367</v>
      </c>
      <c r="E427" s="3" t="str">
        <f>VLOOKUP(A427,Facturas!A:P,4,0)</f>
        <v>TIS-1345</v>
      </c>
      <c r="F427" t="str">
        <f>VLOOKUP(A427,Facturas!A:P,8,0)</f>
        <v>Comercializadora ERZ SAS</v>
      </c>
      <c r="H427">
        <f>YEAR(Tabla1[[#This Row],[Fecha]])</f>
        <v>2024</v>
      </c>
    </row>
    <row r="428" spans="1:8" hidden="1" x14ac:dyDescent="0.25">
      <c r="A428" s="3">
        <v>375</v>
      </c>
      <c r="B428" s="360">
        <v>45387</v>
      </c>
      <c r="C428" s="316">
        <v>2012500</v>
      </c>
      <c r="D428" s="3" t="str">
        <f>VLOOKUP(A428,Facturas!A:P,2,0)</f>
        <v>P-1363</v>
      </c>
      <c r="E428" s="3" t="str">
        <f>VLOOKUP(A428,Facturas!A:P,4,0)</f>
        <v>TIS-1344</v>
      </c>
      <c r="F428" t="str">
        <f>VLOOKUP(A428,Facturas!A:P,8,0)</f>
        <v>FRIGOTAURUS SAS</v>
      </c>
      <c r="H428">
        <f>YEAR(Tabla1[[#This Row],[Fecha]])</f>
        <v>2024</v>
      </c>
    </row>
    <row r="429" spans="1:8" hidden="1" x14ac:dyDescent="0.25">
      <c r="A429" s="3">
        <v>373</v>
      </c>
      <c r="B429" s="360">
        <v>45387</v>
      </c>
      <c r="C429" s="316">
        <v>207535</v>
      </c>
      <c r="D429" s="3" t="str">
        <f>VLOOKUP(A429,Facturas!A:P,2,0)</f>
        <v>P-1361</v>
      </c>
      <c r="E429" s="3" t="str">
        <f>VLOOKUP(A429,Facturas!A:P,4,0)</f>
        <v>TIS-1342</v>
      </c>
      <c r="F429" t="str">
        <f>VLOOKUP(A429,Facturas!A:P,8,0)</f>
        <v>Soluciones Avanzadas de Ingeniería SAS</v>
      </c>
      <c r="H429">
        <f>YEAR(Tabla1[[#This Row],[Fecha]])</f>
        <v>2024</v>
      </c>
    </row>
    <row r="430" spans="1:8" hidden="1" x14ac:dyDescent="0.25">
      <c r="A430" s="3">
        <v>309</v>
      </c>
      <c r="B430" s="360">
        <v>45394</v>
      </c>
      <c r="C430" s="316">
        <v>2037341</v>
      </c>
      <c r="D430" s="3" t="str">
        <f>VLOOKUP(A430,Facturas!A:P,2,0)</f>
        <v>P-1297</v>
      </c>
      <c r="E430" s="3" t="str">
        <f>VLOOKUP(A430,Facturas!A:P,4,0)</f>
        <v>TIS-1278</v>
      </c>
      <c r="F430" t="str">
        <f>VLOOKUP(A430,Facturas!A:P,8,0)</f>
        <v>SUPPLYTEC SAS</v>
      </c>
      <c r="H430">
        <f>YEAR(Tabla1[[#This Row],[Fecha]])</f>
        <v>2024</v>
      </c>
    </row>
    <row r="431" spans="1:8" hidden="1" x14ac:dyDescent="0.25">
      <c r="A431" s="3">
        <v>385</v>
      </c>
      <c r="B431" s="360">
        <v>45397</v>
      </c>
      <c r="C431" s="316">
        <v>1173350</v>
      </c>
      <c r="D431" s="3" t="str">
        <f>VLOOKUP(A431,Facturas!A:P,2,0)</f>
        <v>P-1373</v>
      </c>
      <c r="E431" s="3" t="str">
        <f>VLOOKUP(A431,Facturas!A:P,4,0)</f>
        <v>TIS-1352</v>
      </c>
      <c r="F431" t="str">
        <f>VLOOKUP(A431,Facturas!A:P,8,0)</f>
        <v>ELKIN EDUARDO ORTIZ ORTIZ</v>
      </c>
      <c r="G431" s="222"/>
      <c r="H431">
        <f>YEAR(Tabla1[[#This Row],[Fecha]])</f>
        <v>2024</v>
      </c>
    </row>
    <row r="432" spans="1:8" hidden="1" x14ac:dyDescent="0.25">
      <c r="A432" s="3">
        <v>515</v>
      </c>
      <c r="B432" s="360">
        <v>45398</v>
      </c>
      <c r="C432" s="316">
        <v>456356</v>
      </c>
      <c r="D432" s="3" t="str">
        <f>VLOOKUP(A432,Facturas!A:P,2,0)</f>
        <v>P-1504</v>
      </c>
      <c r="E432" s="3" t="str">
        <f>VLOOKUP(A432,Facturas!A:P,4,0)</f>
        <v>TIS-1360</v>
      </c>
      <c r="F432" t="str">
        <f>VLOOKUP(A432,Facturas!A:P,8,0)</f>
        <v>BIO ENDOSCOPE LTDA</v>
      </c>
      <c r="G432" s="319"/>
      <c r="H432">
        <f>YEAR(Tabla1[[#This Row],[Fecha]])</f>
        <v>2024</v>
      </c>
    </row>
    <row r="433" spans="1:8" hidden="1" x14ac:dyDescent="0.25">
      <c r="A433" s="3">
        <v>387</v>
      </c>
      <c r="B433" s="360">
        <v>45398</v>
      </c>
      <c r="C433" s="316">
        <v>1334198</v>
      </c>
      <c r="D433" s="3" t="str">
        <f>VLOOKUP(A433,Facturas!A:P,2,0)</f>
        <v>P-1375</v>
      </c>
      <c r="E433" s="3" t="str">
        <f>VLOOKUP(A433,Facturas!A:P,4,0)</f>
        <v>TIS-1364</v>
      </c>
      <c r="F433" t="str">
        <f>VLOOKUP(A433,Facturas!A:P,8,0)</f>
        <v>MASTERLINE COLOMBIA SOCIEDAD POR ACCIONES SIMPLIFICADA</v>
      </c>
      <c r="H433">
        <f>YEAR(Tabla1[[#This Row],[Fecha]])</f>
        <v>2024</v>
      </c>
    </row>
    <row r="434" spans="1:8" hidden="1" x14ac:dyDescent="0.25">
      <c r="A434" s="3">
        <v>381</v>
      </c>
      <c r="B434" s="360">
        <v>45404</v>
      </c>
      <c r="C434" s="316">
        <v>357000</v>
      </c>
      <c r="D434" s="3" t="str">
        <f>VLOOKUP(A434,Facturas!A:P,2,0)</f>
        <v>P-1369</v>
      </c>
      <c r="E434" s="3" t="str">
        <f>VLOOKUP(A434,Facturas!A:P,4,0)</f>
        <v>TIS-1347</v>
      </c>
      <c r="F434" t="str">
        <f>VLOOKUP(A434,Facturas!A:P,8,0)</f>
        <v>STAFF SEGUROS AGENCIA LTDA</v>
      </c>
      <c r="H434">
        <f>YEAR(Tabla1[[#This Row],[Fecha]])</f>
        <v>2024</v>
      </c>
    </row>
    <row r="435" spans="1:8" hidden="1" x14ac:dyDescent="0.25">
      <c r="A435" s="3">
        <v>391</v>
      </c>
      <c r="B435" s="360">
        <v>45404</v>
      </c>
      <c r="C435" s="316">
        <f>714000-C447</f>
        <v>357000</v>
      </c>
      <c r="D435" s="3" t="str">
        <f>VLOOKUP(A435,Facturas!A:P,2,0)</f>
        <v>P-1379</v>
      </c>
      <c r="E435" s="3" t="str">
        <f>VLOOKUP(A435,Facturas!A:P,4,0)</f>
        <v>TIS-1368</v>
      </c>
      <c r="F435" t="str">
        <f>VLOOKUP(A435,Facturas!A:P,8,0)</f>
        <v>STAFF SEGUROS AGENCIA LTDA</v>
      </c>
      <c r="H435">
        <f>YEAR(Tabla1[[#This Row],[Fecha]])</f>
        <v>2024</v>
      </c>
    </row>
    <row r="436" spans="1:8" hidden="1" x14ac:dyDescent="0.25">
      <c r="A436" s="3">
        <v>330</v>
      </c>
      <c r="B436" s="360">
        <v>45412</v>
      </c>
      <c r="C436" s="316">
        <v>1368408</v>
      </c>
      <c r="D436" s="3" t="str">
        <f>VLOOKUP(A436,Facturas!A:P,2,0)</f>
        <v>P-1318</v>
      </c>
      <c r="E436" s="3" t="str">
        <f>VLOOKUP(A436,Facturas!A:P,4,0)</f>
        <v>TIS-1298</v>
      </c>
      <c r="F436" t="str">
        <f>VLOOKUP(A436,Facturas!A:P,8,0)</f>
        <v>CONPORTUARIO LTDA</v>
      </c>
      <c r="H436">
        <f>YEAR(Tabla1[[#This Row],[Fecha]])</f>
        <v>2024</v>
      </c>
    </row>
    <row r="437" spans="1:8" hidden="1" x14ac:dyDescent="0.25">
      <c r="A437" s="391"/>
      <c r="B437" s="390">
        <v>45415</v>
      </c>
      <c r="C437" s="392">
        <v>649090</v>
      </c>
      <c r="D437" s="391" t="e">
        <f>VLOOKUP(A437,Facturas!A:P,2,0)</f>
        <v>#N/A</v>
      </c>
      <c r="E437" s="391" t="e">
        <f>VLOOKUP(A437,Facturas!A:P,4,0)</f>
        <v>#N/A</v>
      </c>
      <c r="F437" s="393" t="e">
        <f>VLOOKUP(A437,Facturas!A:P,8,0)</f>
        <v>#N/A</v>
      </c>
      <c r="G437" s="393" t="s">
        <v>383</v>
      </c>
      <c r="H437" s="393">
        <f>YEAR(Tabla1[[#This Row],[Fecha]])</f>
        <v>2024</v>
      </c>
    </row>
    <row r="438" spans="1:8" x14ac:dyDescent="0.25">
      <c r="A438" s="3">
        <v>370</v>
      </c>
      <c r="B438" s="327">
        <v>45415</v>
      </c>
      <c r="C438" s="316">
        <v>201250</v>
      </c>
      <c r="D438" s="3" t="str">
        <f>VLOOKUP(A438,Facturas!A:P,2,0)</f>
        <v>P-1358</v>
      </c>
      <c r="E438" s="3" t="str">
        <f>VLOOKUP(A438,Facturas!A:P,4,0)</f>
        <v>TIS-1339</v>
      </c>
      <c r="F438" t="str">
        <f>VLOOKUP(A438,Facturas!A:P,8,0)</f>
        <v>ROYCO SOLUCIONES SAS</v>
      </c>
      <c r="H438">
        <f>YEAR(Tabla1[[#This Row],[Fecha]])</f>
        <v>2024</v>
      </c>
    </row>
    <row r="439" spans="1:8" x14ac:dyDescent="0.25">
      <c r="A439" s="3">
        <v>380</v>
      </c>
      <c r="B439" s="327">
        <v>45415</v>
      </c>
      <c r="C439" s="316">
        <v>201250</v>
      </c>
      <c r="D439" s="3" t="str">
        <f>VLOOKUP(A439,Facturas!A:P,2,0)</f>
        <v>P-1368</v>
      </c>
      <c r="E439" s="3" t="str">
        <f>VLOOKUP(A439,Facturas!A:P,4,0)</f>
        <v>TIS-1346</v>
      </c>
      <c r="F439" t="str">
        <f>VLOOKUP(A439,Facturas!A:P,8,0)</f>
        <v>ROYCO SOLUCIONES SAS</v>
      </c>
      <c r="H439">
        <f>YEAR(Tabla1[[#This Row],[Fecha]])</f>
        <v>2024</v>
      </c>
    </row>
    <row r="440" spans="1:8" hidden="1" x14ac:dyDescent="0.25">
      <c r="A440" s="3">
        <v>368</v>
      </c>
      <c r="B440" s="360">
        <v>45421</v>
      </c>
      <c r="C440" s="316">
        <v>270000</v>
      </c>
      <c r="D440" s="3" t="str">
        <f>VLOOKUP(A440,Facturas!A:P,2,0)</f>
        <v>P-1356</v>
      </c>
      <c r="E440" s="3" t="str">
        <f>VLOOKUP(A440,Facturas!A:P,4,0)</f>
        <v>TIS-1337</v>
      </c>
      <c r="F440" t="str">
        <f>VLOOKUP(A440,Facturas!A:P,8,0)</f>
        <v>DIGITAL MEDIA TECHNOLOGIES COLOMBIA SAS</v>
      </c>
      <c r="H440">
        <f>YEAR(Tabla1[[#This Row],[Fecha]])</f>
        <v>2024</v>
      </c>
    </row>
    <row r="441" spans="1:8" hidden="1" x14ac:dyDescent="0.25">
      <c r="A441" s="325">
        <v>407</v>
      </c>
      <c r="B441" s="327">
        <v>45422</v>
      </c>
      <c r="C441" s="253">
        <v>250000</v>
      </c>
      <c r="D441" s="325" t="str">
        <f>VLOOKUP(A441,Facturas!A:P,2,0)</f>
        <v>P-1396</v>
      </c>
      <c r="E441" s="325" t="str">
        <f>VLOOKUP(A441,Facturas!A:P,4,0)</f>
        <v>TIS-1384</v>
      </c>
      <c r="F441" t="str">
        <f>VLOOKUP(A441,Facturas!A:P,8,0)</f>
        <v>MARCEGAGLIA COLOMBIA SAS</v>
      </c>
      <c r="G441" s="190" t="s">
        <v>391</v>
      </c>
      <c r="H441">
        <f>YEAR(Tabla1[[#This Row],[Fecha]])</f>
        <v>2024</v>
      </c>
    </row>
    <row r="442" spans="1:8" hidden="1" x14ac:dyDescent="0.25">
      <c r="A442" s="3">
        <v>405</v>
      </c>
      <c r="B442" s="360">
        <v>45426</v>
      </c>
      <c r="C442" s="316">
        <v>1200000</v>
      </c>
      <c r="D442" s="3" t="str">
        <f>VLOOKUP(A442,Facturas!A:P,2,0)</f>
        <v>P-1394</v>
      </c>
      <c r="E442" s="3" t="str">
        <f>VLOOKUP(A442,Facturas!A:P,4,0)</f>
        <v>TIS-1382</v>
      </c>
      <c r="F442" t="str">
        <f>VLOOKUP(A442,Facturas!A:P,8,0)</f>
        <v>INDUSTRIAS Y SOLUCIONES METALMECANICAS COLOMBIA SAS</v>
      </c>
      <c r="H442">
        <f>YEAR(Tabla1[[#This Row],[Fecha]])</f>
        <v>2024</v>
      </c>
    </row>
    <row r="443" spans="1:8" hidden="1" x14ac:dyDescent="0.25">
      <c r="A443" s="3">
        <v>365</v>
      </c>
      <c r="B443" s="360">
        <v>45426</v>
      </c>
      <c r="C443" s="316">
        <v>561600</v>
      </c>
      <c r="D443" s="3" t="str">
        <f>VLOOKUP(A443,Facturas!A:P,2,0)</f>
        <v>P-1353</v>
      </c>
      <c r="E443" s="3" t="str">
        <f>VLOOKUP(A443,Facturas!A:P,4,0)</f>
        <v>TIS-1334</v>
      </c>
      <c r="F443" t="str">
        <f>VLOOKUP(A443,Facturas!A:P,8,0)</f>
        <v>Comercializadora ERZ SAS</v>
      </c>
      <c r="G443" s="319" t="s">
        <v>392</v>
      </c>
      <c r="H443">
        <f>YEAR(Tabla1[[#This Row],[Fecha]])</f>
        <v>2024</v>
      </c>
    </row>
    <row r="444" spans="1:8" hidden="1" x14ac:dyDescent="0.25">
      <c r="A444" s="3">
        <v>397</v>
      </c>
      <c r="B444" s="360">
        <v>45426</v>
      </c>
      <c r="C444" s="316">
        <v>714000</v>
      </c>
      <c r="D444" s="3" t="str">
        <f>VLOOKUP(A444,Facturas!A:P,2,0)</f>
        <v>P-1385</v>
      </c>
      <c r="E444" s="3" t="str">
        <f>VLOOKUP(A444,Facturas!A:P,4,0)</f>
        <v>TIS-1374</v>
      </c>
      <c r="F444" t="str">
        <f>VLOOKUP(A444,Facturas!A:P,8,0)</f>
        <v>GB BARRETO Y CIA LTDA - ASESORES DE SEGUROS</v>
      </c>
      <c r="G444" s="319"/>
      <c r="H444">
        <f>YEAR(Tabla1[[#This Row],[Fecha]])</f>
        <v>2024</v>
      </c>
    </row>
    <row r="445" spans="1:8" hidden="1" x14ac:dyDescent="0.25">
      <c r="A445" s="3">
        <v>396</v>
      </c>
      <c r="B445" s="360">
        <v>45434</v>
      </c>
      <c r="C445" s="316">
        <v>222180</v>
      </c>
      <c r="D445" s="3" t="str">
        <f>VLOOKUP(A445,Facturas!A:P,2,0)</f>
        <v>P-1384</v>
      </c>
      <c r="E445" s="3" t="str">
        <f>VLOOKUP(A445,Facturas!A:P,4,0)</f>
        <v>TIS-1373</v>
      </c>
      <c r="F445" t="str">
        <f>VLOOKUP(A445,Facturas!A:P,8,0)</f>
        <v>ALVEAR ESCOBAR ASOCIADOS S.A.S</v>
      </c>
      <c r="G445" s="319"/>
      <c r="H445">
        <f>YEAR(Tabla1[[#This Row],[Fecha]])</f>
        <v>2024</v>
      </c>
    </row>
    <row r="446" spans="1:8" hidden="1" x14ac:dyDescent="0.25">
      <c r="A446" s="3">
        <v>424</v>
      </c>
      <c r="B446" s="360">
        <v>45442</v>
      </c>
      <c r="C446" s="316">
        <v>270000</v>
      </c>
      <c r="D446" s="3" t="str">
        <f>VLOOKUP(A446,Facturas!A:P,2,0)</f>
        <v>P-1413</v>
      </c>
      <c r="E446" s="3" t="str">
        <f>VLOOKUP(A446,Facturas!A:P,4,0)</f>
        <v>TIS-1402</v>
      </c>
      <c r="F446" t="str">
        <f>VLOOKUP(A446,Facturas!A:P,8,0)</f>
        <v>DIGITAL MEDIA TECHNOLOGIES COLOMBIA SAS</v>
      </c>
      <c r="G446" s="319"/>
      <c r="H446">
        <f>YEAR(Tabla1[[#This Row],[Fecha]])</f>
        <v>2024</v>
      </c>
    </row>
    <row r="447" spans="1:8" hidden="1" x14ac:dyDescent="0.25">
      <c r="A447" s="3">
        <v>423</v>
      </c>
      <c r="B447" s="360">
        <v>45404</v>
      </c>
      <c r="C447" s="316">
        <v>357000</v>
      </c>
      <c r="D447" s="3" t="str">
        <f>VLOOKUP(A447,Facturas!A:P,2,0)</f>
        <v>P-1412</v>
      </c>
      <c r="E447" s="3" t="str">
        <f>VLOOKUP(A447,Facturas!A:P,4,0)</f>
        <v>TIS-1401</v>
      </c>
      <c r="F447" t="str">
        <f>VLOOKUP(A447,Facturas!A:P,8,0)</f>
        <v>STAFF SEGUROS AGENCIA LTDA</v>
      </c>
      <c r="G447" s="319"/>
      <c r="H447">
        <f>YEAR(Tabla1[[#This Row],[Fecha]])</f>
        <v>2024</v>
      </c>
    </row>
    <row r="448" spans="1:8" hidden="1" x14ac:dyDescent="0.25">
      <c r="A448" s="328">
        <v>669</v>
      </c>
      <c r="B448" s="360">
        <v>45443</v>
      </c>
      <c r="C448" s="316">
        <f>600000-C457</f>
        <v>565250</v>
      </c>
      <c r="D448" s="3" t="str">
        <f>VLOOKUP(A448,Facturas!A:P,2,0)</f>
        <v>P-1390</v>
      </c>
      <c r="E448" s="3" t="str">
        <f>VLOOKUP(A448,Facturas!A:P,4,0)</f>
        <v>TIS-1378</v>
      </c>
      <c r="F448" t="str">
        <f>VLOOKUP(A448,Facturas!A:P,8,0)</f>
        <v>STAFF SEGUROS AGENCIA LTDA</v>
      </c>
      <c r="G448" s="319"/>
      <c r="H448">
        <f>YEAR(Tabla1[[#This Row],[Fecha]])</f>
        <v>2024</v>
      </c>
    </row>
    <row r="449" spans="1:8" hidden="1" x14ac:dyDescent="0.25">
      <c r="A449" s="3">
        <v>438</v>
      </c>
      <c r="B449" s="360">
        <v>45540</v>
      </c>
      <c r="C449" s="333">
        <v>308448</v>
      </c>
      <c r="D449" s="3" t="str">
        <f>VLOOKUP(A449,Facturas!A:P,2,0)</f>
        <v>P-1427</v>
      </c>
      <c r="E449" s="3" t="str">
        <f>VLOOKUP(A449,Facturas!A:P,4,0)</f>
        <v>TIS-1418</v>
      </c>
      <c r="F449" t="str">
        <f>VLOOKUP(A449,Facturas!A:P,8,0)</f>
        <v>EVAL.COM CONSULTING SAS</v>
      </c>
      <c r="H449">
        <f>YEAR(Tabla1[[#This Row],[Fecha]])</f>
        <v>2024</v>
      </c>
    </row>
    <row r="450" spans="1:8" hidden="1" x14ac:dyDescent="0.25">
      <c r="A450" s="3">
        <v>446</v>
      </c>
      <c r="B450" s="360">
        <v>45545</v>
      </c>
      <c r="C450" s="333">
        <v>1740000</v>
      </c>
      <c r="D450" s="3" t="str">
        <f>VLOOKUP(A450,Facturas!A:P,2,0)</f>
        <v>P-1435</v>
      </c>
      <c r="E450" s="3" t="str">
        <f>VLOOKUP(A450,Facturas!A:P,4,0)</f>
        <v>TIS-1407</v>
      </c>
      <c r="F450" t="str">
        <f>VLOOKUP(A450,Facturas!A:P,8,0)</f>
        <v>TKARGA SAS</v>
      </c>
      <c r="H450">
        <f>YEAR(Tabla1[[#This Row],[Fecha]])</f>
        <v>2024</v>
      </c>
    </row>
    <row r="451" spans="1:8" hidden="1" x14ac:dyDescent="0.25">
      <c r="A451" s="3">
        <v>425</v>
      </c>
      <c r="B451" s="360">
        <v>45546</v>
      </c>
      <c r="C451" s="333">
        <v>218903</v>
      </c>
      <c r="D451" s="3" t="str">
        <f>VLOOKUP(A451,Facturas!A:P,2,0)</f>
        <v>P-1414</v>
      </c>
      <c r="E451" s="3" t="str">
        <f>VLOOKUP(A451,Facturas!A:P,4,0)</f>
        <v>TIS-1403</v>
      </c>
      <c r="F451" t="str">
        <f>VLOOKUP(A451,Facturas!A:P,8,0)</f>
        <v>ALVEAR ESCOBAR ASOCIADOS S.A.S</v>
      </c>
      <c r="H451">
        <f>YEAR(Tabla1[[#This Row],[Fecha]])</f>
        <v>2024</v>
      </c>
    </row>
    <row r="452" spans="1:8" hidden="1" x14ac:dyDescent="0.25">
      <c r="A452" s="3">
        <v>394</v>
      </c>
      <c r="B452" s="360">
        <v>45448</v>
      </c>
      <c r="C452" s="333">
        <v>622003</v>
      </c>
      <c r="D452" s="3" t="str">
        <f>VLOOKUP(A452,Facturas!A:P,2,0)</f>
        <v>P-1382</v>
      </c>
      <c r="E452" s="3" t="str">
        <f>VLOOKUP(A452,Facturas!A:P,4,0)</f>
        <v>TIS-1371</v>
      </c>
      <c r="F452" t="str">
        <f>VLOOKUP(A452,Facturas!A:P,8,0)</f>
        <v>GENUINE TECH SAS</v>
      </c>
      <c r="H452">
        <f>YEAR(Tabla1[[#This Row],[Fecha]])</f>
        <v>2024</v>
      </c>
    </row>
    <row r="453" spans="1:8" hidden="1" x14ac:dyDescent="0.25">
      <c r="A453" s="3">
        <v>456</v>
      </c>
      <c r="B453" s="360">
        <v>45547</v>
      </c>
      <c r="C453" s="316">
        <v>500000</v>
      </c>
      <c r="D453" s="3" t="str">
        <f>VLOOKUP(A453,Facturas!A:P,2,0)</f>
        <v>P-1445</v>
      </c>
      <c r="E453" s="3" t="str">
        <f>VLOOKUP(A453,Facturas!A:P,4,0)</f>
        <v>TIS-1434</v>
      </c>
      <c r="F453" t="str">
        <f>VLOOKUP(A453,Facturas!A:P,8,0)</f>
        <v>MELOS Y MELOS SAS</v>
      </c>
      <c r="G453" s="222"/>
      <c r="H453">
        <f>YEAR(Tabla1[[#This Row],[Fecha]])</f>
        <v>2024</v>
      </c>
    </row>
    <row r="454" spans="1:8" hidden="1" x14ac:dyDescent="0.25">
      <c r="A454" s="3">
        <v>438</v>
      </c>
      <c r="B454" s="360">
        <v>45551</v>
      </c>
      <c r="C454" s="333">
        <v>205632</v>
      </c>
      <c r="D454" s="3" t="str">
        <f>VLOOKUP(A454,Facturas!A:P,2,0)</f>
        <v>P-1427</v>
      </c>
      <c r="E454" s="3" t="str">
        <f>VLOOKUP(A454,Facturas!A:P,4,0)</f>
        <v>TIS-1418</v>
      </c>
      <c r="F454" t="str">
        <f>VLOOKUP(A454,Facturas!A:P,8,0)</f>
        <v>EVAL.COM CONSULTING SAS</v>
      </c>
      <c r="H454">
        <f>YEAR(Tabla1[[#This Row],[Fecha]])</f>
        <v>2024</v>
      </c>
    </row>
    <row r="455" spans="1:8" hidden="1" x14ac:dyDescent="0.25">
      <c r="A455" s="3">
        <v>430</v>
      </c>
      <c r="B455" s="360">
        <v>45553</v>
      </c>
      <c r="C455" s="333">
        <v>280800</v>
      </c>
      <c r="D455" s="3" t="str">
        <f>VLOOKUP(A455,Facturas!A:P,2,0)</f>
        <v>P-1419</v>
      </c>
      <c r="E455" s="3" t="str">
        <f>VLOOKUP(A455,Facturas!A:P,4,0)</f>
        <v>TIS-1410</v>
      </c>
      <c r="F455" t="str">
        <f>VLOOKUP(A455,Facturas!A:P,8,0)</f>
        <v>Comercializadora ERZ SAS</v>
      </c>
      <c r="G455" s="222"/>
      <c r="H455">
        <f>YEAR(Tabla1[[#This Row],[Fecha]])</f>
        <v>2024</v>
      </c>
    </row>
    <row r="456" spans="1:8" hidden="1" x14ac:dyDescent="0.25">
      <c r="A456" s="3">
        <v>433</v>
      </c>
      <c r="B456" s="360">
        <v>45554</v>
      </c>
      <c r="C456" s="333">
        <v>324000</v>
      </c>
      <c r="D456" s="3" t="str">
        <f>VLOOKUP(A456,Facturas!A:P,2,0)</f>
        <v>P-1422</v>
      </c>
      <c r="E456" s="3" t="str">
        <f>VLOOKUP(A456,Facturas!A:P,4,0)</f>
        <v>TIS-1413</v>
      </c>
      <c r="F456" t="str">
        <f>VLOOKUP(A456,Facturas!A:P,8,0)</f>
        <v>DIGITAL MEDIA TECHNOLOGIES COLOMBIA SAS</v>
      </c>
      <c r="H456">
        <f>YEAR(Tabla1[[#This Row],[Fecha]])</f>
        <v>2024</v>
      </c>
    </row>
    <row r="457" spans="1:8" hidden="1" x14ac:dyDescent="0.25">
      <c r="A457" s="3">
        <v>442</v>
      </c>
      <c r="B457" s="360">
        <v>45443</v>
      </c>
      <c r="C457" s="333">
        <v>34750</v>
      </c>
      <c r="D457" s="3" t="str">
        <f>VLOOKUP(A457,Facturas!A:P,2,0)</f>
        <v>P-1431</v>
      </c>
      <c r="E457" s="3" t="str">
        <f>VLOOKUP(A457,Facturas!A:P,4,0)</f>
        <v>TIS-1423</v>
      </c>
      <c r="F457" t="str">
        <f>VLOOKUP(A457,Facturas!A:P,8,0)</f>
        <v>STAFF SEGUROS AGENCIA LTDA</v>
      </c>
      <c r="H457">
        <f>YEAR(Tabla1[[#This Row],[Fecha]])</f>
        <v>2024</v>
      </c>
    </row>
    <row r="458" spans="1:8" hidden="1" x14ac:dyDescent="0.25">
      <c r="A458" s="3">
        <v>412</v>
      </c>
      <c r="B458" s="360">
        <v>45559</v>
      </c>
      <c r="C458" s="333">
        <v>1071000</v>
      </c>
      <c r="D458" s="3" t="str">
        <f>VLOOKUP(A458,Facturas!A:P,2,0)</f>
        <v>P-1401</v>
      </c>
      <c r="E458" s="3" t="str">
        <f>VLOOKUP(A458,Facturas!A:P,4,0)</f>
        <v>TIS-1390</v>
      </c>
      <c r="F458" t="str">
        <f>VLOOKUP(A458,Facturas!A:P,8,0)</f>
        <v>STAFF SEGUROS AGENCIA LTDA</v>
      </c>
      <c r="H458">
        <f>YEAR(Tabla1[[#This Row],[Fecha]])</f>
        <v>2024</v>
      </c>
    </row>
    <row r="459" spans="1:8" hidden="1" x14ac:dyDescent="0.25">
      <c r="A459" s="3">
        <v>399</v>
      </c>
      <c r="B459" s="360">
        <v>45561</v>
      </c>
      <c r="C459" s="333">
        <v>7451590</v>
      </c>
      <c r="D459" s="3" t="str">
        <f>VLOOKUP(A459,Facturas!A:P,2,0)</f>
        <v>P-1387</v>
      </c>
      <c r="E459" s="3" t="str">
        <f>VLOOKUP(A459,Facturas!A:P,4,0)</f>
        <v>TIS-1375</v>
      </c>
      <c r="F459" t="str">
        <f>VLOOKUP(A459,Facturas!A:P,8,0)</f>
        <v>INSTITUTO DISTRITAL DE CIENCIA, BIOTECNOLOGIA E INNOVACION EN SALUD</v>
      </c>
      <c r="H459">
        <f>YEAR(Tabla1[[#This Row],[Fecha]])</f>
        <v>2024</v>
      </c>
    </row>
    <row r="460" spans="1:8" hidden="1" x14ac:dyDescent="0.25">
      <c r="A460" s="3">
        <v>436</v>
      </c>
      <c r="B460" s="360">
        <v>45562</v>
      </c>
      <c r="C460" s="333">
        <v>3776346</v>
      </c>
      <c r="D460" s="3" t="str">
        <f>VLOOKUP(A460,Facturas!A:P,2,0)</f>
        <v>P-1425</v>
      </c>
      <c r="E460" s="3" t="str">
        <f>VLOOKUP(A460,Facturas!A:P,4,0)</f>
        <v>TIS-1416</v>
      </c>
      <c r="F460" t="str">
        <f>VLOOKUP(A460,Facturas!A:P,8,0)</f>
        <v>MARCEGAGLIA COLOMBIA SAS</v>
      </c>
      <c r="H460">
        <f>YEAR(Tabla1[[#This Row],[Fecha]])</f>
        <v>2024</v>
      </c>
    </row>
    <row r="461" spans="1:8" hidden="1" x14ac:dyDescent="0.25">
      <c r="A461" s="3">
        <v>403</v>
      </c>
      <c r="B461" s="360">
        <v>45463</v>
      </c>
      <c r="C461" s="316">
        <v>622003</v>
      </c>
      <c r="D461" s="3" t="str">
        <f>VLOOKUP(A461,Facturas!A:P,2,0)</f>
        <v>P-1392</v>
      </c>
      <c r="E461" s="3" t="str">
        <f>VLOOKUP(A461,Facturas!A:P,4,0)</f>
        <v>TIS-1380</v>
      </c>
      <c r="F461" t="str">
        <f>VLOOKUP(A461,Facturas!A:P,8,0)</f>
        <v>GENUINE TECH SAS</v>
      </c>
      <c r="H461">
        <f>YEAR(Tabla1[[#This Row],[Fecha]])</f>
        <v>2024</v>
      </c>
    </row>
    <row r="462" spans="1:8" hidden="1" x14ac:dyDescent="0.25">
      <c r="A462" s="3">
        <v>405</v>
      </c>
      <c r="B462" s="360">
        <v>45455</v>
      </c>
      <c r="C462" s="316">
        <v>1180000</v>
      </c>
      <c r="D462" s="3" t="str">
        <f>VLOOKUP(A462,Facturas!A:P,2,0)</f>
        <v>P-1394</v>
      </c>
      <c r="E462" s="3" t="str">
        <f>VLOOKUP(A462,Facturas!A:P,4,0)</f>
        <v>TIS-1382</v>
      </c>
      <c r="F462" t="str">
        <f>VLOOKUP(A462,Facturas!A:P,8,0)</f>
        <v>INDUSTRIAS Y SOLUCIONES METALMECANICAS COLOMBIA SAS</v>
      </c>
      <c r="H462">
        <f>YEAR(Tabla1[[#This Row],[Fecha]])</f>
        <v>2024</v>
      </c>
    </row>
    <row r="463" spans="1:8" hidden="1" x14ac:dyDescent="0.25">
      <c r="A463" s="3">
        <v>366</v>
      </c>
      <c r="B463" s="360">
        <v>45456</v>
      </c>
      <c r="C463" s="316">
        <v>321102</v>
      </c>
      <c r="D463" s="3" t="str">
        <f>VLOOKUP(A463,Facturas!A:P,2,0)</f>
        <v>P-1354</v>
      </c>
      <c r="E463" s="3" t="str">
        <f>VLOOKUP(A463,Facturas!A:P,4,0)</f>
        <v>TIS-1335</v>
      </c>
      <c r="F463" t="str">
        <f>VLOOKUP(A463,Facturas!A:P,8,0)</f>
        <v>PRODUCTORA INTERAMERICANA DE PLASTICOS S.A.S.</v>
      </c>
      <c r="H463">
        <f>YEAR(Tabla1[[#This Row],[Fecha]])</f>
        <v>2024</v>
      </c>
    </row>
    <row r="464" spans="1:8" hidden="1" x14ac:dyDescent="0.25">
      <c r="A464" s="3">
        <v>387</v>
      </c>
      <c r="B464" s="360">
        <v>45460</v>
      </c>
      <c r="C464" s="316">
        <v>1334198</v>
      </c>
      <c r="D464" s="3" t="str">
        <f>VLOOKUP(A464,Facturas!A:P,2,0)</f>
        <v>P-1375</v>
      </c>
      <c r="E464" s="3" t="str">
        <f>VLOOKUP(A464,Facturas!A:P,4,0)</f>
        <v>TIS-1364</v>
      </c>
      <c r="F464" t="str">
        <f>VLOOKUP(A464,Facturas!A:P,8,0)</f>
        <v>MASTERLINE COLOMBIA SOCIEDAD POR ACCIONES SIMPLIFICADA</v>
      </c>
      <c r="H464">
        <f>YEAR(Tabla1[[#This Row],[Fecha]])</f>
        <v>2024</v>
      </c>
    </row>
    <row r="465" spans="1:8" x14ac:dyDescent="0.25">
      <c r="A465" s="3">
        <v>390</v>
      </c>
      <c r="B465" s="188">
        <v>45461</v>
      </c>
      <c r="C465" s="316">
        <v>201250</v>
      </c>
      <c r="D465" s="3" t="s">
        <v>393</v>
      </c>
      <c r="E465" s="3" t="str">
        <f>VLOOKUP(A465,Facturas!A:P,4,0)</f>
        <v>TIS-1367</v>
      </c>
      <c r="F465" t="str">
        <f>VLOOKUP(A465,Facturas!A:P,8,0)</f>
        <v>ROYCO SOLUCIONES SAS</v>
      </c>
      <c r="H465">
        <f>YEAR(Tabla1[[#This Row],[Fecha]])</f>
        <v>2024</v>
      </c>
    </row>
    <row r="466" spans="1:8" hidden="1" x14ac:dyDescent="0.25">
      <c r="A466" s="3">
        <v>415</v>
      </c>
      <c r="B466" s="360">
        <v>45527</v>
      </c>
      <c r="C466" s="316">
        <v>622003</v>
      </c>
      <c r="D466" s="3" t="str">
        <f>VLOOKUP(A466,Facturas!A:P,2,0)</f>
        <v>P-1404</v>
      </c>
      <c r="E466" s="3" t="str">
        <f>VLOOKUP(A466,Facturas!A:P,4,0)</f>
        <v>TIS-1393</v>
      </c>
      <c r="F466" t="str">
        <f>VLOOKUP(A466,Facturas!A:P,8,0)</f>
        <v>GENUINE TECH SAS</v>
      </c>
      <c r="H466">
        <f>YEAR(Tabla1[[#This Row],[Fecha]])</f>
        <v>2024</v>
      </c>
    </row>
    <row r="467" spans="1:8" hidden="1" x14ac:dyDescent="0.25">
      <c r="A467" s="3">
        <v>402</v>
      </c>
      <c r="B467" s="360">
        <v>45463</v>
      </c>
      <c r="C467" s="316">
        <v>357000</v>
      </c>
      <c r="D467" s="3" t="str">
        <f>VLOOKUP(A467,Facturas!A:P,2,0)</f>
        <v>P-1391</v>
      </c>
      <c r="E467" s="3" t="str">
        <f>VLOOKUP(A467,Facturas!A:P,4,0)</f>
        <v>TIS-1379</v>
      </c>
      <c r="F467" t="str">
        <f>VLOOKUP(A467,Facturas!A:P,8,0)</f>
        <v>DIGITAL MEDIA TECHNOLOGIES COLOMBIA SAS</v>
      </c>
      <c r="H467">
        <f>YEAR(Tabla1[[#This Row],[Fecha]])</f>
        <v>2024</v>
      </c>
    </row>
    <row r="468" spans="1:8" hidden="1" x14ac:dyDescent="0.25">
      <c r="A468" s="3">
        <v>393</v>
      </c>
      <c r="B468" s="360">
        <v>45467</v>
      </c>
      <c r="C468" s="316">
        <v>400000</v>
      </c>
      <c r="D468" s="3" t="str">
        <f>VLOOKUP(A468,Facturas!A:P,2,0)</f>
        <v>P-1381</v>
      </c>
      <c r="E468" s="3" t="str">
        <f>VLOOKUP(A468,Facturas!A:P,4,0)</f>
        <v>TIS-1370</v>
      </c>
      <c r="F468" t="str">
        <f>VLOOKUP(A468,Facturas!A:P,8,0)</f>
        <v>Inversiones Sajamib SAS</v>
      </c>
      <c r="H468">
        <f>YEAR(Tabla1[[#This Row],[Fecha]])</f>
        <v>2024</v>
      </c>
    </row>
    <row r="469" spans="1:8" hidden="1" x14ac:dyDescent="0.25">
      <c r="A469" s="3">
        <v>422</v>
      </c>
      <c r="B469" s="360">
        <v>45467</v>
      </c>
      <c r="C469" s="316">
        <v>480000</v>
      </c>
      <c r="D469" s="3" t="str">
        <f>VLOOKUP(A469,Facturas!A:P,2,0)</f>
        <v>P-1411</v>
      </c>
      <c r="E469" s="3" t="str">
        <f>VLOOKUP(A469,Facturas!A:P,4,0)</f>
        <v>TIS-1400</v>
      </c>
      <c r="F469" t="str">
        <f>VLOOKUP(A469,Facturas!A:P,8,0)</f>
        <v>Inversiones Sajamib SAS</v>
      </c>
      <c r="H469">
        <f>YEAR(Tabla1[[#This Row],[Fecha]])</f>
        <v>2024</v>
      </c>
    </row>
    <row r="470" spans="1:8" hidden="1" x14ac:dyDescent="0.25">
      <c r="A470" s="3">
        <v>435</v>
      </c>
      <c r="B470" s="360">
        <v>45467</v>
      </c>
      <c r="C470" s="316">
        <v>480000</v>
      </c>
      <c r="D470" s="3" t="str">
        <f>VLOOKUP(A470,Facturas!A:P,2,0)</f>
        <v>P-1424</v>
      </c>
      <c r="E470" s="3" t="str">
        <f>VLOOKUP(A470,Facturas!A:P,4,0)</f>
        <v>TIS-1415</v>
      </c>
      <c r="F470" t="str">
        <f>VLOOKUP(A470,Facturas!A:P,8,0)</f>
        <v>Inversiones Sajamib SAS</v>
      </c>
      <c r="H470">
        <f>YEAR(Tabla1[[#This Row],[Fecha]])</f>
        <v>2024</v>
      </c>
    </row>
    <row r="471" spans="1:8" hidden="1" x14ac:dyDescent="0.25">
      <c r="A471" s="3">
        <v>449</v>
      </c>
      <c r="B471" s="360">
        <v>45467</v>
      </c>
      <c r="C471" s="316">
        <f>1600000-C468-C469-C470</f>
        <v>240000</v>
      </c>
      <c r="D471" s="3" t="str">
        <f>VLOOKUP(A471,Facturas!A:P,2,0)</f>
        <v>P-1438</v>
      </c>
      <c r="E471" s="3" t="str">
        <f>VLOOKUP(A471,Facturas!A:P,4,0)</f>
        <v>TIS-1427</v>
      </c>
      <c r="F471" t="str">
        <f>VLOOKUP(A471,Facturas!A:P,8,0)</f>
        <v>Inversiones Sajamib SAS</v>
      </c>
      <c r="H471">
        <f>YEAR(Tabla1[[#This Row],[Fecha]])</f>
        <v>2024</v>
      </c>
    </row>
    <row r="472" spans="1:8" hidden="1" x14ac:dyDescent="0.25">
      <c r="A472" s="3">
        <v>404</v>
      </c>
      <c r="B472" s="317">
        <v>45471</v>
      </c>
      <c r="C472" s="316">
        <v>5608714</v>
      </c>
      <c r="D472" s="3" t="str">
        <f>VLOOKUP(A472,Facturas!A:P,2,0)</f>
        <v>P-1393</v>
      </c>
      <c r="E472" s="3" t="str">
        <f>VLOOKUP(A472,Facturas!A:P,4,0)</f>
        <v>TIS-1381</v>
      </c>
      <c r="F472" t="str">
        <f>VLOOKUP(A472,Facturas!A:P,8,0)</f>
        <v>ACTIVOS SAS</v>
      </c>
      <c r="H472">
        <f>YEAR(Tabla1[[#This Row],[Fecha]])</f>
        <v>2024</v>
      </c>
    </row>
    <row r="473" spans="1:8" hidden="1" x14ac:dyDescent="0.25">
      <c r="A473" s="3">
        <v>407</v>
      </c>
      <c r="B473" s="360">
        <v>45478</v>
      </c>
      <c r="C473" s="316">
        <v>307750</v>
      </c>
      <c r="D473" s="3" t="str">
        <f>VLOOKUP(A473,Facturas!A:P,2,0)</f>
        <v>P-1396</v>
      </c>
      <c r="E473" s="3" t="str">
        <f>VLOOKUP(A473,Facturas!A:P,4,0)</f>
        <v>TIS-1384</v>
      </c>
      <c r="F473" t="str">
        <f>VLOOKUP(A473,Facturas!A:P,8,0)</f>
        <v>MARCEGAGLIA COLOMBIA SAS</v>
      </c>
      <c r="H473">
        <f>YEAR(Tabla1[[#This Row],[Fecha]])</f>
        <v>2024</v>
      </c>
    </row>
    <row r="474" spans="1:8" hidden="1" x14ac:dyDescent="0.25">
      <c r="A474" s="3"/>
      <c r="B474" s="360">
        <v>45483</v>
      </c>
      <c r="C474" s="316">
        <v>280800</v>
      </c>
      <c r="D474" s="3" t="e">
        <f>VLOOKUP(A474,Facturas!A:P,2,0)</f>
        <v>#N/A</v>
      </c>
      <c r="E474" s="3" t="e">
        <f>VLOOKUP(A474,Facturas!A:P,4,0)</f>
        <v>#N/A</v>
      </c>
      <c r="F474" t="e">
        <f>VLOOKUP(A474,Facturas!A:P,8,0)</f>
        <v>#N/A</v>
      </c>
      <c r="H474">
        <f>YEAR(Tabla1[[#This Row],[Fecha]])</f>
        <v>2024</v>
      </c>
    </row>
    <row r="475" spans="1:8" hidden="1" x14ac:dyDescent="0.25">
      <c r="A475" s="3">
        <v>504</v>
      </c>
      <c r="B475" s="360">
        <v>45487</v>
      </c>
      <c r="C475" s="316">
        <v>1374450</v>
      </c>
      <c r="D475" s="3" t="str">
        <f>VLOOKUP(A475,Facturas!A:P,2,0)</f>
        <v>P-1493</v>
      </c>
      <c r="E475" s="3" t="str">
        <f>VLOOKUP(A475,Facturas!A:P,4,0)</f>
        <v>TIS-1475</v>
      </c>
      <c r="F475" t="str">
        <f>VLOOKUP(A475,Facturas!A:P,8,0)</f>
        <v>FET GROUP SAS</v>
      </c>
      <c r="H475">
        <f>YEAR(Tabla1[[#This Row],[Fecha]])</f>
        <v>2024</v>
      </c>
    </row>
    <row r="476" spans="1:8" hidden="1" x14ac:dyDescent="0.25">
      <c r="A476" s="3">
        <v>416</v>
      </c>
      <c r="B476" s="360">
        <v>45488</v>
      </c>
      <c r="C476" s="316">
        <v>684204</v>
      </c>
      <c r="D476" s="3" t="str">
        <f>VLOOKUP(A476,Facturas!A:P,2,0)</f>
        <v>P-1405</v>
      </c>
      <c r="E476" s="3" t="str">
        <f>VLOOKUP(A476,Facturas!A:P,4,0)</f>
        <v>TIS-1394</v>
      </c>
      <c r="F476" t="str">
        <f>VLOOKUP(A476,Facturas!A:P,8,0)</f>
        <v>COMERCIALIZADORA INTERNACIONAL DYNAMIC TRADING CORPORATION S.A.S</v>
      </c>
      <c r="G476" s="319"/>
      <c r="H476">
        <f>YEAR(Tabla1[[#This Row],[Fecha]])</f>
        <v>2024</v>
      </c>
    </row>
    <row r="477" spans="1:8" hidden="1" x14ac:dyDescent="0.25">
      <c r="A477" s="3">
        <v>513</v>
      </c>
      <c r="B477" s="360">
        <v>45495</v>
      </c>
      <c r="C477" s="316">
        <v>8282628</v>
      </c>
      <c r="D477" s="3" t="str">
        <f>VLOOKUP(A477,Facturas!A:P,2,0)</f>
        <v>P-1502</v>
      </c>
      <c r="E477" s="3" t="str">
        <f>VLOOKUP(A477,Facturas!A:P,4,0)</f>
        <v>TIS-1484</v>
      </c>
      <c r="F477" t="str">
        <f>VLOOKUP(A477,Facturas!A:P,8,0)</f>
        <v>FIDEICOMISOS SOCIEDAD FIDUCIARIA DE OCCIDENTE SA</v>
      </c>
      <c r="G477" s="222"/>
      <c r="H477">
        <f>YEAR(Tabla1[[#This Row],[Fecha]])</f>
        <v>2024</v>
      </c>
    </row>
    <row r="478" spans="1:8" hidden="1" x14ac:dyDescent="0.25">
      <c r="A478" s="3">
        <v>417</v>
      </c>
      <c r="B478" s="360">
        <v>45495</v>
      </c>
      <c r="C478" s="316">
        <v>1209820</v>
      </c>
      <c r="D478" s="3" t="str">
        <f>VLOOKUP(A478,Facturas!A:P,2,0)</f>
        <v>P-1406</v>
      </c>
      <c r="E478" s="3" t="str">
        <f>VLOOKUP(A478,Facturas!A:P,4,0)</f>
        <v>TIS-1395</v>
      </c>
      <c r="F478" t="str">
        <f>VLOOKUP(A478,Facturas!A:P,8,0)</f>
        <v>ATECNO S.A.S</v>
      </c>
      <c r="G478" s="319"/>
      <c r="H478">
        <f>YEAR(Tabla1[[#This Row],[Fecha]])</f>
        <v>2024</v>
      </c>
    </row>
    <row r="479" spans="1:8" hidden="1" x14ac:dyDescent="0.25">
      <c r="A479" s="3">
        <v>418</v>
      </c>
      <c r="B479" s="360">
        <v>45497</v>
      </c>
      <c r="C479" s="316">
        <v>458150</v>
      </c>
      <c r="D479" s="3" t="str">
        <f>VLOOKUP(A479,Facturas!A:P,2,0)</f>
        <v>P-1407</v>
      </c>
      <c r="E479" s="3" t="str">
        <f>VLOOKUP(A479,Facturas!A:P,4,0)</f>
        <v>TIS-1396</v>
      </c>
      <c r="F479" t="str">
        <f>VLOOKUP(A479,Facturas!A:P,8,0)</f>
        <v>COMERCIALIZADORA HERREROS SAS</v>
      </c>
      <c r="G479" s="222"/>
      <c r="H479">
        <f>YEAR(Tabla1[[#This Row],[Fecha]])</f>
        <v>2024</v>
      </c>
    </row>
    <row r="480" spans="1:8" hidden="1" x14ac:dyDescent="0.25">
      <c r="A480" s="3">
        <v>411</v>
      </c>
      <c r="B480" s="360">
        <v>45498</v>
      </c>
      <c r="C480" s="316">
        <v>357000</v>
      </c>
      <c r="D480" s="3" t="str">
        <f>VLOOKUP(A480,Facturas!A:P,2,0)</f>
        <v>P-1400</v>
      </c>
      <c r="E480" s="3" t="str">
        <f>VLOOKUP(A480,Facturas!A:P,4,0)</f>
        <v>TIS-1389</v>
      </c>
      <c r="F480" t="str">
        <f>VLOOKUP(A480,Facturas!A:P,8,0)</f>
        <v>STAFF SEGUROS AGENCIA LTDA</v>
      </c>
      <c r="G480" s="319"/>
      <c r="H480">
        <f>YEAR(Tabla1[[#This Row],[Fecha]])</f>
        <v>2024</v>
      </c>
    </row>
    <row r="481" spans="1:8" hidden="1" x14ac:dyDescent="0.25">
      <c r="A481" s="3">
        <v>424</v>
      </c>
      <c r="B481" s="360">
        <v>45498</v>
      </c>
      <c r="C481" s="316">
        <v>324000</v>
      </c>
      <c r="D481" s="3" t="str">
        <f>VLOOKUP(A481,Facturas!A:P,2,0)</f>
        <v>P-1413</v>
      </c>
      <c r="E481" s="3" t="str">
        <f>VLOOKUP(A481,Facturas!A:P,4,0)</f>
        <v>TIS-1402</v>
      </c>
      <c r="F481" t="str">
        <f>VLOOKUP(A481,Facturas!A:P,8,0)</f>
        <v>DIGITAL MEDIA TECHNOLOGIES COLOMBIA SAS</v>
      </c>
      <c r="G481" s="319"/>
      <c r="H481">
        <f>YEAR(Tabla1[[#This Row],[Fecha]])</f>
        <v>2024</v>
      </c>
    </row>
    <row r="482" spans="1:8" hidden="1" x14ac:dyDescent="0.25">
      <c r="A482" s="3">
        <v>408</v>
      </c>
      <c r="B482" s="360">
        <v>45499</v>
      </c>
      <c r="C482" s="316">
        <v>1071340</v>
      </c>
      <c r="D482" s="3" t="str">
        <f>VLOOKUP(A482,Facturas!A:P,2,0)</f>
        <v>P-1397</v>
      </c>
      <c r="E482" s="3" t="str">
        <f>VLOOKUP(A482,Facturas!A:P,4,0)</f>
        <v>TIS-1386</v>
      </c>
      <c r="F482" t="str">
        <f>VLOOKUP(A482,Facturas!A:P,8,0)</f>
        <v>FUNDACION DE EDUCACION SUPERIOR SAN JOSE FESSANJOSE</v>
      </c>
      <c r="G482" s="319"/>
      <c r="H482">
        <f>YEAR(Tabla1[[#This Row],[Fecha]])</f>
        <v>2024</v>
      </c>
    </row>
    <row r="483" spans="1:8" hidden="1" x14ac:dyDescent="0.25">
      <c r="A483" s="3">
        <v>493</v>
      </c>
      <c r="B483" s="360">
        <v>45502</v>
      </c>
      <c r="C483" s="316">
        <v>622003</v>
      </c>
      <c r="D483" s="3" t="str">
        <f>VLOOKUP(A483,Facturas!A:P,2,0)</f>
        <v>P-1482</v>
      </c>
      <c r="E483" s="3" t="str">
        <f>VLOOKUP(A483,Facturas!A:P,4,0)</f>
        <v>TIS-1464</v>
      </c>
      <c r="F483" t="str">
        <f>VLOOKUP(A483,Facturas!A:P,8,0)</f>
        <v>GENUINE TECH SAS</v>
      </c>
      <c r="G483" s="319"/>
      <c r="H483">
        <f>YEAR(Tabla1[[#This Row],[Fecha]])</f>
        <v>2024</v>
      </c>
    </row>
    <row r="484" spans="1:8" x14ac:dyDescent="0.25">
      <c r="A484" s="3">
        <v>401</v>
      </c>
      <c r="B484" s="327">
        <v>45503</v>
      </c>
      <c r="C484" s="316">
        <v>201250</v>
      </c>
      <c r="D484" s="3" t="str">
        <f>VLOOKUP(A484,Facturas!A:P,2,0)</f>
        <v>P-1389</v>
      </c>
      <c r="E484" s="3" t="str">
        <f>VLOOKUP(A484,Facturas!A:P,4,0)</f>
        <v>TIS-1377</v>
      </c>
      <c r="F484" t="str">
        <f>VLOOKUP(A484,Facturas!A:P,8,0)</f>
        <v>ROYCO SOLUCIONES SAS</v>
      </c>
      <c r="G484" s="222"/>
      <c r="H484">
        <f>YEAR(Tabla1[[#This Row],[Fecha]])</f>
        <v>2024</v>
      </c>
    </row>
    <row r="485" spans="1:8" x14ac:dyDescent="0.25">
      <c r="A485" s="3">
        <v>410</v>
      </c>
      <c r="B485" s="327">
        <v>45503</v>
      </c>
      <c r="C485" s="316">
        <v>201250</v>
      </c>
      <c r="D485" s="3" t="str">
        <f>VLOOKUP(A485,Facturas!A:P,2,0)</f>
        <v>P-1399</v>
      </c>
      <c r="E485" s="3" t="str">
        <f>VLOOKUP(A485,Facturas!A:P,4,0)</f>
        <v>TIS-1388</v>
      </c>
      <c r="F485" t="str">
        <f>VLOOKUP(A485,Facturas!A:P,8,0)</f>
        <v>ROYCO SOLUCIONES SAS</v>
      </c>
      <c r="G485" s="222"/>
      <c r="H485">
        <f>YEAR(Tabla1[[#This Row],[Fecha]])</f>
        <v>2024</v>
      </c>
    </row>
    <row r="486" spans="1:8" hidden="1" x14ac:dyDescent="0.25">
      <c r="A486" s="3">
        <v>419</v>
      </c>
      <c r="B486" s="360">
        <v>45513</v>
      </c>
      <c r="C486" s="316">
        <v>595000</v>
      </c>
      <c r="D486" s="3" t="str">
        <f>VLOOKUP(A486,Facturas!A:P,2,0)</f>
        <v>P-1408</v>
      </c>
      <c r="E486" s="3" t="str">
        <f>VLOOKUP(A486,Facturas!A:P,4,0)</f>
        <v>TIS-1397</v>
      </c>
      <c r="F486" t="str">
        <f>VLOOKUP(A486,Facturas!A:P,8,0)</f>
        <v>MARCEGAGLIA COLOMBIA SAS</v>
      </c>
      <c r="H486">
        <f>YEAR(Tabla1[[#This Row],[Fecha]])</f>
        <v>2024</v>
      </c>
    </row>
    <row r="487" spans="1:8" hidden="1" x14ac:dyDescent="0.25">
      <c r="A487" s="3">
        <v>419</v>
      </c>
      <c r="B487" s="360">
        <v>45513</v>
      </c>
      <c r="C487" s="316">
        <v>2968101</v>
      </c>
      <c r="D487" s="3" t="str">
        <f>VLOOKUP(A487,Facturas!A:P,2,0)</f>
        <v>P-1408</v>
      </c>
      <c r="E487" s="3" t="str">
        <f>VLOOKUP(A487,Facturas!A:P,4,0)</f>
        <v>TIS-1397</v>
      </c>
      <c r="F487" t="str">
        <f>VLOOKUP(A487,Facturas!A:P,8,0)</f>
        <v>MARCEGAGLIA COLOMBIA SAS</v>
      </c>
      <c r="H487">
        <f>YEAR(Tabla1[[#This Row],[Fecha]])</f>
        <v>2024</v>
      </c>
    </row>
    <row r="488" spans="1:8" hidden="1" x14ac:dyDescent="0.25">
      <c r="A488" s="3">
        <v>419</v>
      </c>
      <c r="B488" s="360">
        <v>45513</v>
      </c>
      <c r="C488" s="316">
        <v>2730809</v>
      </c>
      <c r="D488" s="3" t="str">
        <f>VLOOKUP(A488,Facturas!A:P,2,0)</f>
        <v>P-1408</v>
      </c>
      <c r="E488" s="3" t="str">
        <f>VLOOKUP(A488,Facturas!A:P,4,0)</f>
        <v>TIS-1397</v>
      </c>
      <c r="F488" t="str">
        <f>VLOOKUP(A488,Facturas!A:P,8,0)</f>
        <v>MARCEGAGLIA COLOMBIA SAS</v>
      </c>
      <c r="H488">
        <f>YEAR(Tabla1[[#This Row],[Fecha]])</f>
        <v>2024</v>
      </c>
    </row>
    <row r="489" spans="1:8" hidden="1" x14ac:dyDescent="0.25">
      <c r="A489" s="3">
        <v>376</v>
      </c>
      <c r="B489" s="360">
        <v>45520</v>
      </c>
      <c r="C489" s="316">
        <v>1448550</v>
      </c>
      <c r="D489" s="3" t="str">
        <f>VLOOKUP(A489,Facturas!A:P,2,0)</f>
        <v>P-1364</v>
      </c>
      <c r="E489" s="3" t="str">
        <f>VLOOKUP(A489,Facturas!A:P,4,0)</f>
        <v>TIS-1353</v>
      </c>
      <c r="F489" t="str">
        <f>VLOOKUP(A489,Facturas!A:P,8,0)</f>
        <v>HUTERCOL S.A.S.</v>
      </c>
      <c r="H489">
        <f>YEAR(Tabla1[[#This Row],[Fecha]])</f>
        <v>2024</v>
      </c>
    </row>
    <row r="490" spans="1:8" hidden="1" x14ac:dyDescent="0.25">
      <c r="A490" s="3">
        <v>479</v>
      </c>
      <c r="B490" s="360">
        <v>45525</v>
      </c>
      <c r="C490" s="333">
        <v>2142000</v>
      </c>
      <c r="D490" s="3" t="str">
        <f>VLOOKUP(A490,Facturas!A:P,2,0)</f>
        <v>P-1468</v>
      </c>
      <c r="E490" s="3" t="str">
        <f>VLOOKUP(A490,Facturas!A:P,4,0)</f>
        <v>TIS-1455</v>
      </c>
      <c r="F490" t="str">
        <f>VLOOKUP(A490,Facturas!A:P,8,0)</f>
        <v>B2B TAX LEGAL S.A.S. BIC</v>
      </c>
      <c r="H490">
        <f>YEAR(Tabla1[[#This Row],[Fecha]])</f>
        <v>2024</v>
      </c>
    </row>
    <row r="491" spans="1:8" hidden="1" x14ac:dyDescent="0.25">
      <c r="A491" s="3">
        <v>418</v>
      </c>
      <c r="B491" s="360">
        <v>45547</v>
      </c>
      <c r="C491" s="333">
        <v>375050</v>
      </c>
      <c r="D491" s="3" t="str">
        <f>VLOOKUP(A491,Facturas!A:P,2,0)</f>
        <v>P-1407</v>
      </c>
      <c r="E491" s="3" t="str">
        <f>VLOOKUP(A491,Facturas!A:P,4,0)</f>
        <v>TIS-1396</v>
      </c>
      <c r="F491" t="str">
        <f>VLOOKUP(A491,Facturas!A:P,8,0)</f>
        <v>COMERCIALIZADORA HERREROS SAS</v>
      </c>
      <c r="H491">
        <f>YEAR(Tabla1[[#This Row],[Fecha]])</f>
        <v>2024</v>
      </c>
    </row>
    <row r="492" spans="1:8" hidden="1" x14ac:dyDescent="0.25">
      <c r="A492" s="3">
        <v>428</v>
      </c>
      <c r="B492" s="360">
        <v>45547</v>
      </c>
      <c r="C492" s="333">
        <v>124950</v>
      </c>
      <c r="D492" s="3" t="str">
        <f>VLOOKUP(A492,Facturas!A:P,2,0)</f>
        <v>P-1417</v>
      </c>
      <c r="E492" s="3" t="str">
        <f>VLOOKUP(A492,Facturas!A:P,4,0)</f>
        <v>TIS-1406</v>
      </c>
      <c r="F492" t="str">
        <f>VLOOKUP(A492,Facturas!A:P,8,0)</f>
        <v>COMERCIALIZADORA HERREROS SAS</v>
      </c>
      <c r="H492">
        <f>YEAR(Tabla1[[#This Row],[Fecha]])</f>
        <v>2024</v>
      </c>
    </row>
    <row r="493" spans="1:8" hidden="1" x14ac:dyDescent="0.25">
      <c r="A493" s="3">
        <v>427</v>
      </c>
      <c r="B493" s="360">
        <v>45547</v>
      </c>
      <c r="C493" s="316">
        <v>622003</v>
      </c>
      <c r="D493" s="3" t="str">
        <f>VLOOKUP(A493,Facturas!A:P,2,0)</f>
        <v>P-1416</v>
      </c>
      <c r="E493" s="3" t="str">
        <f>VLOOKUP(A493,Facturas!A:P,4,0)</f>
        <v>TIS-1405</v>
      </c>
      <c r="F493" t="str">
        <f>VLOOKUP(A493,Facturas!A:P,8,0)</f>
        <v>GENUINE TECH SAS</v>
      </c>
      <c r="H493">
        <f>YEAR(Tabla1[[#This Row],[Fecha]])</f>
        <v>2024</v>
      </c>
    </row>
    <row r="494" spans="1:8" hidden="1" x14ac:dyDescent="0.25">
      <c r="A494" s="3">
        <v>446</v>
      </c>
      <c r="B494" s="360">
        <v>45528</v>
      </c>
      <c r="C494" s="316">
        <v>1500000</v>
      </c>
      <c r="D494" s="3" t="str">
        <f>VLOOKUP(A494,Facturas!A:P,2,0)</f>
        <v>P-1435</v>
      </c>
      <c r="E494" s="3" t="str">
        <f>VLOOKUP(A494,Facturas!A:P,4,0)</f>
        <v>TIS-1407</v>
      </c>
      <c r="F494" t="str">
        <f>VLOOKUP(A494,Facturas!A:P,8,0)</f>
        <v>TKARGA SAS</v>
      </c>
      <c r="H494">
        <f>YEAR(Tabla1[[#This Row],[Fecha]])</f>
        <v>2024</v>
      </c>
    </row>
    <row r="495" spans="1:8" hidden="1" x14ac:dyDescent="0.25">
      <c r="A495" s="3">
        <v>389</v>
      </c>
      <c r="B495" s="360">
        <v>45530</v>
      </c>
      <c r="C495" s="316">
        <v>291550</v>
      </c>
      <c r="D495" s="3" t="str">
        <f>VLOOKUP(A495,Facturas!A:P,2,0)</f>
        <v>P-1377</v>
      </c>
      <c r="E495" s="3" t="str">
        <f>VLOOKUP(A495,Facturas!A:P,4,0)</f>
        <v>TIS-1366</v>
      </c>
      <c r="F495" t="str">
        <f>VLOOKUP(A495,Facturas!A:P,8,0)</f>
        <v>Comercializadora ERZ SAS</v>
      </c>
      <c r="G495" s="222"/>
      <c r="H495">
        <f>YEAR(Tabla1[[#This Row],[Fecha]])</f>
        <v>2024</v>
      </c>
    </row>
    <row r="496" spans="1:8" hidden="1" x14ac:dyDescent="0.25">
      <c r="A496" s="3">
        <v>400</v>
      </c>
      <c r="B496" s="360">
        <v>45530</v>
      </c>
      <c r="C496" s="316">
        <v>291550</v>
      </c>
      <c r="D496" s="3" t="str">
        <f>VLOOKUP(A496,Facturas!A:P,2,0)</f>
        <v>P-1388</v>
      </c>
      <c r="E496" s="3" t="str">
        <f>VLOOKUP(A496,Facturas!A:P,4,0)</f>
        <v>TIS-1376</v>
      </c>
      <c r="F496" t="str">
        <f>VLOOKUP(A496,Facturas!A:P,8,0)</f>
        <v>Comercializadora ERZ SAS</v>
      </c>
      <c r="G496" s="222"/>
      <c r="H496">
        <f>YEAR(Tabla1[[#This Row],[Fecha]])</f>
        <v>2024</v>
      </c>
    </row>
    <row r="497" spans="1:8" hidden="1" x14ac:dyDescent="0.25">
      <c r="A497" s="3">
        <v>455</v>
      </c>
      <c r="B497" s="360">
        <v>45531</v>
      </c>
      <c r="C497" s="316">
        <v>2856000</v>
      </c>
      <c r="D497" s="3" t="str">
        <f>VLOOKUP(A497,Facturas!A:P,2,0)</f>
        <v>P-1444</v>
      </c>
      <c r="E497" s="3" t="str">
        <f>VLOOKUP(A497,Facturas!A:P,4,0)</f>
        <v>TIS-1433</v>
      </c>
      <c r="F497" t="str">
        <f>VLOOKUP(A497,Facturas!A:P,8,0)</f>
        <v>TRANSPORTES ESPECIALES ALIADOS S.A.S</v>
      </c>
      <c r="H497">
        <f>YEAR(Tabla1[[#This Row],[Fecha]])</f>
        <v>2024</v>
      </c>
    </row>
    <row r="498" spans="1:8" hidden="1" x14ac:dyDescent="0.25">
      <c r="A498" s="3">
        <v>496</v>
      </c>
      <c r="B498" s="360">
        <v>45531</v>
      </c>
      <c r="C498" s="316">
        <v>1829000</v>
      </c>
      <c r="D498" s="3" t="str">
        <f>VLOOKUP(A498,Facturas!A:P,2,0)</f>
        <v>P-1485</v>
      </c>
      <c r="E498" s="3" t="str">
        <f>VLOOKUP(A498,Facturas!A:P,4,0)</f>
        <v>TIS-1467</v>
      </c>
      <c r="F498" t="str">
        <f>VLOOKUP(A498,Facturas!A:P,8,0)</f>
        <v>TRANSPORTES ESPECIALES ALIADOS S.A.S</v>
      </c>
      <c r="H498">
        <f>YEAR(Tabla1[[#This Row],[Fecha]])</f>
        <v>2024</v>
      </c>
    </row>
    <row r="499" spans="1:8" hidden="1" x14ac:dyDescent="0.25">
      <c r="A499" s="3">
        <v>420</v>
      </c>
      <c r="B499" s="360">
        <v>45531</v>
      </c>
      <c r="C499" s="316">
        <v>280800</v>
      </c>
      <c r="D499" s="3" t="str">
        <f>VLOOKUP(A499,Facturas!A:P,2,0)</f>
        <v>P-1409</v>
      </c>
      <c r="E499" s="3" t="str">
        <f>VLOOKUP(A499,Facturas!A:P,4,0)</f>
        <v>TIS-1398</v>
      </c>
      <c r="F499" t="str">
        <f>VLOOKUP(A499,Facturas!A:P,8,0)</f>
        <v>Comercializadora ERZ SAS</v>
      </c>
      <c r="G499" s="222"/>
      <c r="H499">
        <f>YEAR(Tabla1[[#This Row],[Fecha]])</f>
        <v>2024</v>
      </c>
    </row>
    <row r="500" spans="1:8" hidden="1" x14ac:dyDescent="0.25">
      <c r="A500" s="3">
        <v>409</v>
      </c>
      <c r="B500" s="360">
        <v>45531</v>
      </c>
      <c r="C500" s="316">
        <v>280800</v>
      </c>
      <c r="D500" s="3" t="str">
        <f>VLOOKUP(A500,Facturas!A:P,2,0)</f>
        <v>P-1398</v>
      </c>
      <c r="E500" s="3" t="str">
        <f>VLOOKUP(A500,Facturas!A:P,4,0)</f>
        <v>TIS-1387</v>
      </c>
      <c r="F500" t="str">
        <f>VLOOKUP(A500,Facturas!A:P,8,0)</f>
        <v>Comercializadora ERZ SAS</v>
      </c>
      <c r="G500" s="222"/>
      <c r="H500">
        <f>YEAR(Tabla1[[#This Row],[Fecha]])</f>
        <v>2024</v>
      </c>
    </row>
    <row r="501" spans="1:8" hidden="1" x14ac:dyDescent="0.25">
      <c r="A501" s="3">
        <v>429</v>
      </c>
      <c r="B501" s="360">
        <v>45531</v>
      </c>
      <c r="C501" s="316">
        <v>987700</v>
      </c>
      <c r="D501" s="3" t="str">
        <f>VLOOKUP(A501,Facturas!A:P,2,0)</f>
        <v>P-1418</v>
      </c>
      <c r="E501" s="3" t="str">
        <f>VLOOKUP(A501,Facturas!A:P,4,0)</f>
        <v>TIS-1409</v>
      </c>
      <c r="F501" t="str">
        <f>VLOOKUP(A501,Facturas!A:P,8,0)</f>
        <v>MAKRO RECICLAJES SAS</v>
      </c>
      <c r="G501" s="222"/>
      <c r="H501">
        <f>YEAR(Tabla1[[#This Row],[Fecha]])</f>
        <v>2024</v>
      </c>
    </row>
    <row r="502" spans="1:8" hidden="1" x14ac:dyDescent="0.25">
      <c r="A502" s="3">
        <v>413</v>
      </c>
      <c r="B502" s="360">
        <v>45533</v>
      </c>
      <c r="C502" s="316">
        <v>324000</v>
      </c>
      <c r="D502" s="3" t="str">
        <f>VLOOKUP(A502,Facturas!A:P,2,0)</f>
        <v>P-1402</v>
      </c>
      <c r="E502" s="3" t="str">
        <f>VLOOKUP(A502,Facturas!A:P,4,0)</f>
        <v>TIS-1391</v>
      </c>
      <c r="F502" t="str">
        <f>VLOOKUP(A502,Facturas!A:P,8,0)</f>
        <v>DIGITAL MEDIA TECHNOLOGIES COLOMBIA SAS</v>
      </c>
      <c r="H502">
        <f>YEAR(Tabla1[[#This Row],[Fecha]])</f>
        <v>2024</v>
      </c>
    </row>
    <row r="503" spans="1:8" hidden="1" x14ac:dyDescent="0.25">
      <c r="A503" s="3">
        <v>438</v>
      </c>
      <c r="B503" s="360">
        <v>45534</v>
      </c>
      <c r="C503" s="316">
        <v>514080</v>
      </c>
      <c r="D503" s="3" t="str">
        <f>VLOOKUP(A503,Facturas!A:P,2,0)</f>
        <v>P-1427</v>
      </c>
      <c r="E503" s="3" t="str">
        <f>VLOOKUP(A503,Facturas!A:P,4,0)</f>
        <v>TIS-1418</v>
      </c>
      <c r="F503" t="str">
        <f>VLOOKUP(A503,Facturas!A:P,8,0)</f>
        <v>EVAL.COM CONSULTING SAS</v>
      </c>
      <c r="H503">
        <f>YEAR(Tabla1[[#This Row],[Fecha]])</f>
        <v>2024</v>
      </c>
    </row>
    <row r="504" spans="1:8" x14ac:dyDescent="0.25">
      <c r="A504" s="3">
        <v>421</v>
      </c>
      <c r="B504" s="360">
        <v>45573</v>
      </c>
      <c r="C504" s="316">
        <v>201250</v>
      </c>
      <c r="D504" s="3" t="str">
        <f>VLOOKUP(A504,Facturas!A:P,2,0)</f>
        <v>P-1410</v>
      </c>
      <c r="E504" s="3" t="str">
        <f>VLOOKUP(A504,Facturas!A:P,4,0)</f>
        <v>TIS-1399</v>
      </c>
      <c r="F504" t="str">
        <f>VLOOKUP(A504,Facturas!A:P,8,0)</f>
        <v>ROYCO SOLUCIONES SAS</v>
      </c>
      <c r="H504">
        <f>YEAR(Tabla1[[#This Row],[Fecha]])</f>
        <v>2024</v>
      </c>
    </row>
    <row r="505" spans="1:8" hidden="1" x14ac:dyDescent="0.25">
      <c r="A505" s="3">
        <v>460</v>
      </c>
      <c r="B505" s="360">
        <v>45575</v>
      </c>
      <c r="C505" s="316">
        <v>287500</v>
      </c>
      <c r="D505" s="3" t="str">
        <f>VLOOKUP(A505,Facturas!A:P,2,0)</f>
        <v>P-1449</v>
      </c>
      <c r="E505" s="3" t="str">
        <f>VLOOKUP(A505,Facturas!A:P,4,0)</f>
        <v>TIS-1419</v>
      </c>
      <c r="F505" t="str">
        <f>VLOOKUP(A505,Facturas!A:P,8,0)</f>
        <v>CUATRECASAS GONALVES PEREIRA SAS</v>
      </c>
      <c r="H505">
        <f>YEAR(Tabla1[[#This Row],[Fecha]])</f>
        <v>2024</v>
      </c>
    </row>
    <row r="506" spans="1:8" hidden="1" x14ac:dyDescent="0.25">
      <c r="A506" s="3">
        <v>434</v>
      </c>
      <c r="B506" s="360">
        <v>45582</v>
      </c>
      <c r="C506" s="316">
        <v>622003</v>
      </c>
      <c r="D506" s="3" t="str">
        <f>VLOOKUP(A506,Facturas!A:P,2,0)</f>
        <v>P-1423</v>
      </c>
      <c r="E506" s="3" t="str">
        <f>VLOOKUP(A506,Facturas!A:P,4,0)</f>
        <v>TIS-1414</v>
      </c>
      <c r="F506" t="str">
        <f>VLOOKUP(A506,Facturas!A:P,8,0)</f>
        <v>GENUINE TECH SAS</v>
      </c>
      <c r="H506">
        <f>YEAR(Tabla1[[#This Row],[Fecha]])</f>
        <v>2024</v>
      </c>
    </row>
    <row r="507" spans="1:8" hidden="1" x14ac:dyDescent="0.25">
      <c r="A507" s="3">
        <v>490</v>
      </c>
      <c r="B507" s="360">
        <v>45582</v>
      </c>
      <c r="C507" s="316">
        <v>324000</v>
      </c>
      <c r="D507" s="3" t="str">
        <f>VLOOKUP(A507,Facturas!A:P,2,0)</f>
        <v>P-1479</v>
      </c>
      <c r="E507" s="3" t="str">
        <f>VLOOKUP(A507,Facturas!A:P,4,0)</f>
        <v>TIS-1461</v>
      </c>
      <c r="F507" t="str">
        <f>VLOOKUP(A507,Facturas!A:P,8,0)</f>
        <v>DIGITAL MEDIA TECHNOLOGIES COLOMBIA SAS</v>
      </c>
      <c r="H507">
        <f>YEAR(Tabla1[[#This Row],[Fecha]])</f>
        <v>2024</v>
      </c>
    </row>
    <row r="508" spans="1:8" hidden="1" x14ac:dyDescent="0.25">
      <c r="A508" s="3">
        <v>468</v>
      </c>
      <c r="B508" s="360">
        <v>45589</v>
      </c>
      <c r="C508" s="316">
        <v>480000</v>
      </c>
      <c r="D508" s="3" t="str">
        <f>VLOOKUP(A508,Facturas!A:P,2,0)</f>
        <v>P-1457</v>
      </c>
      <c r="E508" s="3" t="str">
        <f>VLOOKUP(A508,Facturas!A:P,4,0)</f>
        <v>TIS-1445</v>
      </c>
      <c r="F508" t="str">
        <f>VLOOKUP(A508,Facturas!A:P,8,0)</f>
        <v>Inversiones Sajamib SAS</v>
      </c>
      <c r="H508">
        <f>YEAR(Tabla1[[#This Row],[Fecha]])</f>
        <v>2024</v>
      </c>
    </row>
    <row r="509" spans="1:8" hidden="1" x14ac:dyDescent="0.25">
      <c r="A509" s="3">
        <v>449</v>
      </c>
      <c r="B509" s="360">
        <v>45589</v>
      </c>
      <c r="C509" s="316">
        <v>240000</v>
      </c>
      <c r="D509" s="3" t="str">
        <f>VLOOKUP(A509,Facturas!A:P,2,0)</f>
        <v>P-1438</v>
      </c>
      <c r="E509" s="3" t="str">
        <f>VLOOKUP(A509,Facturas!A:P,4,0)</f>
        <v>TIS-1427</v>
      </c>
      <c r="F509" t="str">
        <f>VLOOKUP(A509,Facturas!A:P,8,0)</f>
        <v>Inversiones Sajamib SAS</v>
      </c>
      <c r="H509">
        <f>YEAR(Tabla1[[#This Row],[Fecha]])</f>
        <v>2024</v>
      </c>
    </row>
    <row r="510" spans="1:8" hidden="1" x14ac:dyDescent="0.25">
      <c r="A510" s="3">
        <v>476</v>
      </c>
      <c r="B510" s="360">
        <v>45589</v>
      </c>
      <c r="C510" s="316">
        <v>480000</v>
      </c>
      <c r="D510" s="3" t="str">
        <f>VLOOKUP(A510,Facturas!A:P,2,0)</f>
        <v>P-1465</v>
      </c>
      <c r="E510" s="3" t="str">
        <f>VLOOKUP(A510,Facturas!A:P,4,0)</f>
        <v>TIS-1453</v>
      </c>
      <c r="F510" t="str">
        <f>VLOOKUP(A510,Facturas!A:P,8,0)</f>
        <v>Inversiones Sajamib SAS</v>
      </c>
      <c r="H510">
        <f>YEAR(Tabla1[[#This Row],[Fecha]])</f>
        <v>2024</v>
      </c>
    </row>
    <row r="511" spans="1:8" hidden="1" x14ac:dyDescent="0.25">
      <c r="A511" s="3">
        <v>492</v>
      </c>
      <c r="B511" s="360">
        <v>45589</v>
      </c>
      <c r="C511" s="316">
        <v>240000</v>
      </c>
      <c r="D511" s="3" t="str">
        <f>VLOOKUP(A511,Facturas!A:P,2,0)</f>
        <v>P-1481</v>
      </c>
      <c r="E511" s="3" t="str">
        <f>VLOOKUP(A511,Facturas!A:P,4,0)</f>
        <v>TIS-1463</v>
      </c>
      <c r="F511" t="str">
        <f>VLOOKUP(A511,Facturas!A:P,8,0)</f>
        <v>Inversiones Sajamib SAS</v>
      </c>
      <c r="H511">
        <f>YEAR(Tabla1[[#This Row],[Fecha]])</f>
        <v>2024</v>
      </c>
    </row>
    <row r="512" spans="1:8" hidden="1" x14ac:dyDescent="0.25">
      <c r="A512" s="3">
        <v>432</v>
      </c>
      <c r="B512" s="360">
        <v>45594</v>
      </c>
      <c r="C512" s="316">
        <v>357000</v>
      </c>
      <c r="D512" s="3" t="str">
        <f>VLOOKUP(A512,Facturas!A:P,2,0)</f>
        <v>P-1421</v>
      </c>
      <c r="E512" s="3" t="str">
        <f>VLOOKUP(A512,Facturas!A:P,4,0)</f>
        <v>TIS-1412</v>
      </c>
      <c r="F512" t="str">
        <f>VLOOKUP(A512,Facturas!A:P,8,0)</f>
        <v>STAFF SEGUROS AGENCIA LTDA</v>
      </c>
      <c r="H512">
        <f>YEAR(Tabla1[[#This Row],[Fecha]])</f>
        <v>2024</v>
      </c>
    </row>
    <row r="513" spans="1:8" hidden="1" x14ac:dyDescent="0.25">
      <c r="A513" s="3">
        <v>440</v>
      </c>
      <c r="B513" s="360">
        <v>45595</v>
      </c>
      <c r="C513" s="316">
        <v>280800</v>
      </c>
      <c r="D513" s="3" t="str">
        <f>VLOOKUP(A513,Facturas!A:P,2,0)</f>
        <v>P-1429</v>
      </c>
      <c r="E513" s="3" t="str">
        <f>VLOOKUP(A513,Facturas!A:P,4,0)</f>
        <v>TIS-1421</v>
      </c>
      <c r="F513" t="str">
        <f>VLOOKUP(A513,Facturas!A:P,8,0)</f>
        <v>Comercializadora ERZ SAS</v>
      </c>
      <c r="H513">
        <f>YEAR(Tabla1[[#This Row],[Fecha]])</f>
        <v>2024</v>
      </c>
    </row>
    <row r="514" spans="1:8" hidden="1" x14ac:dyDescent="0.25">
      <c r="A514" s="3">
        <v>454</v>
      </c>
      <c r="B514" s="360">
        <v>45597</v>
      </c>
      <c r="C514" s="316">
        <v>1315859</v>
      </c>
      <c r="D514" s="3" t="str">
        <f>VLOOKUP(A514,Facturas!A:P,2,0)</f>
        <v>P-1443</v>
      </c>
      <c r="E514" s="3" t="str">
        <f>VLOOKUP(A514,Facturas!A:P,4,0)</f>
        <v>TIS-1432</v>
      </c>
      <c r="F514" t="str">
        <f>VLOOKUP(A514,Facturas!A:P,8,0)</f>
        <v>MARCEGAGLIA COLOMBIA SAS</v>
      </c>
      <c r="H514">
        <f>YEAR(Tabla1[[#This Row],[Fecha]])</f>
        <v>2024</v>
      </c>
    </row>
    <row r="515" spans="1:8" hidden="1" x14ac:dyDescent="0.25">
      <c r="A515" s="3">
        <v>454</v>
      </c>
      <c r="B515" s="360">
        <v>45597</v>
      </c>
      <c r="C515" s="316">
        <v>1201705</v>
      </c>
      <c r="D515" s="3" t="str">
        <f>VLOOKUP(A515,Facturas!A:P,2,0)</f>
        <v>P-1443</v>
      </c>
      <c r="E515" s="3" t="str">
        <f>VLOOKUP(A515,Facturas!A:P,4,0)</f>
        <v>TIS-1432</v>
      </c>
      <c r="F515" t="str">
        <f>VLOOKUP(A515,Facturas!A:P,8,0)</f>
        <v>MARCEGAGLIA COLOMBIA SAS</v>
      </c>
      <c r="H515">
        <f>YEAR(Tabla1[[#This Row],[Fecha]])</f>
        <v>2024</v>
      </c>
    </row>
    <row r="516" spans="1:8" hidden="1" x14ac:dyDescent="0.25">
      <c r="A516" s="3">
        <v>439</v>
      </c>
      <c r="B516" s="360">
        <v>45602</v>
      </c>
      <c r="C516" s="316">
        <v>1080000</v>
      </c>
      <c r="D516" s="3" t="str">
        <f>VLOOKUP(A516,Facturas!A:P,2,0)</f>
        <v>P-1428</v>
      </c>
      <c r="E516" s="3" t="str">
        <f>VLOOKUP(A516,Facturas!A:P,4,0)</f>
        <v>TIS-1420</v>
      </c>
      <c r="F516" t="str">
        <f>VLOOKUP(A516,Facturas!A:P,8,0)</f>
        <v>TKARGA SAS</v>
      </c>
      <c r="H516">
        <f>YEAR(Tabla1[[#This Row],[Fecha]])</f>
        <v>2024</v>
      </c>
    </row>
    <row r="517" spans="1:8" hidden="1" x14ac:dyDescent="0.25">
      <c r="A517" s="3">
        <v>456</v>
      </c>
      <c r="B517" s="360">
        <v>45603</v>
      </c>
      <c r="C517" s="333">
        <v>378832</v>
      </c>
      <c r="D517" s="3" t="str">
        <f>VLOOKUP(A517,Facturas!A:P,2,0)</f>
        <v>P-1445</v>
      </c>
      <c r="E517" s="3" t="str">
        <f>VLOOKUP(A517,Facturas!A:P,4,0)</f>
        <v>TIS-1434</v>
      </c>
      <c r="F517" t="str">
        <f>VLOOKUP(A517,Facturas!A:P,8,0)</f>
        <v>MELOS Y MELOS SAS</v>
      </c>
      <c r="H517">
        <f>YEAR(Tabla1[[#This Row],[Fecha]])</f>
        <v>2024</v>
      </c>
    </row>
    <row r="518" spans="1:8" hidden="1" x14ac:dyDescent="0.25">
      <c r="A518" s="3">
        <v>458</v>
      </c>
      <c r="B518" s="360">
        <v>45611</v>
      </c>
      <c r="C518" s="316">
        <v>13328000</v>
      </c>
      <c r="D518" s="3" t="str">
        <f>VLOOKUP(A518,Facturas!A:P,2,0)</f>
        <v>P-1447</v>
      </c>
      <c r="E518" s="3" t="str">
        <f>VLOOKUP(A518,Facturas!A:P,4,0)</f>
        <v>TIS-1436</v>
      </c>
      <c r="F518" t="str">
        <f>VLOOKUP(A518,Facturas!A:P,8,0)</f>
        <v>ACTIVOS SAS</v>
      </c>
      <c r="H518">
        <f>YEAR(Tabla1[[#This Row],[Fecha]])</f>
        <v>2024</v>
      </c>
    </row>
    <row r="519" spans="1:8" hidden="1" x14ac:dyDescent="0.25">
      <c r="A519" s="3">
        <v>459</v>
      </c>
      <c r="B519" s="360">
        <v>45611</v>
      </c>
      <c r="C519" s="316">
        <v>248648</v>
      </c>
      <c r="D519" s="3" t="str">
        <f>VLOOKUP(A519,Facturas!A:P,2,0)</f>
        <v>P-1448</v>
      </c>
      <c r="E519" s="3" t="str">
        <f>VLOOKUP(A519,Facturas!A:P,4,0)</f>
        <v>TIS-1437</v>
      </c>
      <c r="F519" t="str">
        <f>VLOOKUP(A519,Facturas!A:P,8,0)</f>
        <v>ACTIVOS SAS</v>
      </c>
      <c r="H519">
        <f>YEAR(Tabla1[[#This Row],[Fecha]])</f>
        <v>2024</v>
      </c>
    </row>
    <row r="520" spans="1:8" hidden="1" x14ac:dyDescent="0.25">
      <c r="A520" s="3">
        <v>462</v>
      </c>
      <c r="B520" s="360">
        <v>45618</v>
      </c>
      <c r="C520" s="316">
        <v>6385904</v>
      </c>
      <c r="D520" s="3" t="str">
        <f>VLOOKUP(A520,Facturas!A:P,2,0)</f>
        <v>P-1451</v>
      </c>
      <c r="E520" s="3" t="str">
        <f>VLOOKUP(A520,Facturas!A:P,4,0)</f>
        <v>TIS-1439</v>
      </c>
      <c r="F520" t="str">
        <f>VLOOKUP(A520,Facturas!A:P,8,0)</f>
        <v>QUALITY WATER SERVICE COLOMBIA SAS</v>
      </c>
      <c r="H520">
        <f>YEAR(Tabla1[[#This Row],[Fecha]])</f>
        <v>2024</v>
      </c>
    </row>
    <row r="521" spans="1:8" x14ac:dyDescent="0.25">
      <c r="A521" s="3">
        <v>431</v>
      </c>
      <c r="B521" s="360">
        <v>45573</v>
      </c>
      <c r="C521" s="361">
        <v>201250</v>
      </c>
      <c r="D521" s="3" t="str">
        <f>VLOOKUP(A521,Facturas!A:P,2,0)</f>
        <v>P-1420</v>
      </c>
      <c r="E521" s="3" t="str">
        <f>VLOOKUP(A521,Facturas!A:P,4,0)</f>
        <v>TIS-1411</v>
      </c>
      <c r="F521" t="str">
        <f>VLOOKUP(A521,Facturas!A:P,8,0)</f>
        <v>ROYCO SOLUCIONES SAS</v>
      </c>
      <c r="H521">
        <f>YEAR(Tabla1[[#This Row],[Fecha]])</f>
        <v>2024</v>
      </c>
    </row>
    <row r="522" spans="1:8" x14ac:dyDescent="0.25">
      <c r="A522" s="3">
        <v>441</v>
      </c>
      <c r="B522" s="327">
        <v>45622</v>
      </c>
      <c r="C522" s="316">
        <v>201250</v>
      </c>
      <c r="D522" s="3" t="str">
        <f>VLOOKUP(A522,Facturas!A:P,2,0)</f>
        <v>P-1430</v>
      </c>
      <c r="E522" s="3" t="str">
        <f>VLOOKUP(A522,Facturas!A:P,4,0)</f>
        <v>TIS-1422</v>
      </c>
      <c r="F522" t="str">
        <f>VLOOKUP(A522,Facturas!A:P,8,0)</f>
        <v>ROYCO SOLUCIONES SAS</v>
      </c>
      <c r="H522">
        <f>YEAR(Tabla1[[#This Row],[Fecha]])</f>
        <v>2024</v>
      </c>
    </row>
    <row r="523" spans="1:8" x14ac:dyDescent="0.25">
      <c r="A523" s="3">
        <v>464</v>
      </c>
      <c r="B523" s="327">
        <v>45622</v>
      </c>
      <c r="C523" s="316">
        <v>201250</v>
      </c>
      <c r="D523" s="3" t="str">
        <f>VLOOKUP(A523,Facturas!A:P,2,0)</f>
        <v>P-1453</v>
      </c>
      <c r="E523" s="3" t="str">
        <f>VLOOKUP(A523,Facturas!A:P,4,0)</f>
        <v>TIS-1441</v>
      </c>
      <c r="F523" t="str">
        <f>VLOOKUP(A523,Facturas!A:P,8,0)</f>
        <v>ROYCO SOLUCIONES SAS</v>
      </c>
      <c r="H523">
        <f>YEAR(Tabla1[[#This Row],[Fecha]])</f>
        <v>2024</v>
      </c>
    </row>
    <row r="524" spans="1:8" hidden="1" x14ac:dyDescent="0.25">
      <c r="A524" s="3">
        <v>448</v>
      </c>
      <c r="B524" s="360">
        <v>45623</v>
      </c>
      <c r="C524" s="316">
        <v>622003</v>
      </c>
      <c r="D524" s="3" t="str">
        <f>VLOOKUP(A524,Facturas!A:P,2,0)</f>
        <v>P-1437</v>
      </c>
      <c r="E524" s="3" t="str">
        <f>VLOOKUP(A524,Facturas!A:P,4,0)</f>
        <v>TIS-1426</v>
      </c>
      <c r="F524" t="str">
        <f>VLOOKUP(A524,Facturas!A:P,8,0)</f>
        <v>GENUINE TECH SAS</v>
      </c>
      <c r="H524">
        <f>YEAR(Tabla1[[#This Row],[Fecha]])</f>
        <v>2024</v>
      </c>
    </row>
    <row r="525" spans="1:8" hidden="1" x14ac:dyDescent="0.25">
      <c r="A525" s="3">
        <v>444</v>
      </c>
      <c r="B525" s="360">
        <v>45624</v>
      </c>
      <c r="C525" s="316">
        <v>324000</v>
      </c>
      <c r="D525" s="3" t="str">
        <f>VLOOKUP(A525,Facturas!A:P,2,0)</f>
        <v>P-1433</v>
      </c>
      <c r="E525" s="3" t="str">
        <f>VLOOKUP(A525,Facturas!A:P,4,0)</f>
        <v>TIS-1425</v>
      </c>
      <c r="F525" t="str">
        <f>VLOOKUP(A525,Facturas!A:P,8,0)</f>
        <v>DIGITAL MEDIA TECHNOLOGIES COLOMBIA SAS</v>
      </c>
      <c r="H525">
        <f>YEAR(Tabla1[[#This Row],[Fecha]])</f>
        <v>2024</v>
      </c>
    </row>
    <row r="526" spans="1:8" hidden="1" x14ac:dyDescent="0.25">
      <c r="A526" s="3">
        <v>452</v>
      </c>
      <c r="B526" s="360">
        <v>45631</v>
      </c>
      <c r="C526" s="316">
        <v>342828</v>
      </c>
      <c r="D526" s="3" t="str">
        <f>VLOOKUP(A526,Facturas!A:P,2,0)</f>
        <v>P-1441</v>
      </c>
      <c r="E526" s="3" t="str">
        <f>VLOOKUP(A526,Facturas!A:P,4,0)</f>
        <v>TIS-1430</v>
      </c>
      <c r="F526" t="str">
        <f>VLOOKUP(A526,Facturas!A:P,8,0)</f>
        <v>STT Group sucursal colombia SA</v>
      </c>
      <c r="H526">
        <f>YEAR(Tabla1[[#This Row],[Fecha]])</f>
        <v>2024</v>
      </c>
    </row>
    <row r="527" spans="1:8" hidden="1" x14ac:dyDescent="0.25">
      <c r="A527" s="325">
        <v>440</v>
      </c>
      <c r="B527" s="327">
        <v>45636</v>
      </c>
      <c r="C527" s="253">
        <v>561600</v>
      </c>
      <c r="D527" s="325" t="str">
        <f>VLOOKUP(A527,Facturas!A:P,2,0)</f>
        <v>P-1429</v>
      </c>
      <c r="E527" s="325" t="str">
        <f>VLOOKUP(A527,Facturas!A:P,4,0)</f>
        <v>TIS-1421</v>
      </c>
      <c r="F527" t="str">
        <f>VLOOKUP(A527,Facturas!A:P,8,0)</f>
        <v>Comercializadora ERZ SAS</v>
      </c>
      <c r="G527" s="222"/>
      <c r="H527">
        <f>YEAR(Tabla1[[#This Row],[Fecha]])</f>
        <v>2024</v>
      </c>
    </row>
    <row r="528" spans="1:8" hidden="1" x14ac:dyDescent="0.25">
      <c r="A528" s="3">
        <v>466</v>
      </c>
      <c r="B528" s="360">
        <v>45638</v>
      </c>
      <c r="C528" s="316">
        <v>324000</v>
      </c>
      <c r="D528" s="3" t="str">
        <f>VLOOKUP(A528,Facturas!A:P,2,0)</f>
        <v>P-1455</v>
      </c>
      <c r="E528" s="3" t="str">
        <f>VLOOKUP(A528,Facturas!A:P,4,0)</f>
        <v>TIS-1443</v>
      </c>
      <c r="F528" t="str">
        <f>VLOOKUP(A528,Facturas!A:P,8,0)</f>
        <v>DIGITAL MEDIA TECHNOLOGIES COLOMBIA SAS</v>
      </c>
      <c r="H528">
        <f>YEAR(Tabla1[[#This Row],[Fecha]])</f>
        <v>2024</v>
      </c>
    </row>
    <row r="529" spans="1:8" hidden="1" x14ac:dyDescent="0.25">
      <c r="A529" s="3">
        <v>467</v>
      </c>
      <c r="B529" s="360">
        <v>45639</v>
      </c>
      <c r="C529" s="316">
        <v>622003</v>
      </c>
      <c r="D529" s="3" t="str">
        <f>VLOOKUP(A529,Facturas!A:P,2,0)</f>
        <v>P-1456</v>
      </c>
      <c r="E529" s="3" t="str">
        <f>VLOOKUP(A529,Facturas!A:P,4,0)</f>
        <v>TIS-1444</v>
      </c>
      <c r="F529" t="str">
        <f>VLOOKUP(A529,Facturas!A:P,8,0)</f>
        <v>GENUINE TECH SAS</v>
      </c>
      <c r="H529">
        <f>YEAR(Tabla1[[#This Row],[Fecha]])</f>
        <v>2024</v>
      </c>
    </row>
    <row r="530" spans="1:8" hidden="1" x14ac:dyDescent="0.25">
      <c r="A530" s="3">
        <v>496</v>
      </c>
      <c r="B530" s="360">
        <v>45639</v>
      </c>
      <c r="C530" s="316">
        <v>2736816</v>
      </c>
      <c r="D530" s="3" t="str">
        <f>VLOOKUP(A530,Facturas!A:P,2,0)</f>
        <v>P-1485</v>
      </c>
      <c r="E530" s="3" t="str">
        <f>VLOOKUP(A530,Facturas!A:P,4,0)</f>
        <v>TIS-1467</v>
      </c>
      <c r="F530" t="str">
        <f>VLOOKUP(A530,Facturas!A:P,8,0)</f>
        <v>TRANSPORTES ESPECIALES ALIADOS S.A.S</v>
      </c>
      <c r="H530">
        <f>YEAR(Tabla1[[#This Row],[Fecha]])</f>
        <v>2024</v>
      </c>
    </row>
    <row r="531" spans="1:8" hidden="1" x14ac:dyDescent="0.25">
      <c r="A531" s="3">
        <v>406</v>
      </c>
      <c r="B531" s="360">
        <v>45643</v>
      </c>
      <c r="C531" s="316">
        <v>8282628</v>
      </c>
      <c r="D531" s="3" t="str">
        <f>VLOOKUP(A531,Facturas!A:P,2,0)</f>
        <v>P-1395</v>
      </c>
      <c r="E531" s="3" t="str">
        <f>VLOOKUP(A531,Facturas!A:P,4,0)</f>
        <v>TIS-1383</v>
      </c>
      <c r="F531" t="str">
        <f>VLOOKUP(A531,Facturas!A:P,8,0)</f>
        <v>FIDEICOMISOS SOCIEDAD FIDUCIARIA DE OCCIDENTE SA</v>
      </c>
      <c r="H531">
        <f>YEAR(Tabla1[[#This Row],[Fecha]])</f>
        <v>2024</v>
      </c>
    </row>
    <row r="532" spans="1:8" hidden="1" x14ac:dyDescent="0.25">
      <c r="A532" s="3">
        <v>469</v>
      </c>
      <c r="B532" s="360">
        <v>45645</v>
      </c>
      <c r="C532" s="316">
        <v>218903</v>
      </c>
      <c r="D532" s="3" t="str">
        <f>VLOOKUP(A532,Facturas!A:P,2,0)</f>
        <v>P-1458</v>
      </c>
      <c r="E532" s="3" t="str">
        <f>VLOOKUP(A532,Facturas!A:P,4,0)</f>
        <v>TIS-1446</v>
      </c>
      <c r="F532" t="str">
        <f>VLOOKUP(A532,Facturas!A:P,8,0)</f>
        <v>ALVEAR ESCOBAR ASOCIADOS S.A.S</v>
      </c>
      <c r="H532">
        <f>YEAR(Tabla1[[#This Row],[Fecha]])</f>
        <v>2024</v>
      </c>
    </row>
    <row r="533" spans="1:8" x14ac:dyDescent="0.25">
      <c r="A533" s="3">
        <v>473</v>
      </c>
      <c r="B533" s="360">
        <v>45657</v>
      </c>
      <c r="C533" s="316">
        <v>201250</v>
      </c>
      <c r="D533" s="3" t="str">
        <f>VLOOKUP(A533,Facturas!A:P,2,0)</f>
        <v>P-1462</v>
      </c>
      <c r="E533" s="3" t="str">
        <f>VLOOKUP(A533,Facturas!A:P,4,0)</f>
        <v>TIS-1450</v>
      </c>
      <c r="F533" t="str">
        <f>VLOOKUP(A533,Facturas!A:P,8,0)</f>
        <v>ROYCO SOLUCIONES SAS</v>
      </c>
      <c r="H533">
        <f>YEAR(Tabla1[[#This Row],[Fecha]])</f>
        <v>2024</v>
      </c>
    </row>
    <row r="534" spans="1:8" hidden="1" x14ac:dyDescent="0.25">
      <c r="A534" s="3">
        <v>384</v>
      </c>
      <c r="B534" s="360">
        <v>45664</v>
      </c>
      <c r="C534" s="316">
        <v>1380000</v>
      </c>
      <c r="D534" s="3" t="str">
        <f>VLOOKUP(A534,Facturas!A:P,2,0)</f>
        <v>P-1372</v>
      </c>
      <c r="E534" s="3" t="str">
        <f>VLOOKUP(A534,Facturas!A:P,4,0)</f>
        <v>TIS-1351</v>
      </c>
      <c r="F534" t="str">
        <f>VLOOKUP(A534,Facturas!A:P,8,0)</f>
        <v>CONSTRUCCIONES CIVILES JMR S.A.S</v>
      </c>
      <c r="G534" s="222"/>
      <c r="H534">
        <f>YEAR(Tabla1[[#This Row],[Fecha]])</f>
        <v>2025</v>
      </c>
    </row>
    <row r="535" spans="1:8" hidden="1" x14ac:dyDescent="0.25">
      <c r="A535" s="3">
        <v>475</v>
      </c>
      <c r="B535" s="360">
        <v>45666</v>
      </c>
      <c r="C535" s="316">
        <v>324000</v>
      </c>
      <c r="D535" s="3" t="str">
        <f>VLOOKUP(A535,Facturas!A:P,2,0)</f>
        <v>P-1464</v>
      </c>
      <c r="E535" s="3" t="str">
        <f>VLOOKUP(A535,Facturas!A:P,4,0)</f>
        <v>TIS-1452</v>
      </c>
      <c r="F535" t="str">
        <f>VLOOKUP(A535,Facturas!A:P,8,0)</f>
        <v>DIGITAL MEDIA TECHNOLOGIES COLOMBIA SAS</v>
      </c>
      <c r="H535">
        <f>YEAR(Tabla1[[#This Row],[Fecha]])</f>
        <v>2025</v>
      </c>
    </row>
    <row r="536" spans="1:8" hidden="1" x14ac:dyDescent="0.25">
      <c r="A536" s="3">
        <v>494</v>
      </c>
      <c r="B536" s="360">
        <v>45666</v>
      </c>
      <c r="C536" s="316">
        <v>798938</v>
      </c>
      <c r="D536" s="3" t="str">
        <f>VLOOKUP(A536,Facturas!A:P,2,0)</f>
        <v>P-1483</v>
      </c>
      <c r="E536" s="3" t="str">
        <f>VLOOKUP(A536,Facturas!A:P,4,0)</f>
        <v>TIS-1465</v>
      </c>
      <c r="F536" t="str">
        <f>VLOOKUP(A536,Facturas!A:P,8,0)</f>
        <v>SMART ENERGY SOLUTIONS SAS</v>
      </c>
      <c r="H536">
        <f>YEAR(Tabla1[[#This Row],[Fecha]])</f>
        <v>2025</v>
      </c>
    </row>
    <row r="537" spans="1:8" hidden="1" x14ac:dyDescent="0.25">
      <c r="A537" s="3">
        <v>462</v>
      </c>
      <c r="B537" s="360">
        <v>45667</v>
      </c>
      <c r="C537" s="316">
        <v>228068</v>
      </c>
      <c r="D537" s="3" t="str">
        <f>VLOOKUP(A537,Facturas!A:P,2,0)</f>
        <v>P-1451</v>
      </c>
      <c r="E537" s="3" t="str">
        <f>VLOOKUP(A537,Facturas!A:P,4,0)</f>
        <v>TIS-1439</v>
      </c>
      <c r="F537" t="str">
        <f>VLOOKUP(A537,Facturas!A:P,8,0)</f>
        <v>QUALITY WATER SERVICE COLOMBIA SAS</v>
      </c>
      <c r="H537">
        <f>YEAR(Tabla1[[#This Row],[Fecha]])</f>
        <v>2025</v>
      </c>
    </row>
    <row r="538" spans="1:8" hidden="1" x14ac:dyDescent="0.25">
      <c r="A538" s="3">
        <v>463</v>
      </c>
      <c r="B538" s="360">
        <v>45636</v>
      </c>
      <c r="C538" s="316">
        <v>280800</v>
      </c>
      <c r="D538" s="3" t="str">
        <f>VLOOKUP(A538,Facturas!A:P,2,0)</f>
        <v>P-1452</v>
      </c>
      <c r="E538" s="3" t="str">
        <f>VLOOKUP(A538,Facturas!A:P,4,0)</f>
        <v>TIS-1440</v>
      </c>
      <c r="F538" t="str">
        <f>VLOOKUP(A538,Facturas!A:P,8,0)</f>
        <v>Comercializadora ERZ SAS</v>
      </c>
      <c r="H538">
        <f>YEAR(Tabla1[[#This Row],[Fecha]])</f>
        <v>2024</v>
      </c>
    </row>
    <row r="539" spans="1:8" hidden="1" x14ac:dyDescent="0.25">
      <c r="A539" s="3">
        <v>438</v>
      </c>
      <c r="B539" s="360">
        <v>45667</v>
      </c>
      <c r="C539" s="316">
        <v>476190</v>
      </c>
      <c r="D539" s="3" t="str">
        <f>VLOOKUP(A539,Facturas!A:P,2,0)</f>
        <v>P-1427</v>
      </c>
      <c r="E539" s="3" t="str">
        <f>VLOOKUP(A539,Facturas!A:P,4,0)</f>
        <v>TIS-1418</v>
      </c>
      <c r="F539" t="str">
        <f>VLOOKUP(A539,Facturas!A:P,8,0)</f>
        <v>EVAL.COM CONSULTING SAS</v>
      </c>
      <c r="G539" s="222"/>
      <c r="H539">
        <f>YEAR(Tabla1[[#This Row],[Fecha]])</f>
        <v>2025</v>
      </c>
    </row>
    <row r="540" spans="1:8" hidden="1" x14ac:dyDescent="0.25">
      <c r="A540" s="3">
        <v>477</v>
      </c>
      <c r="B540" s="360">
        <v>45670</v>
      </c>
      <c r="C540" s="316">
        <v>622003</v>
      </c>
      <c r="D540" s="3" t="str">
        <f>VLOOKUP(A540,Facturas!A:P,2,0)</f>
        <v>P-1466</v>
      </c>
      <c r="E540" s="3" t="str">
        <f>VLOOKUP(A540,Facturas!A:P,4,0)</f>
        <v>TIS-1454</v>
      </c>
      <c r="F540" t="str">
        <f>VLOOKUP(A540,Facturas!A:P,8,0)</f>
        <v>GENUINE TECH SAS</v>
      </c>
      <c r="H540">
        <f>YEAR(Tabla1[[#This Row],[Fecha]])</f>
        <v>2025</v>
      </c>
    </row>
    <row r="541" spans="1:8" hidden="1" x14ac:dyDescent="0.25">
      <c r="A541" s="3">
        <v>499</v>
      </c>
      <c r="B541" s="360">
        <v>45671</v>
      </c>
      <c r="C541" s="316">
        <v>360000</v>
      </c>
      <c r="D541" s="3" t="str">
        <f>VLOOKUP(A541,Facturas!A:P,2,0)</f>
        <v>P-1488</v>
      </c>
      <c r="E541" s="3" t="str">
        <f>VLOOKUP(A541,Facturas!A:P,4,0)</f>
        <v>TIS-1470</v>
      </c>
      <c r="F541" t="str">
        <f>VLOOKUP(A541,Facturas!A:P,8,0)</f>
        <v>ECO DESIGN SERVICES SAS</v>
      </c>
      <c r="H541">
        <f>YEAR(Tabla1[[#This Row],[Fecha]])</f>
        <v>2025</v>
      </c>
    </row>
    <row r="542" spans="1:8" hidden="1" x14ac:dyDescent="0.25">
      <c r="A542" s="3">
        <v>495</v>
      </c>
      <c r="B542" s="360">
        <v>45673</v>
      </c>
      <c r="C542" s="316">
        <v>400000</v>
      </c>
      <c r="D542" s="3" t="str">
        <f>VLOOKUP(A542,Facturas!A:P,2,0)</f>
        <v>P-1484</v>
      </c>
      <c r="E542" s="3" t="str">
        <f>VLOOKUP(A542,Facturas!A:P,4,0)</f>
        <v>TIS-1466</v>
      </c>
      <c r="F542" t="str">
        <f>VLOOKUP(A542,Facturas!A:P,8,0)</f>
        <v>HF DOTACIONES SAS</v>
      </c>
      <c r="G542" s="222"/>
      <c r="H542">
        <f>YEAR(Tabla1[[#This Row],[Fecha]])</f>
        <v>2025</v>
      </c>
    </row>
    <row r="543" spans="1:8" hidden="1" x14ac:dyDescent="0.25">
      <c r="A543" s="3">
        <v>536</v>
      </c>
      <c r="B543" s="360">
        <v>45673</v>
      </c>
      <c r="C543" s="316">
        <v>2850000</v>
      </c>
      <c r="D543" s="3" t="str">
        <f>VLOOKUP(A543,Facturas!A:P,2,0)</f>
        <v>P-1525</v>
      </c>
      <c r="E543" s="3" t="str">
        <f>VLOOKUP(A543,Facturas!A:P,4,0)</f>
        <v>TIS-1505</v>
      </c>
      <c r="F543" t="str">
        <f>VLOOKUP(A543,Facturas!A:P,8,0)</f>
        <v>BLISTECO S.A.S.</v>
      </c>
      <c r="H543">
        <f>YEAR(Tabla1[[#This Row],[Fecha]])</f>
        <v>2025</v>
      </c>
    </row>
    <row r="544" spans="1:8" hidden="1" x14ac:dyDescent="0.25">
      <c r="A544" s="3">
        <v>479</v>
      </c>
      <c r="B544" s="360">
        <v>45674</v>
      </c>
      <c r="C544" s="253">
        <v>1126000</v>
      </c>
      <c r="D544" s="3" t="str">
        <f>VLOOKUP(A544,Facturas!A:P,2,0)</f>
        <v>P-1468</v>
      </c>
      <c r="E544" s="3" t="str">
        <f>VLOOKUP(A544,Facturas!A:P,4,0)</f>
        <v>TIS-1455</v>
      </c>
      <c r="F544" t="str">
        <f>VLOOKUP(A544,Facturas!A:P,8,0)</f>
        <v>B2B TAX LEGAL S.A.S. BIC</v>
      </c>
      <c r="H544">
        <f>YEAR(Tabla1[[#This Row],[Fecha]])</f>
        <v>2025</v>
      </c>
    </row>
    <row r="545" spans="1:8" hidden="1" x14ac:dyDescent="0.25">
      <c r="A545" s="3">
        <v>451</v>
      </c>
      <c r="B545" s="360">
        <v>45674</v>
      </c>
      <c r="C545" s="316">
        <v>342828</v>
      </c>
      <c r="D545" s="3" t="str">
        <f>VLOOKUP(A545,Facturas!A:P,2,0)</f>
        <v>P-1440</v>
      </c>
      <c r="E545" s="3" t="str">
        <f>VLOOKUP(A545,Facturas!A:P,4,0)</f>
        <v>TIS-1429</v>
      </c>
      <c r="F545" t="str">
        <f>VLOOKUP(A545,Facturas!A:P,8,0)</f>
        <v>BETA SERVICIOS TEMPORALES S A S</v>
      </c>
      <c r="H545">
        <f>YEAR(Tabla1[[#This Row],[Fecha]])</f>
        <v>2025</v>
      </c>
    </row>
    <row r="546" spans="1:8" hidden="1" x14ac:dyDescent="0.25">
      <c r="A546" s="3">
        <v>452</v>
      </c>
      <c r="B546" s="360">
        <v>45674</v>
      </c>
      <c r="C546" s="316">
        <f>419003-34000</f>
        <v>385003</v>
      </c>
      <c r="D546" s="3" t="str">
        <f>VLOOKUP(A546,Facturas!A:P,2,0)</f>
        <v>P-1441</v>
      </c>
      <c r="E546" s="3" t="str">
        <f>VLOOKUP(A546,Facturas!A:P,4,0)</f>
        <v>TIS-1430</v>
      </c>
      <c r="F546" t="str">
        <f>VLOOKUP(A546,Facturas!A:P,8,0)</f>
        <v>STT Group sucursal colombia SA</v>
      </c>
      <c r="H546">
        <f>YEAR(Tabla1[[#This Row],[Fecha]])</f>
        <v>2025</v>
      </c>
    </row>
    <row r="547" spans="1:8" hidden="1" x14ac:dyDescent="0.25">
      <c r="A547" s="3">
        <v>453</v>
      </c>
      <c r="B547" s="360">
        <v>45674</v>
      </c>
      <c r="C547" s="316">
        <f>2023652-312000</f>
        <v>1711652</v>
      </c>
      <c r="D547" s="3" t="str">
        <f>VLOOKUP(A547,Facturas!A:P,2,0)</f>
        <v>P-1442</v>
      </c>
      <c r="E547" s="3" t="str">
        <f>VLOOKUP(A547,Facturas!A:P,4,0)</f>
        <v>TIS-1431</v>
      </c>
      <c r="F547" t="str">
        <f>VLOOKUP(A547,Facturas!A:P,8,0)</f>
        <v>STT Group sucursal colombia SA</v>
      </c>
      <c r="G547" s="45">
        <v>231108</v>
      </c>
      <c r="H547">
        <f>YEAR(Tabla1[[#This Row],[Fecha]])</f>
        <v>2025</v>
      </c>
    </row>
    <row r="548" spans="1:8" hidden="1" x14ac:dyDescent="0.25">
      <c r="A548" s="3">
        <v>443</v>
      </c>
      <c r="B548" s="360">
        <v>45679</v>
      </c>
      <c r="C548" s="316">
        <v>1071000</v>
      </c>
      <c r="D548" s="3" t="str">
        <f>VLOOKUP(A548,Facturas!A:P,2,0)</f>
        <v>P-1432</v>
      </c>
      <c r="E548" s="3" t="str">
        <f>VLOOKUP(A548,Facturas!A:P,4,0)</f>
        <v>TIS-1424</v>
      </c>
      <c r="F548" t="str">
        <f>VLOOKUP(A548,Facturas!A:P,8,0)</f>
        <v>STAFF SEGUROS AGENCIA LTDA</v>
      </c>
      <c r="H548">
        <f>YEAR(Tabla1[[#This Row],[Fecha]])</f>
        <v>2025</v>
      </c>
    </row>
    <row r="549" spans="1:8" hidden="1" x14ac:dyDescent="0.25">
      <c r="A549" s="3">
        <v>450</v>
      </c>
      <c r="B549" s="360">
        <v>45679</v>
      </c>
      <c r="C549" s="316">
        <f>312000+34000</f>
        <v>346000</v>
      </c>
      <c r="D549" s="3" t="str">
        <f>VLOOKUP(A549,Facturas!A:P,2,0)</f>
        <v>P-1439</v>
      </c>
      <c r="E549" s="3" t="str">
        <f>VLOOKUP(A549,Facturas!A:P,4,0)</f>
        <v>TIS-1428</v>
      </c>
      <c r="F549" t="str">
        <f>VLOOKUP(A549,Facturas!A:P,8,0)</f>
        <v>SUPPLYING TOTAL TALENT SAS</v>
      </c>
      <c r="H549">
        <f>YEAR(Tabla1[[#This Row],[Fecha]])</f>
        <v>2025</v>
      </c>
    </row>
    <row r="550" spans="1:8" hidden="1" x14ac:dyDescent="0.25">
      <c r="A550" s="3">
        <v>465</v>
      </c>
      <c r="B550" s="360">
        <v>45679</v>
      </c>
      <c r="C550" s="316">
        <v>357000</v>
      </c>
      <c r="D550" s="3" t="str">
        <f>VLOOKUP(A550,Facturas!A:P,2,0)</f>
        <v>P-1454</v>
      </c>
      <c r="E550" s="3" t="str">
        <f>VLOOKUP(A550,Facturas!A:P,4,0)</f>
        <v>TIS-1442</v>
      </c>
      <c r="F550" t="str">
        <f>VLOOKUP(A550,Facturas!A:P,8,0)</f>
        <v>STAFF SEGUROS AGENCIA LTDA</v>
      </c>
      <c r="H550">
        <f>YEAR(Tabla1[[#This Row],[Fecha]])</f>
        <v>2025</v>
      </c>
    </row>
    <row r="551" spans="1:8" hidden="1" x14ac:dyDescent="0.25">
      <c r="A551" s="3">
        <v>474</v>
      </c>
      <c r="B551" s="360">
        <v>45679</v>
      </c>
      <c r="C551" s="316">
        <v>357000</v>
      </c>
      <c r="D551" s="3" t="str">
        <f>VLOOKUP(A551,Facturas!A:P,2,0)</f>
        <v>P-1463</v>
      </c>
      <c r="E551" s="3" t="str">
        <f>VLOOKUP(A551,Facturas!A:P,4,0)</f>
        <v>TIS-1451</v>
      </c>
      <c r="F551" t="str">
        <f>VLOOKUP(A551,Facturas!A:P,8,0)</f>
        <v>STAFF SEGUROS AGENCIA LTDA</v>
      </c>
      <c r="H551">
        <f>YEAR(Tabla1[[#This Row],[Fecha]])</f>
        <v>2025</v>
      </c>
    </row>
    <row r="552" spans="1:8" hidden="1" x14ac:dyDescent="0.25">
      <c r="A552" s="3">
        <v>495</v>
      </c>
      <c r="B552" s="360">
        <v>45680</v>
      </c>
      <c r="C552" s="316">
        <v>398238</v>
      </c>
      <c r="D552" s="3" t="str">
        <f>VLOOKUP(A552,Facturas!A:P,2,0)</f>
        <v>P-1484</v>
      </c>
      <c r="E552" s="3" t="str">
        <f>VLOOKUP(A552,Facturas!A:P,4,0)</f>
        <v>TIS-1466</v>
      </c>
      <c r="F552" t="str">
        <f>VLOOKUP(A552,Facturas!A:P,8,0)</f>
        <v>HF DOTACIONES SAS</v>
      </c>
      <c r="G552" s="222"/>
      <c r="H552">
        <f>YEAR(Tabla1[[#This Row],[Fecha]])</f>
        <v>2025</v>
      </c>
    </row>
    <row r="553" spans="1:8" hidden="1" x14ac:dyDescent="0.25">
      <c r="A553" s="3">
        <v>492</v>
      </c>
      <c r="B553" s="360">
        <v>45681</v>
      </c>
      <c r="C553" s="316">
        <v>240000</v>
      </c>
      <c r="D553" s="3" t="str">
        <f>VLOOKUP(A553,Facturas!A:P,2,0)</f>
        <v>P-1481</v>
      </c>
      <c r="E553" s="3" t="str">
        <f>VLOOKUP(A553,Facturas!A:P,4,0)</f>
        <v>TIS-1463</v>
      </c>
      <c r="F553" t="str">
        <f>VLOOKUP(A553,Facturas!A:P,8,0)</f>
        <v>Inversiones Sajamib SAS</v>
      </c>
      <c r="G553" s="222"/>
      <c r="H553">
        <f>YEAR(Tabla1[[#This Row],[Fecha]])</f>
        <v>2025</v>
      </c>
    </row>
    <row r="554" spans="1:8" hidden="1" x14ac:dyDescent="0.25">
      <c r="A554" s="3">
        <v>502</v>
      </c>
      <c r="B554" s="360">
        <v>45681</v>
      </c>
      <c r="C554" s="316">
        <v>480000</v>
      </c>
      <c r="D554" s="3" t="str">
        <f>VLOOKUP(A554,Facturas!A:P,2,0)</f>
        <v>P-1491</v>
      </c>
      <c r="E554" s="3" t="str">
        <f>VLOOKUP(A554,Facturas!A:P,4,0)</f>
        <v>TIS-1473</v>
      </c>
      <c r="F554" t="str">
        <f>VLOOKUP(A554,Facturas!A:P,8,0)</f>
        <v>Inversiones Sajamib SAS</v>
      </c>
      <c r="H554">
        <f>YEAR(Tabla1[[#This Row],[Fecha]])</f>
        <v>2025</v>
      </c>
    </row>
    <row r="555" spans="1:8" hidden="1" x14ac:dyDescent="0.25">
      <c r="A555" s="3">
        <v>508</v>
      </c>
      <c r="B555" s="360">
        <v>45681</v>
      </c>
      <c r="C555" s="316">
        <v>480000</v>
      </c>
      <c r="D555" s="3" t="str">
        <f>VLOOKUP(A555,Facturas!A:P,2,0)</f>
        <v>P-1497</v>
      </c>
      <c r="E555" s="3" t="str">
        <f>VLOOKUP(A555,Facturas!A:P,4,0)</f>
        <v>TIS-1479</v>
      </c>
      <c r="F555" t="str">
        <f>VLOOKUP(A555,Facturas!A:P,8,0)</f>
        <v>Inversiones Sajamib SAS</v>
      </c>
      <c r="H555">
        <f>YEAR(Tabla1[[#This Row],[Fecha]])</f>
        <v>2025</v>
      </c>
    </row>
    <row r="556" spans="1:8" hidden="1" x14ac:dyDescent="0.25">
      <c r="A556" s="3">
        <v>532</v>
      </c>
      <c r="B556" s="360">
        <v>45681</v>
      </c>
      <c r="C556" s="316">
        <v>480000</v>
      </c>
      <c r="D556" s="3" t="str">
        <f>VLOOKUP(A556,Facturas!A:P,2,0)</f>
        <v>P-1521</v>
      </c>
      <c r="E556" s="3" t="str">
        <f>VLOOKUP(A556,Facturas!A:P,4,0)</f>
        <v>TIS-1501</v>
      </c>
      <c r="F556" t="str">
        <f>VLOOKUP(A556,Facturas!A:P,8,0)</f>
        <v>Inversiones Sajamib SAS</v>
      </c>
      <c r="H556">
        <f>YEAR(Tabla1[[#This Row],[Fecha]])</f>
        <v>2025</v>
      </c>
    </row>
    <row r="557" spans="1:8" hidden="1" x14ac:dyDescent="0.25">
      <c r="A557" s="3">
        <v>414</v>
      </c>
      <c r="B557" s="360">
        <v>45685</v>
      </c>
      <c r="C557" s="316">
        <v>771120</v>
      </c>
      <c r="D557" s="3" t="str">
        <f>VLOOKUP(A557,Facturas!A:P,2,0)</f>
        <v>P-1403</v>
      </c>
      <c r="E557" s="3" t="str">
        <f>VLOOKUP(A557,Facturas!A:P,4,0)</f>
        <v>TIS-1392</v>
      </c>
      <c r="F557" t="str">
        <f>VLOOKUP(A557,Facturas!A:P,8,0)</f>
        <v>TECNOLOGIA DE OFICINA S.A.S.</v>
      </c>
      <c r="H557">
        <f>YEAR(Tabla1[[#This Row],[Fecha]])</f>
        <v>2025</v>
      </c>
    </row>
    <row r="558" spans="1:8" hidden="1" x14ac:dyDescent="0.25">
      <c r="A558" s="3">
        <v>472</v>
      </c>
      <c r="B558" s="360">
        <v>45687</v>
      </c>
      <c r="C558" s="316">
        <v>280800</v>
      </c>
      <c r="D558" s="3" t="str">
        <f>VLOOKUP(A558,Facturas!A:P,2,0)</f>
        <v>P-1461</v>
      </c>
      <c r="E558" s="3" t="str">
        <f>VLOOKUP(A558,Facturas!A:P,4,0)</f>
        <v>TIS-1449</v>
      </c>
      <c r="F558" t="str">
        <f>VLOOKUP(A558,Facturas!A:P,8,0)</f>
        <v>Comercializadora ERZ SAS</v>
      </c>
      <c r="H558">
        <f>YEAR(Tabla1[[#This Row],[Fecha]])</f>
        <v>2025</v>
      </c>
    </row>
    <row r="559" spans="1:8" hidden="1" x14ac:dyDescent="0.25">
      <c r="A559" s="3">
        <v>512</v>
      </c>
      <c r="B559" s="360">
        <v>45692</v>
      </c>
      <c r="C559" s="316">
        <v>1178100</v>
      </c>
      <c r="D559" s="3" t="str">
        <f>VLOOKUP(A559,Facturas!A:P,2,0)</f>
        <v>P-1501</v>
      </c>
      <c r="E559" s="3" t="str">
        <f>VLOOKUP(A559,Facturas!A:P,4,0)</f>
        <v>TIS-1483</v>
      </c>
      <c r="F559" t="str">
        <f>VLOOKUP(A559,Facturas!A:P,8,0)</f>
        <v>H &amp; S FRANQUICIAS SAS</v>
      </c>
      <c r="H559">
        <f>YEAR(Tabla1[[#This Row],[Fecha]])</f>
        <v>2025</v>
      </c>
    </row>
    <row r="560" spans="1:8" hidden="1" x14ac:dyDescent="0.25">
      <c r="A560" s="3">
        <v>496</v>
      </c>
      <c r="B560" s="360">
        <v>45693</v>
      </c>
      <c r="C560" s="316">
        <v>4950873</v>
      </c>
      <c r="D560" s="3" t="str">
        <f>VLOOKUP(A560,Facturas!A:P,2,0)</f>
        <v>P-1485</v>
      </c>
      <c r="E560" s="3" t="str">
        <f>VLOOKUP(A560,Facturas!A:P,4,0)</f>
        <v>TIS-1467</v>
      </c>
      <c r="F560" t="str">
        <f>VLOOKUP(A560,Facturas!A:P,8,0)</f>
        <v>TRANSPORTES ESPECIALES ALIADOS S.A.S</v>
      </c>
      <c r="H560">
        <f>YEAR(Tabla1[[#This Row],[Fecha]])</f>
        <v>2025</v>
      </c>
    </row>
    <row r="561" spans="1:8" hidden="1" x14ac:dyDescent="0.25">
      <c r="A561" s="3">
        <v>511</v>
      </c>
      <c r="B561" s="360">
        <v>45693</v>
      </c>
      <c r="C561" s="316">
        <v>405000</v>
      </c>
      <c r="D561" s="3" t="str">
        <f>VLOOKUP(A561,Facturas!A:P,2,0)</f>
        <v>P-1500</v>
      </c>
      <c r="E561" s="3" t="str">
        <f>VLOOKUP(A561,Facturas!A:P,4,0)</f>
        <v>TIS-1482</v>
      </c>
      <c r="F561" t="str">
        <f>VLOOKUP(A561,Facturas!A:P,8,0)</f>
        <v>BTG DE ANTIOQUIA</v>
      </c>
      <c r="H561">
        <f>YEAR(Tabla1[[#This Row],[Fecha]])</f>
        <v>2025</v>
      </c>
    </row>
    <row r="562" spans="1:8" hidden="1" x14ac:dyDescent="0.25">
      <c r="A562" s="3">
        <v>511</v>
      </c>
      <c r="B562" s="360">
        <v>45700</v>
      </c>
      <c r="C562" s="316">
        <v>243000</v>
      </c>
      <c r="D562" s="3" t="str">
        <f>VLOOKUP(A562,Facturas!A:P,2,0)</f>
        <v>P-1500</v>
      </c>
      <c r="E562" s="3" t="str">
        <f>VLOOKUP(A562,Facturas!A:P,4,0)</f>
        <v>TIS-1482</v>
      </c>
      <c r="F562" t="str">
        <f>VLOOKUP(A562,Facturas!A:P,8,0)</f>
        <v>BTG DE ANTIOQUIA</v>
      </c>
      <c r="H562">
        <f>YEAR(Tabla1[[#This Row],[Fecha]])</f>
        <v>2025</v>
      </c>
    </row>
    <row r="563" spans="1:8" hidden="1" x14ac:dyDescent="0.25">
      <c r="A563" s="3">
        <v>501</v>
      </c>
      <c r="B563" s="360">
        <v>45708</v>
      </c>
      <c r="C563" s="316">
        <v>324000</v>
      </c>
      <c r="D563" s="3" t="str">
        <f>VLOOKUP(A563,Facturas!A:P,2,0)</f>
        <v>P-1490</v>
      </c>
      <c r="E563" s="3" t="str">
        <f>VLOOKUP(A563,Facturas!A:P,4,0)</f>
        <v>TIS-1472</v>
      </c>
      <c r="F563" t="str">
        <f>VLOOKUP(A563,Facturas!A:P,8,0)</f>
        <v>DIGITAL MEDIA TECHNOLOGIES COLOMBIA SAS</v>
      </c>
      <c r="H563">
        <f>YEAR(Tabla1[[#This Row],[Fecha]])</f>
        <v>2025</v>
      </c>
    </row>
    <row r="564" spans="1:8" hidden="1" x14ac:dyDescent="0.25">
      <c r="A564" s="3">
        <v>471</v>
      </c>
      <c r="B564" s="360">
        <v>45709</v>
      </c>
      <c r="C564" s="316">
        <v>539916</v>
      </c>
      <c r="D564" s="3" t="str">
        <f>VLOOKUP(A564,Facturas!A:P,2,0)</f>
        <v>P-1460</v>
      </c>
      <c r="E564" s="3" t="str">
        <f>VLOOKUP(A564,Facturas!A:P,4,0)</f>
        <v>TIS-1448</v>
      </c>
      <c r="F564" t="str">
        <f>VLOOKUP(A564,Facturas!A:P,8,0)</f>
        <v>COMPAÑIA DE SEGUROS BOLIVAR S A</v>
      </c>
      <c r="H564">
        <f>YEAR(Tabla1[[#This Row],[Fecha]])</f>
        <v>2025</v>
      </c>
    </row>
    <row r="565" spans="1:8" hidden="1" x14ac:dyDescent="0.25">
      <c r="A565" s="3">
        <v>480</v>
      </c>
      <c r="B565" s="360">
        <v>45709</v>
      </c>
      <c r="C565" s="316">
        <v>927900</v>
      </c>
      <c r="D565" s="3" t="str">
        <f>VLOOKUP(A565,Facturas!A:P,2,0)</f>
        <v>P-1469</v>
      </c>
      <c r="E565" s="3" t="str">
        <f>VLOOKUP(A565,Facturas!A:P,4,0)</f>
        <v>TIS-1456</v>
      </c>
      <c r="F565" t="str">
        <f>VLOOKUP(A565,Facturas!A:P,8,0)</f>
        <v>COMPAÑIA DE SEGUROS BOLIVAR S A</v>
      </c>
      <c r="H565">
        <f>YEAR(Tabla1[[#This Row],[Fecha]])</f>
        <v>2025</v>
      </c>
    </row>
    <row r="566" spans="1:8" hidden="1" x14ac:dyDescent="0.25">
      <c r="A566" s="3">
        <v>481</v>
      </c>
      <c r="B566" s="360">
        <v>45709</v>
      </c>
      <c r="C566" s="316">
        <v>261800</v>
      </c>
      <c r="D566" s="3" t="str">
        <f>VLOOKUP(A566,Facturas!A:P,2,0)</f>
        <v>P-1470</v>
      </c>
      <c r="E566" s="3" t="str">
        <f>VLOOKUP(A566,Facturas!A:P,4,0)</f>
        <v>TIS-1457</v>
      </c>
      <c r="F566" t="str">
        <f>VLOOKUP(A566,Facturas!A:P,8,0)</f>
        <v>COMPAÑIA DE SEGUROS BOLIVAR S A</v>
      </c>
      <c r="H566">
        <f>YEAR(Tabla1[[#This Row],[Fecha]])</f>
        <v>2025</v>
      </c>
    </row>
    <row r="567" spans="1:8" hidden="1" x14ac:dyDescent="0.25">
      <c r="A567" s="3">
        <v>487</v>
      </c>
      <c r="B567" s="360">
        <v>45710</v>
      </c>
      <c r="C567" s="316">
        <v>324000</v>
      </c>
      <c r="D567" s="3" t="str">
        <f>VLOOKUP(A567,Facturas!A:P,2,0)</f>
        <v>P-1476</v>
      </c>
      <c r="E567" s="3" t="str">
        <f>VLOOKUP(A567,Facturas!A:P,4,0)</f>
        <v>TIS-1458</v>
      </c>
      <c r="F567" t="str">
        <f>VLOOKUP(A567,Facturas!A:P,8,0)</f>
        <v>Comercializadora ERZ SAS</v>
      </c>
      <c r="G567" s="222"/>
      <c r="H567">
        <f>YEAR(Tabla1[[#This Row],[Fecha]])</f>
        <v>2025</v>
      </c>
    </row>
    <row r="568" spans="1:8" hidden="1" x14ac:dyDescent="0.25">
      <c r="A568" s="3">
        <v>511</v>
      </c>
      <c r="B568" s="360">
        <v>45715</v>
      </c>
      <c r="C568" s="316">
        <v>162000</v>
      </c>
      <c r="D568" s="3" t="str">
        <f>VLOOKUP(A568,Facturas!A:P,2,0)</f>
        <v>P-1500</v>
      </c>
      <c r="E568" s="3" t="str">
        <f>VLOOKUP(A568,Facturas!A:P,4,0)</f>
        <v>TIS-1482</v>
      </c>
      <c r="F568" t="str">
        <f>VLOOKUP(A568,Facturas!A:P,8,0)</f>
        <v>BTG DE ANTIOQUIA</v>
      </c>
      <c r="H568">
        <f>YEAR(Tabla1[[#This Row],[Fecha]])</f>
        <v>2025</v>
      </c>
    </row>
    <row r="569" spans="1:8" hidden="1" x14ac:dyDescent="0.25">
      <c r="A569" s="3">
        <v>497</v>
      </c>
      <c r="B569" s="360">
        <v>45727</v>
      </c>
      <c r="C569" s="316">
        <v>9986562</v>
      </c>
      <c r="D569" s="3" t="str">
        <f>VLOOKUP(A569,Facturas!A:P,2,0)</f>
        <v>P-1486</v>
      </c>
      <c r="E569" s="3" t="str">
        <f>VLOOKUP(A569,Facturas!A:P,4,0)</f>
        <v>TIS-1468</v>
      </c>
      <c r="F569" t="str">
        <f>VLOOKUP(A569,Facturas!A:P,8,0)</f>
        <v>COMPAÑIA DE SEGUROS BOLIVAR S A</v>
      </c>
      <c r="H569">
        <f>YEAR(Tabla1[[#This Row],[Fecha]])</f>
        <v>2025</v>
      </c>
    </row>
    <row r="570" spans="1:8" hidden="1" x14ac:dyDescent="0.25">
      <c r="A570" s="3">
        <v>471</v>
      </c>
      <c r="B570" s="360">
        <v>45727</v>
      </c>
      <c r="C570" s="316">
        <v>443188</v>
      </c>
      <c r="D570" s="3" t="str">
        <f>VLOOKUP(A570,Facturas!A:P,2,0)</f>
        <v>P-1460</v>
      </c>
      <c r="E570" s="3" t="str">
        <f>VLOOKUP(A570,Facturas!A:P,4,0)</f>
        <v>TIS-1448</v>
      </c>
      <c r="F570" t="str">
        <f>VLOOKUP(A570,Facturas!A:P,8,0)</f>
        <v>COMPAÑIA DE SEGUROS BOLIVAR S A</v>
      </c>
      <c r="H570">
        <f>YEAR(Tabla1[[#This Row],[Fecha]])</f>
        <v>2025</v>
      </c>
    </row>
    <row r="571" spans="1:8" hidden="1" x14ac:dyDescent="0.25">
      <c r="A571" s="3">
        <v>510</v>
      </c>
      <c r="B571" s="360">
        <v>45729</v>
      </c>
      <c r="C571" s="316">
        <v>883855</v>
      </c>
      <c r="D571" s="3" t="str">
        <f>VLOOKUP(A571,Facturas!A:P,2,0)</f>
        <v>P-1499</v>
      </c>
      <c r="E571" s="3" t="str">
        <f>VLOOKUP(A571,Facturas!A:P,4,0)</f>
        <v>TIS-1481</v>
      </c>
      <c r="F571" t="str">
        <f>VLOOKUP(A571,Facturas!A:P,8,0)</f>
        <v>CHOHO COLOMBIA SAS</v>
      </c>
      <c r="H571">
        <f>YEAR(Tabla1[[#This Row],[Fecha]])</f>
        <v>2025</v>
      </c>
    </row>
    <row r="572" spans="1:8" hidden="1" x14ac:dyDescent="0.25">
      <c r="A572" s="3">
        <v>512</v>
      </c>
      <c r="B572" s="360">
        <v>45729</v>
      </c>
      <c r="C572" s="316">
        <v>952380</v>
      </c>
      <c r="D572" s="3" t="str">
        <f>VLOOKUP(A572,Facturas!A:P,2,0)</f>
        <v>P-1501</v>
      </c>
      <c r="E572" s="3" t="str">
        <f>VLOOKUP(A572,Facturas!A:P,4,0)</f>
        <v>TIS-1483</v>
      </c>
      <c r="F572" t="str">
        <f>VLOOKUP(A572,Facturas!A:P,8,0)</f>
        <v>H &amp; S FRANQUICIAS SAS</v>
      </c>
      <c r="H572">
        <f>YEAR(Tabla1[[#This Row],[Fecha]])</f>
        <v>2025</v>
      </c>
    </row>
    <row r="573" spans="1:8" hidden="1" x14ac:dyDescent="0.25">
      <c r="A573" s="3">
        <v>506</v>
      </c>
      <c r="B573" s="360">
        <v>45736</v>
      </c>
      <c r="C573" s="316">
        <v>324000</v>
      </c>
      <c r="D573" s="3" t="str">
        <f>VLOOKUP(A573,Facturas!A:P,2,0)</f>
        <v>P-1495</v>
      </c>
      <c r="E573" s="3" t="str">
        <f>VLOOKUP(A573,Facturas!A:P,4,0)</f>
        <v>TIS-1477</v>
      </c>
      <c r="F573" t="str">
        <f>VLOOKUP(A573,Facturas!A:P,8,0)</f>
        <v>DIGITAL MEDIA TECHNOLOGIES COLOMBIA SAS</v>
      </c>
      <c r="H573">
        <f>YEAR(Tabla1[[#This Row],[Fecha]])</f>
        <v>2025</v>
      </c>
    </row>
    <row r="574" spans="1:8" hidden="1" x14ac:dyDescent="0.25">
      <c r="A574" s="3">
        <v>457</v>
      </c>
      <c r="B574" s="360">
        <v>45743</v>
      </c>
      <c r="C574" s="316">
        <v>7979035.8200000003</v>
      </c>
      <c r="D574" s="3" t="str">
        <f>VLOOKUP(A574,Facturas!A:P,2,0)</f>
        <v>P-1446</v>
      </c>
      <c r="E574" s="3" t="str">
        <f>VLOOKUP(A574,Facturas!A:P,4,0)</f>
        <v>TIS-1435</v>
      </c>
      <c r="F574" t="str">
        <f>VLOOKUP(A574,Facturas!A:P,8,0)</f>
        <v>FIDEICOMISOS SOCIEDAD FIDUCIARIA DE OCCIDENTE SA</v>
      </c>
      <c r="H574">
        <f>YEAR(Tabla1[[#This Row],[Fecha]])</f>
        <v>2025</v>
      </c>
    </row>
    <row r="575" spans="1:8" hidden="1" x14ac:dyDescent="0.25">
      <c r="A575" s="3">
        <v>500</v>
      </c>
      <c r="B575" s="360">
        <v>45758</v>
      </c>
      <c r="C575" s="316">
        <v>324000</v>
      </c>
      <c r="D575" s="3" t="str">
        <f>VLOOKUP(A575,Facturas!A:P,2,0)</f>
        <v>P-1489</v>
      </c>
      <c r="E575" s="3" t="str">
        <f>VLOOKUP(A575,Facturas!A:P,4,0)</f>
        <v>TIS-1471</v>
      </c>
      <c r="F575" t="str">
        <f>VLOOKUP(A575,Facturas!A:P,8,0)</f>
        <v>Comercializadora ERZ SAS</v>
      </c>
      <c r="H575">
        <f>YEAR(Tabla1[[#This Row],[Fecha]])</f>
        <v>2025</v>
      </c>
    </row>
    <row r="576" spans="1:8" hidden="1" x14ac:dyDescent="0.25">
      <c r="A576" s="3">
        <v>505</v>
      </c>
      <c r="B576" s="360">
        <v>45763</v>
      </c>
      <c r="C576" s="316">
        <v>324000</v>
      </c>
      <c r="D576" s="3" t="str">
        <f>VLOOKUP(A576,Facturas!A:P,2,0)</f>
        <v>P-1494</v>
      </c>
      <c r="E576" s="3" t="str">
        <f>VLOOKUP(A576,Facturas!A:P,4,0)</f>
        <v>TIS-1476</v>
      </c>
      <c r="F576" t="str">
        <f>VLOOKUP(A576,Facturas!A:P,8,0)</f>
        <v>Comercializadora ERZ SAS</v>
      </c>
      <c r="H576">
        <f>YEAR(Tabla1[[#This Row],[Fecha]])</f>
        <v>2025</v>
      </c>
    </row>
    <row r="577" spans="1:8" hidden="1" x14ac:dyDescent="0.25">
      <c r="A577" s="3">
        <v>517</v>
      </c>
      <c r="B577" s="360">
        <v>45763</v>
      </c>
      <c r="C577" s="316">
        <v>324000</v>
      </c>
      <c r="D577" s="3" t="str">
        <f>VLOOKUP(A577,Facturas!A:P,2,0)</f>
        <v>P-1506</v>
      </c>
      <c r="E577" s="3" t="str">
        <f>VLOOKUP(A577,Facturas!A:P,4,0)</f>
        <v>TIS-1486</v>
      </c>
      <c r="F577" t="str">
        <f>VLOOKUP(A577,Facturas!A:P,8,0)</f>
        <v>DIGITAL MEDIA TECHNOLOGIES COLOMBIA SAS</v>
      </c>
      <c r="H577">
        <f>YEAR(Tabla1[[#This Row],[Fecha]])</f>
        <v>2025</v>
      </c>
    </row>
    <row r="578" spans="1:8" hidden="1" x14ac:dyDescent="0.25">
      <c r="A578" s="3">
        <v>550</v>
      </c>
      <c r="B578" s="360">
        <v>45772</v>
      </c>
      <c r="C578" s="316">
        <v>900000</v>
      </c>
      <c r="D578" s="3" t="s">
        <v>394</v>
      </c>
      <c r="E578" s="3"/>
      <c r="F578" t="str">
        <f>VLOOKUP(A578,Facturas!A:P,8,0)</f>
        <v>AND TOPOGRAFIA E INGENIERIA SAS</v>
      </c>
      <c r="G578" s="222"/>
      <c r="H578">
        <f>YEAR(Tabla1[[#This Row],[Fecha]])</f>
        <v>2025</v>
      </c>
    </row>
    <row r="579" spans="1:8" hidden="1" x14ac:dyDescent="0.25">
      <c r="A579" s="3">
        <v>499</v>
      </c>
      <c r="B579" s="360">
        <v>45779</v>
      </c>
      <c r="C579" s="316">
        <v>411365</v>
      </c>
      <c r="D579" s="3" t="str">
        <f>VLOOKUP(A579,Facturas!A:P,2,0)</f>
        <v>P-1488</v>
      </c>
      <c r="E579" s="3" t="str">
        <f>VLOOKUP(A579,Facturas!A:P,4,0)</f>
        <v>TIS-1470</v>
      </c>
      <c r="F579" t="str">
        <f>VLOOKUP(A579,Facturas!A:P,8,0)</f>
        <v>ECO DESIGN SERVICES SAS</v>
      </c>
      <c r="H579">
        <f>YEAR(Tabla1[[#This Row],[Fecha]])</f>
        <v>2025</v>
      </c>
    </row>
    <row r="580" spans="1:8" hidden="1" x14ac:dyDescent="0.25">
      <c r="A580" s="3">
        <v>525</v>
      </c>
      <c r="B580" s="360">
        <v>45779</v>
      </c>
      <c r="C580" s="316">
        <v>1609500</v>
      </c>
      <c r="D580" s="3" t="str">
        <f>VLOOKUP(A580,Facturas!A:P,2,0)</f>
        <v>P-1514</v>
      </c>
      <c r="E580" s="3" t="str">
        <f>VLOOKUP(A580,Facturas!A:P,4,0)</f>
        <v>TIS-1494</v>
      </c>
      <c r="F580" t="str">
        <f>VLOOKUP(A580,Facturas!A:P,8,0)</f>
        <v>HUTERCOL S.A.S.</v>
      </c>
      <c r="H580">
        <f>YEAR(Tabla1[[#This Row],[Fecha]])</f>
        <v>2025</v>
      </c>
    </row>
    <row r="581" spans="1:8" hidden="1" x14ac:dyDescent="0.25">
      <c r="A581" s="3">
        <v>522</v>
      </c>
      <c r="B581" s="360">
        <v>45782</v>
      </c>
      <c r="C581" s="316">
        <v>342508</v>
      </c>
      <c r="D581" s="3" t="str">
        <f>VLOOKUP(A581,Facturas!A:P,2,0)</f>
        <v>P-1511</v>
      </c>
      <c r="E581" s="3" t="str">
        <f>VLOOKUP(A581,Facturas!A:P,4,0)</f>
        <v>TIS-1492</v>
      </c>
      <c r="F581" t="str">
        <f>VLOOKUP(A581,Facturas!A:P,8,0)</f>
        <v>SUPPLYING TOTAL TALENT SAS</v>
      </c>
      <c r="H581">
        <f>YEAR(Tabla1[[#This Row],[Fecha]])</f>
        <v>2025</v>
      </c>
    </row>
    <row r="582" spans="1:8" hidden="1" x14ac:dyDescent="0.25">
      <c r="A582" s="3">
        <v>524</v>
      </c>
      <c r="B582" s="360">
        <v>45784</v>
      </c>
      <c r="C582" s="316">
        <v>1080000</v>
      </c>
      <c r="D582" s="3" t="str">
        <f>VLOOKUP(A582,Facturas!A:P,2,0)</f>
        <v>P-1513</v>
      </c>
      <c r="E582" s="3" t="str">
        <f>VLOOKUP(A582,Facturas!A:P,4,0)</f>
        <v>TIS-1491</v>
      </c>
      <c r="F582" t="str">
        <f>VLOOKUP(A582,Facturas!A:P,8,0)</f>
        <v>Comercializadora ERZ SAS</v>
      </c>
      <c r="H582">
        <f>YEAR(Tabla1[[#This Row],[Fecha]])</f>
        <v>2025</v>
      </c>
    </row>
    <row r="583" spans="1:8" hidden="1" x14ac:dyDescent="0.25">
      <c r="A583" s="3">
        <v>509</v>
      </c>
      <c r="B583" s="360">
        <v>45784</v>
      </c>
      <c r="C583" s="316">
        <v>1220000</v>
      </c>
      <c r="D583" s="3" t="str">
        <f>VLOOKUP(A583,Facturas!A:P,2,0)</f>
        <v>P-1498</v>
      </c>
      <c r="E583" s="3" t="str">
        <f>VLOOKUP(A583,Facturas!A:P,4,0)</f>
        <v>TIS-1480</v>
      </c>
      <c r="F583" t="str">
        <f>VLOOKUP(A583,Facturas!A:P,8,0)</f>
        <v>STAFF SEGUROS AGENCIA LTDA</v>
      </c>
      <c r="H583">
        <f>YEAR(Tabla1[[#This Row],[Fecha]])</f>
        <v>2025</v>
      </c>
    </row>
    <row r="584" spans="1:8" hidden="1" x14ac:dyDescent="0.25">
      <c r="A584" s="3">
        <v>520</v>
      </c>
      <c r="B584" s="360">
        <v>45784</v>
      </c>
      <c r="C584" s="316">
        <v>1350000</v>
      </c>
      <c r="D584" s="3" t="str">
        <f>VLOOKUP(A584,Facturas!A:P,2,0)</f>
        <v>P-1509</v>
      </c>
      <c r="E584" s="3" t="str">
        <f>VLOOKUP(A584,Facturas!A:P,4,0)</f>
        <v>TIS-1489</v>
      </c>
      <c r="F584" t="str">
        <f>VLOOKUP(A584,Facturas!A:P,8,0)</f>
        <v>STAFF SEGUROS AGENCIA LTDA</v>
      </c>
      <c r="H584">
        <f>YEAR(Tabla1[[#This Row],[Fecha]])</f>
        <v>2025</v>
      </c>
    </row>
    <row r="585" spans="1:8" hidden="1" x14ac:dyDescent="0.25">
      <c r="A585" s="3"/>
      <c r="B585" s="360">
        <v>45789</v>
      </c>
      <c r="C585" s="316">
        <v>240000</v>
      </c>
      <c r="D585" s="3" t="e">
        <f>VLOOKUP(A585,Facturas!A:P,2,0)</f>
        <v>#N/A</v>
      </c>
      <c r="E585" s="3" t="e">
        <f>VLOOKUP(A585,Facturas!A:P,4,0)</f>
        <v>#N/A</v>
      </c>
      <c r="F585" t="e">
        <f>VLOOKUP(A585,Facturas!A:P,8,0)</f>
        <v>#N/A</v>
      </c>
      <c r="G585" s="190" t="s">
        <v>395</v>
      </c>
      <c r="H585">
        <f>YEAR(Tabla1[[#This Row],[Fecha]])</f>
        <v>2025</v>
      </c>
    </row>
    <row r="586" spans="1:8" hidden="1" x14ac:dyDescent="0.25">
      <c r="A586" s="3">
        <v>535</v>
      </c>
      <c r="B586" s="360">
        <v>45790</v>
      </c>
      <c r="C586" s="316">
        <v>476000</v>
      </c>
      <c r="D586" s="3" t="str">
        <f>VLOOKUP(A586,Facturas!A:P,2,0)</f>
        <v>P-1524</v>
      </c>
      <c r="E586" s="3" t="str">
        <f>VLOOKUP(A586,Facturas!A:P,4,0)</f>
        <v>TIS-1504</v>
      </c>
      <c r="F586" t="str">
        <f>VLOOKUP(A586,Facturas!A:P,8,0)</f>
        <v>EVAL.COM CONSULTING SAS</v>
      </c>
      <c r="G586" s="222"/>
      <c r="H586">
        <f>YEAR(Tabla1[[#This Row],[Fecha]])</f>
        <v>2025</v>
      </c>
    </row>
    <row r="587" spans="1:8" hidden="1" x14ac:dyDescent="0.25">
      <c r="A587" s="3">
        <v>537</v>
      </c>
      <c r="B587" s="360">
        <v>45793</v>
      </c>
      <c r="C587" s="316">
        <v>6695875</v>
      </c>
      <c r="D587" s="3" t="str">
        <f>VLOOKUP(A587,Facturas!A:P,2,0)</f>
        <v>P-1526</v>
      </c>
      <c r="E587" s="3" t="str">
        <f>VLOOKUP(A587,Facturas!A:P,4,0)</f>
        <v>TIS-1506</v>
      </c>
      <c r="F587" t="str">
        <f>VLOOKUP(A587,Facturas!A:P,8,0)</f>
        <v>FUNDACION DE EDUCACION SUPERIOR SAN JOSE FESSANJOSE</v>
      </c>
      <c r="H587">
        <f>YEAR(Tabla1[[#This Row],[Fecha]])</f>
        <v>2025</v>
      </c>
    </row>
    <row r="588" spans="1:8" hidden="1" x14ac:dyDescent="0.25">
      <c r="A588" s="3">
        <v>583</v>
      </c>
      <c r="B588" s="360">
        <v>45797</v>
      </c>
      <c r="C588" s="316">
        <v>1066000</v>
      </c>
      <c r="D588" s="3" t="str">
        <f>VLOOKUP(A588,Facturas!A:P,2,0)</f>
        <v>P-1572</v>
      </c>
      <c r="E588" s="3" t="str">
        <f>VLOOKUP(A588,Facturas!A:P,4,0)</f>
        <v>TIS-1497</v>
      </c>
      <c r="F588" t="str">
        <f>VLOOKUP(A588,Facturas!A:P,8,0)</f>
        <v>GAMBLER GROUP S.A.S.</v>
      </c>
      <c r="G588" s="222"/>
      <c r="H588">
        <f>YEAR(Tabla1[[#This Row],[Fecha]])</f>
        <v>2025</v>
      </c>
    </row>
    <row r="589" spans="1:8" x14ac:dyDescent="0.25">
      <c r="A589" s="3">
        <v>488</v>
      </c>
      <c r="B589" s="327">
        <v>45798</v>
      </c>
      <c r="C589" s="316">
        <v>201250</v>
      </c>
      <c r="D589" s="3" t="str">
        <f>VLOOKUP(A589,Facturas!A:P,2,0)</f>
        <v>P-1477</v>
      </c>
      <c r="E589" s="3" t="str">
        <f>VLOOKUP(A589,Facturas!A:P,4,0)</f>
        <v>TIS-1459</v>
      </c>
      <c r="F589" t="str">
        <f>VLOOKUP(A589,Facturas!A:P,8,0)</f>
        <v>ROYCO SOLUCIONES SAS</v>
      </c>
      <c r="H589">
        <f>YEAR(Tabla1[[#This Row],[Fecha]])</f>
        <v>2025</v>
      </c>
    </row>
    <row r="590" spans="1:8" x14ac:dyDescent="0.25">
      <c r="A590" s="3">
        <v>503</v>
      </c>
      <c r="B590" s="327">
        <v>45798</v>
      </c>
      <c r="C590" s="316">
        <v>201250</v>
      </c>
      <c r="D590" s="3" t="str">
        <f>VLOOKUP(A590,Facturas!A:P,2,0)</f>
        <v>P-1492</v>
      </c>
      <c r="E590" s="3" t="str">
        <f>VLOOKUP(A590,Facturas!A:P,4,0)</f>
        <v>TIS-1474</v>
      </c>
      <c r="F590" t="str">
        <f>VLOOKUP(A590,Facturas!A:P,8,0)</f>
        <v>ROYCO SOLUCIONES SAS</v>
      </c>
      <c r="H590">
        <f>YEAR(Tabla1[[#This Row],[Fecha]])</f>
        <v>2025</v>
      </c>
    </row>
    <row r="591" spans="1:8" x14ac:dyDescent="0.25">
      <c r="A591" s="3">
        <v>507</v>
      </c>
      <c r="B591" s="327">
        <v>45798</v>
      </c>
      <c r="C591" s="316">
        <v>287500</v>
      </c>
      <c r="D591" s="3" t="str">
        <f>VLOOKUP(A591,Facturas!A:P,2,0)</f>
        <v>P-1496</v>
      </c>
      <c r="E591" s="3" t="str">
        <f>VLOOKUP(A591,Facturas!A:P,4,0)</f>
        <v>TIS-1478</v>
      </c>
      <c r="F591" t="str">
        <f>VLOOKUP(A591,Facturas!A:P,8,0)</f>
        <v>ROYCO SOLUCIONES SAS</v>
      </c>
      <c r="H591">
        <f>YEAR(Tabla1[[#This Row],[Fecha]])</f>
        <v>2025</v>
      </c>
    </row>
    <row r="592" spans="1:8" x14ac:dyDescent="0.25">
      <c r="A592" s="3">
        <v>518</v>
      </c>
      <c r="B592" s="327">
        <v>45798</v>
      </c>
      <c r="C592" s="316">
        <v>287500</v>
      </c>
      <c r="D592" s="3" t="str">
        <f>VLOOKUP(A592,Facturas!A:P,2,0)</f>
        <v>P-1507</v>
      </c>
      <c r="E592" s="3" t="str">
        <f>VLOOKUP(A592,Facturas!A:P,4,0)</f>
        <v>TIS-1487</v>
      </c>
      <c r="F592" t="str">
        <f>VLOOKUP(A592,Facturas!A:P,8,0)</f>
        <v>ROYCO SOLUCIONES SAS</v>
      </c>
      <c r="H592">
        <f>YEAR(Tabla1[[#This Row],[Fecha]])</f>
        <v>2025</v>
      </c>
    </row>
    <row r="593" spans="1:8" hidden="1" x14ac:dyDescent="0.25">
      <c r="A593" s="3">
        <v>516</v>
      </c>
      <c r="B593" s="360">
        <v>45799</v>
      </c>
      <c r="C593" s="316">
        <v>324000</v>
      </c>
      <c r="D593" s="3" t="str">
        <f>VLOOKUP(A593,Facturas!A:P,2,0)</f>
        <v>P-1505</v>
      </c>
      <c r="E593" s="3" t="str">
        <f>VLOOKUP(A593,Facturas!A:P,4,0)</f>
        <v>TIS-1485</v>
      </c>
      <c r="F593" t="str">
        <f>VLOOKUP(A593,Facturas!A:P,8,0)</f>
        <v>Comercializadora ERZ SAS</v>
      </c>
      <c r="H593">
        <f>YEAR(Tabla1[[#This Row],[Fecha]])</f>
        <v>2025</v>
      </c>
    </row>
    <row r="594" spans="1:8" hidden="1" x14ac:dyDescent="0.25">
      <c r="A594" s="3">
        <v>535</v>
      </c>
      <c r="B594" s="360">
        <v>45800</v>
      </c>
      <c r="C594" s="316">
        <v>476000</v>
      </c>
      <c r="D594" s="3" t="str">
        <f>VLOOKUP(A594,Facturas!A:P,2,0)</f>
        <v>P-1524</v>
      </c>
      <c r="E594" s="3" t="str">
        <f>VLOOKUP(A594,Facturas!A:P,4,0)</f>
        <v>TIS-1504</v>
      </c>
      <c r="F594" t="str">
        <f>VLOOKUP(A594,Facturas!A:P,8,0)</f>
        <v>EVAL.COM CONSULTING SAS</v>
      </c>
      <c r="H594">
        <f>YEAR(Tabla1[[#This Row],[Fecha]])</f>
        <v>2025</v>
      </c>
    </row>
    <row r="595" spans="1:8" hidden="1" x14ac:dyDescent="0.25">
      <c r="A595" s="3">
        <v>519</v>
      </c>
      <c r="B595" s="360">
        <v>45800</v>
      </c>
      <c r="C595" s="316">
        <v>480000</v>
      </c>
      <c r="D595" s="3" t="str">
        <f>VLOOKUP(A595,Facturas!A:P,2,0)</f>
        <v>P-1508</v>
      </c>
      <c r="E595" s="3" t="str">
        <f>VLOOKUP(A595,Facturas!A:P,4,0)</f>
        <v>TIS-1488</v>
      </c>
      <c r="F595" t="str">
        <f>VLOOKUP(A595,Facturas!A:P,8,0)</f>
        <v>Inversiones Sajamib SAS</v>
      </c>
      <c r="H595">
        <f>YEAR(Tabla1[[#This Row],[Fecha]])</f>
        <v>2025</v>
      </c>
    </row>
    <row r="596" spans="1:8" hidden="1" x14ac:dyDescent="0.25">
      <c r="A596" s="3">
        <v>339</v>
      </c>
      <c r="B596" s="360">
        <v>45800</v>
      </c>
      <c r="C596" s="316">
        <v>400000</v>
      </c>
      <c r="D596" s="3" t="str">
        <f>VLOOKUP(A596,Facturas!A:P,2,0)</f>
        <v>P-1327</v>
      </c>
      <c r="E596" s="3" t="str">
        <f>VLOOKUP(A596,Facturas!A:P,4,0)</f>
        <v>TIS-1307</v>
      </c>
      <c r="F596" t="str">
        <f>VLOOKUP(A596,Facturas!A:P,8,0)</f>
        <v>Inversiones Sajamib SAS</v>
      </c>
      <c r="H596">
        <f>YEAR(Tabla1[[#This Row],[Fecha]])</f>
        <v>2025</v>
      </c>
    </row>
    <row r="597" spans="1:8" hidden="1" x14ac:dyDescent="0.25">
      <c r="A597" s="3">
        <v>351</v>
      </c>
      <c r="B597" s="360">
        <v>45800</v>
      </c>
      <c r="C597" s="316">
        <v>400000</v>
      </c>
      <c r="D597" s="3" t="str">
        <f>VLOOKUP(A597,Facturas!A:P,2,0)</f>
        <v>P-1339</v>
      </c>
      <c r="E597" s="3" t="str">
        <f>VLOOKUP(A597,Facturas!A:P,4,0)</f>
        <v>TIS-1319</v>
      </c>
      <c r="F597" t="str">
        <f>VLOOKUP(A597,Facturas!A:P,8,0)</f>
        <v>Inversiones Sajamib SAS</v>
      </c>
      <c r="H597">
        <f>YEAR(Tabla1[[#This Row],[Fecha]])</f>
        <v>2025</v>
      </c>
    </row>
    <row r="598" spans="1:8" hidden="1" x14ac:dyDescent="0.25">
      <c r="A598" s="3">
        <v>386</v>
      </c>
      <c r="B598" s="360">
        <v>45800</v>
      </c>
      <c r="C598" s="316">
        <v>400000</v>
      </c>
      <c r="D598" s="3" t="str">
        <f>VLOOKUP(A598,Facturas!A:P,2,0)</f>
        <v>P-1374</v>
      </c>
      <c r="E598" s="3" t="str">
        <f>VLOOKUP(A598,Facturas!A:P,4,0)</f>
        <v>TIS-1363</v>
      </c>
      <c r="F598" t="str">
        <f>VLOOKUP(A598,Facturas!A:P,8,0)</f>
        <v>Inversiones Sajamib SAS</v>
      </c>
      <c r="H598">
        <f>YEAR(Tabla1[[#This Row],[Fecha]])</f>
        <v>2025</v>
      </c>
    </row>
    <row r="599" spans="1:8" hidden="1" x14ac:dyDescent="0.25">
      <c r="A599" s="3">
        <v>534</v>
      </c>
      <c r="B599" s="360">
        <v>45812</v>
      </c>
      <c r="C599" s="316">
        <v>267585</v>
      </c>
      <c r="D599" s="3" t="str">
        <f>VLOOKUP(A599,Facturas!A:P,2,0)</f>
        <v>P-1523</v>
      </c>
      <c r="E599" s="3" t="str">
        <f>VLOOKUP(A599,Facturas!A:P,4,0)</f>
        <v>TIS-1503</v>
      </c>
      <c r="F599" t="str">
        <f>VLOOKUP(A599,Facturas!A:P,8,0)</f>
        <v>SEGUROS CUBEROS LTDA</v>
      </c>
      <c r="H599">
        <f>YEAR(Tabla1[[#This Row],[Fecha]])</f>
        <v>2025</v>
      </c>
    </row>
    <row r="600" spans="1:8" hidden="1" x14ac:dyDescent="0.25">
      <c r="A600" s="3">
        <v>566</v>
      </c>
      <c r="B600" s="360">
        <v>45813</v>
      </c>
      <c r="C600" s="316">
        <v>833000</v>
      </c>
      <c r="D600" s="3" t="str">
        <f>VLOOKUP(A600,Facturas!A:P,2,0)</f>
        <v>P-1555</v>
      </c>
      <c r="E600" s="3" t="str">
        <f>VLOOKUP(A600,Facturas!A:P,4,0)</f>
        <v>TIS-1536</v>
      </c>
      <c r="F600" t="str">
        <f>VLOOKUP(A600,Facturas!A:P,8,0)</f>
        <v>SIMTEC LB S.A.S.</v>
      </c>
      <c r="H600">
        <f>YEAR(Tabla1[[#This Row],[Fecha]])</f>
        <v>2025</v>
      </c>
    </row>
    <row r="601" spans="1:8" hidden="1" x14ac:dyDescent="0.25">
      <c r="A601" s="3">
        <v>531</v>
      </c>
      <c r="B601" s="360">
        <v>45813</v>
      </c>
      <c r="C601" s="316">
        <v>324000</v>
      </c>
      <c r="D601" s="3" t="str">
        <f>VLOOKUP(A601,Facturas!A:P,2,0)</f>
        <v>P-1520</v>
      </c>
      <c r="E601" s="3" t="str">
        <f>VLOOKUP(A601,Facturas!A:P,4,0)</f>
        <v>TIS-1499</v>
      </c>
      <c r="F601" t="str">
        <f>VLOOKUP(A601,Facturas!A:P,8,0)</f>
        <v>DIGITAL MEDIA TECHNOLOGIES COLOMBIA SAS</v>
      </c>
      <c r="H601">
        <f>YEAR(Tabla1[[#This Row],[Fecha]])</f>
        <v>2025</v>
      </c>
    </row>
    <row r="602" spans="1:8" hidden="1" x14ac:dyDescent="0.25">
      <c r="A602" s="3">
        <v>523</v>
      </c>
      <c r="B602" s="360">
        <v>45817</v>
      </c>
      <c r="C602" s="316">
        <v>25027757.420000002</v>
      </c>
      <c r="D602" s="3" t="str">
        <f>VLOOKUP(A602,Facturas!A:P,2,0)</f>
        <v>P-1512</v>
      </c>
      <c r="E602" s="3" t="str">
        <f>VLOOKUP(A602,Facturas!A:P,4,0)</f>
        <v>TIS-1493</v>
      </c>
      <c r="F602" t="str">
        <f>VLOOKUP(A602,Facturas!A:P,8,0)</f>
        <v>Banco de Bogota S.A.</v>
      </c>
      <c r="H602">
        <f>YEAR(Tabla1[[#This Row],[Fecha]])</f>
        <v>2025</v>
      </c>
    </row>
    <row r="603" spans="1:8" hidden="1" x14ac:dyDescent="0.25">
      <c r="A603" s="3">
        <v>627</v>
      </c>
      <c r="B603" s="360">
        <v>45827</v>
      </c>
      <c r="C603" s="316">
        <v>1500000</v>
      </c>
      <c r="D603" s="3" t="str">
        <f>VLOOKUP(A603,Facturas!A:P,2,0)</f>
        <v>P-1028</v>
      </c>
      <c r="E603" s="3" t="str">
        <f>VLOOKUP(A603,Facturas!A:P,4,0)</f>
        <v>TIS-1588</v>
      </c>
      <c r="F603" t="str">
        <f>VLOOKUP(A603,Facturas!A:P,8,0)</f>
        <v>CONSTRUCCIONES CIVILES JMR S.A.S</v>
      </c>
      <c r="G603" s="319"/>
      <c r="H603">
        <f>YEAR(Tabla1[[#This Row],[Fecha]])</f>
        <v>2025</v>
      </c>
    </row>
    <row r="604" spans="1:8" hidden="1" x14ac:dyDescent="0.25">
      <c r="A604" s="3">
        <v>539</v>
      </c>
      <c r="B604" s="360">
        <v>45827</v>
      </c>
      <c r="C604" s="316">
        <v>324000</v>
      </c>
      <c r="D604" s="3" t="str">
        <f>VLOOKUP(A604,Facturas!A:P,2,0)</f>
        <v>P-1528</v>
      </c>
      <c r="E604" s="3" t="str">
        <f>VLOOKUP(A604,Facturas!A:P,4,0)</f>
        <v>TIS-1509</v>
      </c>
      <c r="F604" t="str">
        <f>VLOOKUP(A604,Facturas!A:P,8,0)</f>
        <v>DIGITAL MEDIA TECHNOLOGIES COLOMBIA SAS</v>
      </c>
      <c r="H604">
        <f>YEAR(Tabla1[[#This Row],[Fecha]])</f>
        <v>2025</v>
      </c>
    </row>
    <row r="605" spans="1:8" hidden="1" x14ac:dyDescent="0.25">
      <c r="A605" s="3">
        <v>528</v>
      </c>
      <c r="B605" s="360">
        <v>45832</v>
      </c>
      <c r="C605" s="316">
        <v>29783031.34</v>
      </c>
      <c r="D605" s="3" t="str">
        <f>VLOOKUP(A605,Facturas!A:P,2,0)</f>
        <v>P-1517</v>
      </c>
      <c r="E605" s="3" t="str">
        <f>VLOOKUP(A605,Facturas!A:P,4,0)</f>
        <v>TIS-1496</v>
      </c>
      <c r="F605" t="str">
        <f>VLOOKUP(A605,Facturas!A:P,8,0)</f>
        <v>Banco de Bogota S.A.</v>
      </c>
      <c r="H605">
        <f>YEAR(Tabla1[[#This Row],[Fecha]])</f>
        <v>2025</v>
      </c>
    </row>
    <row r="606" spans="1:8" x14ac:dyDescent="0.25">
      <c r="A606" s="3">
        <v>529</v>
      </c>
      <c r="B606" s="360">
        <v>45832</v>
      </c>
      <c r="C606" s="316">
        <v>287500</v>
      </c>
      <c r="D606" s="3" t="str">
        <f>VLOOKUP(A606,Facturas!A:P,2,0)</f>
        <v>P-1518</v>
      </c>
      <c r="E606" s="3" t="str">
        <f>VLOOKUP(A606,Facturas!A:P,4,0)</f>
        <v>TIS-1500</v>
      </c>
      <c r="F606" t="str">
        <f>VLOOKUP(A606,Facturas!A:P,8,0)</f>
        <v>ROYCO SOLUCIONES SAS</v>
      </c>
      <c r="H606">
        <f>YEAR(Tabla1[[#This Row],[Fecha]])</f>
        <v>2025</v>
      </c>
    </row>
    <row r="607" spans="1:8" hidden="1" x14ac:dyDescent="0.25">
      <c r="A607" s="3">
        <v>536</v>
      </c>
      <c r="B607" s="360">
        <v>45833</v>
      </c>
      <c r="C607" s="316">
        <v>2131731</v>
      </c>
      <c r="D607" s="3" t="str">
        <f>VLOOKUP(A607,Facturas!A:P,2,0)</f>
        <v>P-1525</v>
      </c>
      <c r="E607" s="3" t="str">
        <f>VLOOKUP(A607,Facturas!A:P,4,0)</f>
        <v>TIS-1505</v>
      </c>
      <c r="F607" t="str">
        <f>VLOOKUP(A607,Facturas!A:P,8,0)</f>
        <v>BLISTECO S.A.S.</v>
      </c>
      <c r="H607">
        <f>YEAR(Tabla1[[#This Row],[Fecha]])</f>
        <v>2025</v>
      </c>
    </row>
    <row r="608" spans="1:8" hidden="1" x14ac:dyDescent="0.25">
      <c r="A608" s="3">
        <v>530</v>
      </c>
      <c r="B608" s="360">
        <v>45833</v>
      </c>
      <c r="C608" s="316">
        <v>324000</v>
      </c>
      <c r="D608" s="3" t="str">
        <f>VLOOKUP(A608,Facturas!A:P,2,0)</f>
        <v>P-1519</v>
      </c>
      <c r="E608" s="3" t="str">
        <f>VLOOKUP(A608,Facturas!A:P,4,0)</f>
        <v>TIS-1498</v>
      </c>
      <c r="F608" t="str">
        <f>VLOOKUP(A608,Facturas!A:P,8,0)</f>
        <v>Comercializadora ERZ SAS</v>
      </c>
      <c r="H608">
        <f>YEAR(Tabla1[[#This Row],[Fecha]])</f>
        <v>2025</v>
      </c>
    </row>
    <row r="609" spans="1:8" hidden="1" x14ac:dyDescent="0.25">
      <c r="A609" s="3">
        <v>542</v>
      </c>
      <c r="B609" s="360">
        <v>45800</v>
      </c>
      <c r="C609" s="316">
        <f>1920000-C595-C596-C597-C598</f>
        <v>240000</v>
      </c>
      <c r="D609" s="3" t="str">
        <f>VLOOKUP(A609,Facturas!A:P,2,0)</f>
        <v>P-1531</v>
      </c>
      <c r="E609" s="3" t="str">
        <f>VLOOKUP(A609,Facturas!A:P,4,0)</f>
        <v>TIS-1511</v>
      </c>
      <c r="F609" t="str">
        <f>VLOOKUP(A609,Facturas!A:P,8,0)</f>
        <v>Inversiones Sajamib SAS</v>
      </c>
      <c r="H609">
        <f>YEAR(Tabla1[[#This Row],[Fecha]])</f>
        <v>2025</v>
      </c>
    </row>
    <row r="610" spans="1:8" hidden="1" x14ac:dyDescent="0.25">
      <c r="A610" s="3">
        <v>489</v>
      </c>
      <c r="B610" s="360">
        <v>45842</v>
      </c>
      <c r="C610" s="316">
        <v>357000</v>
      </c>
      <c r="D610" s="3" t="str">
        <f>VLOOKUP(A610,Facturas!A:P,2,0)</f>
        <v>P-1478</v>
      </c>
      <c r="E610" s="3" t="str">
        <f>VLOOKUP(A610,Facturas!A:P,4,0)</f>
        <v>TIS-1460</v>
      </c>
      <c r="F610" t="str">
        <f>VLOOKUP(A610,Facturas!A:P,8,0)</f>
        <v>STAFF SEGUROS AGENCIA LTDA</v>
      </c>
      <c r="H610">
        <f>YEAR(Tabla1[[#This Row],[Fecha]])</f>
        <v>2025</v>
      </c>
    </row>
    <row r="611" spans="1:8" hidden="1" x14ac:dyDescent="0.25">
      <c r="A611" s="3">
        <v>491</v>
      </c>
      <c r="B611" s="360">
        <v>45842</v>
      </c>
      <c r="C611" s="316">
        <v>1003000</v>
      </c>
      <c r="D611" s="3" t="str">
        <f>VLOOKUP(A611,Facturas!A:P,2,0)</f>
        <v>P-1480</v>
      </c>
      <c r="E611" s="3" t="str">
        <f>VLOOKUP(A611,Facturas!A:P,4,0)</f>
        <v>TIS-1462</v>
      </c>
      <c r="F611" t="str">
        <f>VLOOKUP(A611,Facturas!A:P,8,0)</f>
        <v>STAFF SEGUROS AGENCIA LTDA</v>
      </c>
      <c r="H611">
        <f>YEAR(Tabla1[[#This Row],[Fecha]])</f>
        <v>2025</v>
      </c>
    </row>
    <row r="612" spans="1:8" hidden="1" x14ac:dyDescent="0.25">
      <c r="A612" s="3">
        <v>544</v>
      </c>
      <c r="B612" s="360">
        <v>45860</v>
      </c>
      <c r="C612" s="316">
        <v>29756268</v>
      </c>
      <c r="D612" s="3" t="str">
        <f>VLOOKUP(A612,Facturas!A:P,2,0)</f>
        <v>P-1533</v>
      </c>
      <c r="E612" s="3" t="str">
        <f>VLOOKUP(A612,Facturas!A:P,4,0)</f>
        <v>TIS- 1513</v>
      </c>
      <c r="F612" t="str">
        <f>VLOOKUP(A612,Facturas!A:P,8,0)</f>
        <v>Banco de Bogota S.A.</v>
      </c>
      <c r="H612">
        <f>YEAR(Tabla1[[#This Row],[Fecha]])</f>
        <v>2025</v>
      </c>
    </row>
    <row r="613" spans="1:8" hidden="1" x14ac:dyDescent="0.25">
      <c r="A613" s="3">
        <v>557</v>
      </c>
      <c r="B613" s="360">
        <v>45863</v>
      </c>
      <c r="C613" s="316">
        <v>1610000</v>
      </c>
      <c r="D613" s="3" t="str">
        <f>VLOOKUP(A613,Facturas!A:P,2,0)</f>
        <v>P-1546</v>
      </c>
      <c r="E613" s="3" t="str">
        <f>VLOOKUP(A613,Facturas!A:P,4,0)</f>
        <v>TIS-1526</v>
      </c>
      <c r="F613" t="str">
        <f>VLOOKUP(A613,Facturas!A:P,8,0)</f>
        <v>AEQUALES SAS</v>
      </c>
      <c r="H613">
        <f>YEAR(Tabla1[[#This Row],[Fecha]])</f>
        <v>2025</v>
      </c>
    </row>
    <row r="614" spans="1:8" hidden="1" x14ac:dyDescent="0.25">
      <c r="A614" s="3">
        <v>556</v>
      </c>
      <c r="B614" s="360">
        <v>45866</v>
      </c>
      <c r="C614" s="316">
        <v>1219000</v>
      </c>
      <c r="D614" s="3" t="str">
        <f>VLOOKUP(A614,Facturas!A:P,2,0)</f>
        <v>P-1545</v>
      </c>
      <c r="E614" s="3" t="str">
        <f>VLOOKUP(A614,Facturas!A:P,4,0)</f>
        <v>TIS-1525</v>
      </c>
      <c r="F614" t="str">
        <f>VLOOKUP(A614,Facturas!A:P,8,0)</f>
        <v>CHECOREPUESTOS S A S</v>
      </c>
      <c r="H614">
        <f>YEAR(Tabla1[[#This Row],[Fecha]])</f>
        <v>2025</v>
      </c>
    </row>
    <row r="615" spans="1:8" hidden="1" x14ac:dyDescent="0.25">
      <c r="A615" s="3">
        <v>568</v>
      </c>
      <c r="B615" s="360">
        <v>45868</v>
      </c>
      <c r="C615" s="316">
        <v>1255527</v>
      </c>
      <c r="D615" s="3" t="str">
        <f>VLOOKUP(A615,Facturas!A:P,2,0)</f>
        <v>P-1557</v>
      </c>
      <c r="E615" s="3" t="str">
        <f>VLOOKUP(A615,Facturas!A:P,4,0)</f>
        <v>TIS-1538</v>
      </c>
      <c r="F615" t="str">
        <f>VLOOKUP(A615,Facturas!A:P,8,0)</f>
        <v>CAVELIER ABOGADOS S.A.S.</v>
      </c>
      <c r="H615">
        <f>YEAR(Tabla1[[#This Row],[Fecha]])</f>
        <v>2025</v>
      </c>
    </row>
    <row r="616" spans="1:8" hidden="1" x14ac:dyDescent="0.25">
      <c r="A616" s="3">
        <v>548</v>
      </c>
      <c r="B616" s="360">
        <v>45869</v>
      </c>
      <c r="C616" s="316">
        <v>324000</v>
      </c>
      <c r="D616" s="3" t="str">
        <f>VLOOKUP(A616,Facturas!A:P,2,0)</f>
        <v>P-1537</v>
      </c>
      <c r="E616" s="3" t="str">
        <f>VLOOKUP(A616,Facturas!A:P,4,0)</f>
        <v>TIS-1517</v>
      </c>
      <c r="F616" t="str">
        <f>VLOOKUP(A616,Facturas!A:P,8,0)</f>
        <v>DIGITAL MEDIA TECHNOLOGIES COLOMBIA SAS</v>
      </c>
      <c r="H616">
        <f>YEAR(Tabla1[[#This Row],[Fecha]])</f>
        <v>2025</v>
      </c>
    </row>
    <row r="617" spans="1:8" hidden="1" x14ac:dyDescent="0.25">
      <c r="A617" s="3">
        <v>553</v>
      </c>
      <c r="B617" s="360">
        <v>45852</v>
      </c>
      <c r="C617" s="316">
        <v>342102</v>
      </c>
      <c r="D617" s="3" t="str">
        <f>VLOOKUP(A617,Facturas!A:P,2,0)</f>
        <v>P-1542</v>
      </c>
      <c r="E617" s="3" t="str">
        <f>VLOOKUP(A617,Facturas!A:P,4,0)</f>
        <v>TIS-1522</v>
      </c>
      <c r="F617" t="str">
        <f>VLOOKUP(A617,Facturas!A:P,8,0)</f>
        <v>COMERCIALIZADORA INTERNACIONAL DYNAMIC TRADING CORPORATION S.A.S</v>
      </c>
      <c r="H617">
        <f>YEAR(Tabla1[[#This Row],[Fecha]])</f>
        <v>2025</v>
      </c>
    </row>
    <row r="618" spans="1:8" hidden="1" x14ac:dyDescent="0.25">
      <c r="A618" s="3">
        <v>581</v>
      </c>
      <c r="B618" s="360">
        <v>45870</v>
      </c>
      <c r="C618" s="316">
        <v>1500000</v>
      </c>
      <c r="D618" s="3" t="str">
        <f>VLOOKUP(A618,Facturas!A:P,2,0)</f>
        <v>P-1570</v>
      </c>
      <c r="E618" s="3" t="str">
        <f>VLOOKUP(A618,Facturas!A:P,4,0)</f>
        <v>TIS-1540</v>
      </c>
      <c r="F618" t="str">
        <f>VLOOKUP(A618,Facturas!A:P,8,0)</f>
        <v>SOLUCIONES CREATIVAS Y TURÍSTICAS</v>
      </c>
      <c r="H618">
        <f>YEAR(Tabla1[[#This Row],[Fecha]])</f>
        <v>2025</v>
      </c>
    </row>
    <row r="619" spans="1:8" hidden="1" x14ac:dyDescent="0.25">
      <c r="A619" s="3">
        <v>550</v>
      </c>
      <c r="B619" s="360">
        <v>45877</v>
      </c>
      <c r="C619" s="316">
        <v>686412</v>
      </c>
      <c r="D619" s="3" t="str">
        <f>VLOOKUP(A619,Facturas!A:P,2,0)</f>
        <v>P-1539</v>
      </c>
      <c r="E619" s="3" t="str">
        <f>VLOOKUP(A619,Facturas!A:P,4,0)</f>
        <v>TIS-1519</v>
      </c>
      <c r="F619" t="str">
        <f>VLOOKUP(A619,Facturas!A:P,8,0)</f>
        <v>AND TOPOGRAFIA E INGENIERIA SAS</v>
      </c>
      <c r="H619">
        <f>YEAR(Tabla1[[#This Row],[Fecha]])</f>
        <v>2025</v>
      </c>
    </row>
    <row r="620" spans="1:8" hidden="1" x14ac:dyDescent="0.25">
      <c r="A620" s="3">
        <v>552</v>
      </c>
      <c r="B620" s="360">
        <v>45877</v>
      </c>
      <c r="C620" s="316">
        <v>1268841</v>
      </c>
      <c r="D620" s="3" t="str">
        <f>VLOOKUP(A620,Facturas!A:P,2,0)</f>
        <v>P-1541</v>
      </c>
      <c r="E620" s="3" t="str">
        <f>VLOOKUP(A620,Facturas!A:P,4,0)</f>
        <v>TIS-1521</v>
      </c>
      <c r="F620" t="str">
        <f>VLOOKUP(A620,Facturas!A:P,8,0)</f>
        <v>SUPPLYTEC SAS</v>
      </c>
      <c r="H620">
        <f>YEAR(Tabla1[[#This Row],[Fecha]])</f>
        <v>2025</v>
      </c>
    </row>
    <row r="621" spans="1:8" hidden="1" x14ac:dyDescent="0.25">
      <c r="A621" s="3">
        <v>566</v>
      </c>
      <c r="B621" s="360">
        <v>45883</v>
      </c>
      <c r="C621" s="316">
        <v>624750</v>
      </c>
      <c r="D621" s="3" t="str">
        <f>VLOOKUP(A621,Facturas!A:P,2,0)</f>
        <v>P-1555</v>
      </c>
      <c r="E621" s="3" t="str">
        <f>VLOOKUP(A621,Facturas!A:P,4,0)</f>
        <v>TIS-1536</v>
      </c>
      <c r="F621" t="str">
        <f>VLOOKUP(A621,Facturas!A:P,8,0)</f>
        <v>SIMTEC LB S.A.S.</v>
      </c>
      <c r="H621">
        <f>YEAR(Tabla1[[#This Row],[Fecha]])</f>
        <v>2025</v>
      </c>
    </row>
    <row r="622" spans="1:8" hidden="1" x14ac:dyDescent="0.25">
      <c r="A622" s="3">
        <v>555</v>
      </c>
      <c r="B622" s="360">
        <v>45883</v>
      </c>
      <c r="C622" s="316">
        <v>20962150</v>
      </c>
      <c r="D622" s="3" t="str">
        <f>VLOOKUP(A622,Facturas!A:P,2,0)</f>
        <v>P-1544</v>
      </c>
      <c r="E622" s="3" t="str">
        <f>VLOOKUP(A622,Facturas!A:P,4,0)</f>
        <v>TIS-1524</v>
      </c>
      <c r="F622" t="str">
        <f>VLOOKUP(A622,Facturas!A:P,8,0)</f>
        <v>ACTIVOS SAS</v>
      </c>
      <c r="H622">
        <f>YEAR(Tabla1[[#This Row],[Fecha]])</f>
        <v>2025</v>
      </c>
    </row>
    <row r="623" spans="1:8" hidden="1" x14ac:dyDescent="0.25">
      <c r="A623" s="3">
        <v>459</v>
      </c>
      <c r="B623" s="360">
        <v>45883</v>
      </c>
      <c r="C623" s="316">
        <v>821692</v>
      </c>
      <c r="D623" s="3" t="str">
        <f>VLOOKUP(A623,Facturas!A:P,2,0)</f>
        <v>P-1448</v>
      </c>
      <c r="E623" s="3" t="str">
        <f>VLOOKUP(A623,Facturas!A:P,4,0)</f>
        <v>TIS-1437</v>
      </c>
      <c r="F623" t="str">
        <f>VLOOKUP(A623,Facturas!A:P,8,0)</f>
        <v>ACTIVOS SAS</v>
      </c>
      <c r="H623">
        <f>YEAR(Tabla1[[#This Row],[Fecha]])</f>
        <v>2025</v>
      </c>
    </row>
    <row r="624" spans="1:8" hidden="1" x14ac:dyDescent="0.25">
      <c r="A624" s="3">
        <v>567</v>
      </c>
      <c r="B624" s="360">
        <v>45889</v>
      </c>
      <c r="C624" s="316">
        <v>883885</v>
      </c>
      <c r="D624" s="3" t="str">
        <f>VLOOKUP(A624,Facturas!A:P,2,0)</f>
        <v>P-1556</v>
      </c>
      <c r="E624" s="3" t="str">
        <f>VLOOKUP(A624,Facturas!A:P,4,0)</f>
        <v>TIS-1537</v>
      </c>
      <c r="F624" t="str">
        <f>VLOOKUP(A624,Facturas!A:P,8,0)</f>
        <v>CHOHO COLOMBIA SAS</v>
      </c>
      <c r="H624">
        <f>YEAR(Tabla1[[#This Row],[Fecha]])</f>
        <v>2025</v>
      </c>
    </row>
    <row r="625" spans="1:8" hidden="1" x14ac:dyDescent="0.25">
      <c r="A625" s="3">
        <v>560</v>
      </c>
      <c r="B625" s="360">
        <v>45890</v>
      </c>
      <c r="C625" s="316">
        <v>324000</v>
      </c>
      <c r="D625" s="3" t="str">
        <f>VLOOKUP(A625,Facturas!A:P,2,0)</f>
        <v>P-1549</v>
      </c>
      <c r="E625" s="3" t="str">
        <f>VLOOKUP(A625,Facturas!A:P,4,0)</f>
        <v>TIS-1528</v>
      </c>
      <c r="F625" t="str">
        <f>VLOOKUP(A625,Facturas!A:P,8,0)</f>
        <v>DIGITAL MEDIA TECHNOLOGIES COLOMBIA SAS</v>
      </c>
      <c r="H625">
        <f>YEAR(Tabla1[[#This Row],[Fecha]])</f>
        <v>2025</v>
      </c>
    </row>
    <row r="626" spans="1:8" hidden="1" x14ac:dyDescent="0.25">
      <c r="A626" s="3">
        <v>580</v>
      </c>
      <c r="B626" s="360">
        <v>45894</v>
      </c>
      <c r="C626" s="316">
        <v>1035000</v>
      </c>
      <c r="D626" s="3" t="str">
        <f>VLOOKUP(A626,Facturas!A:P,2,0)</f>
        <v>P-1569</v>
      </c>
      <c r="E626" s="3" t="s">
        <v>396</v>
      </c>
      <c r="F626" t="str">
        <f>VLOOKUP(A626,Facturas!A:P,8,0)</f>
        <v>GENUINE LAB S.A.S.</v>
      </c>
      <c r="H626">
        <f>YEAR(Tabla1[[#This Row],[Fecha]])</f>
        <v>2025</v>
      </c>
    </row>
    <row r="627" spans="1:8" hidden="1" x14ac:dyDescent="0.25">
      <c r="A627" s="3">
        <v>565</v>
      </c>
      <c r="B627" s="360">
        <v>45898</v>
      </c>
      <c r="C627" s="316">
        <v>1723500</v>
      </c>
      <c r="D627" s="3" t="str">
        <f>VLOOKUP(A627,Facturas!A:P,2,0)</f>
        <v>P-1554</v>
      </c>
      <c r="E627" s="3" t="str">
        <f>VLOOKUP(A627,Facturas!A:P,4,0)</f>
        <v>TIS-1533</v>
      </c>
      <c r="F627" t="str">
        <f>VLOOKUP(A627,Facturas!A:P,8,0)</f>
        <v>CENTRO DE ATENCION E INVESTIGACION MEDICA S.A.S.</v>
      </c>
      <c r="H627">
        <f>YEAR(Tabla1[[#This Row],[Fecha]])</f>
        <v>2025</v>
      </c>
    </row>
    <row r="628" spans="1:8" hidden="1" x14ac:dyDescent="0.25">
      <c r="A628" s="3">
        <v>564</v>
      </c>
      <c r="B628" s="360">
        <v>45903</v>
      </c>
      <c r="C628" s="316">
        <v>1701108</v>
      </c>
      <c r="D628" s="3" t="str">
        <f>VLOOKUP(A628,Facturas!A:P,2,0)</f>
        <v>P-1553</v>
      </c>
      <c r="E628" s="3" t="str">
        <f>VLOOKUP(A628,Facturas!A:P,4,0)</f>
        <v>TIS-1532</v>
      </c>
      <c r="F628" t="str">
        <f>VLOOKUP(A628,Facturas!A:P,8,0)</f>
        <v>STAFF SEGUROS AGENCIA LTDA</v>
      </c>
      <c r="H628">
        <f>YEAR(Tabla1[[#This Row],[Fecha]])</f>
        <v>2025</v>
      </c>
    </row>
    <row r="629" spans="1:8" hidden="1" x14ac:dyDescent="0.25">
      <c r="A629" s="3">
        <v>540</v>
      </c>
      <c r="B629" s="360">
        <v>45909</v>
      </c>
      <c r="C629" s="316">
        <v>324000</v>
      </c>
      <c r="D629" s="3" t="str">
        <f>VLOOKUP(A629,Facturas!A:P,2,0)</f>
        <v>P-1529</v>
      </c>
      <c r="E629" s="3" t="str">
        <f>VLOOKUP(A629,Facturas!A:P,4,0)</f>
        <v>TIS-1508</v>
      </c>
      <c r="F629" t="str">
        <f>VLOOKUP(A629,Facturas!A:P,8,0)</f>
        <v>Comercializadora ERZ SAS</v>
      </c>
      <c r="H629">
        <f>YEAR(Tabla1[[#This Row],[Fecha]])</f>
        <v>2025</v>
      </c>
    </row>
    <row r="630" spans="1:8" hidden="1" x14ac:dyDescent="0.25">
      <c r="A630" s="3">
        <v>582</v>
      </c>
      <c r="B630" s="360">
        <v>45896</v>
      </c>
      <c r="C630" s="316">
        <v>3000000</v>
      </c>
      <c r="D630" s="3" t="str">
        <f>VLOOKUP(A630,Facturas!A:P,2,0)</f>
        <v>P-1571</v>
      </c>
      <c r="E630" s="3" t="str">
        <f>VLOOKUP(A630,Facturas!A:P,4,0)</f>
        <v>TIS-1559</v>
      </c>
      <c r="F630" t="str">
        <f>VLOOKUP(A630,Facturas!A:P,8,0)</f>
        <v>ELKIN EDUARDO ORTIZ ORTIZ</v>
      </c>
      <c r="G630" t="s">
        <v>397</v>
      </c>
      <c r="H630">
        <f>YEAR(Tabla1[[#This Row],[Fecha]])</f>
        <v>2025</v>
      </c>
    </row>
    <row r="631" spans="1:8" hidden="1" x14ac:dyDescent="0.25">
      <c r="A631" s="3">
        <v>582</v>
      </c>
      <c r="B631" s="360">
        <v>45896</v>
      </c>
      <c r="C631" s="316">
        <v>1712400</v>
      </c>
      <c r="D631" s="3" t="str">
        <f>VLOOKUP(A631,Facturas!A:P,2,0)</f>
        <v>P-1571</v>
      </c>
      <c r="E631" s="3" t="str">
        <f>VLOOKUP(A631,Facturas!A:P,4,0)</f>
        <v>TIS-1559</v>
      </c>
      <c r="F631" t="str">
        <f>VLOOKUP(A631,Facturas!A:P,8,0)</f>
        <v>ELKIN EDUARDO ORTIZ ORTIZ</v>
      </c>
      <c r="G631" t="s">
        <v>398</v>
      </c>
      <c r="H631">
        <f>YEAR(Tabla1[[#This Row],[Fecha]])</f>
        <v>2025</v>
      </c>
    </row>
    <row r="632" spans="1:8" hidden="1" x14ac:dyDescent="0.25">
      <c r="A632" s="3">
        <v>545</v>
      </c>
      <c r="B632" s="360">
        <v>45870</v>
      </c>
      <c r="C632" s="316">
        <v>324000</v>
      </c>
      <c r="D632" s="3" t="str">
        <f>VLOOKUP(A632,Facturas!A:P,2,0)</f>
        <v>P-1534</v>
      </c>
      <c r="E632" s="3" t="str">
        <f>VLOOKUP(A632,Facturas!A:P,4,0)</f>
        <v>TIS-1514</v>
      </c>
      <c r="F632" t="str">
        <f>VLOOKUP(A632,Facturas!A:P,8,0)</f>
        <v>Comercializadora ERZ SAS</v>
      </c>
      <c r="H632">
        <f>YEAR(Tabla1[[#This Row],[Fecha]])</f>
        <v>2025</v>
      </c>
    </row>
    <row r="633" spans="1:8" hidden="1" x14ac:dyDescent="0.25">
      <c r="A633" s="3">
        <v>559</v>
      </c>
      <c r="B633" s="360">
        <v>45909</v>
      </c>
      <c r="C633" s="361">
        <v>324000</v>
      </c>
      <c r="D633" s="3" t="str">
        <f>VLOOKUP(A633,Facturas!A:P,2,0)</f>
        <v>P-1548</v>
      </c>
      <c r="E633" s="3" t="str">
        <f>VLOOKUP(A633,Facturas!A:P,4,0)</f>
        <v>TIS-1527</v>
      </c>
      <c r="F633" t="str">
        <f>VLOOKUP(A633,Facturas!A:P,8,0)</f>
        <v>Comercializadora ERZ SAS</v>
      </c>
      <c r="H633">
        <f>YEAR(Tabla1[[#This Row],[Fecha]])</f>
        <v>2025</v>
      </c>
    </row>
    <row r="634" spans="1:8" x14ac:dyDescent="0.25">
      <c r="A634" s="3">
        <v>541</v>
      </c>
      <c r="B634" s="327">
        <v>45910</v>
      </c>
      <c r="C634" s="316">
        <f>357000-15000</f>
        <v>342000</v>
      </c>
      <c r="D634" s="3" t="str">
        <f>VLOOKUP(A634,Facturas!A:P,2,0)</f>
        <v>P-1530</v>
      </c>
      <c r="E634" s="3" t="str">
        <f>VLOOKUP(A634,Facturas!A:P,4,0)</f>
        <v>TIS-1510</v>
      </c>
      <c r="F634" t="str">
        <f>VLOOKUP(A634,Facturas!A:P,8,0)</f>
        <v>ROYCO SOLUCIONES SAS</v>
      </c>
      <c r="G634">
        <v>862500</v>
      </c>
      <c r="H634">
        <f>YEAR(Tabla1[[#This Row],[Fecha]])</f>
        <v>2025</v>
      </c>
    </row>
    <row r="635" spans="1:8" x14ac:dyDescent="0.25">
      <c r="A635" s="3">
        <v>546</v>
      </c>
      <c r="B635" s="327">
        <v>45910</v>
      </c>
      <c r="C635" s="316">
        <v>287500</v>
      </c>
      <c r="D635" s="3" t="str">
        <f>VLOOKUP(A635,Facturas!A:P,2,0)</f>
        <v>P-1535</v>
      </c>
      <c r="E635" s="3" t="str">
        <f>VLOOKUP(A635,Facturas!A:P,4,0)</f>
        <v>TIS-1515</v>
      </c>
      <c r="F635" t="str">
        <f>VLOOKUP(A635,Facturas!A:P,8,0)</f>
        <v>ROYCO SOLUCIONES SAS</v>
      </c>
      <c r="H635">
        <f>YEAR(Tabla1[[#This Row],[Fecha]])</f>
        <v>2025</v>
      </c>
    </row>
    <row r="636" spans="1:8" x14ac:dyDescent="0.25">
      <c r="A636" s="3">
        <v>561</v>
      </c>
      <c r="B636" s="327">
        <v>45910</v>
      </c>
      <c r="C636" s="316">
        <f>862500-C634-C635</f>
        <v>233000</v>
      </c>
      <c r="D636" s="3" t="str">
        <f>VLOOKUP(A636,Facturas!A:P,2,0)</f>
        <v>P-1550</v>
      </c>
      <c r="E636" s="3" t="str">
        <f>VLOOKUP(A636,Facturas!A:P,4,0)</f>
        <v>TIS-1529</v>
      </c>
      <c r="F636" t="str">
        <f>VLOOKUP(A636,Facturas!A:P,8,0)</f>
        <v>ROYCO SOLUCIONES SAS</v>
      </c>
      <c r="H636">
        <f>YEAR(Tabla1[[#This Row],[Fecha]])</f>
        <v>2025</v>
      </c>
    </row>
    <row r="637" spans="1:8" hidden="1" x14ac:dyDescent="0.25">
      <c r="A637" s="3">
        <v>542</v>
      </c>
      <c r="B637" s="360">
        <v>45912</v>
      </c>
      <c r="C637" s="316">
        <f>1622563-C638-C639-C640</f>
        <v>182563</v>
      </c>
      <c r="D637" s="3" t="str">
        <f>VLOOKUP(A637,Facturas!A:P,2,0)</f>
        <v>P-1531</v>
      </c>
      <c r="E637" s="3" t="str">
        <f>VLOOKUP(A637,Facturas!A:P,4,0)</f>
        <v>TIS-1511</v>
      </c>
      <c r="F637" t="str">
        <f>VLOOKUP(A637,Facturas!A:P,8,0)</f>
        <v>Inversiones Sajamib SAS</v>
      </c>
      <c r="H637">
        <f>YEAR(Tabla1[[#This Row],[Fecha]])</f>
        <v>2025</v>
      </c>
    </row>
    <row r="638" spans="1:8" hidden="1" x14ac:dyDescent="0.25">
      <c r="A638" s="3">
        <v>547</v>
      </c>
      <c r="B638" s="360">
        <v>45912</v>
      </c>
      <c r="C638" s="316">
        <v>480000</v>
      </c>
      <c r="D638" s="3" t="str">
        <f>VLOOKUP(A638,Facturas!A:P,2,0)</f>
        <v>P-1536</v>
      </c>
      <c r="E638" s="3" t="str">
        <f>VLOOKUP(A638,Facturas!A:P,4,0)</f>
        <v>TIS- 1516</v>
      </c>
      <c r="F638" t="str">
        <f>VLOOKUP(A638,Facturas!A:P,8,0)</f>
        <v>Inversiones Sajamib SAS</v>
      </c>
      <c r="H638">
        <f>YEAR(Tabla1[[#This Row],[Fecha]])</f>
        <v>2025</v>
      </c>
    </row>
    <row r="639" spans="1:8" hidden="1" x14ac:dyDescent="0.25">
      <c r="A639" s="3">
        <v>563</v>
      </c>
      <c r="B639" s="360">
        <v>45912</v>
      </c>
      <c r="C639" s="316">
        <v>480000</v>
      </c>
      <c r="D639" s="3" t="str">
        <f>VLOOKUP(A639,Facturas!A:P,2,0)</f>
        <v>P-1552</v>
      </c>
      <c r="E639" s="3" t="str">
        <f>VLOOKUP(A639,Facturas!A:P,4,0)</f>
        <v>TIS-1531</v>
      </c>
      <c r="F639" t="str">
        <f>VLOOKUP(A639,Facturas!A:P,8,0)</f>
        <v>Inversiones Sajamib SAS</v>
      </c>
      <c r="H639">
        <f>YEAR(Tabla1[[#This Row],[Fecha]])</f>
        <v>2025</v>
      </c>
    </row>
    <row r="640" spans="1:8" hidden="1" x14ac:dyDescent="0.25">
      <c r="A640" s="3">
        <v>577</v>
      </c>
      <c r="B640" s="360">
        <v>45912</v>
      </c>
      <c r="C640" s="316">
        <v>480000</v>
      </c>
      <c r="D640" s="3" t="str">
        <f>VLOOKUP(A640,Facturas!A:P,2,0)</f>
        <v>P-1566</v>
      </c>
      <c r="E640" s="3" t="str">
        <f>VLOOKUP(A640,Facturas!A:P,4,0)</f>
        <v>TIS-1546</v>
      </c>
      <c r="F640" t="str">
        <f>VLOOKUP(A640,Facturas!A:P,8,0)</f>
        <v>Inversiones Sajamib SAS</v>
      </c>
      <c r="H640">
        <f>YEAR(Tabla1[[#This Row],[Fecha]])</f>
        <v>2025</v>
      </c>
    </row>
    <row r="641" spans="1:8" hidden="1" x14ac:dyDescent="0.25">
      <c r="A641" s="3">
        <v>573</v>
      </c>
      <c r="B641" s="360">
        <v>45913</v>
      </c>
      <c r="C641" s="361">
        <v>324000</v>
      </c>
      <c r="D641" s="3" t="str">
        <f>VLOOKUP(A641,Facturas!A:P,2,0)</f>
        <v>P-1562</v>
      </c>
      <c r="E641" s="3" t="str">
        <f>VLOOKUP(A641,Facturas!A:P,4,0)</f>
        <v>TIS-1542</v>
      </c>
      <c r="F641" t="str">
        <f>VLOOKUP(A641,Facturas!A:P,8,0)</f>
        <v>Comercializadora ERZ SAS</v>
      </c>
      <c r="H641">
        <f>YEAR(Tabla1[[#This Row],[Fecha]])</f>
        <v>2025</v>
      </c>
    </row>
    <row r="642" spans="1:8" hidden="1" x14ac:dyDescent="0.25">
      <c r="A642" s="3">
        <v>562</v>
      </c>
      <c r="B642" s="360">
        <v>45918</v>
      </c>
      <c r="C642" s="316">
        <v>300000</v>
      </c>
      <c r="D642" s="3" t="str">
        <f>VLOOKUP(A642,Facturas!A:P,2,0)</f>
        <v>P-1551</v>
      </c>
      <c r="E642" s="3" t="str">
        <f>VLOOKUP(A642,Facturas!A:P,4,0)</f>
        <v>TIS-1530</v>
      </c>
      <c r="F642" t="str">
        <f>VLOOKUP(A642,Facturas!A:P,8,0)</f>
        <v>AND TOPOGRAFIA E INGENIERIA SAS</v>
      </c>
      <c r="H642">
        <f>YEAR(Tabla1[[#This Row],[Fecha]])</f>
        <v>2025</v>
      </c>
    </row>
    <row r="643" spans="1:8" hidden="1" x14ac:dyDescent="0.25">
      <c r="A643" s="3">
        <v>630</v>
      </c>
      <c r="B643" s="360">
        <v>45910</v>
      </c>
      <c r="C643" s="316">
        <v>1683612</v>
      </c>
      <c r="D643" s="3" t="str">
        <f>VLOOKUP(A643,Facturas!A:P,2,0)</f>
        <v>P-1031</v>
      </c>
      <c r="E643" s="3" t="str">
        <f>VLOOKUP(A643,Facturas!A:P,4,0)</f>
        <v>TIS-1591</v>
      </c>
      <c r="F643" t="str">
        <f>VLOOKUP(A643,Facturas!A:P,8,0)</f>
        <v>TISANAS ORQUIDEAS S.A.S.</v>
      </c>
      <c r="H643">
        <f>YEAR(Tabla1[[#This Row],[Fecha]])</f>
        <v>2025</v>
      </c>
    </row>
    <row r="644" spans="1:8" hidden="1" x14ac:dyDescent="0.25">
      <c r="A644" s="3">
        <v>574</v>
      </c>
      <c r="B644" s="360">
        <v>45918</v>
      </c>
      <c r="C644" s="316">
        <v>324000</v>
      </c>
      <c r="D644" s="3" t="str">
        <f>VLOOKUP(A644,Facturas!A:P,2,0)</f>
        <v>P-1563</v>
      </c>
      <c r="E644" s="3" t="str">
        <f>VLOOKUP(A644,Facturas!A:P,4,0)</f>
        <v>TIS-1543</v>
      </c>
      <c r="F644" t="str">
        <f>VLOOKUP(A644,Facturas!A:P,8,0)</f>
        <v>DIGITAL MEDIA TECHNOLOGIES COLOMBIA SAS</v>
      </c>
      <c r="H644">
        <f>YEAR(Tabla1[[#This Row],[Fecha]])</f>
        <v>2025</v>
      </c>
    </row>
    <row r="645" spans="1:8" hidden="1" x14ac:dyDescent="0.25">
      <c r="A645" s="3">
        <v>570</v>
      </c>
      <c r="B645" s="360">
        <v>45929</v>
      </c>
      <c r="C645" s="316">
        <v>62263040</v>
      </c>
      <c r="D645" s="3" t="str">
        <f>VLOOKUP(A645,Facturas!A:P,2,0)</f>
        <v>P-1559</v>
      </c>
      <c r="E645" s="3" t="str">
        <f>VLOOKUP(A645,Facturas!A:P,4,0)</f>
        <v>TIS-1539</v>
      </c>
      <c r="F645" t="str">
        <f>VLOOKUP(A645,Facturas!A:P,8,0)</f>
        <v>Banco de Bogota S.A.</v>
      </c>
      <c r="H645">
        <f>YEAR(Tabla1[[#This Row],[Fecha]])</f>
        <v>2025</v>
      </c>
    </row>
    <row r="646" spans="1:8" hidden="1" x14ac:dyDescent="0.25">
      <c r="A646" s="3">
        <v>592</v>
      </c>
      <c r="B646" s="360">
        <v>45930</v>
      </c>
      <c r="C646" s="316">
        <v>1723500</v>
      </c>
      <c r="D646" s="3" t="str">
        <f>VLOOKUP(A646,Facturas!A:P,2,0)</f>
        <v>P-1581</v>
      </c>
      <c r="E646" s="3" t="str">
        <f>VLOOKUP(A646,Facturas!A:P,4,0)</f>
        <v>TIS-1558</v>
      </c>
      <c r="F646" t="str">
        <f>VLOOKUP(A646,Facturas!A:P,8,0)</f>
        <v>CENTRO DE ATENCION E INVESTIGACION MEDICA S.A.S.</v>
      </c>
      <c r="H646">
        <f>YEAR(Tabla1[[#This Row],[Fecha]])</f>
        <v>2025</v>
      </c>
    </row>
    <row r="647" spans="1:8" hidden="1" x14ac:dyDescent="0.25">
      <c r="A647" s="3">
        <v>568</v>
      </c>
      <c r="B647" s="360">
        <v>45926</v>
      </c>
      <c r="C647" s="316">
        <v>1255527</v>
      </c>
      <c r="D647" s="3" t="str">
        <f>VLOOKUP(A647,Facturas!A:P,2,0)</f>
        <v>P-1557</v>
      </c>
      <c r="E647" s="3" t="str">
        <f>VLOOKUP(A647,Facturas!A:P,4,0)</f>
        <v>TIS-1538</v>
      </c>
      <c r="F647" t="str">
        <f>VLOOKUP(A647,Facturas!A:P,8,0)</f>
        <v>CAVELIER ABOGADOS S.A.S.</v>
      </c>
      <c r="H647">
        <f>YEAR(Tabla1[[#This Row],[Fecha]])</f>
        <v>2025</v>
      </c>
    </row>
    <row r="648" spans="1:8" hidden="1" x14ac:dyDescent="0.25">
      <c r="A648" s="3">
        <v>583</v>
      </c>
      <c r="B648" s="360">
        <v>45945</v>
      </c>
      <c r="C648" s="316">
        <v>1365205</v>
      </c>
      <c r="D648" s="3" t="str">
        <f>VLOOKUP(A648,Facturas!A:P,2,0)</f>
        <v>P-1572</v>
      </c>
      <c r="E648" s="3" t="str">
        <f>VLOOKUP(A648,Facturas!A:P,4,0)</f>
        <v>TIS-1497</v>
      </c>
      <c r="F648" t="str">
        <f>VLOOKUP(A648,Facturas!A:P,8,0)</f>
        <v>GAMBLER GROUP S.A.S.</v>
      </c>
      <c r="H648">
        <f>YEAR(Tabla1[[#This Row],[Fecha]])</f>
        <v>2025</v>
      </c>
    </row>
    <row r="649" spans="1:8" hidden="1" x14ac:dyDescent="0.25">
      <c r="A649" s="3">
        <v>589</v>
      </c>
      <c r="B649" s="360">
        <v>45945</v>
      </c>
      <c r="C649" s="316">
        <v>1609500</v>
      </c>
      <c r="D649" s="3" t="str">
        <f>VLOOKUP(A649,Facturas!A:P,2,0)</f>
        <v>P-1578</v>
      </c>
      <c r="E649" s="3" t="str">
        <f>VLOOKUP(A649,Facturas!A:P,4,0)</f>
        <v>TIS-1554</v>
      </c>
      <c r="F649" t="str">
        <f>VLOOKUP(A649,Facturas!A:P,8,0)</f>
        <v>HUTERCOL S.A.S.</v>
      </c>
      <c r="H649">
        <f>YEAR(Tabla1[[#This Row],[Fecha]])</f>
        <v>2025</v>
      </c>
    </row>
    <row r="650" spans="1:8" hidden="1" x14ac:dyDescent="0.25">
      <c r="A650" s="3">
        <v>607</v>
      </c>
      <c r="B650" s="360">
        <v>45945</v>
      </c>
      <c r="C650" s="316">
        <v>1023400</v>
      </c>
      <c r="D650" s="3" t="str">
        <f>VLOOKUP(A650,Facturas!A:P,2,0)</f>
        <v>P-1596</v>
      </c>
      <c r="E650" s="3" t="str">
        <f>VLOOKUP(A650,Facturas!A:P,4,0)</f>
        <v>Tis-1592</v>
      </c>
      <c r="F650" t="str">
        <f>VLOOKUP(A650,Facturas!A:P,8,0)</f>
        <v>VORTICE S.A.S.</v>
      </c>
      <c r="H650">
        <f>YEAR(Tabla1[[#This Row],[Fecha]])</f>
        <v>2025</v>
      </c>
    </row>
    <row r="651" spans="1:8" hidden="1" x14ac:dyDescent="0.25">
      <c r="A651" s="3">
        <v>551</v>
      </c>
      <c r="B651" s="360">
        <v>45940</v>
      </c>
      <c r="C651" s="316">
        <v>649700</v>
      </c>
      <c r="D651" s="3" t="str">
        <f>VLOOKUP(A651,Facturas!A:P,2,0)</f>
        <v>P-1540</v>
      </c>
      <c r="E651" s="3" t="str">
        <f>VLOOKUP(A651,Facturas!A:P,4,0)</f>
        <v>TIS-1520</v>
      </c>
      <c r="F651" t="str">
        <f>VLOOKUP(A651,Facturas!A:P,8,0)</f>
        <v>CONTROLAR SALUD INTEGRAL SAS</v>
      </c>
      <c r="H651">
        <f>YEAR(Tabla1[[#This Row],[Fecha]])</f>
        <v>2025</v>
      </c>
    </row>
    <row r="652" spans="1:8" hidden="1" x14ac:dyDescent="0.25">
      <c r="A652" s="3">
        <v>543</v>
      </c>
      <c r="B652" s="360">
        <v>45934</v>
      </c>
      <c r="C652" s="316">
        <v>1200000</v>
      </c>
      <c r="D652" s="3" t="str">
        <f>VLOOKUP(A652,Facturas!A:P,2,0)</f>
        <v>P-1532</v>
      </c>
      <c r="E652" s="3" t="str">
        <f>VLOOKUP(A652,Facturas!A:P,4,0)</f>
        <v>TIS-1512</v>
      </c>
      <c r="F652" t="str">
        <f>VLOOKUP(A652,Facturas!A:P,8,0)</f>
        <v>STAFF SEGUROS AGENCIA LTDA</v>
      </c>
      <c r="H652">
        <f>YEAR(Tabla1[[#This Row],[Fecha]])</f>
        <v>2025</v>
      </c>
    </row>
    <row r="653" spans="1:8" hidden="1" x14ac:dyDescent="0.25">
      <c r="A653" s="3">
        <v>604</v>
      </c>
      <c r="B653" s="360">
        <v>45933</v>
      </c>
      <c r="C653" s="316">
        <v>1009664</v>
      </c>
      <c r="D653" s="3" t="str">
        <f>VLOOKUP(A653,Facturas!A:P,2,0)</f>
        <v>P-1593</v>
      </c>
      <c r="E653" s="3" t="str">
        <f>VLOOKUP(A653,Facturas!A:P,4,0)</f>
        <v>TIS-1572</v>
      </c>
      <c r="F653" t="str">
        <f>VLOOKUP(A653,Facturas!A:P,8,0)</f>
        <v>SOLUCIONES CREATIVAS Y TURÍSTICAS</v>
      </c>
      <c r="G653" t="s">
        <v>399</v>
      </c>
      <c r="H653">
        <f>YEAR(Tabla1[[#This Row],[Fecha]])</f>
        <v>2025</v>
      </c>
    </row>
    <row r="654" spans="1:8" hidden="1" x14ac:dyDescent="0.25">
      <c r="A654" s="3">
        <v>585</v>
      </c>
      <c r="B654" s="360">
        <v>45932</v>
      </c>
      <c r="C654" s="316">
        <v>4286625</v>
      </c>
      <c r="D654" s="3" t="str">
        <f>VLOOKUP(A654,Facturas!A:P,2,0)</f>
        <v>P-1574</v>
      </c>
      <c r="E654" s="3" t="str">
        <f>VLOOKUP(A654,Facturas!A:P,4,0)</f>
        <v>TIS-1550</v>
      </c>
      <c r="F654" t="str">
        <f>VLOOKUP(A654,Facturas!A:P,8,0)</f>
        <v>MARKET TEAM S.A.S.</v>
      </c>
      <c r="H654">
        <f>YEAR(Tabla1[[#This Row],[Fecha]])</f>
        <v>2025</v>
      </c>
    </row>
    <row r="655" spans="1:8" hidden="1" x14ac:dyDescent="0.25">
      <c r="A655" s="3">
        <v>587</v>
      </c>
      <c r="B655" s="360">
        <v>45932</v>
      </c>
      <c r="C655" s="316">
        <v>324000</v>
      </c>
      <c r="D655" s="3" t="str">
        <f>VLOOKUP(A655,Facturas!A:P,2,0)</f>
        <v>P-1576</v>
      </c>
      <c r="E655" s="3" t="str">
        <f>VLOOKUP(A655,Facturas!A:P,4,0)</f>
        <v>TIS-1552</v>
      </c>
      <c r="F655" t="str">
        <f>VLOOKUP(A655,Facturas!A:P,8,0)</f>
        <v>DIGITAL MEDIA TECHNOLOGIES COLOMBIA SAS</v>
      </c>
      <c r="H655">
        <f>YEAR(Tabla1[[#This Row],[Fecha]])</f>
        <v>2025</v>
      </c>
    </row>
    <row r="656" spans="1:8" hidden="1" x14ac:dyDescent="0.25">
      <c r="A656" s="3">
        <v>575</v>
      </c>
      <c r="B656" s="360">
        <v>45959</v>
      </c>
      <c r="C656" s="316">
        <v>300000</v>
      </c>
      <c r="D656" s="3" t="str">
        <f>VLOOKUP(A656,Facturas!A:P,2,0)</f>
        <v>P-1564</v>
      </c>
      <c r="E656" s="3" t="str">
        <f>VLOOKUP(A656,Facturas!A:P,4,0)</f>
        <v>TIS-1544</v>
      </c>
      <c r="F656" t="str">
        <f>VLOOKUP(A656,Facturas!A:P,8,0)</f>
        <v>AND TOPOGRAFIA E INGENIERIA SAS</v>
      </c>
      <c r="H656">
        <f>YEAR(Tabla1[[#This Row],[Fecha]])</f>
        <v>2025</v>
      </c>
    </row>
    <row r="657" spans="1:8" hidden="1" x14ac:dyDescent="0.25">
      <c r="A657" s="3">
        <v>591</v>
      </c>
      <c r="B657" s="360">
        <v>45961</v>
      </c>
      <c r="C657" s="316">
        <v>1009664</v>
      </c>
      <c r="D657" s="3" t="str">
        <f>VLOOKUP(A657,Facturas!A:P,2,0)</f>
        <v>P-1580</v>
      </c>
      <c r="E657" s="3" t="str">
        <f>VLOOKUP(A657,Facturas!A:P,4,0)</f>
        <v>TIS-1557</v>
      </c>
      <c r="F657" t="str">
        <f>VLOOKUP(A657,Facturas!A:P,8,0)</f>
        <v>SOLUCIONES CREATIVAS Y TURÍSTICAS</v>
      </c>
      <c r="H657">
        <f>YEAR(Tabla1[[#This Row],[Fecha]])</f>
        <v>2025</v>
      </c>
    </row>
    <row r="658" spans="1:8" hidden="1" x14ac:dyDescent="0.25">
      <c r="A658" s="3">
        <v>582</v>
      </c>
      <c r="B658" s="360">
        <v>45932</v>
      </c>
      <c r="C658" s="316">
        <v>1178100</v>
      </c>
      <c r="D658" s="3" t="str">
        <f>VLOOKUP(A658,Facturas!A:P,2,0)</f>
        <v>P-1571</v>
      </c>
      <c r="E658" s="3" t="str">
        <f>VLOOKUP(A658,Facturas!A:P,4,0)</f>
        <v>TIS-1559</v>
      </c>
      <c r="F658" t="str">
        <f>VLOOKUP(A658,Facturas!A:P,8,0)</f>
        <v>ELKIN EDUARDO ORTIZ ORTIZ</v>
      </c>
      <c r="H658">
        <f>YEAR(Tabla1[[#This Row],[Fecha]])</f>
        <v>2025</v>
      </c>
    </row>
    <row r="659" spans="1:8" hidden="1" x14ac:dyDescent="0.25">
      <c r="A659" s="3">
        <v>586</v>
      </c>
      <c r="B659" s="360">
        <v>45936</v>
      </c>
      <c r="C659" s="316">
        <v>324000</v>
      </c>
      <c r="D659" s="3" t="str">
        <f>VLOOKUP(A659,Facturas!A:P,2,0)</f>
        <v>P-1575</v>
      </c>
      <c r="E659" s="3" t="str">
        <f>VLOOKUP(A659,Facturas!A:P,4,0)</f>
        <v>TIS-1551</v>
      </c>
      <c r="F659" t="str">
        <f>VLOOKUP(A659,Facturas!A:P,8,0)</f>
        <v>Comercializadora ERZ SAS</v>
      </c>
      <c r="H659">
        <f>YEAR(Tabla1[[#This Row],[Fecha]])</f>
        <v>2025</v>
      </c>
    </row>
    <row r="660" spans="1:8" hidden="1" x14ac:dyDescent="0.25">
      <c r="A660" s="3">
        <v>584</v>
      </c>
      <c r="B660" s="360">
        <v>45952</v>
      </c>
      <c r="C660" s="316">
        <v>2211300</v>
      </c>
      <c r="D660" s="3" t="str">
        <f>VLOOKUP(A660,Facturas!A:P,2,0)</f>
        <v>P-1573</v>
      </c>
      <c r="E660" s="3">
        <f>VLOOKUP(A660,Facturas!A:P,4,0)</f>
        <v>0</v>
      </c>
      <c r="F660" t="str">
        <f>VLOOKUP(A660,Facturas!A:P,8,0)</f>
        <v>BIENESTAR SEGUROS &amp; CIA LTDA</v>
      </c>
      <c r="H660">
        <f>YEAR(Tabla1[[#This Row],[Fecha]])</f>
        <v>2025</v>
      </c>
    </row>
    <row r="661" spans="1:8" hidden="1" x14ac:dyDescent="0.25">
      <c r="A661" s="3">
        <v>626</v>
      </c>
      <c r="B661" s="360">
        <v>45953</v>
      </c>
      <c r="C661" s="316">
        <v>1011500</v>
      </c>
      <c r="D661" s="3" t="str">
        <f>VLOOKUP(A661,Facturas!A:P,2,0)</f>
        <v>P-1027</v>
      </c>
      <c r="E661" s="3" t="str">
        <f>VLOOKUP(A661,Facturas!A:P,4,0)</f>
        <v>TIS-1587</v>
      </c>
      <c r="F661" t="str">
        <f>VLOOKUP(A661,Facturas!A:P,8,0)</f>
        <v>SMART ENERGY SOLUTIONS SAS</v>
      </c>
      <c r="G661" t="s">
        <v>400</v>
      </c>
      <c r="H661">
        <f>YEAR(Tabla1[[#This Row],[Fecha]])</f>
        <v>2025</v>
      </c>
    </row>
    <row r="662" spans="1:8" hidden="1" x14ac:dyDescent="0.25">
      <c r="A662" s="3">
        <v>608</v>
      </c>
      <c r="B662" s="360">
        <v>45958</v>
      </c>
      <c r="C662" s="316">
        <v>654500</v>
      </c>
      <c r="D662" s="3" t="str">
        <f>VLOOKUP(A662,Facturas!A:P,2,0)</f>
        <v>P-1597</v>
      </c>
      <c r="E662" s="3" t="s">
        <v>401</v>
      </c>
      <c r="F662" t="str">
        <f>VLOOKUP(A662,Facturas!A:P,8,0)</f>
        <v>DIPREM CO S.A.S.</v>
      </c>
      <c r="G662" t="s">
        <v>402</v>
      </c>
      <c r="H662">
        <f>YEAR(Tabla1[[#This Row],[Fecha]])</f>
        <v>2025</v>
      </c>
    </row>
    <row r="663" spans="1:8" hidden="1" x14ac:dyDescent="0.25">
      <c r="A663" s="3">
        <v>594</v>
      </c>
      <c r="B663" s="360">
        <v>45958</v>
      </c>
      <c r="C663" s="316">
        <v>62263040</v>
      </c>
      <c r="D663" s="3" t="str">
        <f>VLOOKUP(A663,Facturas!A:P,2,0)</f>
        <v>P-1583</v>
      </c>
      <c r="E663" s="3" t="str">
        <f>VLOOKUP(A663,Facturas!A:P,4,0)</f>
        <v>TIS-1549</v>
      </c>
      <c r="F663" t="str">
        <f>VLOOKUP(A663,Facturas!A:P,8,0)</f>
        <v>Banco de Bogota S.A.</v>
      </c>
      <c r="H663">
        <f>YEAR(Tabla1[[#This Row],[Fecha]])</f>
        <v>2025</v>
      </c>
    </row>
    <row r="664" spans="1:8" hidden="1" x14ac:dyDescent="0.25">
      <c r="A664" s="3">
        <v>579</v>
      </c>
      <c r="B664" s="360">
        <v>45960</v>
      </c>
      <c r="C664" s="316">
        <v>1723500</v>
      </c>
      <c r="D664" s="3" t="str">
        <f>VLOOKUP(A664,Facturas!A:P,2,0)</f>
        <v>P-1568</v>
      </c>
      <c r="E664" s="3" t="str">
        <f>VLOOKUP(A664,Facturas!A:P,4,0)</f>
        <v>TIS-1548</v>
      </c>
      <c r="F664" t="str">
        <f>VLOOKUP(A664,Facturas!A:P,8,0)</f>
        <v>CENTRO DE ATENCION E INVESTIGACION MEDICA S.A.S.</v>
      </c>
      <c r="H664">
        <f>YEAR(Tabla1[[#This Row],[Fecha]])</f>
        <v>2025</v>
      </c>
    </row>
    <row r="665" spans="1:8" hidden="1" x14ac:dyDescent="0.25">
      <c r="A665" s="3">
        <v>549</v>
      </c>
      <c r="B665" s="360">
        <v>45965</v>
      </c>
      <c r="C665" s="316">
        <v>1360000</v>
      </c>
      <c r="D665" s="3" t="str">
        <f>VLOOKUP(A665,Facturas!A:P,2,0)</f>
        <v>P-1538</v>
      </c>
      <c r="E665" s="3" t="str">
        <f>VLOOKUP(A665,Facturas!A:P,4,0)</f>
        <v>TIS.1518</v>
      </c>
      <c r="F665" t="str">
        <f>VLOOKUP(A665,Facturas!A:P,8,0)</f>
        <v>STAFF SEGUROS AGENCIA LTDA</v>
      </c>
      <c r="H665">
        <f>YEAR(Tabla1[[#This Row],[Fecha]])</f>
        <v>2025</v>
      </c>
    </row>
    <row r="666" spans="1:8" hidden="1" x14ac:dyDescent="0.25">
      <c r="A666" s="3">
        <v>599</v>
      </c>
      <c r="B666" s="360">
        <v>45967</v>
      </c>
      <c r="C666" s="316">
        <v>324000</v>
      </c>
      <c r="D666" s="3" t="str">
        <f>VLOOKUP(A666,Facturas!A:P,2,0)</f>
        <v>P-1588</v>
      </c>
      <c r="E666" s="3" t="str">
        <f>VLOOKUP(A666,Facturas!A:P,4,0)</f>
        <v>TIS-1567</v>
      </c>
      <c r="F666" t="str">
        <f>VLOOKUP(A666,Facturas!A:P,8,0)</f>
        <v>DIGITAL MEDIA TECHNOLOGIES COLOMBIA SAS</v>
      </c>
      <c r="H666">
        <f>YEAR(Tabla1[[#This Row],[Fecha]])</f>
        <v>2025</v>
      </c>
    </row>
    <row r="667" spans="1:8" hidden="1" x14ac:dyDescent="0.25">
      <c r="A667" s="3">
        <v>590</v>
      </c>
      <c r="B667" s="360">
        <v>45971</v>
      </c>
      <c r="C667" s="316">
        <v>480000</v>
      </c>
      <c r="D667" s="3" t="str">
        <f>VLOOKUP(A667,Facturas!A:P,2,0)</f>
        <v>P-1579</v>
      </c>
      <c r="E667" s="3" t="str">
        <f>VLOOKUP(A667,Facturas!A:P,4,0)</f>
        <v>TIS-1556</v>
      </c>
      <c r="F667" t="str">
        <f>VLOOKUP(A667,Facturas!A:P,8,0)</f>
        <v>Inversiones Sajamib SAS</v>
      </c>
      <c r="H667">
        <f>YEAR(Tabla1[[#This Row],[Fecha]])</f>
        <v>2025</v>
      </c>
    </row>
    <row r="668" spans="1:8" hidden="1" x14ac:dyDescent="0.25">
      <c r="A668" s="3">
        <v>601</v>
      </c>
      <c r="B668" s="360">
        <v>45971</v>
      </c>
      <c r="C668" s="316">
        <v>480000</v>
      </c>
      <c r="D668" s="3" t="str">
        <f>VLOOKUP(A668,Facturas!A:P,2,0)</f>
        <v>P-1590</v>
      </c>
      <c r="E668" s="3" t="str">
        <f>VLOOKUP(A668,Facturas!A:P,4,0)</f>
        <v>TIS-1569</v>
      </c>
      <c r="F668" t="str">
        <f>VLOOKUP(A668,Facturas!A:P,8,0)</f>
        <v>Inversiones Sajamib SAS</v>
      </c>
      <c r="H668">
        <f>YEAR(Tabla1[[#This Row],[Fecha]])</f>
        <v>2025</v>
      </c>
    </row>
    <row r="669" spans="1:8" hidden="1" x14ac:dyDescent="0.25">
      <c r="A669" s="328">
        <v>668</v>
      </c>
      <c r="B669" s="188">
        <v>45973</v>
      </c>
      <c r="C669" s="333">
        <v>324000</v>
      </c>
      <c r="D669" s="328" t="str">
        <f>VLOOKUP(A669,Facturas!A:P,2,0)</f>
        <v>P-1060</v>
      </c>
      <c r="E669" s="328" t="str">
        <f>VLOOKUP(A669,Facturas!A:P,4,0)</f>
        <v>TIS-1566</v>
      </c>
      <c r="F669" t="str">
        <f>VLOOKUP(A669,Facturas!A:P,8,0)</f>
        <v>Comercializadora ERZ SAS</v>
      </c>
      <c r="G669" s="222"/>
      <c r="H669">
        <f>YEAR(Tabla1[[#This Row],[Fecha]])</f>
        <v>2025</v>
      </c>
    </row>
    <row r="670" spans="1:8" hidden="1" x14ac:dyDescent="0.25">
      <c r="A670" s="3">
        <v>598</v>
      </c>
      <c r="B670" s="360">
        <v>45975</v>
      </c>
      <c r="C670" s="316">
        <v>1078567</v>
      </c>
      <c r="D670" s="3" t="str">
        <f>VLOOKUP(A670,Facturas!A:P,2,0)</f>
        <v>P-1587</v>
      </c>
      <c r="E670" s="3" t="str">
        <f>VLOOKUP(A670,Facturas!A:P,4,0)</f>
        <v>TIS-1565</v>
      </c>
      <c r="F670" t="str">
        <f>VLOOKUP(A670,Facturas!A:P,8,0)</f>
        <v>VALGASIN SAS ESP</v>
      </c>
      <c r="H670">
        <f>YEAR(Tabla1[[#This Row],[Fecha]])</f>
        <v>2025</v>
      </c>
    </row>
    <row r="671" spans="1:8" hidden="1" x14ac:dyDescent="0.25">
      <c r="A671" s="3">
        <v>596</v>
      </c>
      <c r="B671" s="360">
        <v>45979</v>
      </c>
      <c r="C671" s="316">
        <v>21364575</v>
      </c>
      <c r="D671" s="3" t="str">
        <f>VLOOKUP(A671,Facturas!A:P,2,0)</f>
        <v>P-1585</v>
      </c>
      <c r="E671" s="3" t="str">
        <f>VLOOKUP(A671,Facturas!A:P,4,0)</f>
        <v>TIS-1563</v>
      </c>
      <c r="F671" t="str">
        <f>VLOOKUP(A671,Facturas!A:P,8,0)</f>
        <v>ACTIVOS SAS</v>
      </c>
      <c r="H671">
        <f>YEAR(Tabla1[[#This Row],[Fecha]])</f>
        <v>2025</v>
      </c>
    </row>
    <row r="672" spans="1:8" hidden="1" x14ac:dyDescent="0.25">
      <c r="A672" s="3">
        <v>605</v>
      </c>
      <c r="B672" s="360">
        <v>45985</v>
      </c>
      <c r="C672" s="316">
        <v>508875</v>
      </c>
      <c r="D672" s="3" t="str">
        <f>VLOOKUP(A672,Facturas!A:P,2,0)</f>
        <v>P-1594</v>
      </c>
      <c r="E672" s="3" t="str">
        <f>VLOOKUP(A672,Facturas!A:P,4,0)</f>
        <v>TIS-1573</v>
      </c>
      <c r="F672" t="str">
        <f>VLOOKUP(A672,Facturas!A:P,8,0)</f>
        <v>GENUINE LAB S.A.S.</v>
      </c>
      <c r="H672">
        <f>YEAR(Tabla1[[#This Row],[Fecha]])</f>
        <v>2025</v>
      </c>
    </row>
    <row r="673" spans="1:8" hidden="1" x14ac:dyDescent="0.25">
      <c r="A673" s="3">
        <v>625</v>
      </c>
      <c r="B673" s="360">
        <v>45985</v>
      </c>
      <c r="C673" s="316">
        <v>350000</v>
      </c>
      <c r="D673" s="3" t="str">
        <f>VLOOKUP(A673,Facturas!A:P,2,0)</f>
        <v>P-1614</v>
      </c>
      <c r="E673" s="3" t="str">
        <f>VLOOKUP(A673,Facturas!A:P,4,0)</f>
        <v>TIS-1593</v>
      </c>
      <c r="F673" t="str">
        <f>VLOOKUP(A673,Facturas!A:P,8,0)</f>
        <v>PROASCOL S.A.</v>
      </c>
      <c r="G673" t="s">
        <v>403</v>
      </c>
      <c r="H673">
        <f>YEAR(Tabla1[[#This Row],[Fecha]])</f>
        <v>2025</v>
      </c>
    </row>
    <row r="674" spans="1:8" hidden="1" x14ac:dyDescent="0.25">
      <c r="A674" s="3">
        <v>624</v>
      </c>
      <c r="B674" s="360">
        <v>45988</v>
      </c>
      <c r="C674" s="316">
        <v>1820700</v>
      </c>
      <c r="D674" s="3" t="str">
        <f>VLOOKUP(A674,Facturas!A:P,2,0)</f>
        <v>P-1613</v>
      </c>
      <c r="E674" s="3" t="str">
        <f>VLOOKUP(A674,Facturas!A:P,4,0)</f>
        <v>TIS-1594</v>
      </c>
      <c r="F674" t="str">
        <f>VLOOKUP(A674,Facturas!A:P,8,0)</f>
        <v>GEARFORM S.A.S.</v>
      </c>
      <c r="H674">
        <f>YEAR(Tabla1[[#This Row],[Fecha]])</f>
        <v>2025</v>
      </c>
    </row>
    <row r="675" spans="1:8" hidden="1" x14ac:dyDescent="0.25">
      <c r="A675" s="3">
        <v>602</v>
      </c>
      <c r="B675" s="360">
        <v>45988</v>
      </c>
      <c r="C675" s="316">
        <v>1723500</v>
      </c>
      <c r="D675" s="3" t="str">
        <f>VLOOKUP(A675,Facturas!A:P,2,0)</f>
        <v>P-1591</v>
      </c>
      <c r="E675" s="3" t="str">
        <f>VLOOKUP(A675,Facturas!A:P,4,0)</f>
        <v>TIS-1570</v>
      </c>
      <c r="F675" t="str">
        <f>VLOOKUP(A675,Facturas!A:P,8,0)</f>
        <v>CENTRO DE ATENCION E INVESTIGACION MEDICA S.A.S.</v>
      </c>
      <c r="H675">
        <f>YEAR(Tabla1[[#This Row],[Fecha]])</f>
        <v>2025</v>
      </c>
    </row>
    <row r="676" spans="1:8" hidden="1" x14ac:dyDescent="0.25">
      <c r="A676" s="3">
        <v>613</v>
      </c>
      <c r="B676" s="360">
        <v>45988</v>
      </c>
      <c r="C676" s="316">
        <v>913072</v>
      </c>
      <c r="D676" s="3" t="str">
        <f>VLOOKUP(A676,Facturas!A:P,2,0)</f>
        <v>P-1602</v>
      </c>
      <c r="E676" s="3" t="str">
        <f>VLOOKUP(A676,Facturas!A:P,4,0)</f>
        <v>TIS-1577</v>
      </c>
      <c r="F676" t="str">
        <f>VLOOKUP(A676,Facturas!A:P,8,0)</f>
        <v>SMART ENERGY SOLUTIONS SAS</v>
      </c>
      <c r="H676">
        <f>YEAR(Tabla1[[#This Row],[Fecha]])</f>
        <v>2025</v>
      </c>
    </row>
    <row r="677" spans="1:8" hidden="1" x14ac:dyDescent="0.25">
      <c r="A677" s="3">
        <v>614</v>
      </c>
      <c r="B677" s="360">
        <v>45986</v>
      </c>
      <c r="C677" s="316">
        <v>1514025</v>
      </c>
      <c r="D677" s="3" t="str">
        <f>VLOOKUP(A677,Facturas!A:P,2,0)</f>
        <v>P-1603</v>
      </c>
      <c r="E677" s="3" t="str">
        <f>VLOOKUP(A677,Facturas!A:P,4,0)</f>
        <v>TIS-1576</v>
      </c>
      <c r="F677" t="str">
        <f>VLOOKUP(A677,Facturas!A:P,8,0)</f>
        <v>ACTIVOS SAS</v>
      </c>
      <c r="H677">
        <f>YEAR(Tabla1[[#This Row],[Fecha]])</f>
        <v>2025</v>
      </c>
    </row>
    <row r="678" spans="1:8" hidden="1" x14ac:dyDescent="0.25">
      <c r="A678" s="3">
        <v>593</v>
      </c>
      <c r="B678" s="360">
        <v>45993</v>
      </c>
      <c r="C678" s="316">
        <v>10241287</v>
      </c>
      <c r="D678" s="3" t="str">
        <f>VLOOKUP(A678,Facturas!A:P,2,0)</f>
        <v>P-1582</v>
      </c>
      <c r="E678" s="3" t="str">
        <f>VLOOKUP(A678,Facturas!A:P,4,0)</f>
        <v>TIS-1561</v>
      </c>
      <c r="F678" t="str">
        <f>VLOOKUP(A678,Facturas!A:P,8,0)</f>
        <v>FIDEICOMISOS SOCIEDAD FIDUCIARIA DE OCCIDENTE SA</v>
      </c>
      <c r="H678">
        <f>YEAR(Tabla1[[#This Row],[Fecha]])</f>
        <v>2025</v>
      </c>
    </row>
    <row r="679" spans="1:8" hidden="1" x14ac:dyDescent="0.25">
      <c r="A679" s="3">
        <v>595</v>
      </c>
      <c r="B679" s="360">
        <v>45994</v>
      </c>
      <c r="C679" s="316">
        <v>62263040</v>
      </c>
      <c r="D679" s="3" t="str">
        <f>VLOOKUP(A679,Facturas!A:P,2,0)</f>
        <v>P-1584</v>
      </c>
      <c r="E679" s="3" t="str">
        <f>VLOOKUP(A679,Facturas!A:P,4,0)</f>
        <v>TIS-1562</v>
      </c>
      <c r="F679" t="str">
        <f>VLOOKUP(A679,Facturas!A:P,8,0)</f>
        <v>Banco de Bogota S.A.</v>
      </c>
      <c r="H679">
        <f>YEAR(Tabla1[[#This Row],[Fecha]])</f>
        <v>2025</v>
      </c>
    </row>
    <row r="680" spans="1:8" hidden="1" x14ac:dyDescent="0.25">
      <c r="A680" s="3">
        <v>620</v>
      </c>
      <c r="B680" s="360">
        <v>45995</v>
      </c>
      <c r="C680" s="316">
        <v>1009663</v>
      </c>
      <c r="D680" s="3" t="str">
        <f>VLOOKUP(A680,Facturas!A:P,2,0)</f>
        <v>P-1609</v>
      </c>
      <c r="E680" s="3" t="str">
        <f>VLOOKUP(A680,Facturas!A:P,4,0)</f>
        <v>TIS-1582</v>
      </c>
      <c r="F680" t="str">
        <f>VLOOKUP(A680,Facturas!A:P,8,0)</f>
        <v>SOLUCIONES CREATIVAS Y TURÍSTICAS</v>
      </c>
      <c r="H680">
        <f>YEAR(Tabla1[[#This Row],[Fecha]])</f>
        <v>2025</v>
      </c>
    </row>
    <row r="681" spans="1:8" hidden="1" x14ac:dyDescent="0.25">
      <c r="A681" s="3">
        <v>615</v>
      </c>
      <c r="B681" s="360">
        <v>45995</v>
      </c>
      <c r="C681" s="316">
        <v>324000</v>
      </c>
      <c r="D681" s="3" t="str">
        <f>VLOOKUP(A681,Facturas!A:P,2,0)</f>
        <v>P-1604</v>
      </c>
      <c r="E681" s="3" t="str">
        <f>VLOOKUP(A681,Facturas!A:P,4,0)</f>
        <v>TIS-1578</v>
      </c>
      <c r="F681" t="str">
        <f>VLOOKUP(A681,Facturas!A:P,8,0)</f>
        <v>DIGITAL MEDIA TECHNOLOGIES COLOMBIA SAS</v>
      </c>
      <c r="H681">
        <f>YEAR(Tabla1[[#This Row],[Fecha]])</f>
        <v>2025</v>
      </c>
    </row>
    <row r="682" spans="1:8" hidden="1" x14ac:dyDescent="0.25">
      <c r="A682" s="3">
        <v>636</v>
      </c>
      <c r="B682" s="360">
        <v>45995</v>
      </c>
      <c r="C682" s="316">
        <v>737800</v>
      </c>
      <c r="D682" s="3" t="str">
        <f>VLOOKUP(A682,Facturas!A:P,2,0)</f>
        <v>P-1027</v>
      </c>
      <c r="E682" s="3">
        <f>VLOOKUP(A682,Facturas!A:P,4,0)</f>
        <v>0</v>
      </c>
      <c r="F682" t="str">
        <f>VLOOKUP(A682,Facturas!A:P,8,0)</f>
        <v>Walsom SAS</v>
      </c>
      <c r="G682" t="s">
        <v>404</v>
      </c>
      <c r="H682">
        <f>YEAR(Tabla1[[#This Row],[Fecha]])</f>
        <v>2025</v>
      </c>
    </row>
    <row r="683" spans="1:8" hidden="1" x14ac:dyDescent="0.25">
      <c r="A683" s="3">
        <v>608</v>
      </c>
      <c r="B683" s="360">
        <v>45996</v>
      </c>
      <c r="C683" s="316">
        <v>654500</v>
      </c>
      <c r="D683" s="3" t="str">
        <f>VLOOKUP(A683,Facturas!A:P,2,0)</f>
        <v>P-1597</v>
      </c>
      <c r="E683" s="3" t="str">
        <f>VLOOKUP(A683,Facturas!A:P,4,0)</f>
        <v>TIS-1590</v>
      </c>
      <c r="F683" t="str">
        <f>VLOOKUP(A683,Facturas!A:P,8,0)</f>
        <v>DIPREM CO S.A.S.</v>
      </c>
      <c r="H683">
        <f>YEAR(Tabla1[[#This Row],[Fecha]])</f>
        <v>2025</v>
      </c>
    </row>
    <row r="684" spans="1:8" x14ac:dyDescent="0.25">
      <c r="A684" s="3">
        <v>576</v>
      </c>
      <c r="B684" s="390">
        <v>46002</v>
      </c>
      <c r="C684" s="316">
        <v>287500</v>
      </c>
      <c r="D684" s="3" t="str">
        <f>VLOOKUP(A684,Facturas!A:P,2,0)</f>
        <v>P-1565</v>
      </c>
      <c r="E684" s="3" t="str">
        <f>VLOOKUP(A684,Facturas!A:P,4,0)</f>
        <v>TIS-1545</v>
      </c>
      <c r="F684" t="str">
        <f>VLOOKUP(A684,Facturas!A:P,8,0)</f>
        <v>ROYCO SOLUCIONES SAS</v>
      </c>
      <c r="H684">
        <f>YEAR(Tabla1[[#This Row],[Fecha]])</f>
        <v>2025</v>
      </c>
    </row>
    <row r="685" spans="1:8" x14ac:dyDescent="0.25">
      <c r="A685" s="3">
        <v>588</v>
      </c>
      <c r="B685" s="390">
        <v>46002</v>
      </c>
      <c r="C685" s="316">
        <v>287500</v>
      </c>
      <c r="D685" s="3" t="str">
        <f>VLOOKUP(A685,Facturas!A:P,2,0)</f>
        <v>P-1577</v>
      </c>
      <c r="E685" s="3" t="str">
        <f>VLOOKUP(A685,Facturas!A:P,4,0)</f>
        <v>TIS-1553</v>
      </c>
      <c r="F685" t="str">
        <f>VLOOKUP(A685,Facturas!A:P,8,0)</f>
        <v>ROYCO SOLUCIONES SAS</v>
      </c>
      <c r="H685">
        <f>YEAR(Tabla1[[#This Row],[Fecha]])</f>
        <v>2025</v>
      </c>
    </row>
    <row r="686" spans="1:8" x14ac:dyDescent="0.25">
      <c r="A686" s="3">
        <v>600</v>
      </c>
      <c r="B686" s="390">
        <v>46002</v>
      </c>
      <c r="C686" s="316">
        <v>287500</v>
      </c>
      <c r="D686" s="3" t="str">
        <f>VLOOKUP(A686,Facturas!A:P,2,0)</f>
        <v>P-1589</v>
      </c>
      <c r="E686" s="3" t="str">
        <f>VLOOKUP(A686,Facturas!A:P,4,0)</f>
        <v>TIS-1568</v>
      </c>
      <c r="F686" t="str">
        <f>VLOOKUP(A686,Facturas!A:P,8,0)</f>
        <v>ROYCO SOLUCIONES SAS</v>
      </c>
      <c r="H686">
        <f>YEAR(Tabla1[[#This Row],[Fecha]])</f>
        <v>2025</v>
      </c>
    </row>
    <row r="687" spans="1:8" x14ac:dyDescent="0.25">
      <c r="A687" s="3">
        <v>623</v>
      </c>
      <c r="B687" s="390">
        <v>46002</v>
      </c>
      <c r="C687" s="316">
        <v>287500</v>
      </c>
      <c r="D687" s="3" t="str">
        <f>VLOOKUP(A687,Facturas!A:P,2,0)</f>
        <v>P-1612</v>
      </c>
      <c r="E687" s="3" t="str">
        <f>VLOOKUP(A687,Facturas!A:P,4,0)</f>
        <v>TIS-1580</v>
      </c>
      <c r="F687" t="str">
        <f>VLOOKUP(A687,Facturas!A:P,8,0)</f>
        <v>ROYCO SOLUCIONES SAS</v>
      </c>
      <c r="H687">
        <f>YEAR(Tabla1[[#This Row],[Fecha]])</f>
        <v>2025</v>
      </c>
    </row>
    <row r="688" spans="1:8" hidden="1" x14ac:dyDescent="0.25">
      <c r="A688" s="3">
        <v>617</v>
      </c>
      <c r="B688" s="360">
        <v>46006</v>
      </c>
      <c r="C688" s="316">
        <v>1723500</v>
      </c>
      <c r="D688" s="3" t="str">
        <f>VLOOKUP(A688,Facturas!A:P,2,0)</f>
        <v>P-1606</v>
      </c>
      <c r="E688" s="3" t="str">
        <f>VLOOKUP(A688,Facturas!A:P,4,0)</f>
        <v>TIS-1581</v>
      </c>
      <c r="F688" t="str">
        <f>VLOOKUP(A688,Facturas!A:P,8,0)</f>
        <v>CENTRO DE ATENCION E INVESTIGACION MEDICA S.A.S.</v>
      </c>
      <c r="H688">
        <f>YEAR(Tabla1[[#This Row],[Fecha]])</f>
        <v>2025</v>
      </c>
    </row>
    <row r="689" spans="1:8" hidden="1" x14ac:dyDescent="0.25">
      <c r="A689" s="3">
        <v>622</v>
      </c>
      <c r="B689" s="360">
        <v>46010</v>
      </c>
      <c r="C689" s="316">
        <v>526575</v>
      </c>
      <c r="D689" s="3" t="str">
        <f>VLOOKUP(A689,Facturas!A:P,2,0)</f>
        <v>P-1611</v>
      </c>
      <c r="E689" s="3" t="str">
        <f>VLOOKUP(A689,Facturas!A:P,4,0)</f>
        <v>TIS-1586</v>
      </c>
      <c r="F689" t="str">
        <f>VLOOKUP(A689,Facturas!A:P,8,0)</f>
        <v>GENUINE LAB S.A.S.</v>
      </c>
      <c r="H689">
        <f>YEAR(Tabla1[[#This Row],[Fecha]])</f>
        <v>2025</v>
      </c>
    </row>
    <row r="690" spans="1:8" hidden="1" x14ac:dyDescent="0.25">
      <c r="A690" s="3">
        <v>626</v>
      </c>
      <c r="B690" s="360">
        <v>46017</v>
      </c>
      <c r="C690" s="316">
        <v>966063</v>
      </c>
      <c r="D690" s="3" t="str">
        <f>VLOOKUP(A690,Facturas!A:P,2,0)</f>
        <v>P-1027</v>
      </c>
      <c r="E690" s="3" t="str">
        <f>VLOOKUP(A690,Facturas!A:P,4,0)</f>
        <v>TIS-1587</v>
      </c>
      <c r="F690" t="str">
        <f>VLOOKUP(A690,Facturas!A:P,8,0)</f>
        <v>SMART ENERGY SOLUTIONS SAS</v>
      </c>
      <c r="H690">
        <f>YEAR(Tabla1[[#This Row],[Fecha]])</f>
        <v>2025</v>
      </c>
    </row>
    <row r="691" spans="1:8" hidden="1" x14ac:dyDescent="0.25">
      <c r="A691" s="3">
        <v>634</v>
      </c>
      <c r="B691" s="360">
        <v>46021</v>
      </c>
      <c r="C691" s="316">
        <v>809200</v>
      </c>
      <c r="D691" s="3" t="str">
        <f>VLOOKUP(A691,Facturas!A:P,2,0)</f>
        <v>P-1035</v>
      </c>
      <c r="E691" s="3" t="str">
        <f>VLOOKUP(A691,Facturas!A:P,4,0)</f>
        <v>TIS-1599</v>
      </c>
      <c r="F691" t="str">
        <f>VLOOKUP(A691,Facturas!A:P,8,0)</f>
        <v>PROASCOL S.A.</v>
      </c>
      <c r="G691" t="s">
        <v>405</v>
      </c>
      <c r="H691">
        <f>YEAR(Tabla1[[#This Row],[Fecha]])</f>
        <v>2025</v>
      </c>
    </row>
    <row r="692" spans="1:8" hidden="1" x14ac:dyDescent="0.25">
      <c r="A692" s="3">
        <v>625</v>
      </c>
      <c r="B692" s="360">
        <v>46021</v>
      </c>
      <c r="C692" s="316">
        <v>357452</v>
      </c>
      <c r="D692" s="3" t="str">
        <f>VLOOKUP(A692,Facturas!A:P,2,0)</f>
        <v>P-1614</v>
      </c>
      <c r="E692" s="3" t="str">
        <f>VLOOKUP(A692,Facturas!A:P,4,0)</f>
        <v>TIS-1593</v>
      </c>
      <c r="F692" t="str">
        <f>VLOOKUP(A692,Facturas!A:P,8,0)</f>
        <v>PROASCOL S.A.</v>
      </c>
      <c r="H692">
        <f>YEAR(Tabla1[[#This Row],[Fecha]])</f>
        <v>2025</v>
      </c>
    </row>
    <row r="693" spans="1:8" hidden="1" x14ac:dyDescent="0.25">
      <c r="A693" s="3">
        <v>527</v>
      </c>
      <c r="B693" s="360">
        <v>46015</v>
      </c>
      <c r="C693" s="316">
        <v>1584189</v>
      </c>
      <c r="D693" s="3" t="str">
        <f>VLOOKUP(A693,Facturas!A:P,2,0)</f>
        <v>P-1516</v>
      </c>
      <c r="E693" s="3" t="str">
        <f>VLOOKUP(A693,Facturas!A:P,4,0)</f>
        <v>TIS-1495</v>
      </c>
      <c r="F693" t="str">
        <f>VLOOKUP(A693,Facturas!A:P,8,0)</f>
        <v>CONTROLAR SALUD INTEGRAL SAS</v>
      </c>
      <c r="H693">
        <f>YEAR(Tabla1[[#This Row],[Fecha]])</f>
        <v>2025</v>
      </c>
    </row>
    <row r="694" spans="1:8" hidden="1" x14ac:dyDescent="0.25">
      <c r="A694" s="3">
        <v>632</v>
      </c>
      <c r="B694" s="360">
        <v>46024</v>
      </c>
      <c r="C694" s="316">
        <v>1026306</v>
      </c>
      <c r="D694" s="3" t="str">
        <f>VLOOKUP(A694,Facturas!A:P,2,0)</f>
        <v>P-1033</v>
      </c>
      <c r="E694" s="3" t="str">
        <f>VLOOKUP(A694,Facturas!A:P,4,0)</f>
        <v>TIS-1597</v>
      </c>
      <c r="F694" t="str">
        <f>VLOOKUP(A694,Facturas!A:P,8,0)</f>
        <v>HF DOTACIONES SAS</v>
      </c>
      <c r="H694">
        <f>YEAR(Tabla1[[#This Row],[Fecha]])</f>
        <v>2026</v>
      </c>
    </row>
    <row r="695" spans="1:8" hidden="1" x14ac:dyDescent="0.25">
      <c r="A695" s="3">
        <v>609</v>
      </c>
      <c r="B695" s="360">
        <v>46027</v>
      </c>
      <c r="C695" s="316">
        <v>10255758</v>
      </c>
      <c r="D695" s="3" t="str">
        <f>VLOOKUP(A695,Facturas!A:P,2,0)</f>
        <v>P-1598</v>
      </c>
      <c r="E695" s="3" t="str">
        <f>VLOOKUP(A695,Facturas!A:P,4,0)</f>
        <v>TIS-1575</v>
      </c>
      <c r="F695" t="str">
        <f>VLOOKUP(A695,Facturas!A:P,8,0)</f>
        <v>Banco de Bogota S.A.</v>
      </c>
      <c r="H695">
        <f>YEAR(Tabla1[[#This Row],[Fecha]])</f>
        <v>2026</v>
      </c>
    </row>
    <row r="696" spans="1:8" hidden="1" x14ac:dyDescent="0.25">
      <c r="A696" s="3">
        <v>628</v>
      </c>
      <c r="B696" s="360">
        <v>46030</v>
      </c>
      <c r="C696" s="316">
        <v>1150000</v>
      </c>
      <c r="D696" s="3" t="str">
        <f>VLOOKUP(A696,Facturas!A:P,2,0)</f>
        <v>P-1029</v>
      </c>
      <c r="E696" s="3" t="str">
        <f>VLOOKUP(A696,Facturas!A:P,4,0)</f>
        <v>TIS-1589</v>
      </c>
      <c r="F696" t="str">
        <f>VLOOKUP(A696,Facturas!A:P,8,0)</f>
        <v>ALVEAR ESCOBAR ASOCIADOS S.A.S</v>
      </c>
      <c r="H696">
        <f>YEAR(Tabla1[[#This Row],[Fecha]])</f>
        <v>2026</v>
      </c>
    </row>
    <row r="697" spans="1:8" hidden="1" x14ac:dyDescent="0.25">
      <c r="A697" s="3">
        <v>619</v>
      </c>
      <c r="B697" s="360">
        <v>46036</v>
      </c>
      <c r="C697" s="316">
        <v>300000</v>
      </c>
      <c r="D697" s="3" t="str">
        <f>VLOOKUP(A697,Facturas!A:P,2,0)</f>
        <v>P-1608</v>
      </c>
      <c r="E697" s="3" t="str">
        <f>VLOOKUP(A697,Facturas!A:P,4,0)</f>
        <v>TIS-1584</v>
      </c>
      <c r="F697" t="str">
        <f>VLOOKUP(A697,Facturas!A:P,8,0)</f>
        <v>AND TOPOGRAFIA E INGENIERIA SAS</v>
      </c>
      <c r="H697">
        <f>YEAR(Tabla1[[#This Row],[Fecha]])</f>
        <v>2026</v>
      </c>
    </row>
    <row r="698" spans="1:8" hidden="1" x14ac:dyDescent="0.25">
      <c r="A698" s="3">
        <v>635</v>
      </c>
      <c r="B698" s="360">
        <v>46038</v>
      </c>
      <c r="C698" s="316">
        <v>4713896</v>
      </c>
      <c r="D698" s="3" t="str">
        <f>VLOOKUP(A698,Facturas!A:P,2,0)</f>
        <v>P-1036</v>
      </c>
      <c r="E698" s="3" t="str">
        <f>VLOOKUP(A698,Facturas!A:P,4,0)</f>
        <v>TIS-1595</v>
      </c>
      <c r="F698" t="str">
        <f>VLOOKUP(A698,Facturas!A:P,8,0)</f>
        <v>JUNTA NACIONAL DE CALIFICACION DE INVALIDEZ</v>
      </c>
      <c r="H698">
        <f>YEAR(Tabla1[[#This Row],[Fecha]])</f>
        <v>2026</v>
      </c>
    </row>
    <row r="699" spans="1:8" hidden="1" x14ac:dyDescent="0.25">
      <c r="A699" s="3">
        <v>642</v>
      </c>
      <c r="B699" s="360">
        <v>46045</v>
      </c>
      <c r="C699" s="316">
        <v>1009663</v>
      </c>
      <c r="D699" s="3" t="str">
        <f>VLOOKUP(A699,Facturas!A:P,2,0)</f>
        <v>P-1034</v>
      </c>
      <c r="E699" s="3" t="str">
        <f>VLOOKUP(A699,Facturas!A:P,4,0)</f>
        <v>TIS-1605</v>
      </c>
      <c r="F699" t="str">
        <f>VLOOKUP(A699,Facturas!A:P,8,0)</f>
        <v>SOLUCIONES CREATIVAS Y TURÍSTICAS</v>
      </c>
      <c r="H699">
        <f>YEAR(Tabla1[[#This Row],[Fecha]])</f>
        <v>2026</v>
      </c>
    </row>
    <row r="700" spans="1:8" hidden="1" x14ac:dyDescent="0.25">
      <c r="A700" s="3">
        <v>633</v>
      </c>
      <c r="B700" s="360">
        <v>46036</v>
      </c>
      <c r="C700" s="316">
        <v>324000</v>
      </c>
      <c r="D700" s="3" t="str">
        <f>VLOOKUP(A700,Facturas!A:P,2,0)</f>
        <v>P-1034</v>
      </c>
      <c r="E700" s="3" t="str">
        <f>VLOOKUP(A700,Facturas!A:P,4,0)</f>
        <v>TIS-1598</v>
      </c>
      <c r="F700" t="str">
        <f>VLOOKUP(A700,Facturas!A:P,8,0)</f>
        <v>Comercializadora ERZ SAS</v>
      </c>
      <c r="H700">
        <f>YEAR(Tabla1[[#This Row],[Fecha]])</f>
        <v>2026</v>
      </c>
    </row>
    <row r="701" spans="1:8" hidden="1" x14ac:dyDescent="0.25">
      <c r="A701" s="3">
        <v>616</v>
      </c>
      <c r="B701" s="360">
        <v>46036</v>
      </c>
      <c r="C701" s="316">
        <v>324000</v>
      </c>
      <c r="D701" s="3" t="str">
        <f>VLOOKUP(A701,Facturas!A:P,2,0)</f>
        <v>P-1605</v>
      </c>
      <c r="E701" s="3" t="str">
        <f>VLOOKUP(A701,Facturas!A:P,4,0)</f>
        <v>TIS-1579</v>
      </c>
      <c r="F701" t="str">
        <f>VLOOKUP(A701,Facturas!A:P,8,0)</f>
        <v>Comercializadora ERZ SAS</v>
      </c>
      <c r="H701">
        <f>YEAR(Tabla1[[#This Row],[Fecha]])</f>
        <v>2026</v>
      </c>
    </row>
    <row r="702" spans="1:8" hidden="1" x14ac:dyDescent="0.25">
      <c r="A702" s="3">
        <v>631</v>
      </c>
      <c r="B702" s="360">
        <v>46036</v>
      </c>
      <c r="C702" s="316">
        <f>1036800-C701-C700</f>
        <v>388800</v>
      </c>
      <c r="D702" s="3" t="str">
        <f>VLOOKUP(A702,Facturas!A:P,2,0)</f>
        <v>P-1032</v>
      </c>
      <c r="E702" s="3" t="str">
        <f>VLOOKUP(A702,Facturas!A:P,4,0)</f>
        <v>TIS-1596</v>
      </c>
      <c r="F702" t="str">
        <f>VLOOKUP(A702,Facturas!A:P,8,0)</f>
        <v>Comercializadora ERZ SAS</v>
      </c>
      <c r="H702">
        <f>YEAR(Tabla1[[#This Row],[Fecha]])</f>
        <v>2026</v>
      </c>
    </row>
    <row r="703" spans="1:8" hidden="1" x14ac:dyDescent="0.25">
      <c r="A703" s="3">
        <v>635</v>
      </c>
      <c r="B703" s="360">
        <v>46038</v>
      </c>
      <c r="C703" s="316">
        <v>4713896</v>
      </c>
      <c r="D703" s="3" t="str">
        <f>VLOOKUP(A703,Facturas!A:P,2,0)</f>
        <v>P-1036</v>
      </c>
      <c r="E703" s="3" t="str">
        <f>VLOOKUP(A703,Facturas!A:P,4,0)</f>
        <v>TIS-1595</v>
      </c>
      <c r="F703" t="str">
        <f>VLOOKUP(A703,Facturas!A:P,8,0)</f>
        <v>JUNTA NACIONAL DE CALIFICACION DE INVALIDEZ</v>
      </c>
      <c r="H703">
        <f>YEAR(Tabla1[[#This Row],[Fecha]])</f>
        <v>2026</v>
      </c>
    </row>
    <row r="704" spans="1:8" hidden="1" x14ac:dyDescent="0.25">
      <c r="A704" s="3">
        <v>624</v>
      </c>
      <c r="B704" s="360">
        <v>46043</v>
      </c>
      <c r="C704" s="316">
        <v>1457600</v>
      </c>
      <c r="D704" s="3" t="str">
        <f>VLOOKUP(A704,Facturas!A:P,2,0)</f>
        <v>P-1613</v>
      </c>
      <c r="E704" s="3" t="str">
        <f>VLOOKUP(A704,Facturas!A:P,4,0)</f>
        <v>TIS-1594</v>
      </c>
      <c r="F704" t="str">
        <f>VLOOKUP(A704,Facturas!A:P,8,0)</f>
        <v>GEARFORM S.A.S.</v>
      </c>
      <c r="H704">
        <f>YEAR(Tabla1[[#This Row],[Fecha]])</f>
        <v>2026</v>
      </c>
    </row>
    <row r="705" spans="1:8" hidden="1" x14ac:dyDescent="0.25">
      <c r="A705" s="328">
        <v>654</v>
      </c>
      <c r="B705" s="360">
        <v>46043</v>
      </c>
      <c r="C705" s="316">
        <v>324000</v>
      </c>
      <c r="D705" s="3" t="str">
        <f>VLOOKUP(A705,Facturas!A:P,2,0)</f>
        <v>P-1046</v>
      </c>
      <c r="E705" s="3" t="str">
        <f>VLOOKUP(A705,Facturas!A:P,4,0)</f>
        <v>TIS-1617</v>
      </c>
      <c r="F705" t="str">
        <f>VLOOKUP(A705,Facturas!A:P,8,0)</f>
        <v>ATECNO S.A.S</v>
      </c>
      <c r="H705">
        <f>YEAR(Tabla1[[#This Row],[Fecha]])</f>
        <v>2026</v>
      </c>
    </row>
    <row r="706" spans="1:8" hidden="1" x14ac:dyDescent="0.25">
      <c r="A706" s="3">
        <v>648</v>
      </c>
      <c r="B706" s="360">
        <v>46045</v>
      </c>
      <c r="C706" s="316">
        <v>1009663</v>
      </c>
      <c r="D706" s="3" t="str">
        <f>VLOOKUP(A706,Facturas!A:P,2,0)</f>
        <v>P-1040</v>
      </c>
      <c r="E706" s="3" t="str">
        <f>VLOOKUP(A706,Facturas!A:P,4,0)</f>
        <v>TIS-1611</v>
      </c>
      <c r="F706" t="str">
        <f>VLOOKUP(A706,Facturas!A:P,8,0)</f>
        <v>SOLUCIONES CREATIVAS Y TURÍSTICAS</v>
      </c>
      <c r="H706">
        <f>YEAR(Tabla1[[#This Row],[Fecha]])</f>
        <v>2026</v>
      </c>
    </row>
    <row r="707" spans="1:8" hidden="1" x14ac:dyDescent="0.25">
      <c r="A707" s="3">
        <v>630</v>
      </c>
      <c r="B707" s="360">
        <v>46050</v>
      </c>
      <c r="C707" s="316">
        <v>1683612</v>
      </c>
      <c r="D707" s="3" t="str">
        <f>VLOOKUP(A707,Facturas!A:P,2,0)</f>
        <v>P-1031</v>
      </c>
      <c r="E707" s="3" t="str">
        <f>VLOOKUP(A707,Facturas!A:P,4,0)</f>
        <v>TIS-1591</v>
      </c>
      <c r="F707" t="str">
        <f>VLOOKUP(A707,Facturas!A:P,8,0)</f>
        <v>TISANAS ORQUIDEAS S.A.S.</v>
      </c>
      <c r="H707">
        <f>YEAR(Tabla1[[#This Row],[Fecha]])</f>
        <v>2026</v>
      </c>
    </row>
    <row r="708" spans="1:8" hidden="1" x14ac:dyDescent="0.25">
      <c r="A708" s="3">
        <v>653</v>
      </c>
      <c r="B708" s="360">
        <v>46053</v>
      </c>
      <c r="C708" s="316">
        <v>2332000</v>
      </c>
      <c r="D708" s="3" t="str">
        <f>VLOOKUP(A708,Facturas!A:P,2,0)</f>
        <v>P-1045</v>
      </c>
      <c r="E708" s="3" t="str">
        <f>VLOOKUP(A708,Facturas!A:P,4,0)</f>
        <v>TIS-1616</v>
      </c>
      <c r="F708" t="str">
        <f>VLOOKUP(A708,Facturas!A:P,8,0)</f>
        <v>ELKIN EDUARDO ORTIZ ORTIZ</v>
      </c>
      <c r="H708">
        <f>YEAR(Tabla1[[#This Row],[Fecha]])</f>
        <v>2026</v>
      </c>
    </row>
    <row r="709" spans="1:8" hidden="1" x14ac:dyDescent="0.25">
      <c r="A709" s="3">
        <v>653</v>
      </c>
      <c r="B709" s="360">
        <v>46053</v>
      </c>
      <c r="C709" s="316">
        <v>3000000</v>
      </c>
      <c r="D709" s="3" t="str">
        <f>VLOOKUP(A709,Facturas!A:P,2,0)</f>
        <v>P-1045</v>
      </c>
      <c r="E709" s="3" t="str">
        <f>VLOOKUP(A709,Facturas!A:P,4,0)</f>
        <v>TIS-1616</v>
      </c>
      <c r="F709" t="str">
        <f>VLOOKUP(A709,Facturas!A:P,8,0)</f>
        <v>ELKIN EDUARDO ORTIZ ORTIZ</v>
      </c>
      <c r="H709">
        <f>YEAR(Tabla1[[#This Row],[Fecha]])</f>
        <v>2026</v>
      </c>
    </row>
    <row r="710" spans="1:8" hidden="1" x14ac:dyDescent="0.25">
      <c r="A710" s="3">
        <v>641</v>
      </c>
      <c r="B710" s="360">
        <v>46065</v>
      </c>
      <c r="C710" s="361">
        <v>1723500</v>
      </c>
      <c r="D710" s="3" t="str">
        <f>VLOOKUP(A710,Facturas!A:P,2,0)</f>
        <v>P-1033</v>
      </c>
      <c r="E710" s="3" t="str">
        <f>VLOOKUP(A710,Facturas!A:P,4,0)</f>
        <v>TIS-1604</v>
      </c>
      <c r="F710" t="str">
        <f>VLOOKUP(A710,Facturas!A:P,8,0)</f>
        <v>CENTRO DE ATENCION E INVESTIGACION MEDICA S.A.S.</v>
      </c>
      <c r="H710">
        <f>YEAR(Tabla1[[#This Row],[Fecha]])</f>
        <v>2026</v>
      </c>
    </row>
    <row r="711" spans="1:8" hidden="1" x14ac:dyDescent="0.25">
      <c r="A711" s="3">
        <v>607</v>
      </c>
      <c r="B711" s="360">
        <v>46066</v>
      </c>
      <c r="C711" s="361">
        <v>390768</v>
      </c>
      <c r="D711" s="3" t="str">
        <f>VLOOKUP(A711,Facturas!A:P,2,0)</f>
        <v>P-1596</v>
      </c>
      <c r="E711" s="3" t="str">
        <f>VLOOKUP(A711,Facturas!A:P,4,0)</f>
        <v>Tis-1592</v>
      </c>
      <c r="F711" t="str">
        <f>VLOOKUP(A711,Facturas!A:P,8,0)</f>
        <v>VORTICE S.A.S.</v>
      </c>
      <c r="H711">
        <f>YEAR(Tabla1[[#This Row],[Fecha]])</f>
        <v>2026</v>
      </c>
    </row>
    <row r="712" spans="1:8" x14ac:dyDescent="0.25">
      <c r="A712" s="3">
        <v>640</v>
      </c>
      <c r="B712" s="360">
        <v>46071</v>
      </c>
      <c r="C712" s="361">
        <v>287500</v>
      </c>
      <c r="D712" s="3" t="str">
        <f>VLOOKUP(A712,Facturas!A:P,2,0)</f>
        <v>P-1032</v>
      </c>
      <c r="E712" s="3" t="str">
        <f>VLOOKUP(A712,Facturas!A:P,4,0)</f>
        <v>TIS-1603</v>
      </c>
      <c r="F712" t="str">
        <f>VLOOKUP(A712,Facturas!A:P,8,0)</f>
        <v>ROYCO SOLUCIONES SAS</v>
      </c>
      <c r="H712">
        <f>YEAR(Tabla1[[#This Row],[Fecha]])</f>
        <v>2026</v>
      </c>
    </row>
    <row r="713" spans="1:8" hidden="1" x14ac:dyDescent="0.25">
      <c r="A713" s="3">
        <v>649</v>
      </c>
      <c r="B713" s="360">
        <v>46072</v>
      </c>
      <c r="C713" s="361">
        <v>324000</v>
      </c>
      <c r="D713" s="3" t="str">
        <f>VLOOKUP(A713,Facturas!A:P,2,0)</f>
        <v>P-1041</v>
      </c>
      <c r="E713" s="3" t="str">
        <f>VLOOKUP(A713,Facturas!A:P,4,0)</f>
        <v>TIS-1612</v>
      </c>
      <c r="F713" t="str">
        <f>VLOOKUP(A713,Facturas!A:P,8,0)</f>
        <v>DIGITAL MEDIA TECHNOLOGIES COLOMBIA SAS</v>
      </c>
      <c r="H713">
        <f>YEAR(Tabla1[[#This Row],[Fecha]])</f>
        <v>2026</v>
      </c>
    </row>
    <row r="714" spans="1:8" hidden="1" x14ac:dyDescent="0.25">
      <c r="A714" s="3">
        <v>657</v>
      </c>
      <c r="B714" s="360">
        <v>46073</v>
      </c>
      <c r="C714" s="361">
        <v>798938</v>
      </c>
      <c r="D714" s="3" t="str">
        <f>VLOOKUP(A714,Facturas!A:P,2,0)</f>
        <v>P-1049</v>
      </c>
      <c r="E714" s="3" t="str">
        <f>VLOOKUP(A714,Facturas!A:P,4,0)</f>
        <v>TIS-1619</v>
      </c>
      <c r="F714" t="str">
        <f>VLOOKUP(A714,Facturas!A:P,8,0)</f>
        <v>GREEN OAK SAS.</v>
      </c>
      <c r="H714">
        <f>YEAR(Tabla1[[#This Row],[Fecha]])</f>
        <v>2026</v>
      </c>
    </row>
    <row r="715" spans="1:8" hidden="1" x14ac:dyDescent="0.25">
      <c r="A715" s="3">
        <v>653</v>
      </c>
      <c r="B715" s="360">
        <v>46073</v>
      </c>
      <c r="C715" s="361">
        <v>1332000</v>
      </c>
      <c r="D715" s="3" t="str">
        <f>VLOOKUP(A715,Facturas!A:P,2,0)</f>
        <v>P-1045</v>
      </c>
      <c r="E715" s="3" t="str">
        <f>VLOOKUP(A715,Facturas!A:P,4,0)</f>
        <v>TIS-1616</v>
      </c>
      <c r="F715" t="str">
        <f>VLOOKUP(A715,Facturas!A:P,8,0)</f>
        <v>ELKIN EDUARDO ORTIZ ORTIZ</v>
      </c>
      <c r="H715">
        <f>YEAR(Tabla1[[#This Row],[Fecha]])</f>
        <v>2026</v>
      </c>
    </row>
    <row r="716" spans="1:8" hidden="1" x14ac:dyDescent="0.25">
      <c r="A716" s="3">
        <v>652</v>
      </c>
      <c r="B716" s="360">
        <v>46079</v>
      </c>
      <c r="C716" s="361">
        <v>2052612</v>
      </c>
      <c r="D716" s="3" t="str">
        <f>VLOOKUP(A716,Facturas!A:P,2,0)</f>
        <v>P-1044</v>
      </c>
      <c r="E716" s="3" t="str">
        <f>VLOOKUP(A716,Facturas!A:P,4,0)</f>
        <v>TIS-1615</v>
      </c>
      <c r="F716" t="str">
        <f>VLOOKUP(A716,Facturas!A:P,8,0)</f>
        <v>EPITHINK HEALTH CONSULTING S.A.S.</v>
      </c>
      <c r="H716">
        <f>YEAR(Tabla1[[#This Row],[Fecha]])</f>
        <v>2026</v>
      </c>
    </row>
    <row r="717" spans="1:8" hidden="1" x14ac:dyDescent="0.25">
      <c r="A717" s="3">
        <v>647</v>
      </c>
      <c r="B717" s="360">
        <v>46080</v>
      </c>
      <c r="C717" s="361">
        <v>1723500</v>
      </c>
      <c r="D717" s="3" t="str">
        <f>VLOOKUP(A717,Facturas!A:P,2,0)</f>
        <v>P-1039</v>
      </c>
      <c r="E717" s="3" t="str">
        <f>VLOOKUP(A717,Facturas!A:P,4,0)</f>
        <v>TIS-1610</v>
      </c>
      <c r="F717" t="str">
        <f>VLOOKUP(A717,Facturas!A:P,8,0)</f>
        <v>CENTRO DE ATENCION E INVESTIGACION MEDICA S.A.S.</v>
      </c>
      <c r="H717">
        <f>YEAR(Tabla1[[#This Row],[Fecha]])</f>
        <v>2026</v>
      </c>
    </row>
    <row r="718" spans="1:8" hidden="1" x14ac:dyDescent="0.25">
      <c r="A718" s="3">
        <v>658</v>
      </c>
      <c r="B718" s="360">
        <v>46086</v>
      </c>
      <c r="C718" s="361">
        <v>1482442</v>
      </c>
      <c r="D718" s="3" t="str">
        <f>VLOOKUP(A718,Facturas!A:P,2,0)</f>
        <v>P-1050</v>
      </c>
      <c r="E718" s="3" t="str">
        <f>VLOOKUP(A718,Facturas!A:P,4,0)</f>
        <v>TIS-1628</v>
      </c>
      <c r="F718" t="str">
        <f>VLOOKUP(A718,Facturas!A:P,8,0)</f>
        <v>HERRAMIENTAS UNIDAS S.A.S.</v>
      </c>
      <c r="H718">
        <f>YEAR(Tabla1[[#This Row],[Fecha]])</f>
        <v>2026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C763A-0F71-4E13-AF1E-A73EDA9DD955}">
  <sheetPr codeName="Hoja2"/>
  <dimension ref="A1:S1048546"/>
  <sheetViews>
    <sheetView showGridLines="0" topLeftCell="E319" zoomScale="82" zoomScaleNormal="82" workbookViewId="0">
      <selection activeCell="K327" sqref="K327"/>
    </sheetView>
  </sheetViews>
  <sheetFormatPr baseColWidth="10" defaultColWidth="11.42578125" defaultRowHeight="15" x14ac:dyDescent="0.25"/>
  <cols>
    <col min="1" max="1" width="11.140625" style="6" customWidth="1"/>
    <col min="2" max="2" width="10.28515625" style="6" customWidth="1"/>
    <col min="3" max="3" width="14.42578125" style="53" bestFit="1" customWidth="1"/>
    <col min="4" max="4" width="10.28515625" style="6" customWidth="1"/>
    <col min="5" max="5" width="25.5703125" style="5" customWidth="1"/>
    <col min="6" max="6" width="11.5703125" style="5" bestFit="1" customWidth="1"/>
    <col min="7" max="7" width="8" style="7" bestFit="1" customWidth="1"/>
    <col min="8" max="8" width="19" style="21" customWidth="1"/>
    <col min="9" max="9" width="32.5703125" style="24" customWidth="1"/>
    <col min="10" max="10" width="11.42578125" style="164" customWidth="1"/>
    <col min="11" max="11" width="20.42578125" style="258" customWidth="1"/>
    <col min="12" max="12" width="14.5703125" style="300" bestFit="1" customWidth="1"/>
    <col min="13" max="13" width="16.28515625" style="300" bestFit="1" customWidth="1"/>
    <col min="14" max="14" width="16.5703125" style="300" customWidth="1"/>
    <col min="15" max="15" width="16.5703125" style="301" customWidth="1"/>
    <col min="16" max="16384" width="11.42578125" style="5"/>
  </cols>
  <sheetData>
    <row r="1" spans="1:15" s="6" customFormat="1" ht="30" x14ac:dyDescent="0.25">
      <c r="A1" s="70" t="s">
        <v>287</v>
      </c>
      <c r="B1" s="70" t="s">
        <v>406</v>
      </c>
      <c r="C1" s="71" t="s">
        <v>288</v>
      </c>
      <c r="D1" s="70" t="s">
        <v>291</v>
      </c>
      <c r="E1" s="70" t="s">
        <v>292</v>
      </c>
      <c r="F1" s="70" t="s">
        <v>2</v>
      </c>
      <c r="G1" s="72" t="s">
        <v>407</v>
      </c>
      <c r="H1" s="70" t="s">
        <v>15</v>
      </c>
      <c r="I1" s="70" t="s">
        <v>408</v>
      </c>
      <c r="J1" s="162" t="s">
        <v>245</v>
      </c>
      <c r="K1" s="290" t="s">
        <v>246</v>
      </c>
      <c r="L1" s="290" t="s">
        <v>409</v>
      </c>
      <c r="M1" s="290" t="s">
        <v>410</v>
      </c>
      <c r="N1" s="290" t="s">
        <v>411</v>
      </c>
      <c r="O1" s="290" t="s">
        <v>281</v>
      </c>
    </row>
    <row r="2" spans="1:15" s="6" customFormat="1" ht="30" x14ac:dyDescent="0.2">
      <c r="A2" s="6">
        <v>1</v>
      </c>
      <c r="B2" s="6" t="str">
        <f>VLOOKUP(Tabla4[[#This Row],[Codigo]],Tabla2[[Cod]:[Nombre ]],2,0)</f>
        <v>TIS-1008</v>
      </c>
      <c r="C2" s="53">
        <f>VLOOKUP(Tabla4[[#This Row],[Codigo]],Tabla2[[Cod]:[Nombre ]],3,0)</f>
        <v>44224</v>
      </c>
      <c r="D2" s="6" t="str">
        <f>VLOOKUP(Tabla4[[#This Row],[Codigo]],Tabla2[[Cod]:[Nombre ]],4,0)</f>
        <v>TIS-1010</v>
      </c>
      <c r="E2" s="5" t="str">
        <f>VLOOKUP(Tabla4[[#This Row],[Codigo]],Tabla2[[Cod]:[Nombre ]],8,0)</f>
        <v>Soluciones Avanzadas de Ingeniería SAS</v>
      </c>
      <c r="F2" s="5" t="str">
        <f>VLOOKUP(Tabla4[[#This Row],[Codigo]],Tabla2[[Cod]:[Nombre ]],6,0)</f>
        <v>ok</v>
      </c>
      <c r="G2" s="7" t="s">
        <v>412</v>
      </c>
      <c r="H2" s="21" t="str">
        <f>VLOOKUP(Tabla4[[#This Row],[No]],Parametros!A:C,2,0)</f>
        <v>Profesiograma</v>
      </c>
      <c r="I2" s="21"/>
      <c r="J2" s="161">
        <v>1</v>
      </c>
      <c r="K2" s="291">
        <v>480000</v>
      </c>
      <c r="L2" s="257"/>
      <c r="M2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2" s="293">
        <f>IFERROR(Tabla4[[#This Row],[Sub Total]]*VLOOKUP(Tabla4[[#This Row],[No]],Parametros!A:C,3,0),0)</f>
        <v>91200</v>
      </c>
      <c r="O2" s="293">
        <f>+Tabla4[[#This Row],[IVA]]+Tabla4[[#This Row],[Sub Total]]</f>
        <v>571200</v>
      </c>
    </row>
    <row r="3" spans="1:15" ht="30" x14ac:dyDescent="0.2">
      <c r="A3" s="6">
        <v>2</v>
      </c>
      <c r="B3" s="6">
        <f>VLOOKUP(Tabla4[[#This Row],[Codigo]],Tabla2[[Cod]:[Nombre ]],2,0)</f>
        <v>0</v>
      </c>
      <c r="C3" s="53">
        <f>VLOOKUP(Tabla4[[#This Row],[Codigo]],Tabla2[[Cod]:[Nombre ]],3,0)</f>
        <v>44224</v>
      </c>
      <c r="D3" s="6" t="str">
        <f>VLOOKUP(Tabla4[[#This Row],[Codigo]],Tabla2[[Cod]:[Nombre ]],4,0)</f>
        <v>NC1</v>
      </c>
      <c r="E3" s="5" t="str">
        <f>VLOOKUP(Tabla4[[#This Row],[Codigo]],Tabla2[[Cod]:[Nombre ]],8,0)</f>
        <v>Constructora Conconcreto S.A.</v>
      </c>
      <c r="F3" s="5" t="str">
        <f>VLOOKUP(Tabla4[[#This Row],[Codigo]],Tabla2[[Cod]:[Nombre ]],6,0)</f>
        <v>anulado</v>
      </c>
      <c r="G3" s="7" t="s">
        <v>413</v>
      </c>
      <c r="H3" s="21" t="str">
        <f>VLOOKUP(Tabla4[[#This Row],[No]],Parametros!A:C,2,0)</f>
        <v>Elementos proteccion Personal</v>
      </c>
      <c r="I3" s="21"/>
      <c r="J3" s="161">
        <v>900</v>
      </c>
      <c r="K3" s="291">
        <v>300</v>
      </c>
      <c r="L3" s="257"/>
      <c r="M3" s="292">
        <f>IF(LEFT(Tabla4[[#This Row],[Electronica]],2)="NC",-Tabla4[[#This Row],[Cantidad]]*Tabla4[[#This Row],[Precio]]+Tabla4[[#This Row],[Dto]],Tabla4[[#This Row],[Cantidad]]*Tabla4[[#This Row],[Precio]]-Tabla4[[#This Row],[Dto]])</f>
        <v>-270000</v>
      </c>
      <c r="N3" s="293">
        <f>IFERROR(Tabla4[[#This Row],[Sub Total]]*VLOOKUP(Tabla4[[#This Row],[No]],Parametros!A:C,3,0),0)</f>
        <v>-51300</v>
      </c>
      <c r="O3" s="293">
        <f>+Tabla4[[#This Row],[IVA]]+Tabla4[[#This Row],[Sub Total]]</f>
        <v>-321300</v>
      </c>
    </row>
    <row r="4" spans="1:15" ht="30" x14ac:dyDescent="0.2">
      <c r="A4" s="6">
        <v>2</v>
      </c>
      <c r="B4" s="6">
        <f>VLOOKUP(Tabla4[[#This Row],[Codigo]],Tabla2[[Cod]:[Nombre ]],2,0)</f>
        <v>0</v>
      </c>
      <c r="C4" s="53">
        <f>VLOOKUP(Tabla4[[#This Row],[Codigo]],Tabla2[[Cod]:[Nombre ]],3,0)</f>
        <v>44224</v>
      </c>
      <c r="D4" s="6" t="str">
        <f>VLOOKUP(Tabla4[[#This Row],[Codigo]],Tabla2[[Cod]:[Nombre ]],4,0)</f>
        <v>NC1</v>
      </c>
      <c r="E4" s="5" t="str">
        <f>VLOOKUP(Tabla4[[#This Row],[Codigo]],Tabla2[[Cod]:[Nombre ]],8,0)</f>
        <v>Constructora Conconcreto S.A.</v>
      </c>
      <c r="F4" s="5" t="str">
        <f>VLOOKUP(Tabla4[[#This Row],[Codigo]],Tabla2[[Cod]:[Nombre ]],6,0)</f>
        <v>anulado</v>
      </c>
      <c r="G4" s="7">
        <v>11</v>
      </c>
      <c r="H4" s="21" t="str">
        <f>VLOOKUP(Tabla4[[#This Row],[No]],Parametros!A:C,2,0)</f>
        <v>Distribución</v>
      </c>
      <c r="I4" s="21"/>
      <c r="J4" s="161">
        <v>1</v>
      </c>
      <c r="K4" s="291">
        <v>20000</v>
      </c>
      <c r="L4" s="257"/>
      <c r="M4" s="292">
        <f>IF(LEFT(Tabla4[[#This Row],[Electronica]],2)="NC",-Tabla4[[#This Row],[Cantidad]]*Tabla4[[#This Row],[Precio]]+Tabla4[[#This Row],[Dto]],Tabla4[[#This Row],[Cantidad]]*Tabla4[[#This Row],[Precio]]-Tabla4[[#This Row],[Dto]])</f>
        <v>-20000</v>
      </c>
      <c r="N4" s="293">
        <f>IFERROR(Tabla4[[#This Row],[Sub Total]]*VLOOKUP(Tabla4[[#This Row],[No]],Parametros!A:C,3,0),0)</f>
        <v>0</v>
      </c>
      <c r="O4" s="293">
        <f>+Tabla4[[#This Row],[IVA]]+Tabla4[[#This Row],[Sub Total]]</f>
        <v>-20000</v>
      </c>
    </row>
    <row r="5" spans="1:15" ht="30" x14ac:dyDescent="0.2">
      <c r="A5" s="6">
        <v>3</v>
      </c>
      <c r="B5" s="6">
        <f>VLOOKUP(Tabla4[[#This Row],[Codigo]],Tabla2[[Cod]:[Nombre ]],2,0)</f>
        <v>0</v>
      </c>
      <c r="C5" s="53">
        <f>VLOOKUP(Tabla4[[#This Row],[Codigo]],Tabla2[[Cod]:[Nombre ]],3,0)</f>
        <v>44224</v>
      </c>
      <c r="D5" s="6" t="str">
        <f>VLOOKUP(Tabla4[[#This Row],[Codigo]],Tabla2[[Cod]:[Nombre ]],4,0)</f>
        <v>TIS-1007</v>
      </c>
      <c r="E5" s="5" t="str">
        <f>VLOOKUP(Tabla4[[#This Row],[Codigo]],Tabla2[[Cod]:[Nombre ]],8,0)</f>
        <v>Constructora Conconcreto S.A.</v>
      </c>
      <c r="F5" s="5" t="str">
        <f>VLOOKUP(Tabla4[[#This Row],[Codigo]],Tabla2[[Cod]:[Nombre ]],6,0)</f>
        <v>anulado</v>
      </c>
      <c r="G5" s="7" t="s">
        <v>413</v>
      </c>
      <c r="H5" s="21" t="str">
        <f>VLOOKUP(Tabla4[[#This Row],[No]],Parametros!A:C,2,0)</f>
        <v>Elementos proteccion Personal</v>
      </c>
      <c r="I5" s="21"/>
      <c r="J5" s="161">
        <v>900</v>
      </c>
      <c r="K5" s="291">
        <v>300</v>
      </c>
      <c r="L5" s="257"/>
      <c r="M5" s="292">
        <f>IF(LEFT(Tabla4[[#This Row],[Electronica]],2)="NC",-Tabla4[[#This Row],[Cantidad]]*Tabla4[[#This Row],[Precio]]+Tabla4[[#This Row],[Dto]],Tabla4[[#This Row],[Cantidad]]*Tabla4[[#This Row],[Precio]]-Tabla4[[#This Row],[Dto]])</f>
        <v>270000</v>
      </c>
      <c r="N5" s="293">
        <f>IFERROR(Tabla4[[#This Row],[Sub Total]]*VLOOKUP(Tabla4[[#This Row],[No]],Parametros!A:C,3,0),0)</f>
        <v>51300</v>
      </c>
      <c r="O5" s="293">
        <f>+Tabla4[[#This Row],[IVA]]+Tabla4[[#This Row],[Sub Total]]</f>
        <v>321300</v>
      </c>
    </row>
    <row r="6" spans="1:15" ht="30" x14ac:dyDescent="0.2">
      <c r="A6" s="6">
        <v>3</v>
      </c>
      <c r="B6" s="6">
        <f>VLOOKUP(Tabla4[[#This Row],[Codigo]],Tabla2[[Cod]:[Nombre ]],2,0)</f>
        <v>0</v>
      </c>
      <c r="C6" s="53">
        <f>VLOOKUP(Tabla4[[#This Row],[Codigo]],Tabla2[[Cod]:[Nombre ]],3,0)</f>
        <v>44224</v>
      </c>
      <c r="D6" s="6" t="str">
        <f>VLOOKUP(Tabla4[[#This Row],[Codigo]],Tabla2[[Cod]:[Nombre ]],4,0)</f>
        <v>TIS-1007</v>
      </c>
      <c r="E6" s="5" t="str">
        <f>VLOOKUP(Tabla4[[#This Row],[Codigo]],Tabla2[[Cod]:[Nombre ]],8,0)</f>
        <v>Constructora Conconcreto S.A.</v>
      </c>
      <c r="F6" s="5" t="str">
        <f>VLOOKUP(Tabla4[[#This Row],[Codigo]],Tabla2[[Cod]:[Nombre ]],6,0)</f>
        <v>anulado</v>
      </c>
      <c r="G6" s="7">
        <v>11</v>
      </c>
      <c r="H6" s="21" t="str">
        <f>VLOOKUP(Tabla4[[#This Row],[No]],Parametros!A:C,2,0)</f>
        <v>Distribución</v>
      </c>
      <c r="I6" s="21"/>
      <c r="J6" s="161">
        <v>1</v>
      </c>
      <c r="K6" s="291">
        <v>20000</v>
      </c>
      <c r="L6" s="257"/>
      <c r="M6" s="292">
        <f>IF(LEFT(Tabla4[[#This Row],[Electronica]],2)="NC",-Tabla4[[#This Row],[Cantidad]]*Tabla4[[#This Row],[Precio]]+Tabla4[[#This Row],[Dto]],Tabla4[[#This Row],[Cantidad]]*Tabla4[[#This Row],[Precio]]-Tabla4[[#This Row],[Dto]])</f>
        <v>20000</v>
      </c>
      <c r="N6" s="293">
        <f>IFERROR(Tabla4[[#This Row],[Sub Total]]*VLOOKUP(Tabla4[[#This Row],[No]],Parametros!A:C,3,0),0)</f>
        <v>0</v>
      </c>
      <c r="O6" s="293">
        <f>+Tabla4[[#This Row],[IVA]]+Tabla4[[#This Row],[Sub Total]]</f>
        <v>20000</v>
      </c>
    </row>
    <row r="7" spans="1:15" ht="30" x14ac:dyDescent="0.2">
      <c r="A7" s="6">
        <v>4</v>
      </c>
      <c r="B7" s="6" t="str">
        <f>VLOOKUP(Tabla4[[#This Row],[Codigo]],Tabla2[[Cod]:[Nombre ]],2,0)</f>
        <v>TIS-1007</v>
      </c>
      <c r="C7" s="53">
        <f>VLOOKUP(Tabla4[[#This Row],[Codigo]],Tabla2[[Cod]:[Nombre ]],3,0)</f>
        <v>44224</v>
      </c>
      <c r="D7" s="6" t="str">
        <f>VLOOKUP(Tabla4[[#This Row],[Codigo]],Tabla2[[Cod]:[Nombre ]],4,0)</f>
        <v>TIS-1008</v>
      </c>
      <c r="E7" s="5" t="str">
        <f>VLOOKUP(Tabla4[[#This Row],[Codigo]],Tabla2[[Cod]:[Nombre ]],8,0)</f>
        <v>Constructora Conconcreto S.A.</v>
      </c>
      <c r="F7" s="5" t="str">
        <f>VLOOKUP(Tabla4[[#This Row],[Codigo]],Tabla2[[Cod]:[Nombre ]],6,0)</f>
        <v>ok</v>
      </c>
      <c r="G7" s="7" t="s">
        <v>413</v>
      </c>
      <c r="H7" s="21" t="str">
        <f>VLOOKUP(Tabla4[[#This Row],[No]],Parametros!A:C,2,0)</f>
        <v>Elementos proteccion Personal</v>
      </c>
      <c r="I7" s="21"/>
      <c r="J7" s="161">
        <v>900</v>
      </c>
      <c r="K7" s="291">
        <v>300</v>
      </c>
      <c r="L7" s="257"/>
      <c r="M7" s="292">
        <f>IF(LEFT(Tabla4[[#This Row],[Electronica]],2)="NC",-Tabla4[[#This Row],[Cantidad]]*Tabla4[[#This Row],[Precio]]+Tabla4[[#This Row],[Dto]],Tabla4[[#This Row],[Cantidad]]*Tabla4[[#This Row],[Precio]]-Tabla4[[#This Row],[Dto]])</f>
        <v>270000</v>
      </c>
      <c r="N7" s="293">
        <f>IFERROR(Tabla4[[#This Row],[Sub Total]]*VLOOKUP(Tabla4[[#This Row],[No]],Parametros!A:C,3,0),0)</f>
        <v>51300</v>
      </c>
      <c r="O7" s="293">
        <f>+Tabla4[[#This Row],[IVA]]+Tabla4[[#This Row],[Sub Total]]</f>
        <v>321300</v>
      </c>
    </row>
    <row r="8" spans="1:15" ht="30" x14ac:dyDescent="0.2">
      <c r="A8" s="6">
        <v>4</v>
      </c>
      <c r="B8" s="6" t="str">
        <f>VLOOKUP(Tabla4[[#This Row],[Codigo]],Tabla2[[Cod]:[Nombre ]],2,0)</f>
        <v>TIS-1007</v>
      </c>
      <c r="C8" s="53">
        <f>VLOOKUP(Tabla4[[#This Row],[Codigo]],Tabla2[[Cod]:[Nombre ]],3,0)</f>
        <v>44224</v>
      </c>
      <c r="D8" s="6" t="str">
        <f>VLOOKUP(Tabla4[[#This Row],[Codigo]],Tabla2[[Cod]:[Nombre ]],4,0)</f>
        <v>TIS-1008</v>
      </c>
      <c r="E8" s="5" t="str">
        <f>VLOOKUP(Tabla4[[#This Row],[Codigo]],Tabla2[[Cod]:[Nombre ]],8,0)</f>
        <v>Constructora Conconcreto S.A.</v>
      </c>
      <c r="F8" s="5" t="str">
        <f>VLOOKUP(Tabla4[[#This Row],[Codigo]],Tabla2[[Cod]:[Nombre ]],6,0)</f>
        <v>ok</v>
      </c>
      <c r="G8" s="7">
        <v>11</v>
      </c>
      <c r="H8" s="21" t="str">
        <f>VLOOKUP(Tabla4[[#This Row],[No]],Parametros!A:C,2,0)</f>
        <v>Distribución</v>
      </c>
      <c r="I8" s="21"/>
      <c r="J8" s="161">
        <v>1</v>
      </c>
      <c r="K8" s="291">
        <v>20000</v>
      </c>
      <c r="L8" s="257"/>
      <c r="M8" s="292">
        <f>IF(LEFT(Tabla4[[#This Row],[Electronica]],2)="NC",-Tabla4[[#This Row],[Cantidad]]*Tabla4[[#This Row],[Precio]]+Tabla4[[#This Row],[Dto]],Tabla4[[#This Row],[Cantidad]]*Tabla4[[#This Row],[Precio]]-Tabla4[[#This Row],[Dto]])</f>
        <v>20000</v>
      </c>
      <c r="N8" s="293">
        <f>IFERROR(Tabla4[[#This Row],[Sub Total]]*VLOOKUP(Tabla4[[#This Row],[No]],Parametros!A:C,3,0),0)</f>
        <v>0</v>
      </c>
      <c r="O8" s="293">
        <f>+Tabla4[[#This Row],[IVA]]+Tabla4[[#This Row],[Sub Total]]</f>
        <v>20000</v>
      </c>
    </row>
    <row r="9" spans="1:15" ht="30" x14ac:dyDescent="0.2">
      <c r="A9" s="6">
        <v>5</v>
      </c>
      <c r="B9" s="6" t="str">
        <f>VLOOKUP(Tabla4[[#This Row],[Codigo]],Tabla2[[Cod]:[Nombre ]],2,0)</f>
        <v>TIS-1009</v>
      </c>
      <c r="C9" s="53">
        <f>VLOOKUP(Tabla4[[#This Row],[Codigo]],Tabla2[[Cod]:[Nombre ]],3,0)</f>
        <v>44245</v>
      </c>
      <c r="D9" s="6" t="str">
        <f>VLOOKUP(Tabla4[[#This Row],[Codigo]],Tabla2[[Cod]:[Nombre ]],4,0)</f>
        <v>TIS-1024</v>
      </c>
      <c r="E9" s="5" t="str">
        <f>VLOOKUP(Tabla4[[#This Row],[Codigo]],Tabla2[[Cod]:[Nombre ]],8,0)</f>
        <v>Diana Sirley Torres Escalona</v>
      </c>
      <c r="F9" s="5" t="str">
        <f>VLOOKUP(Tabla4[[#This Row],[Codigo]],Tabla2[[Cod]:[Nombre ]],6,0)</f>
        <v>ok</v>
      </c>
      <c r="G9" s="7" t="s">
        <v>414</v>
      </c>
      <c r="H9" s="21" t="str">
        <f>VLOOKUP(Tabla4[[#This Row],[No]],Parametros!A:C,2,0)</f>
        <v>Capacitacion virtual SARLAFT</v>
      </c>
      <c r="I9" s="21"/>
      <c r="J9" s="161">
        <v>1</v>
      </c>
      <c r="K9" s="291">
        <v>1500000</v>
      </c>
      <c r="L9" s="257"/>
      <c r="M9" s="292">
        <f>IF(LEFT(Tabla4[[#This Row],[Electronica]],2)="NC",-Tabla4[[#This Row],[Cantidad]]*Tabla4[[#This Row],[Precio]]+Tabla4[[#This Row],[Dto]],Tabla4[[#This Row],[Cantidad]]*Tabla4[[#This Row],[Precio]]-Tabla4[[#This Row],[Dto]])</f>
        <v>1500000</v>
      </c>
      <c r="N9" s="293">
        <f>IFERROR(Tabla4[[#This Row],[Sub Total]]*VLOOKUP(Tabla4[[#This Row],[No]],Parametros!A:C,3,0),0)</f>
        <v>0</v>
      </c>
      <c r="O9" s="293">
        <f>+Tabla4[[#This Row],[IVA]]+Tabla4[[#This Row],[Sub Total]]</f>
        <v>1500000</v>
      </c>
    </row>
    <row r="10" spans="1:15" ht="60" x14ac:dyDescent="0.2">
      <c r="A10" s="6">
        <v>6</v>
      </c>
      <c r="B10" s="6" t="str">
        <f>VLOOKUP(Tabla4[[#This Row],[Codigo]],Tabla2[[Cod]:[Nombre ]],2,0)</f>
        <v>TIS-1011</v>
      </c>
      <c r="C10" s="53">
        <f>VLOOKUP(Tabla4[[#This Row],[Codigo]],Tabla2[[Cod]:[Nombre ]],3,0)</f>
        <v>44249</v>
      </c>
      <c r="D10" s="6" t="str">
        <f>VLOOKUP(Tabla4[[#This Row],[Codigo]],Tabla2[[Cod]:[Nombre ]],4,0)</f>
        <v>TIS-1009</v>
      </c>
      <c r="E10" s="5" t="str">
        <f>VLOOKUP(Tabla4[[#This Row],[Codigo]],Tabla2[[Cod]:[Nombre ]],8,0)</f>
        <v>William Hurtado</v>
      </c>
      <c r="F10" s="5" t="str">
        <f>VLOOKUP(Tabla4[[#This Row],[Codigo]],Tabla2[[Cod]:[Nombre ]],6,0)</f>
        <v>ok</v>
      </c>
      <c r="G10" s="7" t="s">
        <v>282</v>
      </c>
      <c r="H10" s="21" t="str">
        <f>VLOOKUP(Tabla4[[#This Row],[No]],Parametros!A:C,2,0)</f>
        <v>Batería de Riesgo Psicosocial</v>
      </c>
      <c r="I10" s="21" t="s">
        <v>283</v>
      </c>
      <c r="J10" s="161">
        <v>41</v>
      </c>
      <c r="K10" s="291">
        <v>20000</v>
      </c>
      <c r="L10" s="257"/>
      <c r="M10" s="292">
        <f>IF(LEFT(Tabla4[[#This Row],[Electronica]],2)="NC",-Tabla4[[#This Row],[Cantidad]]*Tabla4[[#This Row],[Precio]]+Tabla4[[#This Row],[Dto]],Tabla4[[#This Row],[Cantidad]]*Tabla4[[#This Row],[Precio]]-Tabla4[[#This Row],[Dto]])</f>
        <v>820000</v>
      </c>
      <c r="N10" s="293">
        <f>IFERROR(Tabla4[[#This Row],[Sub Total]]*VLOOKUP(Tabla4[[#This Row],[No]],Parametros!A:C,3,0),0)</f>
        <v>155800</v>
      </c>
      <c r="O10" s="293">
        <f>+Tabla4[[#This Row],[IVA]]+Tabla4[[#This Row],[Sub Total]]</f>
        <v>975800</v>
      </c>
    </row>
    <row r="11" spans="1:15" ht="60" x14ac:dyDescent="0.2">
      <c r="A11" s="6">
        <v>7</v>
      </c>
      <c r="B11" s="6" t="str">
        <f>VLOOKUP(Tabla4[[#This Row],[Codigo]],Tabla2[[Cod]:[Nombre ]],2,0)</f>
        <v>TIS-1012</v>
      </c>
      <c r="C11" s="53">
        <f>VLOOKUP(Tabla4[[#This Row],[Codigo]],Tabla2[[Cod]:[Nombre ]],3,0)</f>
        <v>44249</v>
      </c>
      <c r="D11" s="6" t="str">
        <f>VLOOKUP(Tabla4[[#This Row],[Codigo]],Tabla2[[Cod]:[Nombre ]],4,0)</f>
        <v>TIS-1016</v>
      </c>
      <c r="E11" s="5" t="str">
        <f>VLOOKUP(Tabla4[[#This Row],[Codigo]],Tabla2[[Cod]:[Nombre ]],8,0)</f>
        <v>Consorcio Sistem IM3</v>
      </c>
      <c r="F11" s="5" t="str">
        <f>VLOOKUP(Tabla4[[#This Row],[Codigo]],Tabla2[[Cod]:[Nombre ]],6,0)</f>
        <v>ok</v>
      </c>
      <c r="G11" s="7" t="s">
        <v>282</v>
      </c>
      <c r="H11" s="21" t="str">
        <f>VLOOKUP(Tabla4[[#This Row],[No]],Parametros!A:C,2,0)</f>
        <v>Batería de Riesgo Psicosocial</v>
      </c>
      <c r="I11" s="21" t="s">
        <v>283</v>
      </c>
      <c r="J11" s="163">
        <v>21</v>
      </c>
      <c r="K11" s="294">
        <v>15000</v>
      </c>
      <c r="L11" s="257"/>
      <c r="M11" s="292">
        <f>IF(LEFT(Tabla4[[#This Row],[Electronica]],2)="NC",-Tabla4[[#This Row],[Cantidad]]*Tabla4[[#This Row],[Precio]]+Tabla4[[#This Row],[Dto]],Tabla4[[#This Row],[Cantidad]]*Tabla4[[#This Row],[Precio]]-Tabla4[[#This Row],[Dto]])</f>
        <v>315000</v>
      </c>
      <c r="N11" s="293">
        <f>IFERROR(Tabla4[[#This Row],[Sub Total]]*VLOOKUP(Tabla4[[#This Row],[No]],Parametros!A:C,3,0),0)</f>
        <v>59850</v>
      </c>
      <c r="O11" s="293">
        <f>+Tabla4[[#This Row],[IVA]]+Tabla4[[#This Row],[Sub Total]]</f>
        <v>374850</v>
      </c>
    </row>
    <row r="12" spans="1:15" ht="60" x14ac:dyDescent="0.2">
      <c r="A12" s="6">
        <v>8</v>
      </c>
      <c r="B12" s="6" t="str">
        <f>VLOOKUP(Tabla4[[#This Row],[Codigo]],Tabla2[[Cod]:[Nombre ]],2,0)</f>
        <v>TIS-1013</v>
      </c>
      <c r="C12" s="53">
        <f>VLOOKUP(Tabla4[[#This Row],[Codigo]],Tabla2[[Cod]:[Nombre ]],3,0)</f>
        <v>44256</v>
      </c>
      <c r="D12" s="6" t="str">
        <f>VLOOKUP(Tabla4[[#This Row],[Codigo]],Tabla2[[Cod]:[Nombre ]],4,0)</f>
        <v>TIS-1013</v>
      </c>
      <c r="E12" s="5" t="str">
        <f>VLOOKUP(Tabla4[[#This Row],[Codigo]],Tabla2[[Cod]:[Nombre ]],8,0)</f>
        <v>ANKER CONSULTORIA Y CONSTRUCCION S A S</v>
      </c>
      <c r="F12" s="5" t="str">
        <f>VLOOKUP(Tabla4[[#This Row],[Codigo]],Tabla2[[Cod]:[Nombre ]],6,0)</f>
        <v>ok</v>
      </c>
      <c r="G12" s="7" t="s">
        <v>282</v>
      </c>
      <c r="H12" s="21" t="str">
        <f>VLOOKUP(Tabla4[[#This Row],[No]],Parametros!A:C,2,0)</f>
        <v>Batería de Riesgo Psicosocial</v>
      </c>
      <c r="I12" s="21" t="s">
        <v>283</v>
      </c>
      <c r="J12" s="161">
        <v>20</v>
      </c>
      <c r="K12" s="291">
        <v>25000</v>
      </c>
      <c r="L12" s="257"/>
      <c r="M12" s="292">
        <f>IF(LEFT(Tabla4[[#This Row],[Electronica]],2)="NC",-Tabla4[[#This Row],[Cantidad]]*Tabla4[[#This Row],[Precio]]+Tabla4[[#This Row],[Dto]],Tabla4[[#This Row],[Cantidad]]*Tabla4[[#This Row],[Precio]]-Tabla4[[#This Row],[Dto]])</f>
        <v>500000</v>
      </c>
      <c r="N12" s="293">
        <f>IFERROR(Tabla4[[#This Row],[Sub Total]]*VLOOKUP(Tabla4[[#This Row],[No]],Parametros!A:C,3,0),0)</f>
        <v>95000</v>
      </c>
      <c r="O12" s="293">
        <f>+Tabla4[[#This Row],[IVA]]+Tabla4[[#This Row],[Sub Total]]</f>
        <v>595000</v>
      </c>
    </row>
    <row r="13" spans="1:15" ht="60" x14ac:dyDescent="0.2">
      <c r="A13" s="6">
        <v>9</v>
      </c>
      <c r="B13" s="6" t="str">
        <f>VLOOKUP(Tabla4[[#This Row],[Codigo]],Tabla2[[Cod]:[Nombre ]],2,0)</f>
        <v>P-1019</v>
      </c>
      <c r="C13" s="53">
        <f>VLOOKUP(Tabla4[[#This Row],[Codigo]],Tabla2[[Cod]:[Nombre ]],3,0)</f>
        <v>44271</v>
      </c>
      <c r="D13" s="6" t="str">
        <f>VLOOKUP(Tabla4[[#This Row],[Codigo]],Tabla2[[Cod]:[Nombre ]],4,0)</f>
        <v>TIS-1011</v>
      </c>
      <c r="E13" s="5" t="str">
        <f>VLOOKUP(Tabla4[[#This Row],[Codigo]],Tabla2[[Cod]:[Nombre ]],8,0)</f>
        <v>CONSTRUCCIONES Y SERVICIOS HERMAQUINAS LTDA</v>
      </c>
      <c r="F13" s="5" t="str">
        <f>VLOOKUP(Tabla4[[#This Row],[Codigo]],Tabla2[[Cod]:[Nombre ]],6,0)</f>
        <v>ok</v>
      </c>
      <c r="G13" s="7" t="s">
        <v>282</v>
      </c>
      <c r="H13" s="21" t="str">
        <f>VLOOKUP(Tabla4[[#This Row],[No]],Parametros!A:C,2,0)</f>
        <v>Batería de Riesgo Psicosocial</v>
      </c>
      <c r="I13" s="21" t="s">
        <v>283</v>
      </c>
      <c r="J13" s="161">
        <v>14</v>
      </c>
      <c r="K13" s="291">
        <v>20000</v>
      </c>
      <c r="L13" s="257"/>
      <c r="M13" s="292">
        <f>IF(LEFT(Tabla4[[#This Row],[Electronica]],2)="NC",-Tabla4[[#This Row],[Cantidad]]*Tabla4[[#This Row],[Precio]]+Tabla4[[#This Row],[Dto]],Tabla4[[#This Row],[Cantidad]]*Tabla4[[#This Row],[Precio]]-Tabla4[[#This Row],[Dto]])</f>
        <v>280000</v>
      </c>
      <c r="N13" s="293">
        <f>IFERROR(Tabla4[[#This Row],[Sub Total]]*VLOOKUP(Tabla4[[#This Row],[No]],Parametros!A:C,3,0),0)</f>
        <v>53200</v>
      </c>
      <c r="O13" s="293">
        <f>+Tabla4[[#This Row],[IVA]]+Tabla4[[#This Row],[Sub Total]]</f>
        <v>333200</v>
      </c>
    </row>
    <row r="14" spans="1:15" ht="60" x14ac:dyDescent="0.2">
      <c r="A14" s="6">
        <v>10</v>
      </c>
      <c r="B14" s="6" t="str">
        <f>VLOOKUP(Tabla4[[#This Row],[Codigo]],Tabla2[[Cod]:[Nombre ]],2,0)</f>
        <v>TIS-1014</v>
      </c>
      <c r="C14" s="53">
        <f>VLOOKUP(Tabla4[[#This Row],[Codigo]],Tabla2[[Cod]:[Nombre ]],3,0)</f>
        <v>44274</v>
      </c>
      <c r="D14" s="6" t="str">
        <f>VLOOKUP(Tabla4[[#This Row],[Codigo]],Tabla2[[Cod]:[Nombre ]],4,0)</f>
        <v>TIS-1019</v>
      </c>
      <c r="E14" s="5" t="str">
        <f>VLOOKUP(Tabla4[[#This Row],[Codigo]],Tabla2[[Cod]:[Nombre ]],8,0)</f>
        <v>CORPORACION CLUB PAYANDÉ</v>
      </c>
      <c r="F14" s="5" t="str">
        <f>VLOOKUP(Tabla4[[#This Row],[Codigo]],Tabla2[[Cod]:[Nombre ]],6,0)</f>
        <v>ok</v>
      </c>
      <c r="G14" s="7" t="s">
        <v>282</v>
      </c>
      <c r="H14" s="21" t="str">
        <f>VLOOKUP(Tabla4[[#This Row],[No]],Parametros!A:C,2,0)</f>
        <v>Batería de Riesgo Psicosocial</v>
      </c>
      <c r="I14" s="21" t="s">
        <v>283</v>
      </c>
      <c r="J14" s="163">
        <v>143</v>
      </c>
      <c r="K14" s="294">
        <v>16454.133000000002</v>
      </c>
      <c r="L14" s="257"/>
      <c r="M14" s="292">
        <f>IF(LEFT(Tabla4[[#This Row],[Electronica]],2)="NC",-Tabla4[[#This Row],[Cantidad]]*Tabla4[[#This Row],[Precio]]+Tabla4[[#This Row],[Dto]],Tabla4[[#This Row],[Cantidad]]*Tabla4[[#This Row],[Precio]]-Tabla4[[#This Row],[Dto]])</f>
        <v>2352941.0190000003</v>
      </c>
      <c r="N14" s="293">
        <f>IFERROR(Tabla4[[#This Row],[Sub Total]]*VLOOKUP(Tabla4[[#This Row],[No]],Parametros!A:C,3,0),0)</f>
        <v>447058.79361000005</v>
      </c>
      <c r="O14" s="293">
        <f>+Tabla4[[#This Row],[IVA]]+Tabla4[[#This Row],[Sub Total]]</f>
        <v>2799999.8126100004</v>
      </c>
    </row>
    <row r="15" spans="1:15" ht="60" x14ac:dyDescent="0.2">
      <c r="A15" s="6">
        <v>11</v>
      </c>
      <c r="B15" s="6" t="str">
        <f>VLOOKUP(Tabla4[[#This Row],[Codigo]],Tabla2[[Cod]:[Nombre ]],2,0)</f>
        <v>TIS-1015</v>
      </c>
      <c r="C15" s="53">
        <f>VLOOKUP(Tabla4[[#This Row],[Codigo]],Tabla2[[Cod]:[Nombre ]],3,0)</f>
        <v>44274</v>
      </c>
      <c r="D15" s="6" t="str">
        <f>VLOOKUP(Tabla4[[#This Row],[Codigo]],Tabla2[[Cod]:[Nombre ]],4,0)</f>
        <v>TIS-1018</v>
      </c>
      <c r="E15" s="5" t="str">
        <f>VLOOKUP(Tabla4[[#This Row],[Codigo]],Tabla2[[Cod]:[Nombre ]],8,0)</f>
        <v>CONSTRUCCIONES MONTAJES Y PARTES Electricas SAS</v>
      </c>
      <c r="F15" s="5" t="str">
        <f>VLOOKUP(Tabla4[[#This Row],[Codigo]],Tabla2[[Cod]:[Nombre ]],6,0)</f>
        <v>ok</v>
      </c>
      <c r="G15" s="7" t="s">
        <v>282</v>
      </c>
      <c r="H15" s="21" t="str">
        <f>VLOOKUP(Tabla4[[#This Row],[No]],Parametros!A:C,2,0)</f>
        <v>Batería de Riesgo Psicosocial</v>
      </c>
      <c r="I15" s="21" t="s">
        <v>283</v>
      </c>
      <c r="J15" s="161">
        <v>15</v>
      </c>
      <c r="K15" s="291">
        <v>22000</v>
      </c>
      <c r="L15" s="257"/>
      <c r="M15" s="292">
        <f>IF(LEFT(Tabla4[[#This Row],[Electronica]],2)="NC",-Tabla4[[#This Row],[Cantidad]]*Tabla4[[#This Row],[Precio]]+Tabla4[[#This Row],[Dto]],Tabla4[[#This Row],[Cantidad]]*Tabla4[[#This Row],[Precio]]-Tabla4[[#This Row],[Dto]])</f>
        <v>330000</v>
      </c>
      <c r="N15" s="293">
        <f>IFERROR(Tabla4[[#This Row],[Sub Total]]*VLOOKUP(Tabla4[[#This Row],[No]],Parametros!A:C,3,0),0)</f>
        <v>62700</v>
      </c>
      <c r="O15" s="293">
        <f>+Tabla4[[#This Row],[IVA]]+Tabla4[[#This Row],[Sub Total]]</f>
        <v>392700</v>
      </c>
    </row>
    <row r="16" spans="1:15" ht="30" customHeight="1" x14ac:dyDescent="0.2">
      <c r="A16" s="6">
        <v>12</v>
      </c>
      <c r="B16" s="6">
        <f>VLOOKUP(Tabla4[[#This Row],[Codigo]],Tabla2[[Cod]:[Nombre ]],2,0)</f>
        <v>0</v>
      </c>
      <c r="C16" s="53">
        <f>VLOOKUP(Tabla4[[#This Row],[Codigo]],Tabla2[[Cod]:[Nombre ]],3,0)</f>
        <v>44274</v>
      </c>
      <c r="D16" s="6" t="str">
        <f>VLOOKUP(Tabla4[[#This Row],[Codigo]],Tabla2[[Cod]:[Nombre ]],4,0)</f>
        <v>NC2</v>
      </c>
      <c r="E16" s="5" t="str">
        <f>VLOOKUP(Tabla4[[#This Row],[Codigo]],Tabla2[[Cod]:[Nombre ]],8,0)</f>
        <v>INDU B SAS</v>
      </c>
      <c r="F16" s="5" t="str">
        <f>VLOOKUP(Tabla4[[#This Row],[Codigo]],Tabla2[[Cod]:[Nombre ]],6,0)</f>
        <v>anulado</v>
      </c>
      <c r="G16" s="7" t="s">
        <v>282</v>
      </c>
      <c r="H16" s="21" t="str">
        <f>VLOOKUP(Tabla4[[#This Row],[No]],Parametros!A:C,2,0)</f>
        <v>Batería de Riesgo Psicosocial</v>
      </c>
      <c r="I16" s="21" t="s">
        <v>283</v>
      </c>
      <c r="J16" s="161">
        <v>63</v>
      </c>
      <c r="K16" s="291">
        <v>16000</v>
      </c>
      <c r="L16" s="257"/>
      <c r="M16" s="292">
        <f>IF(LEFT(Tabla4[[#This Row],[Electronica]],2)="NC",-Tabla4[[#This Row],[Cantidad]]*Tabla4[[#This Row],[Precio]]+Tabla4[[#This Row],[Dto]],Tabla4[[#This Row],[Cantidad]]*Tabla4[[#This Row],[Precio]]-Tabla4[[#This Row],[Dto]])</f>
        <v>-1008000</v>
      </c>
      <c r="N16" s="293">
        <f>IFERROR(Tabla4[[#This Row],[Sub Total]]*VLOOKUP(Tabla4[[#This Row],[No]],Parametros!A:C,3,0),0)</f>
        <v>-191520</v>
      </c>
      <c r="O16" s="293">
        <f>+Tabla4[[#This Row],[IVA]]+Tabla4[[#This Row],[Sub Total]]</f>
        <v>-1199520</v>
      </c>
    </row>
    <row r="17" spans="1:15" ht="30" x14ac:dyDescent="0.2">
      <c r="A17" s="6">
        <v>13</v>
      </c>
      <c r="B17" s="6" t="str">
        <f>VLOOKUP(Tabla4[[#This Row],[Codigo]],Tabla2[[Cod]:[Nombre ]],2,0)</f>
        <v>TIS-1016</v>
      </c>
      <c r="C17" s="53">
        <f>VLOOKUP(Tabla4[[#This Row],[Codigo]],Tabla2[[Cod]:[Nombre ]],3,0)</f>
        <v>44275</v>
      </c>
      <c r="D17" s="6" t="str">
        <f>VLOOKUP(Tabla4[[#This Row],[Codigo]],Tabla2[[Cod]:[Nombre ]],4,0)</f>
        <v>TIS-1014</v>
      </c>
      <c r="E17" s="5" t="str">
        <f>VLOOKUP(Tabla4[[#This Row],[Codigo]],Tabla2[[Cod]:[Nombre ]],8,0)</f>
        <v xml:space="preserve">EUROMETRIC COLOMBIA LTDA </v>
      </c>
      <c r="F17" s="5" t="str">
        <f>VLOOKUP(Tabla4[[#This Row],[Codigo]],Tabla2[[Cod]:[Nombre ]],6,0)</f>
        <v>ok</v>
      </c>
      <c r="G17" s="7" t="s">
        <v>415</v>
      </c>
      <c r="H17" s="21" t="str">
        <f>VLOOKUP(Tabla4[[#This Row],[No]],Parametros!A:C,2,0)</f>
        <v xml:space="preserve">Capacitacion riesgo laboral </v>
      </c>
      <c r="I17" s="21"/>
      <c r="J17" s="163">
        <v>2</v>
      </c>
      <c r="K17" s="294">
        <v>160000</v>
      </c>
      <c r="L17" s="257"/>
      <c r="M17" s="292">
        <f>IF(LEFT(Tabla4[[#This Row],[Electronica]],2)="NC",-Tabla4[[#This Row],[Cantidad]]*Tabla4[[#This Row],[Precio]]+Tabla4[[#This Row],[Dto]],Tabla4[[#This Row],[Cantidad]]*Tabla4[[#This Row],[Precio]]-Tabla4[[#This Row],[Dto]])</f>
        <v>320000</v>
      </c>
      <c r="N17" s="293">
        <f>IFERROR(Tabla4[[#This Row],[Sub Total]]*VLOOKUP(Tabla4[[#This Row],[No]],Parametros!A:C,3,0),0)</f>
        <v>60800</v>
      </c>
      <c r="O17" s="293">
        <f>+Tabla4[[#This Row],[IVA]]+Tabla4[[#This Row],[Sub Total]]</f>
        <v>380800</v>
      </c>
    </row>
    <row r="18" spans="1:15" ht="60" x14ac:dyDescent="0.2">
      <c r="A18" s="6">
        <v>14</v>
      </c>
      <c r="B18" s="6" t="str">
        <f>VLOOKUP(Tabla4[[#This Row],[Codigo]],Tabla2[[Cod]:[Nombre ]],2,0)</f>
        <v>TIS-1017</v>
      </c>
      <c r="C18" s="53">
        <f>VLOOKUP(Tabla4[[#This Row],[Codigo]],Tabla2[[Cod]:[Nombre ]],3,0)</f>
        <v>44291</v>
      </c>
      <c r="D18" s="6" t="str">
        <f>VLOOKUP(Tabla4[[#This Row],[Codigo]],Tabla2[[Cod]:[Nombre ]],4,0)</f>
        <v>Tis-1020</v>
      </c>
      <c r="E18" s="5" t="str">
        <f>VLOOKUP(Tabla4[[#This Row],[Codigo]],Tabla2[[Cod]:[Nombre ]],8,0)</f>
        <v xml:space="preserve">Grupo consultor Andino </v>
      </c>
      <c r="F18" s="5" t="str">
        <f>VLOOKUP(Tabla4[[#This Row],[Codigo]],Tabla2[[Cod]:[Nombre ]],6,0)</f>
        <v>ok</v>
      </c>
      <c r="G18" s="7" t="s">
        <v>282</v>
      </c>
      <c r="H18" s="21" t="str">
        <f>VLOOKUP(Tabla4[[#This Row],[No]],Parametros!A:C,2,0)</f>
        <v>Batería de Riesgo Psicosocial</v>
      </c>
      <c r="I18" s="21" t="s">
        <v>283</v>
      </c>
      <c r="J18" s="161">
        <v>129</v>
      </c>
      <c r="K18" s="291">
        <v>18000</v>
      </c>
      <c r="L18" s="257"/>
      <c r="M18" s="292">
        <f>IF(LEFT(Tabla4[[#This Row],[Electronica]],2)="NC",-Tabla4[[#This Row],[Cantidad]]*Tabla4[[#This Row],[Precio]]+Tabla4[[#This Row],[Dto]],Tabla4[[#This Row],[Cantidad]]*Tabla4[[#This Row],[Precio]]-Tabla4[[#This Row],[Dto]])</f>
        <v>2322000</v>
      </c>
      <c r="N18" s="293">
        <f>IFERROR(Tabla4[[#This Row],[Sub Total]]*VLOOKUP(Tabla4[[#This Row],[No]],Parametros!A:C,3,0),0)</f>
        <v>441180</v>
      </c>
      <c r="O18" s="293">
        <f>+Tabla4[[#This Row],[IVA]]+Tabla4[[#This Row],[Sub Total]]</f>
        <v>2763180</v>
      </c>
    </row>
    <row r="19" spans="1:15" ht="24" x14ac:dyDescent="0.2">
      <c r="A19" s="6">
        <v>15</v>
      </c>
      <c r="B19" s="6" t="str">
        <f>VLOOKUP(Tabla4[[#This Row],[Codigo]],Tabla2[[Cod]:[Nombre ]],2,0)</f>
        <v>TIS-1018</v>
      </c>
      <c r="C19" s="53">
        <f>VLOOKUP(Tabla4[[#This Row],[Codigo]],Tabla2[[Cod]:[Nombre ]],3,0)</f>
        <v>44291</v>
      </c>
      <c r="D19" s="6">
        <f>VLOOKUP(Tabla4[[#This Row],[Codigo]],Tabla2[[Cod]:[Nombre ]],4,0)</f>
        <v>0</v>
      </c>
      <c r="E19" s="5" t="str">
        <f>VLOOKUP(Tabla4[[#This Row],[Codigo]],Tabla2[[Cod]:[Nombre ]],8,0)</f>
        <v>Claudia Vargas</v>
      </c>
      <c r="F19" s="5" t="str">
        <f>VLOOKUP(Tabla4[[#This Row],[Codigo]],Tabla2[[Cod]:[Nombre ]],6,0)</f>
        <v>ok</v>
      </c>
      <c r="G19" s="7" t="s">
        <v>414</v>
      </c>
      <c r="H19" s="21" t="str">
        <f>VLOOKUP(Tabla4[[#This Row],[No]],Parametros!A:C,2,0)</f>
        <v>Capacitacion virtual SARLAFT</v>
      </c>
      <c r="I19" s="21"/>
      <c r="J19" s="161">
        <v>1</v>
      </c>
      <c r="K19" s="291">
        <v>1200000</v>
      </c>
      <c r="L19" s="257"/>
      <c r="M19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19" s="293">
        <f>IFERROR(Tabla4[[#This Row],[Sub Total]]*VLOOKUP(Tabla4[[#This Row],[No]],Parametros!A:C,3,0),0)</f>
        <v>0</v>
      </c>
      <c r="O19" s="293">
        <f>+Tabla4[[#This Row],[IVA]]+Tabla4[[#This Row],[Sub Total]]</f>
        <v>1200000</v>
      </c>
    </row>
    <row r="20" spans="1:15" ht="60" x14ac:dyDescent="0.2">
      <c r="A20" s="6">
        <v>16</v>
      </c>
      <c r="B20" s="6" t="str">
        <f>VLOOKUP(Tabla4[[#This Row],[Codigo]],Tabla2[[Cod]:[Nombre ]],2,0)</f>
        <v>P-1018</v>
      </c>
      <c r="C20" s="53">
        <f>VLOOKUP(Tabla4[[#This Row],[Codigo]],Tabla2[[Cod]:[Nombre ]],3,0)</f>
        <v>44291</v>
      </c>
      <c r="D20" s="6" t="str">
        <f>VLOOKUP(Tabla4[[#This Row],[Codigo]],Tabla2[[Cod]:[Nombre ]],4,0)</f>
        <v>TIS-1012</v>
      </c>
      <c r="E20" s="5" t="str">
        <f>VLOOKUP(Tabla4[[#This Row],[Codigo]],Tabla2[[Cod]:[Nombre ]],8,0)</f>
        <v>INDU B SAS</v>
      </c>
      <c r="F20" s="5" t="str">
        <f>VLOOKUP(Tabla4[[#This Row],[Codigo]],Tabla2[[Cod]:[Nombre ]],6,0)</f>
        <v>ok</v>
      </c>
      <c r="G20" s="7" t="s">
        <v>282</v>
      </c>
      <c r="H20" s="21" t="str">
        <f>VLOOKUP(Tabla4[[#This Row],[No]],Parametros!A:C,2,0)</f>
        <v>Batería de Riesgo Psicosocial</v>
      </c>
      <c r="I20" s="21" t="s">
        <v>283</v>
      </c>
      <c r="J20" s="161">
        <v>220</v>
      </c>
      <c r="K20" s="291">
        <v>16000</v>
      </c>
      <c r="L20" s="257"/>
      <c r="M20" s="292">
        <f>IF(LEFT(Tabla4[[#This Row],[Electronica]],2)="NC",-Tabla4[[#This Row],[Cantidad]]*Tabla4[[#This Row],[Precio]]+Tabla4[[#This Row],[Dto]],Tabla4[[#This Row],[Cantidad]]*Tabla4[[#This Row],[Precio]]-Tabla4[[#This Row],[Dto]])</f>
        <v>3520000</v>
      </c>
      <c r="N20" s="293">
        <f>IFERROR(Tabla4[[#This Row],[Sub Total]]*VLOOKUP(Tabla4[[#This Row],[No]],Parametros!A:C,3,0),0)</f>
        <v>668800</v>
      </c>
      <c r="O20" s="293">
        <f>+Tabla4[[#This Row],[IVA]]+Tabla4[[#This Row],[Sub Total]]</f>
        <v>4188800</v>
      </c>
    </row>
    <row r="21" spans="1:15" ht="36" x14ac:dyDescent="0.2">
      <c r="A21" s="6">
        <v>17</v>
      </c>
      <c r="B21" s="6" t="str">
        <f>VLOOKUP(Tabla4[[#This Row],[Codigo]],Tabla2[[Cod]:[Nombre ]],2,0)</f>
        <v>P-1017</v>
      </c>
      <c r="C21" s="53">
        <f>VLOOKUP(Tabla4[[#This Row],[Codigo]],Tabla2[[Cod]:[Nombre ]],3,0)</f>
        <v>44291</v>
      </c>
      <c r="D21" s="6" t="str">
        <f>VLOOKUP(Tabla4[[#This Row],[Codigo]],Tabla2[[Cod]:[Nombre ]],4,0)</f>
        <v>TIS-1015</v>
      </c>
      <c r="E21" s="5" t="str">
        <f>VLOOKUP(Tabla4[[#This Row],[Codigo]],Tabla2[[Cod]:[Nombre ]],8,0)</f>
        <v>Comercializadora ERZ SAS</v>
      </c>
      <c r="F21" s="5" t="str">
        <f>VLOOKUP(Tabla4[[#This Row],[Codigo]],Tabla2[[Cod]:[Nombre ]],6,0)</f>
        <v>ok</v>
      </c>
      <c r="G21" s="7" t="s">
        <v>416</v>
      </c>
      <c r="H21" s="21" t="str">
        <f>VLOOKUP(Tabla4[[#This Row],[No]],Parametros!A:C,2,0)</f>
        <v>Consultoría Implementacion SG-SST</v>
      </c>
      <c r="I21" s="21"/>
      <c r="J21" s="161">
        <v>2</v>
      </c>
      <c r="K21" s="291">
        <v>220000</v>
      </c>
      <c r="L21" s="257"/>
      <c r="M21" s="292">
        <f>IF(LEFT(Tabla4[[#This Row],[Electronica]],2)="NC",-Tabla4[[#This Row],[Cantidad]]*Tabla4[[#This Row],[Precio]]+Tabla4[[#This Row],[Dto]],Tabla4[[#This Row],[Cantidad]]*Tabla4[[#This Row],[Precio]]-Tabla4[[#This Row],[Dto]])</f>
        <v>440000</v>
      </c>
      <c r="N21" s="293">
        <f>IFERROR(Tabla4[[#This Row],[Sub Total]]*VLOOKUP(Tabla4[[#This Row],[No]],Parametros!A:C,3,0),0)</f>
        <v>83600</v>
      </c>
      <c r="O21" s="293">
        <f>+Tabla4[[#This Row],[IVA]]+Tabla4[[#This Row],[Sub Total]]</f>
        <v>523600</v>
      </c>
    </row>
    <row r="22" spans="1:15" ht="60" x14ac:dyDescent="0.2">
      <c r="A22" s="6">
        <v>18</v>
      </c>
      <c r="B22" s="6">
        <f>VLOOKUP(Tabla4[[#This Row],[Codigo]],Tabla2[[Cod]:[Nombre ]],2,0)</f>
        <v>0</v>
      </c>
      <c r="C22" s="53">
        <f>VLOOKUP(Tabla4[[#This Row],[Codigo]],Tabla2[[Cod]:[Nombre ]],3,0)</f>
        <v>44291</v>
      </c>
      <c r="D22" s="6" t="str">
        <f>VLOOKUP(Tabla4[[#This Row],[Codigo]],Tabla2[[Cod]:[Nombre ]],4,0)</f>
        <v>NC3</v>
      </c>
      <c r="E22" s="5" t="str">
        <f>VLOOKUP(Tabla4[[#This Row],[Codigo]],Tabla2[[Cod]:[Nombre ]],8,0)</f>
        <v>INDU B SAS</v>
      </c>
      <c r="F22" s="5" t="str">
        <f>VLOOKUP(Tabla4[[#This Row],[Codigo]],Tabla2[[Cod]:[Nombre ]],6,0)</f>
        <v>anulado</v>
      </c>
      <c r="G22" s="7" t="s">
        <v>282</v>
      </c>
      <c r="H22" s="21" t="str">
        <f>VLOOKUP(Tabla4[[#This Row],[No]],Parametros!A:C,2,0)</f>
        <v>Batería de Riesgo Psicosocial</v>
      </c>
      <c r="I22" s="21" t="s">
        <v>283</v>
      </c>
      <c r="J22" s="163">
        <v>220</v>
      </c>
      <c r="K22" s="294">
        <v>16000</v>
      </c>
      <c r="L22" s="257"/>
      <c r="M22" s="292">
        <f>IF(LEFT(Tabla4[[#This Row],[Electronica]],2)="NC",-Tabla4[[#This Row],[Cantidad]]*Tabla4[[#This Row],[Precio]]+Tabla4[[#This Row],[Dto]],Tabla4[[#This Row],[Cantidad]]*Tabla4[[#This Row],[Precio]]-Tabla4[[#This Row],[Dto]])</f>
        <v>-3520000</v>
      </c>
      <c r="N22" s="293">
        <f>IFERROR(Tabla4[[#This Row],[Sub Total]]*VLOOKUP(Tabla4[[#This Row],[No]],Parametros!A:C,3,0),0)</f>
        <v>-668800</v>
      </c>
      <c r="O22" s="293">
        <f>+Tabla4[[#This Row],[IVA]]+Tabla4[[#This Row],[Sub Total]]</f>
        <v>-4188800</v>
      </c>
    </row>
    <row r="23" spans="1:15" ht="60" x14ac:dyDescent="0.2">
      <c r="A23" s="6">
        <v>19</v>
      </c>
      <c r="B23" s="6" t="str">
        <f>VLOOKUP(Tabla4[[#This Row],[Codigo]],Tabla2[[Cod]:[Nombre ]],2,0)</f>
        <v>TIS-1019</v>
      </c>
      <c r="C23" s="53">
        <f>VLOOKUP(Tabla4[[#This Row],[Codigo]],Tabla2[[Cod]:[Nombre ]],3,0)</f>
        <v>44299</v>
      </c>
      <c r="D23" s="6" t="str">
        <f>VLOOKUP(Tabla4[[#This Row],[Codigo]],Tabla2[[Cod]:[Nombre ]],4,0)</f>
        <v>TIS-1022</v>
      </c>
      <c r="E23" s="5" t="str">
        <f>VLOOKUP(Tabla4[[#This Row],[Codigo]],Tabla2[[Cod]:[Nombre ]],8,0)</f>
        <v>Consorcio Sistem IM3</v>
      </c>
      <c r="F23" s="5" t="str">
        <f>VLOOKUP(Tabla4[[#This Row],[Codigo]],Tabla2[[Cod]:[Nombre ]],6,0)</f>
        <v>ok</v>
      </c>
      <c r="G23" s="7" t="s">
        <v>282</v>
      </c>
      <c r="H23" s="21" t="str">
        <f>VLOOKUP(Tabla4[[#This Row],[No]],Parametros!A:C,2,0)</f>
        <v>Batería de Riesgo Psicosocial</v>
      </c>
      <c r="I23" s="21" t="s">
        <v>283</v>
      </c>
      <c r="J23" s="163">
        <v>9</v>
      </c>
      <c r="K23" s="294">
        <v>25000</v>
      </c>
      <c r="L23" s="257"/>
      <c r="M23" s="292">
        <f>IF(LEFT(Tabla4[[#This Row],[Electronica]],2)="NC",-Tabla4[[#This Row],[Cantidad]]*Tabla4[[#This Row],[Precio]]+Tabla4[[#This Row],[Dto]],Tabla4[[#This Row],[Cantidad]]*Tabla4[[#This Row],[Precio]]-Tabla4[[#This Row],[Dto]])</f>
        <v>225000</v>
      </c>
      <c r="N23" s="293">
        <f>IFERROR(Tabla4[[#This Row],[Sub Total]]*VLOOKUP(Tabla4[[#This Row],[No]],Parametros!A:C,3,0),0)</f>
        <v>42750</v>
      </c>
      <c r="O23" s="293">
        <f>+Tabla4[[#This Row],[IVA]]+Tabla4[[#This Row],[Sub Total]]</f>
        <v>267750</v>
      </c>
    </row>
    <row r="24" spans="1:15" ht="36" x14ac:dyDescent="0.2">
      <c r="A24" s="6">
        <v>20</v>
      </c>
      <c r="B24" s="6" t="str">
        <f>VLOOKUP(Tabla4[[#This Row],[Codigo]],Tabla2[[Cod]:[Nombre ]],2,0)</f>
        <v>P-1016</v>
      </c>
      <c r="C24" s="53">
        <f>VLOOKUP(Tabla4[[#This Row],[Codigo]],Tabla2[[Cod]:[Nombre ]],3,0)</f>
        <v>44305</v>
      </c>
      <c r="D24" s="6" t="str">
        <f>VLOOKUP(Tabla4[[#This Row],[Codigo]],Tabla2[[Cod]:[Nombre ]],4,0)</f>
        <v>TIS-1017</v>
      </c>
      <c r="E24" s="5" t="str">
        <f>VLOOKUP(Tabla4[[#This Row],[Codigo]],Tabla2[[Cod]:[Nombre ]],8,0)</f>
        <v>Maria del Pilar Alvarado Joya</v>
      </c>
      <c r="F24" s="5" t="str">
        <f>VLOOKUP(Tabla4[[#This Row],[Codigo]],Tabla2[[Cod]:[Nombre ]],6,0)</f>
        <v>ok</v>
      </c>
      <c r="G24" s="7" t="s">
        <v>417</v>
      </c>
      <c r="H24" s="21" t="str">
        <f>VLOOKUP(Tabla4[[#This Row],[No]],Parametros!A:C,2,0)</f>
        <v>Capacitación acompañamiento Virtual SST</v>
      </c>
      <c r="I24" s="21" t="s">
        <v>418</v>
      </c>
      <c r="J24" s="163">
        <v>1</v>
      </c>
      <c r="K24" s="294">
        <v>900000</v>
      </c>
      <c r="L24" s="257"/>
      <c r="M24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24" s="293">
        <f>IFERROR(Tabla4[[#This Row],[Sub Total]]*VLOOKUP(Tabla4[[#This Row],[No]],Parametros!A:C,3,0),0)</f>
        <v>0</v>
      </c>
      <c r="O24" s="293">
        <f>+Tabla4[[#This Row],[IVA]]+Tabla4[[#This Row],[Sub Total]]</f>
        <v>900000</v>
      </c>
    </row>
    <row r="25" spans="1:15" ht="60" x14ac:dyDescent="0.2">
      <c r="A25" s="6">
        <v>21</v>
      </c>
      <c r="B25" s="6">
        <f>VLOOKUP(Tabla4[[#This Row],[Codigo]],Tabla2[[Cod]:[Nombre ]],2,0)</f>
        <v>0</v>
      </c>
      <c r="C25" s="53">
        <f>VLOOKUP(Tabla4[[#This Row],[Codigo]],Tabla2[[Cod]:[Nombre ]],3,0)</f>
        <v>44316</v>
      </c>
      <c r="D25" s="6" t="str">
        <f>VLOOKUP(Tabla4[[#This Row],[Codigo]],Tabla2[[Cod]:[Nombre ]],4,0)</f>
        <v>NC4</v>
      </c>
      <c r="E25" s="5" t="str">
        <f>VLOOKUP(Tabla4[[#This Row],[Codigo]],Tabla2[[Cod]:[Nombre ]],8,0)</f>
        <v>ANKER CONSULTORIA Y CONSTRUCCION S A S</v>
      </c>
      <c r="F25" s="5" t="str">
        <f>VLOOKUP(Tabla4[[#This Row],[Codigo]],Tabla2[[Cod]:[Nombre ]],6,0)</f>
        <v>ok</v>
      </c>
      <c r="G25" s="7" t="s">
        <v>282</v>
      </c>
      <c r="H25" s="21" t="str">
        <f>VLOOKUP(Tabla4[[#This Row],[No]],Parametros!A:C,2,0)</f>
        <v>Batería de Riesgo Psicosocial</v>
      </c>
      <c r="I25" s="21" t="s">
        <v>283</v>
      </c>
      <c r="J25" s="163">
        <v>1</v>
      </c>
      <c r="K25" s="294">
        <v>25000</v>
      </c>
      <c r="L25" s="257"/>
      <c r="M25" s="292">
        <f>IF(LEFT(Tabla4[[#This Row],[Electronica]],2)="NC",-Tabla4[[#This Row],[Cantidad]]*Tabla4[[#This Row],[Precio]]+Tabla4[[#This Row],[Dto]],Tabla4[[#This Row],[Cantidad]]*Tabla4[[#This Row],[Precio]]-Tabla4[[#This Row],[Dto]])</f>
        <v>-25000</v>
      </c>
      <c r="N25" s="293">
        <f>IFERROR(Tabla4[[#This Row],[Sub Total]]*VLOOKUP(Tabla4[[#This Row],[No]],Parametros!A:C,3,0),0)</f>
        <v>-4750</v>
      </c>
      <c r="O25" s="293">
        <f>+Tabla4[[#This Row],[IVA]]+Tabla4[[#This Row],[Sub Total]]</f>
        <v>-29750</v>
      </c>
    </row>
    <row r="26" spans="1:15" ht="60" x14ac:dyDescent="0.2">
      <c r="A26" s="6">
        <v>22</v>
      </c>
      <c r="B26" s="6" t="str">
        <f>VLOOKUP(Tabla4[[#This Row],[Codigo]],Tabla2[[Cod]:[Nombre ]],2,0)</f>
        <v>P-1020</v>
      </c>
      <c r="C26" s="53">
        <f>VLOOKUP(Tabla4[[#This Row],[Codigo]],Tabla2[[Cod]:[Nombre ]],3,0)</f>
        <v>44334</v>
      </c>
      <c r="D26" s="6" t="str">
        <f>VLOOKUP(Tabla4[[#This Row],[Codigo]],Tabla2[[Cod]:[Nombre ]],4,0)</f>
        <v>TIS-1026</v>
      </c>
      <c r="E26" s="5" t="str">
        <f>VLOOKUP(Tabla4[[#This Row],[Codigo]],Tabla2[[Cod]:[Nombre ]],8,0)</f>
        <v>IPROMEGA S.A.S.</v>
      </c>
      <c r="F26" s="5" t="str">
        <f>VLOOKUP(Tabla4[[#This Row],[Codigo]],Tabla2[[Cod]:[Nombre ]],6,0)</f>
        <v>ok</v>
      </c>
      <c r="G26" s="7" t="s">
        <v>282</v>
      </c>
      <c r="H26" s="21" t="str">
        <f>VLOOKUP(Tabla4[[#This Row],[No]],Parametros!A:C,2,0)</f>
        <v>Batería de Riesgo Psicosocial</v>
      </c>
      <c r="I26" s="21" t="s">
        <v>283</v>
      </c>
      <c r="J26" s="163">
        <v>14</v>
      </c>
      <c r="K26" s="294">
        <v>30000</v>
      </c>
      <c r="L26" s="257"/>
      <c r="M26" s="292">
        <f>IF(LEFT(Tabla4[[#This Row],[Electronica]],2)="NC",-Tabla4[[#This Row],[Cantidad]]*Tabla4[[#This Row],[Precio]]+Tabla4[[#This Row],[Dto]],Tabla4[[#This Row],[Cantidad]]*Tabla4[[#This Row],[Precio]]-Tabla4[[#This Row],[Dto]])</f>
        <v>420000</v>
      </c>
      <c r="N26" s="293">
        <f>IFERROR(Tabla4[[#This Row],[Sub Total]]*VLOOKUP(Tabla4[[#This Row],[No]],Parametros!A:C,3,0),0)</f>
        <v>79800</v>
      </c>
      <c r="O26" s="293">
        <f>+Tabla4[[#This Row],[IVA]]+Tabla4[[#This Row],[Sub Total]]</f>
        <v>499800</v>
      </c>
    </row>
    <row r="27" spans="1:15" ht="36" x14ac:dyDescent="0.2">
      <c r="A27" s="6">
        <v>23</v>
      </c>
      <c r="B27" s="6" t="str">
        <f>VLOOKUP(Tabla4[[#This Row],[Codigo]],Tabla2[[Cod]:[Nombre ]],2,0)</f>
        <v>P-1021</v>
      </c>
      <c r="C27" s="53">
        <f>VLOOKUP(Tabla4[[#This Row],[Codigo]],Tabla2[[Cod]:[Nombre ]],3,0)</f>
        <v>44348</v>
      </c>
      <c r="D27" s="6" t="str">
        <f>VLOOKUP(Tabla4[[#This Row],[Codigo]],Tabla2[[Cod]:[Nombre ]],4,0)</f>
        <v>Tis-1030</v>
      </c>
      <c r="E27" s="5" t="str">
        <f>VLOOKUP(Tabla4[[#This Row],[Codigo]],Tabla2[[Cod]:[Nombre ]],8,0)</f>
        <v>Maria del Pilar Alvarado Joya</v>
      </c>
      <c r="F27" s="5" t="str">
        <f>VLOOKUP(Tabla4[[#This Row],[Codigo]],Tabla2[[Cod]:[Nombre ]],6,0)</f>
        <v>ok</v>
      </c>
      <c r="G27" s="7" t="s">
        <v>417</v>
      </c>
      <c r="H27" s="21" t="str">
        <f>VLOOKUP(Tabla4[[#This Row],[No]],Parametros!A:C,2,0)</f>
        <v>Capacitación acompañamiento Virtual SST</v>
      </c>
      <c r="I27" s="21" t="s">
        <v>419</v>
      </c>
      <c r="J27" s="161">
        <v>1</v>
      </c>
      <c r="K27" s="291">
        <v>900000</v>
      </c>
      <c r="L27" s="257"/>
      <c r="M27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27" s="293">
        <f>IFERROR(Tabla4[[#This Row],[Sub Total]]*VLOOKUP(Tabla4[[#This Row],[No]],Parametros!A:C,3,0),0)</f>
        <v>0</v>
      </c>
      <c r="O27" s="293">
        <f>+Tabla4[[#This Row],[IVA]]+Tabla4[[#This Row],[Sub Total]]</f>
        <v>900000</v>
      </c>
    </row>
    <row r="28" spans="1:15" ht="60" x14ac:dyDescent="0.2">
      <c r="A28" s="6">
        <v>24</v>
      </c>
      <c r="B28" s="6" t="str">
        <f>VLOOKUP(Tabla4[[#This Row],[Codigo]],Tabla2[[Cod]:[Nombre ]],2,0)</f>
        <v>P-1022</v>
      </c>
      <c r="C28" s="53">
        <f>VLOOKUP(Tabla4[[#This Row],[Codigo]],Tabla2[[Cod]:[Nombre ]],3,0)</f>
        <v>44348</v>
      </c>
      <c r="D28" s="6" t="str">
        <f>VLOOKUP(Tabla4[[#This Row],[Codigo]],Tabla2[[Cod]:[Nombre ]],4,0)</f>
        <v>Tis-1056</v>
      </c>
      <c r="E28" s="5" t="str">
        <f>VLOOKUP(Tabla4[[#This Row],[Codigo]],Tabla2[[Cod]:[Nombre ]],8,0)</f>
        <v>ww pack SAS</v>
      </c>
      <c r="F28" s="5" t="str">
        <f>VLOOKUP(Tabla4[[#This Row],[Codigo]],Tabla2[[Cod]:[Nombre ]],6,0)</f>
        <v>ok</v>
      </c>
      <c r="G28" s="7" t="s">
        <v>282</v>
      </c>
      <c r="H28" s="21" t="str">
        <f>VLOOKUP(Tabla4[[#This Row],[No]],Parametros!A:C,2,0)</f>
        <v>Batería de Riesgo Psicosocial</v>
      </c>
      <c r="I28" s="21" t="s">
        <v>283</v>
      </c>
      <c r="J28" s="161">
        <v>39</v>
      </c>
      <c r="K28" s="291">
        <v>25000</v>
      </c>
      <c r="L28" s="257"/>
      <c r="M28" s="292">
        <f>IF(LEFT(Tabla4[[#This Row],[Electronica]],2)="NC",-Tabla4[[#This Row],[Cantidad]]*Tabla4[[#This Row],[Precio]]+Tabla4[[#This Row],[Dto]],Tabla4[[#This Row],[Cantidad]]*Tabla4[[#This Row],[Precio]]-Tabla4[[#This Row],[Dto]])</f>
        <v>975000</v>
      </c>
      <c r="N28" s="293">
        <f>IFERROR(Tabla4[[#This Row],[Sub Total]]*VLOOKUP(Tabla4[[#This Row],[No]],Parametros!A:C,3,0),0)</f>
        <v>185250</v>
      </c>
      <c r="O28" s="293">
        <f>+Tabla4[[#This Row],[IVA]]+Tabla4[[#This Row],[Sub Total]]</f>
        <v>1160250</v>
      </c>
    </row>
    <row r="29" spans="1:15" x14ac:dyDescent="0.2">
      <c r="A29" s="6">
        <v>24</v>
      </c>
      <c r="B29" s="6" t="str">
        <f>VLOOKUP(Tabla4[[#This Row],[Codigo]],Tabla2[[Cod]:[Nombre ]],2,0)</f>
        <v>P-1022</v>
      </c>
      <c r="C29" s="53">
        <f>VLOOKUP(Tabla4[[#This Row],[Codigo]],Tabla2[[Cod]:[Nombre ]],3,0)</f>
        <v>44348</v>
      </c>
      <c r="D29" s="6" t="str">
        <f>VLOOKUP(Tabla4[[#This Row],[Codigo]],Tabla2[[Cod]:[Nombre ]],4,0)</f>
        <v>Tis-1056</v>
      </c>
      <c r="E29" s="5" t="str">
        <f>VLOOKUP(Tabla4[[#This Row],[Codigo]],Tabla2[[Cod]:[Nombre ]],8,0)</f>
        <v>ww pack SAS</v>
      </c>
      <c r="F29" s="5" t="str">
        <f>VLOOKUP(Tabla4[[#This Row],[Codigo]],Tabla2[[Cod]:[Nombre ]],6,0)</f>
        <v>ok</v>
      </c>
      <c r="G29" s="7">
        <v>11</v>
      </c>
      <c r="H29" s="21" t="str">
        <f>VLOOKUP(Tabla4[[#This Row],[No]],Parametros!A:C,2,0)</f>
        <v>Distribución</v>
      </c>
      <c r="I29" s="21"/>
      <c r="J29" s="161">
        <v>1</v>
      </c>
      <c r="K29" s="291">
        <v>93210</v>
      </c>
      <c r="L29" s="257"/>
      <c r="M29" s="292">
        <f>IF(LEFT(Tabla4[[#This Row],[Electronica]],2)="NC",-Tabla4[[#This Row],[Cantidad]]*Tabla4[[#This Row],[Precio]]+Tabla4[[#This Row],[Dto]],Tabla4[[#This Row],[Cantidad]]*Tabla4[[#This Row],[Precio]]-Tabla4[[#This Row],[Dto]])</f>
        <v>93210</v>
      </c>
      <c r="N29" s="293">
        <f>IFERROR(Tabla4[[#This Row],[Sub Total]]*VLOOKUP(Tabla4[[#This Row],[No]],Parametros!A:C,3,0),0)</f>
        <v>0</v>
      </c>
      <c r="O29" s="293">
        <f>+Tabla4[[#This Row],[IVA]]+Tabla4[[#This Row],[Sub Total]]</f>
        <v>93210</v>
      </c>
    </row>
    <row r="30" spans="1:15" ht="24" x14ac:dyDescent="0.2">
      <c r="A30" s="6">
        <v>24</v>
      </c>
      <c r="B30" s="6" t="str">
        <f>VLOOKUP(Tabla4[[#This Row],[Codigo]],Tabla2[[Cod]:[Nombre ]],2,0)</f>
        <v>P-1022</v>
      </c>
      <c r="C30" s="53">
        <f>VLOOKUP(Tabla4[[#This Row],[Codigo]],Tabla2[[Cod]:[Nombre ]],3,0)</f>
        <v>44348</v>
      </c>
      <c r="D30" s="6" t="str">
        <f>VLOOKUP(Tabla4[[#This Row],[Codigo]],Tabla2[[Cod]:[Nombre ]],4,0)</f>
        <v>Tis-1056</v>
      </c>
      <c r="E30" s="5" t="str">
        <f>VLOOKUP(Tabla4[[#This Row],[Codigo]],Tabla2[[Cod]:[Nombre ]],8,0)</f>
        <v>ww pack SAS</v>
      </c>
      <c r="F30" s="5" t="str">
        <f>VLOOKUP(Tabla4[[#This Row],[Codigo]],Tabla2[[Cod]:[Nombre ]],6,0)</f>
        <v>ok</v>
      </c>
      <c r="G30" s="7">
        <v>12</v>
      </c>
      <c r="H30" s="21" t="str">
        <f>VLOOKUP(Tabla4[[#This Row],[No]],Parametros!A:C,2,0)</f>
        <v>Otros servicios exentos</v>
      </c>
      <c r="I30" s="21"/>
      <c r="J30" s="161">
        <v>1</v>
      </c>
      <c r="K30" s="291">
        <v>70000</v>
      </c>
      <c r="L30" s="257"/>
      <c r="M30" s="292">
        <f>IF(LEFT(Tabla4[[#This Row],[Electronica]],2)="NC",-Tabla4[[#This Row],[Cantidad]]*Tabla4[[#This Row],[Precio]]+Tabla4[[#This Row],[Dto]],Tabla4[[#This Row],[Cantidad]]*Tabla4[[#This Row],[Precio]]-Tabla4[[#This Row],[Dto]])</f>
        <v>70000</v>
      </c>
      <c r="N30" s="293">
        <f>IFERROR(Tabla4[[#This Row],[Sub Total]]*VLOOKUP(Tabla4[[#This Row],[No]],Parametros!A:C,3,0),0)</f>
        <v>0</v>
      </c>
      <c r="O30" s="293">
        <f>+Tabla4[[#This Row],[IVA]]+Tabla4[[#This Row],[Sub Total]]</f>
        <v>70000</v>
      </c>
    </row>
    <row r="31" spans="1:15" ht="36" x14ac:dyDescent="0.2">
      <c r="A31" s="6">
        <v>25</v>
      </c>
      <c r="B31" s="6" t="str">
        <f>VLOOKUP(Tabla4[[#This Row],[Codigo]],Tabla2[[Cod]:[Nombre ]],2,0)</f>
        <v>P-1015</v>
      </c>
      <c r="C31" s="53">
        <f>VLOOKUP(Tabla4[[#This Row],[Codigo]],Tabla2[[Cod]:[Nombre ]],3,0)</f>
        <v>44349</v>
      </c>
      <c r="D31" s="6" t="str">
        <f>VLOOKUP(Tabla4[[#This Row],[Codigo]],Tabla2[[Cod]:[Nombre ]],4,0)</f>
        <v>Tis-1021</v>
      </c>
      <c r="E31" s="5" t="str">
        <f>VLOOKUP(Tabla4[[#This Row],[Codigo]],Tabla2[[Cod]:[Nombre ]],8,0)</f>
        <v>Comercializadora ERZ SAS</v>
      </c>
      <c r="F31" s="5" t="str">
        <f>VLOOKUP(Tabla4[[#This Row],[Codigo]],Tabla2[[Cod]:[Nombre ]],6,0)</f>
        <v>ok</v>
      </c>
      <c r="G31" s="7" t="s">
        <v>416</v>
      </c>
      <c r="H31" s="21" t="str">
        <f>VLOOKUP(Tabla4[[#This Row],[No]],Parametros!A:C,2,0)</f>
        <v>Consultoría Implementacion SG-SST</v>
      </c>
      <c r="I31" s="21"/>
      <c r="J31" s="161">
        <v>1</v>
      </c>
      <c r="K31" s="291">
        <v>220000</v>
      </c>
      <c r="L31" s="257"/>
      <c r="M31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31" s="293">
        <f>IFERROR(Tabla4[[#This Row],[Sub Total]]*VLOOKUP(Tabla4[[#This Row],[No]],Parametros!A:C,3,0),0)</f>
        <v>41800</v>
      </c>
      <c r="O31" s="293">
        <f>+Tabla4[[#This Row],[IVA]]+Tabla4[[#This Row],[Sub Total]]</f>
        <v>261800</v>
      </c>
    </row>
    <row r="32" spans="1:15" ht="60" x14ac:dyDescent="0.2">
      <c r="A32" s="6">
        <v>26</v>
      </c>
      <c r="B32" s="6" t="str">
        <f>VLOOKUP(Tabla4[[#This Row],[Codigo]],Tabla2[[Cod]:[Nombre ]],2,0)</f>
        <v>P-1023</v>
      </c>
      <c r="C32" s="53">
        <f>VLOOKUP(Tabla4[[#This Row],[Codigo]],Tabla2[[Cod]:[Nombre ]],3,0)</f>
        <v>44174</v>
      </c>
      <c r="D32" s="6" t="str">
        <f>VLOOKUP(Tabla4[[#This Row],[Codigo]],Tabla2[[Cod]:[Nombre ]],4,0)</f>
        <v>TIS-1006</v>
      </c>
      <c r="E32" s="5" t="str">
        <f>VLOOKUP(Tabla4[[#This Row],[Codigo]],Tabla2[[Cod]:[Nombre ]],8,0)</f>
        <v>ASEO MOVIL URBANO SAS</v>
      </c>
      <c r="F32" s="5" t="str">
        <f>VLOOKUP(Tabla4[[#This Row],[Codigo]],Tabla2[[Cod]:[Nombre ]],6,0)</f>
        <v>ok</v>
      </c>
      <c r="G32" s="7" t="s">
        <v>282</v>
      </c>
      <c r="H32" s="21" t="str">
        <f>VLOOKUP(Tabla4[[#This Row],[No]],Parametros!A:C,2,0)</f>
        <v>Batería de Riesgo Psicosocial</v>
      </c>
      <c r="I32" s="21" t="s">
        <v>283</v>
      </c>
      <c r="J32" s="163">
        <v>62</v>
      </c>
      <c r="K32" s="294">
        <v>18000</v>
      </c>
      <c r="L32" s="257"/>
      <c r="M32" s="292">
        <f>IF(LEFT(Tabla4[[#This Row],[Electronica]],2)="NC",-Tabla4[[#This Row],[Cantidad]]*Tabla4[[#This Row],[Precio]]+Tabla4[[#This Row],[Dto]],Tabla4[[#This Row],[Cantidad]]*Tabla4[[#This Row],[Precio]]-Tabla4[[#This Row],[Dto]])</f>
        <v>1116000</v>
      </c>
      <c r="N32" s="293">
        <f>IFERROR(Tabla4[[#This Row],[Sub Total]]*VLOOKUP(Tabla4[[#This Row],[No]],Parametros!A:C,3,0),0)</f>
        <v>212040</v>
      </c>
      <c r="O32" s="293">
        <f>+Tabla4[[#This Row],[IVA]]+Tabla4[[#This Row],[Sub Total]]</f>
        <v>1328040</v>
      </c>
    </row>
    <row r="33" spans="1:16" ht="60" x14ac:dyDescent="0.2">
      <c r="A33" s="6">
        <v>27</v>
      </c>
      <c r="B33" s="6" t="str">
        <f>VLOOKUP(Tabla4[[#This Row],[Codigo]],Tabla2[[Cod]:[Nombre ]],2,0)</f>
        <v>P-1024</v>
      </c>
      <c r="C33" s="53">
        <f>VLOOKUP(Tabla4[[#This Row],[Codigo]],Tabla2[[Cod]:[Nombre ]],3,0)</f>
        <v>44358</v>
      </c>
      <c r="D33" s="6" t="str">
        <f>VLOOKUP(Tabla4[[#This Row],[Codigo]],Tabla2[[Cod]:[Nombre ]],4,0)</f>
        <v>TIS-1025</v>
      </c>
      <c r="E33" s="5" t="str">
        <f>VLOOKUP(Tabla4[[#This Row],[Codigo]],Tabla2[[Cod]:[Nombre ]],8,0)</f>
        <v xml:space="preserve">SOFTESTING SAS </v>
      </c>
      <c r="F33" s="5" t="str">
        <f>VLOOKUP(Tabla4[[#This Row],[Codigo]],Tabla2[[Cod]:[Nombre ]],6,0)</f>
        <v>ok</v>
      </c>
      <c r="G33" s="7" t="s">
        <v>282</v>
      </c>
      <c r="H33" s="21" t="str">
        <f>VLOOKUP(Tabla4[[#This Row],[No]],Parametros!A:C,2,0)</f>
        <v>Batería de Riesgo Psicosocial</v>
      </c>
      <c r="I33" s="21" t="s">
        <v>283</v>
      </c>
      <c r="J33" s="161">
        <v>34</v>
      </c>
      <c r="K33" s="291">
        <v>20000</v>
      </c>
      <c r="L33" s="257"/>
      <c r="M33" s="292">
        <f>IF(LEFT(Tabla4[[#This Row],[Electronica]],2)="NC",-Tabla4[[#This Row],[Cantidad]]*Tabla4[[#This Row],[Precio]]+Tabla4[[#This Row],[Dto]],Tabla4[[#This Row],[Cantidad]]*Tabla4[[#This Row],[Precio]]-Tabla4[[#This Row],[Dto]])</f>
        <v>680000</v>
      </c>
      <c r="N33" s="293">
        <f>IFERROR(Tabla4[[#This Row],[Sub Total]]*VLOOKUP(Tabla4[[#This Row],[No]],Parametros!A:C,3,0),0)</f>
        <v>129200</v>
      </c>
      <c r="O33" s="293">
        <f>+Tabla4[[#This Row],[IVA]]+Tabla4[[#This Row],[Sub Total]]</f>
        <v>809200</v>
      </c>
    </row>
    <row r="34" spans="1:16" ht="60" x14ac:dyDescent="0.2">
      <c r="A34" s="6">
        <v>28</v>
      </c>
      <c r="B34" s="6">
        <f>VLOOKUP(Tabla4[[#This Row],[Codigo]],Tabla2[[Cod]:[Nombre ]],2,0)</f>
        <v>0</v>
      </c>
      <c r="C34" s="53">
        <f>VLOOKUP(Tabla4[[#This Row],[Codigo]],Tabla2[[Cod]:[Nombre ]],3,0)</f>
        <v>44370</v>
      </c>
      <c r="D34" s="6" t="str">
        <f>VLOOKUP(Tabla4[[#This Row],[Codigo]],Tabla2[[Cod]:[Nombre ]],4,0)</f>
        <v>NC5</v>
      </c>
      <c r="E34" s="5" t="str">
        <f>VLOOKUP(Tabla4[[#This Row],[Codigo]],Tabla2[[Cod]:[Nombre ]],8,0)</f>
        <v>Coljuegos</v>
      </c>
      <c r="F34" s="5" t="str">
        <f>VLOOKUP(Tabla4[[#This Row],[Codigo]],Tabla2[[Cod]:[Nombre ]],6,0)</f>
        <v>anulado</v>
      </c>
      <c r="G34" s="7" t="s">
        <v>282</v>
      </c>
      <c r="H34" s="21" t="str">
        <f>VLOOKUP(Tabla4[[#This Row],[No]],Parametros!A:C,2,0)</f>
        <v>Batería de Riesgo Psicosocial</v>
      </c>
      <c r="I34" s="21" t="s">
        <v>283</v>
      </c>
      <c r="J34" s="163">
        <v>181</v>
      </c>
      <c r="K34" s="294">
        <v>25000</v>
      </c>
      <c r="L34" s="257"/>
      <c r="M34" s="292">
        <f>IF(LEFT(Tabla4[[#This Row],[Electronica]],2)="NC",-Tabla4[[#This Row],[Cantidad]]*Tabla4[[#This Row],[Precio]]+Tabla4[[#This Row],[Dto]],Tabla4[[#This Row],[Cantidad]]*Tabla4[[#This Row],[Precio]]-Tabla4[[#This Row],[Dto]])</f>
        <v>-4525000</v>
      </c>
      <c r="N34" s="293">
        <f>IFERROR(Tabla4[[#This Row],[Sub Total]]*VLOOKUP(Tabla4[[#This Row],[No]],Parametros!A:C,3,0),0)</f>
        <v>-859750</v>
      </c>
      <c r="O34" s="293">
        <f>+Tabla4[[#This Row],[IVA]]+Tabla4[[#This Row],[Sub Total]]</f>
        <v>-5384750</v>
      </c>
    </row>
    <row r="35" spans="1:16" ht="60" x14ac:dyDescent="0.2">
      <c r="A35" s="6">
        <v>29</v>
      </c>
      <c r="B35" s="6" t="str">
        <f>VLOOKUP(Tabla4[[#This Row],[Codigo]],Tabla2[[Cod]:[Nombre ]],2,0)</f>
        <v>P-1043</v>
      </c>
      <c r="C35" s="53">
        <f>VLOOKUP(Tabla4[[#This Row],[Codigo]],Tabla2[[Cod]:[Nombre ]],3,0)</f>
        <v>44461</v>
      </c>
      <c r="D35" s="6" t="str">
        <f>VLOOKUP(Tabla4[[#This Row],[Codigo]],Tabla2[[Cod]:[Nombre ]],4,0)</f>
        <v>Tis-1052</v>
      </c>
      <c r="E35" s="5" t="str">
        <f>VLOOKUP(Tabla4[[#This Row],[Codigo]],Tabla2[[Cod]:[Nombre ]],8,0)</f>
        <v>SOLDMANT LTDA</v>
      </c>
      <c r="F35" s="5" t="str">
        <f>VLOOKUP(Tabla4[[#This Row],[Codigo]],Tabla2[[Cod]:[Nombre ]],6,0)</f>
        <v>ok</v>
      </c>
      <c r="G35" s="7" t="s">
        <v>282</v>
      </c>
      <c r="H35" s="21" t="str">
        <f>VLOOKUP(Tabla4[[#This Row],[No]],Parametros!A:C,2,0)</f>
        <v>Batería de Riesgo Psicosocial</v>
      </c>
      <c r="I35" s="21" t="s">
        <v>283</v>
      </c>
      <c r="J35" s="163">
        <v>6</v>
      </c>
      <c r="K35" s="294">
        <v>95000</v>
      </c>
      <c r="L35" s="257"/>
      <c r="M35" s="292">
        <f>IF(LEFT(Tabla4[[#This Row],[Electronica]],2)="NC",-Tabla4[[#This Row],[Cantidad]]*Tabla4[[#This Row],[Precio]]+Tabla4[[#This Row],[Dto]],Tabla4[[#This Row],[Cantidad]]*Tabla4[[#This Row],[Precio]]-Tabla4[[#This Row],[Dto]])</f>
        <v>570000</v>
      </c>
      <c r="N35" s="293">
        <f>IFERROR(Tabla4[[#This Row],[Sub Total]]*VLOOKUP(Tabla4[[#This Row],[No]],Parametros!A:C,3,0),0)</f>
        <v>108300</v>
      </c>
      <c r="O35" s="293">
        <f>+Tabla4[[#This Row],[IVA]]+Tabla4[[#This Row],[Sub Total]]</f>
        <v>678300</v>
      </c>
    </row>
    <row r="36" spans="1:16" ht="30" x14ac:dyDescent="0.2">
      <c r="A36" s="6">
        <v>30</v>
      </c>
      <c r="B36" s="6" t="str">
        <f>VLOOKUP(Tabla4[[#This Row],[Codigo]],Tabla2[[Cod]:[Nombre ]],2,0)</f>
        <v>P-1014</v>
      </c>
      <c r="C36" s="53">
        <f>VLOOKUP(Tabla4[[#This Row],[Codigo]],Tabla2[[Cod]:[Nombre ]],3,0)</f>
        <v>44370</v>
      </c>
      <c r="D36" s="6" t="str">
        <f>VLOOKUP(Tabla4[[#This Row],[Codigo]],Tabla2[[Cod]:[Nombre ]],4,0)</f>
        <v>TIS-1027</v>
      </c>
      <c r="E36" s="5" t="str">
        <f>VLOOKUP(Tabla4[[#This Row],[Codigo]],Tabla2[[Cod]:[Nombre ]],8,0)</f>
        <v>Constructora Conconcreto S.A.</v>
      </c>
      <c r="F36" s="5" t="str">
        <f>VLOOKUP(Tabla4[[#This Row],[Codigo]],Tabla2[[Cod]:[Nombre ]],6,0)</f>
        <v>ok</v>
      </c>
      <c r="G36" s="7" t="s">
        <v>413</v>
      </c>
      <c r="H36" s="21" t="str">
        <f>VLOOKUP(Tabla4[[#This Row],[No]],Parametros!A:C,2,0)</f>
        <v>Elementos proteccion Personal</v>
      </c>
      <c r="I36" s="21"/>
      <c r="J36" s="163">
        <v>300</v>
      </c>
      <c r="K36" s="294">
        <v>300</v>
      </c>
      <c r="L36" s="257"/>
      <c r="M36" s="292">
        <f>IF(LEFT(Tabla4[[#This Row],[Electronica]],2)="NC",-Tabla4[[#This Row],[Cantidad]]*Tabla4[[#This Row],[Precio]]+Tabla4[[#This Row],[Dto]],Tabla4[[#This Row],[Cantidad]]*Tabla4[[#This Row],[Precio]]-Tabla4[[#This Row],[Dto]])</f>
        <v>90000</v>
      </c>
      <c r="N36" s="293">
        <f>IFERROR(Tabla4[[#This Row],[Sub Total]]*VLOOKUP(Tabla4[[#This Row],[No]],Parametros!A:C,3,0),0)</f>
        <v>17100</v>
      </c>
      <c r="O36" s="293">
        <f>+Tabla4[[#This Row],[IVA]]+Tabla4[[#This Row],[Sub Total]]</f>
        <v>107100</v>
      </c>
    </row>
    <row r="37" spans="1:16" ht="30" x14ac:dyDescent="0.2">
      <c r="A37" s="6">
        <v>30</v>
      </c>
      <c r="B37" s="6" t="str">
        <f>VLOOKUP(Tabla4[[#This Row],[Codigo]],Tabla2[[Cod]:[Nombre ]],2,0)</f>
        <v>P-1014</v>
      </c>
      <c r="C37" s="53">
        <f>VLOOKUP(Tabla4[[#This Row],[Codigo]],Tabla2[[Cod]:[Nombre ]],3,0)</f>
        <v>44370</v>
      </c>
      <c r="D37" s="6" t="str">
        <f>VLOOKUP(Tabla4[[#This Row],[Codigo]],Tabla2[[Cod]:[Nombre ]],4,0)</f>
        <v>TIS-1027</v>
      </c>
      <c r="E37" s="5" t="str">
        <f>VLOOKUP(Tabla4[[#This Row],[Codigo]],Tabla2[[Cod]:[Nombre ]],8,0)</f>
        <v>Constructora Conconcreto S.A.</v>
      </c>
      <c r="F37" s="5" t="str">
        <f>VLOOKUP(Tabla4[[#This Row],[Codigo]],Tabla2[[Cod]:[Nombre ]],6,0)</f>
        <v>ok</v>
      </c>
      <c r="G37" s="7">
        <v>11</v>
      </c>
      <c r="H37" s="21" t="str">
        <f>VLOOKUP(Tabla4[[#This Row],[No]],Parametros!A:C,2,0)</f>
        <v>Distribución</v>
      </c>
      <c r="I37" s="21"/>
      <c r="J37" s="163">
        <v>1</v>
      </c>
      <c r="K37" s="294">
        <v>20000</v>
      </c>
      <c r="L37" s="257"/>
      <c r="M37" s="292">
        <f>IF(LEFT(Tabla4[[#This Row],[Electronica]],2)="NC",-Tabla4[[#This Row],[Cantidad]]*Tabla4[[#This Row],[Precio]]+Tabla4[[#This Row],[Dto]],Tabla4[[#This Row],[Cantidad]]*Tabla4[[#This Row],[Precio]]-Tabla4[[#This Row],[Dto]])</f>
        <v>20000</v>
      </c>
      <c r="N37" s="293">
        <f>IFERROR(Tabla4[[#This Row],[Sub Total]]*VLOOKUP(Tabla4[[#This Row],[No]],Parametros!A:C,3,0),0)</f>
        <v>0</v>
      </c>
      <c r="O37" s="293">
        <f>+Tabla4[[#This Row],[IVA]]+Tabla4[[#This Row],[Sub Total]]</f>
        <v>20000</v>
      </c>
    </row>
    <row r="38" spans="1:16" ht="60" x14ac:dyDescent="0.2">
      <c r="A38" s="6">
        <v>31</v>
      </c>
      <c r="B38" s="6" t="str">
        <f>VLOOKUP(Tabla4[[#This Row],[Codigo]],Tabla2[[Cod]:[Nombre ]],2,0)</f>
        <v>P-1013</v>
      </c>
      <c r="C38" s="53">
        <f>VLOOKUP(Tabla4[[#This Row],[Codigo]],Tabla2[[Cod]:[Nombre ]],3,0)</f>
        <v>44370</v>
      </c>
      <c r="D38" s="6" t="str">
        <f>VLOOKUP(Tabla4[[#This Row],[Codigo]],Tabla2[[Cod]:[Nombre ]],4,0)</f>
        <v>TIS-1028</v>
      </c>
      <c r="E38" s="5" t="str">
        <f>VLOOKUP(Tabla4[[#This Row],[Codigo]],Tabla2[[Cod]:[Nombre ]],8,0)</f>
        <v>Coljuegos</v>
      </c>
      <c r="F38" s="5" t="str">
        <f>VLOOKUP(Tabla4[[#This Row],[Codigo]],Tabla2[[Cod]:[Nombre ]],6,0)</f>
        <v>ok</v>
      </c>
      <c r="G38" s="7" t="s">
        <v>282</v>
      </c>
      <c r="H38" s="21" t="str">
        <f>VLOOKUP(Tabla4[[#This Row],[No]],Parametros!A:C,2,0)</f>
        <v>Batería de Riesgo Psicosocial</v>
      </c>
      <c r="I38" s="21" t="s">
        <v>283</v>
      </c>
      <c r="J38" s="163">
        <v>181</v>
      </c>
      <c r="K38" s="294">
        <v>25000</v>
      </c>
      <c r="L38" s="257"/>
      <c r="M38" s="292">
        <f>IF(LEFT(Tabla4[[#This Row],[Electronica]],2)="NC",-Tabla4[[#This Row],[Cantidad]]*Tabla4[[#This Row],[Precio]]+Tabla4[[#This Row],[Dto]],Tabla4[[#This Row],[Cantidad]]*Tabla4[[#This Row],[Precio]]-Tabla4[[#This Row],[Dto]])</f>
        <v>4525000</v>
      </c>
      <c r="N38" s="293">
        <f>IFERROR(Tabla4[[#This Row],[Sub Total]]*VLOOKUP(Tabla4[[#This Row],[No]],Parametros!A:C,3,0),0)</f>
        <v>859750</v>
      </c>
      <c r="O38" s="293">
        <f>+Tabla4[[#This Row],[IVA]]+Tabla4[[#This Row],[Sub Total]]</f>
        <v>5384750</v>
      </c>
    </row>
    <row r="39" spans="1:16" ht="30" x14ac:dyDescent="0.2">
      <c r="A39" s="6">
        <v>32</v>
      </c>
      <c r="B39" s="6" t="str">
        <f>VLOOKUP(Tabla4[[#This Row],[Codigo]],Tabla2[[Cod]:[Nombre ]],2,0)</f>
        <v>P-1025</v>
      </c>
      <c r="C39" s="53">
        <f>VLOOKUP(Tabla4[[#This Row],[Codigo]],Tabla2[[Cod]:[Nombre ]],3,0)</f>
        <v>44375</v>
      </c>
      <c r="D39" s="6" t="str">
        <f>VLOOKUP(Tabla4[[#This Row],[Codigo]],Tabla2[[Cod]:[Nombre ]],4,0)</f>
        <v>TIS-1029</v>
      </c>
      <c r="E39" s="5" t="str">
        <f>VLOOKUP(Tabla4[[#This Row],[Codigo]],Tabla2[[Cod]:[Nombre ]],8,0)</f>
        <v xml:space="preserve">EUROMETRIC COLOMBIA LTDA </v>
      </c>
      <c r="F39" s="5" t="str">
        <f>VLOOKUP(Tabla4[[#This Row],[Codigo]],Tabla2[[Cod]:[Nombre ]],6,0)</f>
        <v>ok</v>
      </c>
      <c r="G39" s="7" t="s">
        <v>415</v>
      </c>
      <c r="H39" s="21" t="str">
        <f>VLOOKUP(Tabla4[[#This Row],[No]],Parametros!A:C,2,0)</f>
        <v xml:space="preserve">Capacitacion riesgo laboral </v>
      </c>
      <c r="I39" s="21"/>
      <c r="J39" s="161">
        <v>2</v>
      </c>
      <c r="K39" s="291">
        <v>135000</v>
      </c>
      <c r="L39" s="257"/>
      <c r="M39" s="292">
        <f>IF(LEFT(Tabla4[[#This Row],[Electronica]],2)="NC",-Tabla4[[#This Row],[Cantidad]]*Tabla4[[#This Row],[Precio]]+Tabla4[[#This Row],[Dto]],Tabla4[[#This Row],[Cantidad]]*Tabla4[[#This Row],[Precio]]-Tabla4[[#This Row],[Dto]])</f>
        <v>270000</v>
      </c>
      <c r="N39" s="293">
        <f>IFERROR(Tabla4[[#This Row],[Sub Total]]*VLOOKUP(Tabla4[[#This Row],[No]],Parametros!A:C,3,0),0)</f>
        <v>51300</v>
      </c>
      <c r="O39" s="293">
        <f>+Tabla4[[#This Row],[IVA]]+Tabla4[[#This Row],[Sub Total]]</f>
        <v>321300</v>
      </c>
    </row>
    <row r="40" spans="1:16" ht="30" x14ac:dyDescent="0.2">
      <c r="A40" s="6">
        <v>33</v>
      </c>
      <c r="B40" s="6" t="str">
        <f>VLOOKUP(Tabla4[[#This Row],[Codigo]],Tabla2[[Cod]:[Nombre ]],2,0)</f>
        <v>P-1026</v>
      </c>
      <c r="C40" s="53">
        <f>VLOOKUP(Tabla4[[#This Row],[Codigo]],Tabla2[[Cod]:[Nombre ]],3,0)</f>
        <v>44383</v>
      </c>
      <c r="D40" s="6" t="str">
        <f>VLOOKUP(Tabla4[[#This Row],[Codigo]],Tabla2[[Cod]:[Nombre ]],4,0)</f>
        <v>TIS-1051</v>
      </c>
      <c r="E40" s="5" t="str">
        <f>VLOOKUP(Tabla4[[#This Row],[Codigo]],Tabla2[[Cod]:[Nombre ]],8,0)</f>
        <v>Yuri Katerine Moya Castañeda</v>
      </c>
      <c r="F40" s="5" t="str">
        <f>VLOOKUP(Tabla4[[#This Row],[Codigo]],Tabla2[[Cod]:[Nombre ]],6,0)</f>
        <v>ok</v>
      </c>
      <c r="G40" s="7" t="s">
        <v>414</v>
      </c>
      <c r="H40" s="21" t="str">
        <f>VLOOKUP(Tabla4[[#This Row],[No]],Parametros!A:C,2,0)</f>
        <v>Capacitacion virtual SARLAFT</v>
      </c>
      <c r="I40" s="21"/>
      <c r="J40" s="161">
        <v>1</v>
      </c>
      <c r="K40" s="291">
        <v>1200000</v>
      </c>
      <c r="L40" s="257"/>
      <c r="M40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40" s="293">
        <f>IFERROR(Tabla4[[#This Row],[Sub Total]]*VLOOKUP(Tabla4[[#This Row],[No]],Parametros!A:C,3,0),0)</f>
        <v>0</v>
      </c>
      <c r="O40" s="293">
        <f>+Tabla4[[#This Row],[IVA]]+Tabla4[[#This Row],[Sub Total]]</f>
        <v>1200000</v>
      </c>
      <c r="P40" s="22"/>
    </row>
    <row r="41" spans="1:16" ht="60" x14ac:dyDescent="0.2">
      <c r="A41" s="6">
        <v>34</v>
      </c>
      <c r="B41" s="6" t="str">
        <f>VLOOKUP(Tabla4[[#This Row],[Codigo]],Tabla2[[Cod]:[Nombre ]],2,0)</f>
        <v>P-1027</v>
      </c>
      <c r="C41" s="53">
        <f>VLOOKUP(Tabla4[[#This Row],[Codigo]],Tabla2[[Cod]:[Nombre ]],3,0)</f>
        <v>44383</v>
      </c>
      <c r="D41" s="6" t="str">
        <f>VLOOKUP(Tabla4[[#This Row],[Codigo]],Tabla2[[Cod]:[Nombre ]],4,0)</f>
        <v>TIS-1036</v>
      </c>
      <c r="E41" s="5" t="str">
        <f>VLOOKUP(Tabla4[[#This Row],[Codigo]],Tabla2[[Cod]:[Nombre ]],8,0)</f>
        <v xml:space="preserve">CONSTRUCTORA DE MARCAS S. A. S. </v>
      </c>
      <c r="F41" s="5" t="str">
        <f>VLOOKUP(Tabla4[[#This Row],[Codigo]],Tabla2[[Cod]:[Nombre ]],6,0)</f>
        <v>ok</v>
      </c>
      <c r="G41" s="7" t="s">
        <v>282</v>
      </c>
      <c r="H41" s="21" t="str">
        <f>VLOOKUP(Tabla4[[#This Row],[No]],Parametros!A:C,2,0)</f>
        <v>Batería de Riesgo Psicosocial</v>
      </c>
      <c r="I41" s="21" t="s">
        <v>283</v>
      </c>
      <c r="J41" s="161">
        <v>41</v>
      </c>
      <c r="K41" s="291">
        <v>20000</v>
      </c>
      <c r="L41" s="257"/>
      <c r="M41" s="292">
        <f>IF(LEFT(Tabla4[[#This Row],[Electronica]],2)="NC",-Tabla4[[#This Row],[Cantidad]]*Tabla4[[#This Row],[Precio]]+Tabla4[[#This Row],[Dto]],Tabla4[[#This Row],[Cantidad]]*Tabla4[[#This Row],[Precio]]-Tabla4[[#This Row],[Dto]])</f>
        <v>820000</v>
      </c>
      <c r="N41" s="293">
        <f>IFERROR(Tabla4[[#This Row],[Sub Total]]*VLOOKUP(Tabla4[[#This Row],[No]],Parametros!A:C,3,0),0)</f>
        <v>155800</v>
      </c>
      <c r="O41" s="293">
        <f>+Tabla4[[#This Row],[IVA]]+Tabla4[[#This Row],[Sub Total]]</f>
        <v>975800</v>
      </c>
      <c r="P41" s="20"/>
    </row>
    <row r="42" spans="1:16" ht="60" x14ac:dyDescent="0.2">
      <c r="A42" s="6">
        <v>35</v>
      </c>
      <c r="B42" s="6" t="str">
        <f>VLOOKUP(Tabla4[[#This Row],[Codigo]],Tabla2[[Cod]:[Nombre ]],2,0)</f>
        <v>P-1028</v>
      </c>
      <c r="C42" s="53">
        <f>VLOOKUP(Tabla4[[#This Row],[Codigo]],Tabla2[[Cod]:[Nombre ]],3,0)</f>
        <v>44383</v>
      </c>
      <c r="D42" s="6" t="str">
        <f>VLOOKUP(Tabla4[[#This Row],[Codigo]],Tabla2[[Cod]:[Nombre ]],4,0)</f>
        <v>TIS-1037</v>
      </c>
      <c r="E42" s="5" t="str">
        <f>VLOOKUP(Tabla4[[#This Row],[Codigo]],Tabla2[[Cod]:[Nombre ]],8,0)</f>
        <v>INVERSIONES FRANQUIHER S A S</v>
      </c>
      <c r="F42" s="5" t="str">
        <f>VLOOKUP(Tabla4[[#This Row],[Codigo]],Tabla2[[Cod]:[Nombre ]],6,0)</f>
        <v>ok</v>
      </c>
      <c r="G42" s="7" t="s">
        <v>282</v>
      </c>
      <c r="H42" s="21" t="str">
        <f>VLOOKUP(Tabla4[[#This Row],[No]],Parametros!A:C,2,0)</f>
        <v>Batería de Riesgo Psicosocial</v>
      </c>
      <c r="I42" s="21" t="s">
        <v>283</v>
      </c>
      <c r="J42" s="161">
        <v>100</v>
      </c>
      <c r="K42" s="291">
        <v>17500</v>
      </c>
      <c r="L42" s="257"/>
      <c r="M42" s="292">
        <f>IF(LEFT(Tabla4[[#This Row],[Electronica]],2)="NC",-Tabla4[[#This Row],[Cantidad]]*Tabla4[[#This Row],[Precio]]+Tabla4[[#This Row],[Dto]],Tabla4[[#This Row],[Cantidad]]*Tabla4[[#This Row],[Precio]]-Tabla4[[#This Row],[Dto]])</f>
        <v>1750000</v>
      </c>
      <c r="N42" s="293">
        <f>IFERROR(Tabla4[[#This Row],[Sub Total]]*VLOOKUP(Tabla4[[#This Row],[No]],Parametros!A:C,3,0),0)</f>
        <v>332500</v>
      </c>
      <c r="O42" s="293">
        <f>+Tabla4[[#This Row],[IVA]]+Tabla4[[#This Row],[Sub Total]]</f>
        <v>2082500</v>
      </c>
      <c r="P42" s="20"/>
    </row>
    <row r="43" spans="1:16" ht="30" x14ac:dyDescent="0.2">
      <c r="A43" s="6">
        <v>35</v>
      </c>
      <c r="B43" s="6" t="str">
        <f>VLOOKUP(Tabla4[[#This Row],[Codigo]],Tabla2[[Cod]:[Nombre ]],2,0)</f>
        <v>P-1028</v>
      </c>
      <c r="C43" s="53">
        <f>VLOOKUP(Tabla4[[#This Row],[Codigo]],Tabla2[[Cod]:[Nombre ]],3,0)</f>
        <v>44383</v>
      </c>
      <c r="D43" s="6" t="str">
        <f>VLOOKUP(Tabla4[[#This Row],[Codigo]],Tabla2[[Cod]:[Nombre ]],4,0)</f>
        <v>TIS-1037</v>
      </c>
      <c r="E43" s="5" t="str">
        <f>VLOOKUP(Tabla4[[#This Row],[Codigo]],Tabla2[[Cod]:[Nombre ]],8,0)</f>
        <v>INVERSIONES FRANQUIHER S A S</v>
      </c>
      <c r="F43" s="5" t="str">
        <f>VLOOKUP(Tabla4[[#This Row],[Codigo]],Tabla2[[Cod]:[Nombre ]],6,0)</f>
        <v>ok</v>
      </c>
      <c r="G43" s="7" t="s">
        <v>420</v>
      </c>
      <c r="H43" s="21" t="str">
        <f>VLOOKUP(Tabla4[[#This Row],[No]],Parametros!A:C,2,0)</f>
        <v>Análisis Puesto trabajo</v>
      </c>
      <c r="I43" s="21"/>
      <c r="J43" s="161">
        <v>10</v>
      </c>
      <c r="K43" s="291">
        <v>235000</v>
      </c>
      <c r="L43" s="257"/>
      <c r="M43" s="292">
        <f>IF(LEFT(Tabla4[[#This Row],[Electronica]],2)="NC",-Tabla4[[#This Row],[Cantidad]]*Tabla4[[#This Row],[Precio]]+Tabla4[[#This Row],[Dto]],Tabla4[[#This Row],[Cantidad]]*Tabla4[[#This Row],[Precio]]-Tabla4[[#This Row],[Dto]])</f>
        <v>2350000</v>
      </c>
      <c r="N43" s="293">
        <f>IFERROR(Tabla4[[#This Row],[Sub Total]]*VLOOKUP(Tabla4[[#This Row],[No]],Parametros!A:C,3,0),0)</f>
        <v>446500</v>
      </c>
      <c r="O43" s="293">
        <f>+Tabla4[[#This Row],[IVA]]+Tabla4[[#This Row],[Sub Total]]</f>
        <v>2796500</v>
      </c>
      <c r="P43" s="20"/>
    </row>
    <row r="44" spans="1:16" ht="30" x14ac:dyDescent="0.2">
      <c r="A44" s="6">
        <v>35</v>
      </c>
      <c r="B44" s="6" t="str">
        <f>VLOOKUP(Tabla4[[#This Row],[Codigo]],Tabla2[[Cod]:[Nombre ]],2,0)</f>
        <v>P-1028</v>
      </c>
      <c r="C44" s="53">
        <f>VLOOKUP(Tabla4[[#This Row],[Codigo]],Tabla2[[Cod]:[Nombre ]],3,0)</f>
        <v>44383</v>
      </c>
      <c r="D44" s="6" t="str">
        <f>VLOOKUP(Tabla4[[#This Row],[Codigo]],Tabla2[[Cod]:[Nombre ]],4,0)</f>
        <v>TIS-1037</v>
      </c>
      <c r="E44" s="5" t="str">
        <f>VLOOKUP(Tabla4[[#This Row],[Codigo]],Tabla2[[Cod]:[Nombre ]],8,0)</f>
        <v>INVERSIONES FRANQUIHER S A S</v>
      </c>
      <c r="F44" s="5" t="str">
        <f>VLOOKUP(Tabla4[[#This Row],[Codigo]],Tabla2[[Cod]:[Nombre ]],6,0)</f>
        <v>ok</v>
      </c>
      <c r="G44" s="7" t="s">
        <v>412</v>
      </c>
      <c r="H44" s="21" t="str">
        <f>VLOOKUP(Tabla4[[#This Row],[No]],Parametros!A:C,2,0)</f>
        <v>Profesiograma</v>
      </c>
      <c r="I44" s="21"/>
      <c r="J44" s="161">
        <v>10</v>
      </c>
      <c r="K44" s="291">
        <v>85000</v>
      </c>
      <c r="L44" s="257"/>
      <c r="M44" s="292">
        <f>IF(LEFT(Tabla4[[#This Row],[Electronica]],2)="NC",-Tabla4[[#This Row],[Cantidad]]*Tabla4[[#This Row],[Precio]]+Tabla4[[#This Row],[Dto]],Tabla4[[#This Row],[Cantidad]]*Tabla4[[#This Row],[Precio]]-Tabla4[[#This Row],[Dto]])</f>
        <v>850000</v>
      </c>
      <c r="N44" s="293">
        <f>IFERROR(Tabla4[[#This Row],[Sub Total]]*VLOOKUP(Tabla4[[#This Row],[No]],Parametros!A:C,3,0),0)</f>
        <v>161500</v>
      </c>
      <c r="O44" s="293">
        <f>+Tabla4[[#This Row],[IVA]]+Tabla4[[#This Row],[Sub Total]]</f>
        <v>1011500</v>
      </c>
      <c r="P44" s="20"/>
    </row>
    <row r="45" spans="1:16" ht="36" x14ac:dyDescent="0.2">
      <c r="A45" s="6">
        <v>36</v>
      </c>
      <c r="B45" s="6" t="str">
        <f>VLOOKUP(Tabla4[[#This Row],[Codigo]],Tabla2[[Cod]:[Nombre ]],2,0)</f>
        <v>P-1029</v>
      </c>
      <c r="C45" s="53">
        <f>VLOOKUP(Tabla4[[#This Row],[Codigo]],Tabla2[[Cod]:[Nombre ]],3,0)</f>
        <v>44385</v>
      </c>
      <c r="D45" s="6" t="str">
        <f>VLOOKUP(Tabla4[[#This Row],[Codigo]],Tabla2[[Cod]:[Nombre ]],4,0)</f>
        <v>Tis-1040</v>
      </c>
      <c r="E45" s="5" t="str">
        <f>VLOOKUP(Tabla4[[#This Row],[Codigo]],Tabla2[[Cod]:[Nombre ]],8,0)</f>
        <v>Comercializadora ERZ SAS</v>
      </c>
      <c r="F45" s="5" t="str">
        <f>VLOOKUP(Tabla4[[#This Row],[Codigo]],Tabla2[[Cod]:[Nombre ]],6,0)</f>
        <v>ok</v>
      </c>
      <c r="G45" s="7" t="s">
        <v>416</v>
      </c>
      <c r="H45" s="21" t="str">
        <f>VLOOKUP(Tabla4[[#This Row],[No]],Parametros!A:C,2,0)</f>
        <v>Consultoría Implementacion SG-SST</v>
      </c>
      <c r="I45" s="21"/>
      <c r="J45" s="161">
        <v>1</v>
      </c>
      <c r="K45" s="291">
        <v>220000</v>
      </c>
      <c r="L45" s="257"/>
      <c r="M45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45" s="293">
        <f>IFERROR(Tabla4[[#This Row],[Sub Total]]*VLOOKUP(Tabla4[[#This Row],[No]],Parametros!A:C,3,0),0)</f>
        <v>41800</v>
      </c>
      <c r="O45" s="293">
        <f>+Tabla4[[#This Row],[IVA]]+Tabla4[[#This Row],[Sub Total]]</f>
        <v>261800</v>
      </c>
      <c r="P45" s="20"/>
    </row>
    <row r="46" spans="1:16" ht="36" x14ac:dyDescent="0.2">
      <c r="A46" s="6">
        <v>36</v>
      </c>
      <c r="B46" s="6" t="str">
        <f>VLOOKUP(Tabla4[[#This Row],[Codigo]],Tabla2[[Cod]:[Nombre ]],2,0)</f>
        <v>P-1029</v>
      </c>
      <c r="C46" s="53">
        <f>VLOOKUP(Tabla4[[#This Row],[Codigo]],Tabla2[[Cod]:[Nombre ]],3,0)</f>
        <v>44385</v>
      </c>
      <c r="D46" s="6" t="str">
        <f>VLOOKUP(Tabla4[[#This Row],[Codigo]],Tabla2[[Cod]:[Nombre ]],4,0)</f>
        <v>Tis-1040</v>
      </c>
      <c r="E46" s="5" t="str">
        <f>VLOOKUP(Tabla4[[#This Row],[Codigo]],Tabla2[[Cod]:[Nombre ]],8,0)</f>
        <v>Comercializadora ERZ SAS</v>
      </c>
      <c r="F46" s="5" t="str">
        <f>VLOOKUP(Tabla4[[#This Row],[Codigo]],Tabla2[[Cod]:[Nombre ]],6,0)</f>
        <v>ok</v>
      </c>
      <c r="G46" s="7" t="s">
        <v>416</v>
      </c>
      <c r="H46" s="21" t="str">
        <f>VLOOKUP(Tabla4[[#This Row],[No]],Parametros!A:C,2,0)</f>
        <v>Consultoría Implementacion SG-SST</v>
      </c>
      <c r="I46" s="21"/>
      <c r="J46" s="161">
        <v>1</v>
      </c>
      <c r="K46" s="291">
        <v>220000</v>
      </c>
      <c r="L46" s="295"/>
      <c r="M46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46" s="293">
        <f>IFERROR(Tabla4[[#This Row],[Sub Total]]*VLOOKUP(Tabla4[[#This Row],[No]],Parametros!A:C,3,0),0)</f>
        <v>41800</v>
      </c>
      <c r="O46" s="293">
        <f>+Tabla4[[#This Row],[IVA]]+Tabla4[[#This Row],[Sub Total]]</f>
        <v>261800</v>
      </c>
      <c r="P46" s="20"/>
    </row>
    <row r="47" spans="1:16" ht="36" x14ac:dyDescent="0.25">
      <c r="A47" s="6">
        <v>38</v>
      </c>
      <c r="B47" s="6" t="str">
        <f>VLOOKUP(Tabla4[[#This Row],[Codigo]],Tabla2[[Cod]:[Nombre ]],2,0)</f>
        <v>P-1058</v>
      </c>
      <c r="C47" s="53">
        <f>VLOOKUP(Tabla4[[#This Row],[Codigo]],Tabla2[[Cod]:[Nombre ]],3,0)</f>
        <v>44405</v>
      </c>
      <c r="D47" s="6" t="str">
        <f>VLOOKUP(Tabla4[[#This Row],[Codigo]],Tabla2[[Cod]:[Nombre ]],4,0)</f>
        <v>Tis-1060</v>
      </c>
      <c r="E47" s="5" t="str">
        <f>VLOOKUP(Tabla4[[#This Row],[Codigo]],Tabla2[[Cod]:[Nombre ]],8,0)</f>
        <v>Ladrillos Ochoa Limitada</v>
      </c>
      <c r="F47" s="5" t="str">
        <f>VLOOKUP(Tabla4[[#This Row],[Codigo]],Tabla2[[Cod]:[Nombre ]],6,0)</f>
        <v>ok</v>
      </c>
      <c r="G47" s="7" t="s">
        <v>412</v>
      </c>
      <c r="H47" s="21" t="str">
        <f>VLOOKUP(Tabla4[[#This Row],[No]],Parametros!A:C,2,0)</f>
        <v>Profesiograma</v>
      </c>
      <c r="I47" s="21" t="s">
        <v>421</v>
      </c>
      <c r="J47" s="161">
        <v>7</v>
      </c>
      <c r="K47" s="291">
        <v>80000</v>
      </c>
      <c r="L47" s="296">
        <v>56000</v>
      </c>
      <c r="M47" s="292">
        <f>IF(LEFT(Tabla4[[#This Row],[Electronica]],2)="NC",-Tabla4[[#This Row],[Cantidad]]*Tabla4[[#This Row],[Precio]]+Tabla4[[#This Row],[Dto]],Tabla4[[#This Row],[Cantidad]]*Tabla4[[#This Row],[Precio]]-Tabla4[[#This Row],[Dto]])</f>
        <v>504000</v>
      </c>
      <c r="N47" s="293">
        <f>IFERROR(Tabla4[[#This Row],[Sub Total]]*VLOOKUP(Tabla4[[#This Row],[No]],Parametros!A:C,3,0),0)</f>
        <v>95760</v>
      </c>
      <c r="O47" s="293">
        <f>+Tabla4[[#This Row],[IVA]]+Tabla4[[#This Row],[Sub Total]]</f>
        <v>599760</v>
      </c>
      <c r="P47" s="20"/>
    </row>
    <row r="48" spans="1:16" ht="60" x14ac:dyDescent="0.2">
      <c r="A48" s="6">
        <v>37</v>
      </c>
      <c r="B48" s="6" t="str">
        <f>VLOOKUP(Tabla4[[#This Row],[Codigo]],Tabla2[[Cod]:[Nombre ]],2,0)</f>
        <v>P-1039</v>
      </c>
      <c r="C48" s="53">
        <f>VLOOKUP(Tabla4[[#This Row],[Codigo]],Tabla2[[Cod]:[Nombre ]],3,0)</f>
        <v>44441</v>
      </c>
      <c r="D48" s="6" t="str">
        <f>VLOOKUP(Tabla4[[#This Row],[Codigo]],Tabla2[[Cod]:[Nombre ]],4,0)</f>
        <v>Tis-1042</v>
      </c>
      <c r="E48" s="5" t="str">
        <f>VLOOKUP(Tabla4[[#This Row],[Codigo]],Tabla2[[Cod]:[Nombre ]],8,0)</f>
        <v>Comercializadora ERZ SAS</v>
      </c>
      <c r="F48" s="5" t="str">
        <f>VLOOKUP(Tabla4[[#This Row],[Codigo]],Tabla2[[Cod]:[Nombre ]],6,0)</f>
        <v>ok</v>
      </c>
      <c r="G48" s="7" t="s">
        <v>282</v>
      </c>
      <c r="H48" s="21" t="str">
        <f>VLOOKUP(Tabla4[[#This Row],[No]],Parametros!A:C,2,0)</f>
        <v>Batería de Riesgo Psicosocial</v>
      </c>
      <c r="I48" s="21" t="s">
        <v>283</v>
      </c>
      <c r="J48" s="161">
        <v>20</v>
      </c>
      <c r="K48" s="291">
        <v>23000</v>
      </c>
      <c r="L48" s="297"/>
      <c r="M48" s="292">
        <f>IF(LEFT(Tabla4[[#This Row],[Electronica]],2)="NC",-Tabla4[[#This Row],[Cantidad]]*Tabla4[[#This Row],[Precio]]+Tabla4[[#This Row],[Dto]],Tabla4[[#This Row],[Cantidad]]*Tabla4[[#This Row],[Precio]]-Tabla4[[#This Row],[Dto]])</f>
        <v>460000</v>
      </c>
      <c r="N48" s="293">
        <f>IFERROR(Tabla4[[#This Row],[Sub Total]]*VLOOKUP(Tabla4[[#This Row],[No]],Parametros!A:C,3,0),0)</f>
        <v>87400</v>
      </c>
      <c r="O48" s="293">
        <f>+Tabla4[[#This Row],[IVA]]+Tabla4[[#This Row],[Sub Total]]</f>
        <v>547400</v>
      </c>
      <c r="P48" s="20"/>
    </row>
    <row r="49" spans="1:19" ht="30" x14ac:dyDescent="0.2">
      <c r="A49" s="6">
        <v>39</v>
      </c>
      <c r="B49" s="6" t="str">
        <f>VLOOKUP(Tabla4[[#This Row],[Codigo]],Tabla2[[Cod]:[Nombre ]],2,0)</f>
        <v>P-1031</v>
      </c>
      <c r="C49" s="53">
        <f>VLOOKUP(Tabla4[[#This Row],[Codigo]],Tabla2[[Cod]:[Nombre ]],3,0)</f>
        <v>44386</v>
      </c>
      <c r="D49" s="6" t="str">
        <f>VLOOKUP(Tabla4[[#This Row],[Codigo]],Tabla2[[Cod]:[Nombre ]],4,0)</f>
        <v>Tis-1061</v>
      </c>
      <c r="E49" s="5" t="str">
        <f>VLOOKUP(Tabla4[[#This Row],[Codigo]],Tabla2[[Cod]:[Nombre ]],8,0)</f>
        <v xml:space="preserve">SBS SEGUROS COLOMBIA S A </v>
      </c>
      <c r="F49" s="5" t="str">
        <f>VLOOKUP(Tabla4[[#This Row],[Codigo]],Tabla2[[Cod]:[Nombre ]],6,0)</f>
        <v>ok</v>
      </c>
      <c r="G49" s="7">
        <v>12</v>
      </c>
      <c r="H49" s="21" t="str">
        <f>VLOOKUP(Tabla4[[#This Row],[No]],Parametros!A:C,2,0)</f>
        <v>Otros servicios exentos</v>
      </c>
      <c r="I49" s="21" t="s">
        <v>422</v>
      </c>
      <c r="J49" s="161">
        <v>1</v>
      </c>
      <c r="K49" s="291">
        <v>761600</v>
      </c>
      <c r="L49" s="297"/>
      <c r="M49" s="292">
        <f>IF(LEFT(Tabla4[[#This Row],[Electronica]],2)="NC",-Tabla4[[#This Row],[Cantidad]]*Tabla4[[#This Row],[Precio]]+Tabla4[[#This Row],[Dto]],Tabla4[[#This Row],[Cantidad]]*Tabla4[[#This Row],[Precio]]-Tabla4[[#This Row],[Dto]])</f>
        <v>761600</v>
      </c>
      <c r="N49" s="293">
        <f>IFERROR(Tabla4[[#This Row],[Sub Total]]*VLOOKUP(Tabla4[[#This Row],[No]],Parametros!A:C,3,0),0)</f>
        <v>0</v>
      </c>
      <c r="O49" s="293">
        <f>+Tabla4[[#This Row],[IVA]]+Tabla4[[#This Row],[Sub Total]]</f>
        <v>761600</v>
      </c>
      <c r="P49" s="20"/>
    </row>
    <row r="50" spans="1:19" ht="60" x14ac:dyDescent="0.2">
      <c r="A50" s="6">
        <v>40</v>
      </c>
      <c r="B50" s="6" t="str">
        <f>VLOOKUP(Tabla4[[#This Row],[Codigo]],Tabla2[[Cod]:[Nombre ]],2,0)</f>
        <v>P-1033</v>
      </c>
      <c r="C50" s="53">
        <f>VLOOKUP(Tabla4[[#This Row],[Codigo]],Tabla2[[Cod]:[Nombre ]],3,0)</f>
        <v>44386</v>
      </c>
      <c r="D50" s="6" t="str">
        <f>VLOOKUP(Tabla4[[#This Row],[Codigo]],Tabla2[[Cod]:[Nombre ]],4,0)</f>
        <v>Tis-1043</v>
      </c>
      <c r="E50" s="5" t="str">
        <f>VLOOKUP(Tabla4[[#This Row],[Codigo]],Tabla2[[Cod]:[Nombre ]],8,0)</f>
        <v>EZGO S A</v>
      </c>
      <c r="F50" s="5" t="str">
        <f>VLOOKUP(Tabla4[[#This Row],[Codigo]],Tabla2[[Cod]:[Nombre ]],6,0)</f>
        <v>ok</v>
      </c>
      <c r="G50" s="7" t="s">
        <v>282</v>
      </c>
      <c r="H50" s="21" t="str">
        <f>VLOOKUP(Tabla4[[#This Row],[No]],Parametros!A:C,2,0)</f>
        <v>Batería de Riesgo Psicosocial</v>
      </c>
      <c r="I50" s="21" t="s">
        <v>283</v>
      </c>
      <c r="J50" s="161">
        <v>26</v>
      </c>
      <c r="K50" s="291">
        <v>25000</v>
      </c>
      <c r="L50" s="257"/>
      <c r="M50" s="292">
        <f>IF(LEFT(Tabla4[[#This Row],[Electronica]],2)="NC",-Tabla4[[#This Row],[Cantidad]]*Tabla4[[#This Row],[Precio]]+Tabla4[[#This Row],[Dto]],Tabla4[[#This Row],[Cantidad]]*Tabla4[[#This Row],[Precio]]-Tabla4[[#This Row],[Dto]])</f>
        <v>650000</v>
      </c>
      <c r="N50" s="293">
        <f>IFERROR(Tabla4[[#This Row],[Sub Total]]*VLOOKUP(Tabla4[[#This Row],[No]],Parametros!A:C,3,0),0)</f>
        <v>123500</v>
      </c>
      <c r="O50" s="293">
        <f>+Tabla4[[#This Row],[IVA]]+Tabla4[[#This Row],[Sub Total]]</f>
        <v>773500</v>
      </c>
      <c r="P50" s="20"/>
    </row>
    <row r="51" spans="1:19" ht="36" x14ac:dyDescent="0.25">
      <c r="A51" s="6">
        <v>41</v>
      </c>
      <c r="B51" s="6" t="str">
        <f>VLOOKUP(Tabla4[[#This Row],[Codigo]],Tabla2[[Cod]:[Nombre ]],2,0)</f>
        <v>P-1032</v>
      </c>
      <c r="C51" s="53">
        <f>VLOOKUP(Tabla4[[#This Row],[Codigo]],Tabla2[[Cod]:[Nombre ]],3,0)</f>
        <v>44389</v>
      </c>
      <c r="D51" s="6" t="str">
        <f>VLOOKUP(Tabla4[[#This Row],[Codigo]],Tabla2[[Cod]:[Nombre ]],4,0)</f>
        <v>TIS-1033</v>
      </c>
      <c r="E51" s="5" t="str">
        <f>VLOOKUP(Tabla4[[#This Row],[Codigo]],Tabla2[[Cod]:[Nombre ]],8,0)</f>
        <v>Maria del Pilar Alvarado Joya</v>
      </c>
      <c r="F51" s="5" t="str">
        <f>VLOOKUP(Tabla4[[#This Row],[Codigo]],Tabla2[[Cod]:[Nombre ]],6,0)</f>
        <v>ok</v>
      </c>
      <c r="G51" s="7" t="s">
        <v>417</v>
      </c>
      <c r="H51" s="21" t="str">
        <f>VLOOKUP(Tabla4[[#This Row],[No]],Parametros!A:C,2,0)</f>
        <v>Capacitación acompañamiento Virtual SST</v>
      </c>
      <c r="I51" s="21" t="s">
        <v>423</v>
      </c>
      <c r="J51" s="161">
        <v>1</v>
      </c>
      <c r="K51" s="291">
        <v>900000</v>
      </c>
      <c r="L51" s="258"/>
      <c r="M51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51" s="293">
        <f>IFERROR(Tabla4[[#This Row],[Sub Total]]*VLOOKUP(Tabla4[[#This Row],[No]],Parametros!A:C,3,0),0)</f>
        <v>0</v>
      </c>
      <c r="O51" s="293">
        <f>+Tabla4[[#This Row],[IVA]]+Tabla4[[#This Row],[Sub Total]]</f>
        <v>900000</v>
      </c>
      <c r="P51" s="20"/>
    </row>
    <row r="52" spans="1:19" x14ac:dyDescent="0.25">
      <c r="A52" s="6">
        <v>42</v>
      </c>
      <c r="B52" s="6" t="str">
        <f>VLOOKUP(Tabla4[[#This Row],[Codigo]],Tabla2[[Cod]:[Nombre ]],2,0)</f>
        <v>P-1024</v>
      </c>
      <c r="C52" s="53">
        <f>VLOOKUP(Tabla4[[#This Row],[Codigo]],Tabla2[[Cod]:[Nombre ]],3,0)</f>
        <v>44417</v>
      </c>
      <c r="D52" s="6" t="str">
        <f>VLOOKUP(Tabla4[[#This Row],[Codigo]],Tabla2[[Cod]:[Nombre ]],4,0)</f>
        <v>TIS-1032</v>
      </c>
      <c r="E52" s="5" t="str">
        <f>VLOOKUP(Tabla4[[#This Row],[Codigo]],Tabla2[[Cod]:[Nombre ]],8,0)</f>
        <v>Pro service Call center</v>
      </c>
      <c r="F52" s="5" t="str">
        <f>VLOOKUP(Tabla4[[#This Row],[Codigo]],Tabla2[[Cod]:[Nombre ]],6,0)</f>
        <v>ok</v>
      </c>
      <c r="G52" s="7" t="s">
        <v>412</v>
      </c>
      <c r="H52" s="21" t="str">
        <f>VLOOKUP(Tabla4[[#This Row],[No]],Parametros!A:C,2,0)</f>
        <v>Profesiograma</v>
      </c>
      <c r="I52" s="21"/>
      <c r="J52" s="161">
        <v>150</v>
      </c>
      <c r="K52" s="291">
        <v>19000</v>
      </c>
      <c r="L52" s="258"/>
      <c r="M52" s="292">
        <f>IF(LEFT(Tabla4[[#This Row],[Electronica]],2)="NC",-Tabla4[[#This Row],[Cantidad]]*Tabla4[[#This Row],[Precio]]+Tabla4[[#This Row],[Dto]],Tabla4[[#This Row],[Cantidad]]*Tabla4[[#This Row],[Precio]]-Tabla4[[#This Row],[Dto]])</f>
        <v>2850000</v>
      </c>
      <c r="N52" s="293">
        <f>IFERROR(Tabla4[[#This Row],[Sub Total]]*VLOOKUP(Tabla4[[#This Row],[No]],Parametros!A:C,3,0),0)</f>
        <v>541500</v>
      </c>
      <c r="O52" s="293">
        <f>+Tabla4[[#This Row],[IVA]]+Tabla4[[#This Row],[Sub Total]]</f>
        <v>3391500</v>
      </c>
      <c r="P52" s="20"/>
    </row>
    <row r="53" spans="1:19" ht="60" x14ac:dyDescent="0.25">
      <c r="A53" s="6">
        <v>43</v>
      </c>
      <c r="B53" s="6" t="str">
        <f>VLOOKUP(Tabla4[[#This Row],[Codigo]],Tabla2[[Cod]:[Nombre ]],2,0)</f>
        <v>P-1034</v>
      </c>
      <c r="C53" s="53">
        <f>VLOOKUP(Tabla4[[#This Row],[Codigo]],Tabla2[[Cod]:[Nombre ]],3,0)</f>
        <v>44418</v>
      </c>
      <c r="D53" s="6" t="str">
        <f>VLOOKUP(Tabla4[[#This Row],[Codigo]],Tabla2[[Cod]:[Nombre ]],4,0)</f>
        <v>TIS-1035</v>
      </c>
      <c r="E53" s="5" t="str">
        <f>VLOOKUP(Tabla4[[#This Row],[Codigo]],Tabla2[[Cod]:[Nombre ]],8,0)</f>
        <v>Organizaciones Oliver SAS</v>
      </c>
      <c r="F53" s="5" t="str">
        <f>VLOOKUP(Tabla4[[#This Row],[Codigo]],Tabla2[[Cod]:[Nombre ]],6,0)</f>
        <v>ok</v>
      </c>
      <c r="G53" s="7" t="s">
        <v>282</v>
      </c>
      <c r="H53" s="21" t="str">
        <f>VLOOKUP(Tabla4[[#This Row],[No]],Parametros!A:C,2,0)</f>
        <v>Batería de Riesgo Psicosocial</v>
      </c>
      <c r="I53" s="21" t="s">
        <v>283</v>
      </c>
      <c r="J53" s="161">
        <v>16</v>
      </c>
      <c r="K53" s="291">
        <v>25000</v>
      </c>
      <c r="L53" s="258"/>
      <c r="M53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53" s="293">
        <f>IFERROR(Tabla4[[#This Row],[Sub Total]]*VLOOKUP(Tabla4[[#This Row],[No]],Parametros!A:C,3,0),0)</f>
        <v>76000</v>
      </c>
      <c r="O53" s="293">
        <f>+Tabla4[[#This Row],[IVA]]+Tabla4[[#This Row],[Sub Total]]</f>
        <v>476000</v>
      </c>
      <c r="P53" s="20"/>
    </row>
    <row r="54" spans="1:19" ht="24" customHeight="1" x14ac:dyDescent="0.25">
      <c r="A54" s="6">
        <v>44</v>
      </c>
      <c r="B54" s="6" t="str">
        <f>VLOOKUP(Tabla4[[#This Row],[Codigo]],Tabla2[[Cod]:[Nombre ]],2,0)</f>
        <v>P-1011</v>
      </c>
      <c r="C54" s="53">
        <f>VLOOKUP(Tabla4[[#This Row],[Codigo]],Tabla2[[Cod]:[Nombre ]],3,0)</f>
        <v>44428</v>
      </c>
      <c r="D54" s="6" t="str">
        <f>VLOOKUP(Tabla4[[#This Row],[Codigo]],Tabla2[[Cod]:[Nombre ]],4,0)</f>
        <v>TIS-1034</v>
      </c>
      <c r="E54" s="5" t="str">
        <f>VLOOKUP(Tabla4[[#This Row],[Codigo]],Tabla2[[Cod]:[Nombre ]],8,0)</f>
        <v>BIOMETROMED SAS</v>
      </c>
      <c r="F54" s="5" t="str">
        <f>VLOOKUP(Tabla4[[#This Row],[Codigo]],Tabla2[[Cod]:[Nombre ]],6,0)</f>
        <v>ok</v>
      </c>
      <c r="G54" s="7" t="s">
        <v>282</v>
      </c>
      <c r="H54" s="21" t="str">
        <f>VLOOKUP(Tabla4[[#This Row],[No]],Parametros!A:C,2,0)</f>
        <v>Batería de Riesgo Psicosocial</v>
      </c>
      <c r="I54" s="21" t="s">
        <v>283</v>
      </c>
      <c r="J54" s="163">
        <v>5</v>
      </c>
      <c r="K54" s="294">
        <v>40000</v>
      </c>
      <c r="L54" s="258"/>
      <c r="M54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54" s="292">
        <f>IFERROR(Tabla4[[#This Row],[Sub Total]]*VLOOKUP(Tabla4[[#This Row],[No]],Parametros!A:C,3,0),0)</f>
        <v>38000</v>
      </c>
      <c r="O54" s="292">
        <f>+Tabla4[[#This Row],[IVA]]+Tabla4[[#This Row],[Sub Total]]</f>
        <v>238000</v>
      </c>
      <c r="P54" s="20"/>
    </row>
    <row r="55" spans="1:19" ht="63.75" x14ac:dyDescent="0.2">
      <c r="A55" s="6">
        <v>45</v>
      </c>
      <c r="B55" s="6" t="str">
        <f>VLOOKUP(Tabla4[[#This Row],[Codigo]],Tabla2[[Cod]:[Nombre ]],2,0)</f>
        <v>P-1035</v>
      </c>
      <c r="C55" s="53">
        <f>VLOOKUP(Tabla4[[#This Row],[Codigo]],Tabla2[[Cod]:[Nombre ]],3,0)</f>
        <v>44432</v>
      </c>
      <c r="D55" s="6" t="str">
        <f>VLOOKUP(Tabla4[[#This Row],[Codigo]],Tabla2[[Cod]:[Nombre ]],4,0)</f>
        <v>TIS-1062</v>
      </c>
      <c r="E55" s="5" t="str">
        <f>VLOOKUP(Tabla4[[#This Row],[Codigo]],Tabla2[[Cod]:[Nombre ]],8,0)</f>
        <v>HILVERDAFLORIST COLOMBIA S.A.S</v>
      </c>
      <c r="F55" s="5" t="str">
        <f>VLOOKUP(Tabla4[[#This Row],[Codigo]],Tabla2[[Cod]:[Nombre ]],6,0)</f>
        <v>ok</v>
      </c>
      <c r="G55" s="7" t="s">
        <v>416</v>
      </c>
      <c r="H55" s="21" t="str">
        <f>VLOOKUP(Tabla4[[#This Row],[No]],Parametros!A:C,2,0)</f>
        <v>Consultoría Implementacion SG-SST</v>
      </c>
      <c r="I55" s="26" t="s">
        <v>424</v>
      </c>
      <c r="J55" s="163">
        <v>1</v>
      </c>
      <c r="K55" s="294">
        <v>150000</v>
      </c>
      <c r="L55" s="298"/>
      <c r="M55" s="292">
        <f>IF(LEFT(Tabla4[[#This Row],[Electronica]],2)="NC",-Tabla4[[#This Row],[Cantidad]]*Tabla4[[#This Row],[Precio]]+Tabla4[[#This Row],[Dto]],Tabla4[[#This Row],[Cantidad]]*Tabla4[[#This Row],[Precio]]-Tabla4[[#This Row],[Dto]])</f>
        <v>150000</v>
      </c>
      <c r="N55" s="293">
        <f>IFERROR(Tabla4[[#This Row],[Sub Total]]*VLOOKUP(Tabla4[[#This Row],[No]],Parametros!A:C,3,0),0)</f>
        <v>28500</v>
      </c>
      <c r="O55" s="293">
        <f>+Tabla4[[#This Row],[IVA]]+Tabla4[[#This Row],[Sub Total]]</f>
        <v>178500</v>
      </c>
      <c r="P55" s="20"/>
    </row>
    <row r="56" spans="1:19" ht="36" x14ac:dyDescent="0.2">
      <c r="A56" s="6">
        <v>46</v>
      </c>
      <c r="B56" s="6" t="str">
        <f>VLOOKUP(Tabla4[[#This Row],[Codigo]],Tabla2[[Cod]:[Nombre ]],2,0)</f>
        <v>P-1036</v>
      </c>
      <c r="C56" s="53">
        <f>VLOOKUP(Tabla4[[#This Row],[Codigo]],Tabla2[[Cod]:[Nombre ]],3,0)</f>
        <v>44434</v>
      </c>
      <c r="D56" s="6" t="str">
        <f>VLOOKUP(Tabla4[[#This Row],[Codigo]],Tabla2[[Cod]:[Nombre ]],4,0)</f>
        <v>Tis-1084</v>
      </c>
      <c r="E56" s="5" t="str">
        <f>VLOOKUP(Tabla4[[#This Row],[Codigo]],Tabla2[[Cod]:[Nombre ]],8,0)</f>
        <v>Antonio Cely SAS</v>
      </c>
      <c r="F56" s="5" t="str">
        <f>VLOOKUP(Tabla4[[#This Row],[Codigo]],Tabla2[[Cod]:[Nombre ]],6,0)</f>
        <v>ok</v>
      </c>
      <c r="G56" s="7">
        <v>13</v>
      </c>
      <c r="H56" s="21" t="str">
        <f>VLOOKUP(Tabla4[[#This Row],[No]],Parametros!A:C,2,0)</f>
        <v>Diseño y actualización SG SST</v>
      </c>
      <c r="I56" s="21" t="s">
        <v>425</v>
      </c>
      <c r="J56" s="163">
        <v>2</v>
      </c>
      <c r="K56" s="294">
        <v>600000</v>
      </c>
      <c r="L56" s="298">
        <v>120000</v>
      </c>
      <c r="M56" s="292">
        <f>IF(LEFT(Tabla4[[#This Row],[Electronica]],2)="NC",-Tabla4[[#This Row],[Cantidad]]*Tabla4[[#This Row],[Precio]]+Tabla4[[#This Row],[Dto]],Tabla4[[#This Row],[Cantidad]]*Tabla4[[#This Row],[Precio]]-Tabla4[[#This Row],[Dto]])</f>
        <v>1080000</v>
      </c>
      <c r="N56" s="292">
        <f>IFERROR(Tabla4[[#This Row],[Sub Total]]*VLOOKUP(Tabla4[[#This Row],[No]],Parametros!A:C,3,0),0)</f>
        <v>205200</v>
      </c>
      <c r="O56" s="292">
        <f>+Tabla4[[#This Row],[IVA]]+Tabla4[[#This Row],[Sub Total]]</f>
        <v>1285200</v>
      </c>
      <c r="P56" s="20"/>
    </row>
    <row r="57" spans="1:19" ht="38.450000000000003" customHeight="1" x14ac:dyDescent="0.2">
      <c r="A57" s="6">
        <v>47</v>
      </c>
      <c r="B57" s="6" t="str">
        <f>VLOOKUP(Tabla4[[#This Row],[Codigo]],Tabla2[[Cod]:[Nombre ]],2,0)</f>
        <v>P-1037</v>
      </c>
      <c r="C57" s="53">
        <f>VLOOKUP(Tabla4[[#This Row],[Codigo]],Tabla2[[Cod]:[Nombre ]],3,0)</f>
        <v>44435</v>
      </c>
      <c r="D57" s="6" t="str">
        <f>VLOOKUP(Tabla4[[#This Row],[Codigo]],Tabla2[[Cod]:[Nombre ]],4,0)</f>
        <v>Tis-1053</v>
      </c>
      <c r="E57" s="5" t="str">
        <f>VLOOKUP(Tabla4[[#This Row],[Codigo]],Tabla2[[Cod]:[Nombre ]],8,0)</f>
        <v>Inversiones Sajamib SAS</v>
      </c>
      <c r="F57" s="5" t="str">
        <f>VLOOKUP(Tabla4[[#This Row],[Codigo]],Tabla2[[Cod]:[Nombre ]],6,0)</f>
        <v>ok</v>
      </c>
      <c r="G57" s="7" t="s">
        <v>417</v>
      </c>
      <c r="H57" s="21" t="str">
        <f>VLOOKUP(Tabla4[[#This Row],[No]],Parametros!A:C,2,0)</f>
        <v>Capacitación acompañamiento Virtual SST</v>
      </c>
      <c r="I57" s="21" t="s">
        <v>426</v>
      </c>
      <c r="J57" s="163">
        <v>1</v>
      </c>
      <c r="K57" s="294">
        <v>1380000</v>
      </c>
      <c r="L57" s="298"/>
      <c r="M57" s="292">
        <f>IF(LEFT(Tabla4[[#This Row],[Electronica]],2)="NC",-Tabla4[[#This Row],[Cantidad]]*Tabla4[[#This Row],[Precio]]+Tabla4[[#This Row],[Dto]],Tabla4[[#This Row],[Cantidad]]*Tabla4[[#This Row],[Precio]]-Tabla4[[#This Row],[Dto]])</f>
        <v>1380000</v>
      </c>
      <c r="N57" s="292">
        <f>IFERROR(Tabla4[[#This Row],[Sub Total]]*VLOOKUP(Tabla4[[#This Row],[No]],Parametros!A:C,3,0),0)</f>
        <v>0</v>
      </c>
      <c r="O57" s="292">
        <f>+Tabla4[[#This Row],[IVA]]+Tabla4[[#This Row],[Sub Total]]</f>
        <v>1380000</v>
      </c>
    </row>
    <row r="58" spans="1:19" ht="60" x14ac:dyDescent="0.2">
      <c r="A58" s="6">
        <v>48</v>
      </c>
      <c r="B58" s="6" t="str">
        <f>VLOOKUP(Tabla4[[#This Row],[Codigo]],Tabla2[[Cod]:[Nombre ]],2,0)</f>
        <v>P-1028</v>
      </c>
      <c r="C58" s="53">
        <f>VLOOKUP(Tabla4[[#This Row],[Codigo]],Tabla2[[Cod]:[Nombre ]],3,0)</f>
        <v>44383</v>
      </c>
      <c r="D58" s="6" t="str">
        <f>VLOOKUP(Tabla4[[#This Row],[Codigo]],Tabla2[[Cod]:[Nombre ]],4,0)</f>
        <v>TIS-1038</v>
      </c>
      <c r="E58" s="5" t="str">
        <f>VLOOKUP(Tabla4[[#This Row],[Codigo]],Tabla2[[Cod]:[Nombre ]],8,0)</f>
        <v>H &amp; S FRANQUICIAS SAS</v>
      </c>
      <c r="F58" s="5" t="str">
        <f>VLOOKUP(Tabla4[[#This Row],[Codigo]],Tabla2[[Cod]:[Nombre ]],6,0)</f>
        <v>ok</v>
      </c>
      <c r="G58" s="7" t="s">
        <v>282</v>
      </c>
      <c r="H58" s="21" t="str">
        <f>VLOOKUP(Tabla4[[#This Row],[No]],Parametros!A:C,2,0)</f>
        <v>Batería de Riesgo Psicosocial</v>
      </c>
      <c r="I58" s="21" t="s">
        <v>283</v>
      </c>
      <c r="J58" s="161">
        <v>80</v>
      </c>
      <c r="K58" s="291">
        <v>17500</v>
      </c>
      <c r="L58" s="298"/>
      <c r="M58" s="292">
        <f>IF(LEFT(Tabla4[[#This Row],[Electronica]],2)="NC",-Tabla4[[#This Row],[Cantidad]]*Tabla4[[#This Row],[Precio]]+Tabla4[[#This Row],[Dto]],Tabla4[[#This Row],[Cantidad]]*Tabla4[[#This Row],[Precio]]-Tabla4[[#This Row],[Dto]])</f>
        <v>1400000</v>
      </c>
      <c r="N58" s="292">
        <f>IFERROR(Tabla4[[#This Row],[Sub Total]]*VLOOKUP(Tabla4[[#This Row],[No]],Parametros!A:C,3,0),0)</f>
        <v>266000</v>
      </c>
      <c r="O58" s="292">
        <f>+Tabla4[[#This Row],[IVA]]+Tabla4[[#This Row],[Sub Total]]</f>
        <v>1666000</v>
      </c>
    </row>
    <row r="59" spans="1:19" ht="32.450000000000003" customHeight="1" x14ac:dyDescent="0.2">
      <c r="A59" s="6">
        <v>49</v>
      </c>
      <c r="B59" s="6" t="str">
        <f>VLOOKUP(Tabla4[[#This Row],[Codigo]],Tabla2[[Cod]:[Nombre ]],2,0)</f>
        <v>P-1038</v>
      </c>
      <c r="C59" s="53">
        <f>VLOOKUP(Tabla4[[#This Row],[Codigo]],Tabla2[[Cod]:[Nombre ]],3,0)</f>
        <v>44441</v>
      </c>
      <c r="D59" s="6" t="str">
        <f>VLOOKUP(Tabla4[[#This Row],[Codigo]],Tabla2[[Cod]:[Nombre ]],4,0)</f>
        <v>Tis-1050</v>
      </c>
      <c r="E59" s="5" t="str">
        <f>VLOOKUP(Tabla4[[#This Row],[Codigo]],Tabla2[[Cod]:[Nombre ]],8,0)</f>
        <v>HACIK SOLUCIONES INTEGRALES DE INGENIERIA SAS</v>
      </c>
      <c r="F59" s="5" t="str">
        <f>VLOOKUP(Tabla4[[#This Row],[Codigo]],Tabla2[[Cod]:[Nombre ]],6,0)</f>
        <v>ok</v>
      </c>
      <c r="G59" s="7" t="s">
        <v>282</v>
      </c>
      <c r="H59" s="21" t="str">
        <f>VLOOKUP(Tabla4[[#This Row],[No]],Parametros!A:C,2,0)</f>
        <v>Batería de Riesgo Psicosocial</v>
      </c>
      <c r="I59" s="21" t="s">
        <v>427</v>
      </c>
      <c r="J59" s="161">
        <v>30</v>
      </c>
      <c r="K59" s="291">
        <v>25000</v>
      </c>
      <c r="L59" s="298"/>
      <c r="M59" s="292">
        <f>IF(LEFT(Tabla4[[#This Row],[Electronica]],2)="NC",-Tabla4[[#This Row],[Cantidad]]*Tabla4[[#This Row],[Precio]]+Tabla4[[#This Row],[Dto]],Tabla4[[#This Row],[Cantidad]]*Tabla4[[#This Row],[Precio]]-Tabla4[[#This Row],[Dto]])</f>
        <v>750000</v>
      </c>
      <c r="N59" s="299">
        <f>IFERROR(Tabla4[[#This Row],[Sub Total]]*VLOOKUP(Tabla4[[#This Row],[No]],Parametros!A:C,3,0),0)</f>
        <v>142500</v>
      </c>
      <c r="O59" s="299">
        <f>+Tabla4[[#This Row],[IVA]]+Tabla4[[#This Row],[Sub Total]]</f>
        <v>892500</v>
      </c>
    </row>
    <row r="60" spans="1:19" ht="36" x14ac:dyDescent="0.2">
      <c r="A60" s="6">
        <v>51</v>
      </c>
      <c r="B60" s="6" t="str">
        <f>VLOOKUP(Tabla4[[#This Row],[Codigo]],Tabla2[[Cod]:[Nombre ]],2,0)</f>
        <v>P-1040</v>
      </c>
      <c r="C60" s="53">
        <f>VLOOKUP(Tabla4[[#This Row],[Codigo]],Tabla2[[Cod]:[Nombre ]],3,0)</f>
        <v>44441</v>
      </c>
      <c r="D60" s="6" t="str">
        <f>VLOOKUP(Tabla4[[#This Row],[Codigo]],Tabla2[[Cod]:[Nombre ]],4,0)</f>
        <v>Tis-1041</v>
      </c>
      <c r="E60" s="5" t="str">
        <f>VLOOKUP(Tabla4[[#This Row],[Codigo]],Tabla2[[Cod]:[Nombre ]],8,0)</f>
        <v>Maria del Pilar Alvarado Joya</v>
      </c>
      <c r="F60" s="5" t="str">
        <f>VLOOKUP(Tabla4[[#This Row],[Codigo]],Tabla2[[Cod]:[Nombre ]],6,0)</f>
        <v>ok</v>
      </c>
      <c r="G60" s="7" t="s">
        <v>417</v>
      </c>
      <c r="H60" s="21" t="str">
        <f>VLOOKUP(Tabla4[[#This Row],[No]],Parametros!A:C,2,0)</f>
        <v>Capacitación acompañamiento Virtual SST</v>
      </c>
      <c r="I60" s="21" t="s">
        <v>428</v>
      </c>
      <c r="J60" s="163">
        <v>1</v>
      </c>
      <c r="K60" s="294">
        <v>900000</v>
      </c>
      <c r="L60" s="298"/>
      <c r="M60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60" s="292">
        <f>IFERROR(Tabla4[[#This Row],[Sub Total]]*VLOOKUP(Tabla4[[#This Row],[No]],Parametros!A:C,3,0),0)</f>
        <v>0</v>
      </c>
      <c r="O60" s="292">
        <f>+Tabla4[[#This Row],[IVA]]+Tabla4[[#This Row],[Sub Total]]</f>
        <v>900000</v>
      </c>
    </row>
    <row r="61" spans="1:19" ht="36" x14ac:dyDescent="0.2">
      <c r="A61" s="6">
        <v>52</v>
      </c>
      <c r="B61" s="6" t="str">
        <f>VLOOKUP(Tabla4[[#This Row],[Codigo]],Tabla2[[Cod]:[Nombre ]],2,0)</f>
        <v>P-1010</v>
      </c>
      <c r="C61" s="53">
        <f>VLOOKUP(Tabla4[[#This Row],[Codigo]],Tabla2[[Cod]:[Nombre ]],3,0)</f>
        <v>44441</v>
      </c>
      <c r="D61" s="6" t="str">
        <f>VLOOKUP(Tabla4[[#This Row],[Codigo]],Tabla2[[Cod]:[Nombre ]],4,0)</f>
        <v>Tis-1039</v>
      </c>
      <c r="E61" s="5" t="str">
        <f>VLOOKUP(Tabla4[[#This Row],[Codigo]],Tabla2[[Cod]:[Nombre ]],8,0)</f>
        <v>TECNOLOGIA DE OFICINA S.A.S.</v>
      </c>
      <c r="F61" s="5" t="str">
        <f>VLOOKUP(Tabla4[[#This Row],[Codigo]],Tabla2[[Cod]:[Nombre ]],6,0)</f>
        <v>ok</v>
      </c>
      <c r="G61" s="7" t="s">
        <v>416</v>
      </c>
      <c r="H61" s="21" t="str">
        <f>VLOOKUP(Tabla4[[#This Row],[No]],Parametros!A:C,2,0)</f>
        <v>Consultoría Implementacion SG-SST</v>
      </c>
      <c r="I61" s="21" t="s">
        <v>429</v>
      </c>
      <c r="J61" s="163">
        <v>1</v>
      </c>
      <c r="K61" s="294">
        <v>489299</v>
      </c>
      <c r="L61" s="298"/>
      <c r="M61" s="292">
        <f>IF(LEFT(Tabla4[[#This Row],[Electronica]],2)="NC",-Tabla4[[#This Row],[Cantidad]]*Tabla4[[#This Row],[Precio]]+Tabla4[[#This Row],[Dto]],Tabla4[[#This Row],[Cantidad]]*Tabla4[[#This Row],[Precio]]-Tabla4[[#This Row],[Dto]])</f>
        <v>489299</v>
      </c>
      <c r="N61" s="292">
        <f>IFERROR(Tabla4[[#This Row],[Sub Total]]*VLOOKUP(Tabla4[[#This Row],[No]],Parametros!A:C,3,0),0)</f>
        <v>92966.81</v>
      </c>
      <c r="O61" s="292">
        <f>+Tabla4[[#This Row],[IVA]]+Tabla4[[#This Row],[Sub Total]]</f>
        <v>582265.81000000006</v>
      </c>
    </row>
    <row r="62" spans="1:19" ht="60" x14ac:dyDescent="0.2">
      <c r="A62" s="6">
        <v>53</v>
      </c>
      <c r="B62" s="6" t="str">
        <f>VLOOKUP(Tabla4[[#This Row],[Codigo]],Tabla2[[Cod]:[Nombre ]],2,0)</f>
        <v>P-1041</v>
      </c>
      <c r="C62" s="53">
        <f>VLOOKUP(Tabla4[[#This Row],[Codigo]],Tabla2[[Cod]:[Nombre ]],3,0)</f>
        <v>44455</v>
      </c>
      <c r="D62" s="6" t="str">
        <f>VLOOKUP(Tabla4[[#This Row],[Codigo]],Tabla2[[Cod]:[Nombre ]],4,0)</f>
        <v>Tis-1044</v>
      </c>
      <c r="E62" s="5" t="str">
        <f>VLOOKUP(Tabla4[[#This Row],[Codigo]],Tabla2[[Cod]:[Nombre ]],8,0)</f>
        <v>NAVAR SOLUCIONES S.A.S</v>
      </c>
      <c r="F62" s="5" t="str">
        <f>VLOOKUP(Tabla4[[#This Row],[Codigo]],Tabla2[[Cod]:[Nombre ]],6,0)</f>
        <v>ok</v>
      </c>
      <c r="G62" s="7" t="s">
        <v>282</v>
      </c>
      <c r="H62" s="21" t="str">
        <f>VLOOKUP(Tabla4[[#This Row],[No]],Parametros!A:C,2,0)</f>
        <v>Batería de Riesgo Psicosocial</v>
      </c>
      <c r="I62" s="21" t="s">
        <v>283</v>
      </c>
      <c r="J62" s="163">
        <v>14</v>
      </c>
      <c r="K62" s="294">
        <v>22000</v>
      </c>
      <c r="L62" s="298"/>
      <c r="M62" s="292">
        <f>IF(LEFT(Tabla4[[#This Row],[Electronica]],2)="NC",-Tabla4[[#This Row],[Cantidad]]*Tabla4[[#This Row],[Precio]]+Tabla4[[#This Row],[Dto]],Tabla4[[#This Row],[Cantidad]]*Tabla4[[#This Row],[Precio]]-Tabla4[[#This Row],[Dto]])</f>
        <v>308000</v>
      </c>
      <c r="N62" s="292">
        <f>IFERROR(Tabla4[[#This Row],[Sub Total]]*VLOOKUP(Tabla4[[#This Row],[No]],Parametros!A:C,3,0),0)</f>
        <v>58520</v>
      </c>
      <c r="O62" s="292">
        <f>+Tabla4[[#This Row],[IVA]]+Tabla4[[#This Row],[Sub Total]]</f>
        <v>366520</v>
      </c>
      <c r="Q62" s="5">
        <f>35-14</f>
        <v>21</v>
      </c>
      <c r="R62" s="5">
        <f>+Q62*22000</f>
        <v>462000</v>
      </c>
      <c r="S62" s="5">
        <f>+R62*1.19</f>
        <v>549780</v>
      </c>
    </row>
    <row r="63" spans="1:19" ht="48" x14ac:dyDescent="0.2">
      <c r="A63" s="6">
        <v>53</v>
      </c>
      <c r="B63" s="6" t="str">
        <f>VLOOKUP(Tabla4[[#This Row],[Codigo]],Tabla2[[Cod]:[Nombre ]],2,0)</f>
        <v>P-1041</v>
      </c>
      <c r="C63" s="53">
        <f>VLOOKUP(Tabla4[[#This Row],[Codigo]],Tabla2[[Cod]:[Nombre ]],3,0)</f>
        <v>44455</v>
      </c>
      <c r="D63" s="6" t="str">
        <f>VLOOKUP(Tabla4[[#This Row],[Codigo]],Tabla2[[Cod]:[Nombre ]],4,0)</f>
        <v>Tis-1044</v>
      </c>
      <c r="E63" s="5" t="str">
        <f>VLOOKUP(Tabla4[[#This Row],[Codigo]],Tabla2[[Cod]:[Nombre ]],8,0)</f>
        <v>NAVAR SOLUCIONES S.A.S</v>
      </c>
      <c r="F63" s="5" t="str">
        <f>VLOOKUP(Tabla4[[#This Row],[Codigo]],Tabla2[[Cod]:[Nombre ]],6,0)</f>
        <v>ok</v>
      </c>
      <c r="G63" s="7" t="s">
        <v>420</v>
      </c>
      <c r="H63" s="21" t="str">
        <f>VLOOKUP(Tabla4[[#This Row],[No]],Parametros!A:C,2,0)</f>
        <v>Análisis Puesto trabajo</v>
      </c>
      <c r="I63" s="21" t="s">
        <v>430</v>
      </c>
      <c r="J63" s="163">
        <v>6</v>
      </c>
      <c r="K63" s="294">
        <v>210000</v>
      </c>
      <c r="L63" s="298"/>
      <c r="M63" s="292">
        <f>IF(LEFT(Tabla4[[#This Row],[Electronica]],2)="NC",-Tabla4[[#This Row],[Cantidad]]*Tabla4[[#This Row],[Precio]]+Tabla4[[#This Row],[Dto]],Tabla4[[#This Row],[Cantidad]]*Tabla4[[#This Row],[Precio]]-Tabla4[[#This Row],[Dto]])</f>
        <v>1260000</v>
      </c>
      <c r="N63" s="292">
        <f>IFERROR(Tabla4[[#This Row],[Sub Total]]*VLOOKUP(Tabla4[[#This Row],[No]],Parametros!A:C,3,0),0)</f>
        <v>239400</v>
      </c>
      <c r="O63" s="292">
        <f>+Tabla4[[#This Row],[IVA]]+Tabla4[[#This Row],[Sub Total]]</f>
        <v>1499400</v>
      </c>
    </row>
    <row r="64" spans="1:19" ht="36" x14ac:dyDescent="0.2">
      <c r="A64" s="6">
        <v>53</v>
      </c>
      <c r="B64" s="6" t="str">
        <f>VLOOKUP(Tabla4[[#This Row],[Codigo]],Tabla2[[Cod]:[Nombre ]],2,0)</f>
        <v>P-1041</v>
      </c>
      <c r="C64" s="53">
        <f>VLOOKUP(Tabla4[[#This Row],[Codigo]],Tabla2[[Cod]:[Nombre ]],3,0)</f>
        <v>44455</v>
      </c>
      <c r="D64" s="6" t="str">
        <f>VLOOKUP(Tabla4[[#This Row],[Codigo]],Tabla2[[Cod]:[Nombre ]],4,0)</f>
        <v>Tis-1044</v>
      </c>
      <c r="E64" s="5" t="str">
        <f>VLOOKUP(Tabla4[[#This Row],[Codigo]],Tabla2[[Cod]:[Nombre ]],8,0)</f>
        <v>NAVAR SOLUCIONES S.A.S</v>
      </c>
      <c r="F64" s="5" t="str">
        <f>VLOOKUP(Tabla4[[#This Row],[Codigo]],Tabla2[[Cod]:[Nombre ]],6,0)</f>
        <v>ok</v>
      </c>
      <c r="G64" s="7">
        <v>12</v>
      </c>
      <c r="H64" s="21" t="str">
        <f>VLOOKUP(Tabla4[[#This Row],[No]],Parametros!A:C,2,0)</f>
        <v>Otros servicios exentos</v>
      </c>
      <c r="I64" s="21" t="s">
        <v>431</v>
      </c>
      <c r="J64" s="163">
        <v>4</v>
      </c>
      <c r="K64" s="294">
        <v>120000</v>
      </c>
      <c r="L64" s="298"/>
      <c r="M64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64" s="292">
        <f>IFERROR(Tabla4[[#This Row],[Sub Total]]*VLOOKUP(Tabla4[[#This Row],[No]],Parametros!A:C,3,0),0)</f>
        <v>0</v>
      </c>
      <c r="O64" s="292">
        <f>+Tabla4[[#This Row],[IVA]]+Tabla4[[#This Row],[Sub Total]]</f>
        <v>480000</v>
      </c>
      <c r="Q64" s="169">
        <f>460+480+210</f>
        <v>1150</v>
      </c>
    </row>
    <row r="65" spans="1:17" ht="60" x14ac:dyDescent="0.2">
      <c r="A65" s="6">
        <v>54</v>
      </c>
      <c r="B65" s="6" t="str">
        <f>VLOOKUP(Tabla4[[#This Row],[Codigo]],Tabla2[[Cod]:[Nombre ]],2,0)</f>
        <v>P-1042</v>
      </c>
      <c r="C65" s="53">
        <f>VLOOKUP(Tabla4[[#This Row],[Codigo]],Tabla2[[Cod]:[Nombre ]],3,0)</f>
        <v>44455</v>
      </c>
      <c r="D65" s="6" t="str">
        <f>VLOOKUP(Tabla4[[#This Row],[Codigo]],Tabla2[[Cod]:[Nombre ]],4,0)</f>
        <v>Tis-1045</v>
      </c>
      <c r="E65" s="5" t="str">
        <f>VLOOKUP(Tabla4[[#This Row],[Codigo]],Tabla2[[Cod]:[Nombre ]],8,0)</f>
        <v>NAVAR CATERING SERVICES S.A.S ZOMAC</v>
      </c>
      <c r="F65" s="5" t="str">
        <f>VLOOKUP(Tabla4[[#This Row],[Codigo]],Tabla2[[Cod]:[Nombre ]],6,0)</f>
        <v>ok</v>
      </c>
      <c r="G65" s="7" t="s">
        <v>282</v>
      </c>
      <c r="H65" s="21" t="str">
        <f>VLOOKUP(Tabla4[[#This Row],[No]],Parametros!A:C,2,0)</f>
        <v>Batería de Riesgo Psicosocial</v>
      </c>
      <c r="I65" s="21" t="s">
        <v>283</v>
      </c>
      <c r="J65" s="163">
        <v>27</v>
      </c>
      <c r="K65" s="294">
        <v>22000</v>
      </c>
      <c r="L65" s="298"/>
      <c r="M65" s="292">
        <f>IF(LEFT(Tabla4[[#This Row],[Electronica]],2)="NC",-Tabla4[[#This Row],[Cantidad]]*Tabla4[[#This Row],[Precio]]+Tabla4[[#This Row],[Dto]],Tabla4[[#This Row],[Cantidad]]*Tabla4[[#This Row],[Precio]]-Tabla4[[#This Row],[Dto]])</f>
        <v>594000</v>
      </c>
      <c r="N65" s="292">
        <f>IFERROR(Tabla4[[#This Row],[Sub Total]]*VLOOKUP(Tabla4[[#This Row],[No]],Parametros!A:C,3,0),0)</f>
        <v>112860</v>
      </c>
      <c r="O65" s="292">
        <f>+Tabla4[[#This Row],[IVA]]+Tabla4[[#This Row],[Sub Total]]</f>
        <v>706860</v>
      </c>
      <c r="Q65" s="168">
        <v>706860</v>
      </c>
    </row>
    <row r="66" spans="1:17" ht="48" x14ac:dyDescent="0.2">
      <c r="A66" s="6">
        <v>54</v>
      </c>
      <c r="B66" s="6" t="str">
        <f>VLOOKUP(Tabla4[[#This Row],[Codigo]],Tabla2[[Cod]:[Nombre ]],2,0)</f>
        <v>P-1042</v>
      </c>
      <c r="C66" s="53">
        <f>VLOOKUP(Tabla4[[#This Row],[Codigo]],Tabla2[[Cod]:[Nombre ]],3,0)</f>
        <v>44455</v>
      </c>
      <c r="D66" s="6" t="str">
        <f>VLOOKUP(Tabla4[[#This Row],[Codigo]],Tabla2[[Cod]:[Nombre ]],4,0)</f>
        <v>Tis-1045</v>
      </c>
      <c r="E66" s="5" t="str">
        <f>VLOOKUP(Tabla4[[#This Row],[Codigo]],Tabla2[[Cod]:[Nombre ]],8,0)</f>
        <v>NAVAR CATERING SERVICES S.A.S ZOMAC</v>
      </c>
      <c r="F66" s="5" t="str">
        <f>VLOOKUP(Tabla4[[#This Row],[Codigo]],Tabla2[[Cod]:[Nombre ]],6,0)</f>
        <v>ok</v>
      </c>
      <c r="G66" s="7" t="s">
        <v>420</v>
      </c>
      <c r="H66" s="21" t="str">
        <f>VLOOKUP(Tabla4[[#This Row],[No]],Parametros!A:C,2,0)</f>
        <v>Análisis Puesto trabajo</v>
      </c>
      <c r="I66" s="21" t="s">
        <v>432</v>
      </c>
      <c r="J66" s="163">
        <v>8</v>
      </c>
      <c r="K66" s="294">
        <v>210000</v>
      </c>
      <c r="L66" s="298"/>
      <c r="M66" s="292">
        <f>IF(LEFT(Tabla4[[#This Row],[Electronica]],2)="NC",-Tabla4[[#This Row],[Cantidad]]*Tabla4[[#This Row],[Precio]]+Tabla4[[#This Row],[Dto]],Tabla4[[#This Row],[Cantidad]]*Tabla4[[#This Row],[Precio]]-Tabla4[[#This Row],[Dto]])</f>
        <v>1680000</v>
      </c>
      <c r="N66" s="292">
        <f>IFERROR(Tabla4[[#This Row],[Sub Total]]*VLOOKUP(Tabla4[[#This Row],[No]],Parametros!A:C,3,0),0)</f>
        <v>319200</v>
      </c>
      <c r="O66" s="292">
        <f>+Tabla4[[#This Row],[IVA]]+Tabla4[[#This Row],[Sub Total]]</f>
        <v>1999200</v>
      </c>
    </row>
    <row r="67" spans="1:17" ht="36" x14ac:dyDescent="0.2">
      <c r="A67" s="6">
        <v>54</v>
      </c>
      <c r="B67" s="6" t="str">
        <f>VLOOKUP(Tabla4[[#This Row],[Codigo]],Tabla2[[Cod]:[Nombre ]],2,0)</f>
        <v>P-1042</v>
      </c>
      <c r="C67" s="53">
        <f>VLOOKUP(Tabla4[[#This Row],[Codigo]],Tabla2[[Cod]:[Nombre ]],3,0)</f>
        <v>44455</v>
      </c>
      <c r="D67" s="6" t="str">
        <f>VLOOKUP(Tabla4[[#This Row],[Codigo]],Tabla2[[Cod]:[Nombre ]],4,0)</f>
        <v>Tis-1045</v>
      </c>
      <c r="E67" s="5" t="str">
        <f>VLOOKUP(Tabla4[[#This Row],[Codigo]],Tabla2[[Cod]:[Nombre ]],8,0)</f>
        <v>NAVAR CATERING SERVICES S.A.S ZOMAC</v>
      </c>
      <c r="F67" s="5" t="str">
        <f>VLOOKUP(Tabla4[[#This Row],[Codigo]],Tabla2[[Cod]:[Nombre ]],6,0)</f>
        <v>ok</v>
      </c>
      <c r="G67" s="7">
        <v>12</v>
      </c>
      <c r="H67" s="21" t="str">
        <f>VLOOKUP(Tabla4[[#This Row],[No]],Parametros!A:C,2,0)</f>
        <v>Otros servicios exentos</v>
      </c>
      <c r="I67" s="21" t="s">
        <v>431</v>
      </c>
      <c r="J67" s="163">
        <v>4</v>
      </c>
      <c r="K67" s="294">
        <v>120000</v>
      </c>
      <c r="L67" s="298"/>
      <c r="M67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67" s="292">
        <f>IFERROR(Tabla4[[#This Row],[Sub Total]]*VLOOKUP(Tabla4[[#This Row],[No]],Parametros!A:C,3,0),0)</f>
        <v>0</v>
      </c>
      <c r="O67" s="292">
        <f>+Tabla4[[#This Row],[IVA]]+Tabla4[[#This Row],[Sub Total]]</f>
        <v>480000</v>
      </c>
    </row>
    <row r="68" spans="1:17" ht="30" x14ac:dyDescent="0.2">
      <c r="A68" s="6">
        <v>56</v>
      </c>
      <c r="B68" s="6" t="str">
        <f>VLOOKUP(Tabla4[[#This Row],[Codigo]],Tabla2[[Cod]:[Nombre ]],2,0)</f>
        <v>P-1044</v>
      </c>
      <c r="C68" s="53">
        <f>VLOOKUP(Tabla4[[#This Row],[Codigo]],Tabla2[[Cod]:[Nombre ]],3,0)</f>
        <v>44462</v>
      </c>
      <c r="D68" s="6" t="str">
        <f>VLOOKUP(Tabla4[[#This Row],[Codigo]],Tabla2[[Cod]:[Nombre ]],4,0)</f>
        <v>TIS-1047</v>
      </c>
      <c r="E68" s="5" t="str">
        <f>VLOOKUP(Tabla4[[#This Row],[Codigo]],Tabla2[[Cod]:[Nombre ]],8,0)</f>
        <v>INVERSIONES MEDICAS DE ANTIOQUIA S.A</v>
      </c>
      <c r="F68" s="5" t="str">
        <f>VLOOKUP(Tabla4[[#This Row],[Codigo]],Tabla2[[Cod]:[Nombre ]],6,0)</f>
        <v>ok</v>
      </c>
      <c r="G68" s="7" t="s">
        <v>433</v>
      </c>
      <c r="H68" s="21" t="str">
        <f>VLOOKUP(Tabla4[[#This Row],[No]],Parametros!A:C,2,0)</f>
        <v>Mediciones Higienicas</v>
      </c>
      <c r="I68" s="21" t="s">
        <v>434</v>
      </c>
      <c r="J68" s="163">
        <v>1</v>
      </c>
      <c r="K68" s="294">
        <v>1405000</v>
      </c>
      <c r="L68" s="298"/>
      <c r="M68" s="292">
        <f>IF(LEFT(Tabla4[[#This Row],[Electronica]],2)="NC",-Tabla4[[#This Row],[Cantidad]]*Tabla4[[#This Row],[Precio]]+Tabla4[[#This Row],[Dto]],Tabla4[[#This Row],[Cantidad]]*Tabla4[[#This Row],[Precio]]-Tabla4[[#This Row],[Dto]])</f>
        <v>1405000</v>
      </c>
      <c r="N68" s="292">
        <f>IFERROR(Tabla4[[#This Row],[Sub Total]]*VLOOKUP(Tabla4[[#This Row],[No]],Parametros!A:C,3,0),0)</f>
        <v>266950</v>
      </c>
      <c r="O68" s="292">
        <f>+Tabla4[[#This Row],[IVA]]+Tabla4[[#This Row],[Sub Total]]</f>
        <v>1671950</v>
      </c>
    </row>
    <row r="69" spans="1:17" ht="60" x14ac:dyDescent="0.2">
      <c r="A69" s="6">
        <v>57</v>
      </c>
      <c r="B69" s="6" t="str">
        <f>VLOOKUP(Tabla4[[#This Row],[Codigo]],Tabla2[[Cod]:[Nombre ]],2,0)</f>
        <v>P-1045</v>
      </c>
      <c r="C69" s="53">
        <f>VLOOKUP(Tabla4[[#This Row],[Codigo]],Tabla2[[Cod]:[Nombre ]],3,0)</f>
        <v>44462</v>
      </c>
      <c r="D69" s="6" t="str">
        <f>VLOOKUP(Tabla4[[#This Row],[Codigo]],Tabla2[[Cod]:[Nombre ]],4,0)</f>
        <v>TIS-1048</v>
      </c>
      <c r="E69" s="220" t="str">
        <f>VLOOKUP(Tabla4[[#This Row],[Codigo]],Tabla2[[Cod]:[Nombre ]],8,0)</f>
        <v>FUNDACION FERNANDO BORRERO CAICEDO</v>
      </c>
      <c r="F69" s="5" t="str">
        <f>VLOOKUP(Tabla4[[#This Row],[Codigo]],Tabla2[[Cod]:[Nombre ]],6,0)</f>
        <v>ok</v>
      </c>
      <c r="G69" s="7" t="s">
        <v>433</v>
      </c>
      <c r="H69" s="21" t="str">
        <f>VLOOKUP(Tabla4[[#This Row],[No]],Parametros!A:C,2,0)</f>
        <v>Mediciones Higienicas</v>
      </c>
      <c r="I69" s="81" t="s">
        <v>435</v>
      </c>
      <c r="J69" s="163">
        <v>1</v>
      </c>
      <c r="K69" s="294">
        <v>590000</v>
      </c>
      <c r="L69" s="298"/>
      <c r="M69" s="292">
        <f>IF(LEFT(Tabla4[[#This Row],[Electronica]],2)="NC",-Tabla4[[#This Row],[Cantidad]]*Tabla4[[#This Row],[Precio]]+Tabla4[[#This Row],[Dto]],Tabla4[[#This Row],[Cantidad]]*Tabla4[[#This Row],[Precio]]-Tabla4[[#This Row],[Dto]])</f>
        <v>590000</v>
      </c>
      <c r="N69" s="292">
        <f>IFERROR(Tabla4[[#This Row],[Sub Total]]*VLOOKUP(Tabla4[[#This Row],[No]],Parametros!A:C,3,0),0)</f>
        <v>112100</v>
      </c>
      <c r="O69" s="292">
        <f>+Tabla4[[#This Row],[IVA]]+Tabla4[[#This Row],[Sub Total]]</f>
        <v>702100</v>
      </c>
    </row>
    <row r="70" spans="1:17" ht="60" x14ac:dyDescent="0.2">
      <c r="A70" s="6">
        <v>58</v>
      </c>
      <c r="B70" s="6" t="str">
        <f>VLOOKUP(Tabla4[[#This Row],[Codigo]],Tabla2[[Cod]:[Nombre ]],2,0)</f>
        <v>P-1046</v>
      </c>
      <c r="C70" s="53">
        <f>VLOOKUP(Tabla4[[#This Row],[Codigo]],Tabla2[[Cod]:[Nombre ]],3,0)</f>
        <v>44462</v>
      </c>
      <c r="D70" s="6" t="str">
        <f>VLOOKUP(Tabla4[[#This Row],[Codigo]],Tabla2[[Cod]:[Nombre ]],4,0)</f>
        <v>Tis-1055</v>
      </c>
      <c r="E70" s="5" t="str">
        <f>VLOOKUP(Tabla4[[#This Row],[Codigo]],Tabla2[[Cod]:[Nombre ]],8,0)</f>
        <v>Procesos 2000 S.A.S.</v>
      </c>
      <c r="F70" s="5" t="str">
        <f>VLOOKUP(Tabla4[[#This Row],[Codigo]],Tabla2[[Cod]:[Nombre ]],6,0)</f>
        <v>ok</v>
      </c>
      <c r="G70" s="7" t="s">
        <v>282</v>
      </c>
      <c r="H70" s="21" t="str">
        <f>VLOOKUP(Tabla4[[#This Row],[No]],Parametros!A:C,2,0)</f>
        <v>Batería de Riesgo Psicosocial</v>
      </c>
      <c r="I70" s="21" t="s">
        <v>283</v>
      </c>
      <c r="J70" s="163">
        <v>73</v>
      </c>
      <c r="K70" s="294">
        <v>22000</v>
      </c>
      <c r="L70" s="298"/>
      <c r="M70" s="292">
        <f>IF(LEFT(Tabla4[[#This Row],[Electronica]],2)="NC",-Tabla4[[#This Row],[Cantidad]]*Tabla4[[#This Row],[Precio]]+Tabla4[[#This Row],[Dto]],Tabla4[[#This Row],[Cantidad]]*Tabla4[[#This Row],[Precio]]-Tabla4[[#This Row],[Dto]])</f>
        <v>1606000</v>
      </c>
      <c r="N70" s="292">
        <f>IFERROR(Tabla4[[#This Row],[Sub Total]]*VLOOKUP(Tabla4[[#This Row],[No]],Parametros!A:C,3,0),0)</f>
        <v>305140</v>
      </c>
      <c r="O70" s="292">
        <f>+Tabla4[[#This Row],[IVA]]+Tabla4[[#This Row],[Sub Total]]</f>
        <v>1911140</v>
      </c>
    </row>
    <row r="71" spans="1:17" ht="60" x14ac:dyDescent="0.2">
      <c r="A71" s="6">
        <v>59</v>
      </c>
      <c r="B71" s="6" t="str">
        <f>VLOOKUP(Tabla4[[#This Row],[Codigo]],Tabla2[[Cod]:[Nombre ]],2,0)</f>
        <v>P-1047</v>
      </c>
      <c r="C71" s="53">
        <f>VLOOKUP(Tabla4[[#This Row],[Codigo]],Tabla2[[Cod]:[Nombre ]],3,0)</f>
        <v>44462</v>
      </c>
      <c r="D71" s="6" t="str">
        <f>VLOOKUP(Tabla4[[#This Row],[Codigo]],Tabla2[[Cod]:[Nombre ]],4,0)</f>
        <v>Tis-1046</v>
      </c>
      <c r="E71" s="5" t="str">
        <f>VLOOKUP(Tabla4[[#This Row],[Codigo]],Tabla2[[Cod]:[Nombre ]],8,0)</f>
        <v>EVAL.COM CONSULTING SAS</v>
      </c>
      <c r="F71" s="5" t="str">
        <f>VLOOKUP(Tabla4[[#This Row],[Codigo]],Tabla2[[Cod]:[Nombre ]],6,0)</f>
        <v>ok</v>
      </c>
      <c r="G71" s="7" t="s">
        <v>282</v>
      </c>
      <c r="H71" s="21" t="str">
        <f>VLOOKUP(Tabla4[[#This Row],[No]],Parametros!A:C,2,0)</f>
        <v>Batería de Riesgo Psicosocial</v>
      </c>
      <c r="I71" s="21" t="s">
        <v>283</v>
      </c>
      <c r="J71" s="163">
        <v>45</v>
      </c>
      <c r="K71" s="294">
        <v>19000</v>
      </c>
      <c r="L71" s="298"/>
      <c r="M71" s="292">
        <f>IF(LEFT(Tabla4[[#This Row],[Electronica]],2)="NC",-Tabla4[[#This Row],[Cantidad]]*Tabla4[[#This Row],[Precio]]+Tabla4[[#This Row],[Dto]],Tabla4[[#This Row],[Cantidad]]*Tabla4[[#This Row],[Precio]]-Tabla4[[#This Row],[Dto]])</f>
        <v>855000</v>
      </c>
      <c r="N71" s="292">
        <f>IFERROR(Tabla4[[#This Row],[Sub Total]]*VLOOKUP(Tabla4[[#This Row],[No]],Parametros!A:C,3,0),0)</f>
        <v>162450</v>
      </c>
      <c r="O71" s="292">
        <f>+Tabla4[[#This Row],[IVA]]+Tabla4[[#This Row],[Sub Total]]</f>
        <v>1017450</v>
      </c>
    </row>
    <row r="72" spans="1:17" ht="36" x14ac:dyDescent="0.2">
      <c r="A72" s="6">
        <v>60</v>
      </c>
      <c r="B72" s="6" t="str">
        <f>VLOOKUP(Tabla4[[#This Row],[Codigo]],Tabla2[[Cod]:[Nombre ]],2,0)</f>
        <v>P-1048</v>
      </c>
      <c r="C72" s="53">
        <f>VLOOKUP(Tabla4[[#This Row],[Codigo]],Tabla2[[Cod]:[Nombre ]],3,0)</f>
        <v>44462</v>
      </c>
      <c r="D72" s="6" t="str">
        <f>VLOOKUP(Tabla4[[#This Row],[Codigo]],Tabla2[[Cod]:[Nombre ]],4,0)</f>
        <v>Tis-1058</v>
      </c>
      <c r="E72" s="5" t="str">
        <f>VLOOKUP(Tabla4[[#This Row],[Codigo]],Tabla2[[Cod]:[Nombre ]],8,0)</f>
        <v>Maria del Pilar Alvarado Joya</v>
      </c>
      <c r="F72" s="5" t="str">
        <f>VLOOKUP(Tabla4[[#This Row],[Codigo]],Tabla2[[Cod]:[Nombre ]],6,0)</f>
        <v>ok</v>
      </c>
      <c r="G72" s="7" t="s">
        <v>417</v>
      </c>
      <c r="H72" s="21" t="str">
        <f>VLOOKUP(Tabla4[[#This Row],[No]],Parametros!A:C,2,0)</f>
        <v>Capacitación acompañamiento Virtual SST</v>
      </c>
      <c r="I72" s="21" t="s">
        <v>436</v>
      </c>
      <c r="J72" s="163">
        <v>1</v>
      </c>
      <c r="K72" s="294">
        <v>900000</v>
      </c>
      <c r="L72" s="298"/>
      <c r="M72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72" s="292">
        <f>IFERROR(Tabla4[[#This Row],[Sub Total]]*VLOOKUP(Tabla4[[#This Row],[No]],Parametros!A:C,3,0),0)</f>
        <v>0</v>
      </c>
      <c r="O72" s="292">
        <f>+Tabla4[[#This Row],[IVA]]+Tabla4[[#This Row],[Sub Total]]</f>
        <v>900000</v>
      </c>
    </row>
    <row r="73" spans="1:17" ht="72" x14ac:dyDescent="0.2">
      <c r="A73" s="6">
        <v>61</v>
      </c>
      <c r="B73" s="6" t="str">
        <f>VLOOKUP(Tabla4[[#This Row],[Codigo]],Tabla2[[Cod]:[Nombre ]],2,0)</f>
        <v>P-1049</v>
      </c>
      <c r="C73" s="53">
        <f>VLOOKUP(Tabla4[[#This Row],[Codigo]],Tabla2[[Cod]:[Nombre ]],3,0)</f>
        <v>44467</v>
      </c>
      <c r="D73" s="6" t="str">
        <f>VLOOKUP(Tabla4[[#This Row],[Codigo]],Tabla2[[Cod]:[Nombre ]],4,0)</f>
        <v>Tis-1059</v>
      </c>
      <c r="E73" s="5" t="str">
        <f>VLOOKUP(Tabla4[[#This Row],[Codigo]],Tabla2[[Cod]:[Nombre ]],8,0)</f>
        <v>Maria del Pilar Alvarado Joya</v>
      </c>
      <c r="F73" s="5" t="str">
        <f>VLOOKUP(Tabla4[[#This Row],[Codigo]],Tabla2[[Cod]:[Nombre ]],6,0)</f>
        <v>ok</v>
      </c>
      <c r="G73" s="7" t="s">
        <v>417</v>
      </c>
      <c r="H73" s="21" t="str">
        <f>VLOOKUP(Tabla4[[#This Row],[No]],Parametros!A:C,2,0)</f>
        <v>Capacitación acompañamiento Virtual SST</v>
      </c>
      <c r="I73" s="87" t="s">
        <v>437</v>
      </c>
      <c r="J73" s="163">
        <v>1</v>
      </c>
      <c r="K73" s="294">
        <v>150000</v>
      </c>
      <c r="L73" s="298"/>
      <c r="M73" s="292">
        <f>IF(LEFT(Tabla4[[#This Row],[Electronica]],2)="NC",-Tabla4[[#This Row],[Cantidad]]*Tabla4[[#This Row],[Precio]]+Tabla4[[#This Row],[Dto]],Tabla4[[#This Row],[Cantidad]]*Tabla4[[#This Row],[Precio]]-Tabla4[[#This Row],[Dto]])</f>
        <v>150000</v>
      </c>
      <c r="N73" s="292">
        <f>IFERROR(Tabla4[[#This Row],[Sub Total]]*VLOOKUP(Tabla4[[#This Row],[No]],Parametros!A:C,3,0),0)</f>
        <v>0</v>
      </c>
      <c r="O73" s="292">
        <f>+Tabla4[[#This Row],[IVA]]+Tabla4[[#This Row],[Sub Total]]</f>
        <v>150000</v>
      </c>
    </row>
    <row r="74" spans="1:17" ht="60" x14ac:dyDescent="0.2">
      <c r="A74" s="6">
        <v>62</v>
      </c>
      <c r="B74" s="6" t="str">
        <f>VLOOKUP(Tabla4[[#This Row],[Codigo]],Tabla2[[Cod]:[Nombre ]],2,0)</f>
        <v>P-1050</v>
      </c>
      <c r="C74" s="53">
        <f>VLOOKUP(Tabla4[[#This Row],[Codigo]],Tabla2[[Cod]:[Nombre ]],3,0)</f>
        <v>44467</v>
      </c>
      <c r="D74" s="6" t="str">
        <f>VLOOKUP(Tabla4[[#This Row],[Codigo]],Tabla2[[Cod]:[Nombre ]],4,0)</f>
        <v>Tis-1066</v>
      </c>
      <c r="E74" s="5" t="str">
        <f>VLOOKUP(Tabla4[[#This Row],[Codigo]],Tabla2[[Cod]:[Nombre ]],8,0)</f>
        <v>BETA LOGISTIC SERVICES SAS</v>
      </c>
      <c r="F74" s="5" t="str">
        <f>VLOOKUP(Tabla4[[#This Row],[Codigo]],Tabla2[[Cod]:[Nombre ]],6,0)</f>
        <v>ok</v>
      </c>
      <c r="G74" s="7" t="s">
        <v>282</v>
      </c>
      <c r="H74" s="21" t="str">
        <f>VLOOKUP(Tabla4[[#This Row],[No]],Parametros!A:C,2,0)</f>
        <v>Batería de Riesgo Psicosocial</v>
      </c>
      <c r="I74" s="21" t="s">
        <v>283</v>
      </c>
      <c r="J74" s="163">
        <v>13</v>
      </c>
      <c r="K74" s="294">
        <v>22000</v>
      </c>
      <c r="L74" s="298"/>
      <c r="M74" s="292">
        <f>IF(LEFT(Tabla4[[#This Row],[Electronica]],2)="NC",-Tabla4[[#This Row],[Cantidad]]*Tabla4[[#This Row],[Precio]]+Tabla4[[#This Row],[Dto]],Tabla4[[#This Row],[Cantidad]]*Tabla4[[#This Row],[Precio]]-Tabla4[[#This Row],[Dto]])</f>
        <v>286000</v>
      </c>
      <c r="N74" s="292">
        <f>IFERROR(Tabla4[[#This Row],[Sub Total]]*VLOOKUP(Tabla4[[#This Row],[No]],Parametros!A:C,3,0),0)</f>
        <v>54340</v>
      </c>
      <c r="O74" s="292">
        <f>+Tabla4[[#This Row],[IVA]]+Tabla4[[#This Row],[Sub Total]]</f>
        <v>340340</v>
      </c>
    </row>
    <row r="75" spans="1:17" ht="36" x14ac:dyDescent="0.2">
      <c r="A75" s="6">
        <v>62</v>
      </c>
      <c r="B75" s="6" t="str">
        <f>VLOOKUP(Tabla4[[#This Row],[Codigo]],Tabla2[[Cod]:[Nombre ]],2,0)</f>
        <v>P-1050</v>
      </c>
      <c r="C75" s="53">
        <f>VLOOKUP(Tabla4[[#This Row],[Codigo]],Tabla2[[Cod]:[Nombre ]],3,0)</f>
        <v>44467</v>
      </c>
      <c r="D75" s="6" t="str">
        <f>VLOOKUP(Tabla4[[#This Row],[Codigo]],Tabla2[[Cod]:[Nombre ]],4,0)</f>
        <v>Tis-1066</v>
      </c>
      <c r="E75" s="220" t="str">
        <f>VLOOKUP(Tabla4[[#This Row],[Codigo]],Tabla2[[Cod]:[Nombre ]],8,0)</f>
        <v>BETA LOGISTIC SERVICES SAS</v>
      </c>
      <c r="F75" s="5" t="str">
        <f>VLOOKUP(Tabla4[[#This Row],[Codigo]],Tabla2[[Cod]:[Nombre ]],6,0)</f>
        <v>ok</v>
      </c>
      <c r="G75" s="7" t="s">
        <v>433</v>
      </c>
      <c r="H75" s="21" t="str">
        <f>VLOOKUP(Tabla4[[#This Row],[No]],Parametros!A:C,2,0)</f>
        <v>Mediciones Higienicas</v>
      </c>
      <c r="I75" s="21" t="s">
        <v>438</v>
      </c>
      <c r="J75" s="163">
        <v>1</v>
      </c>
      <c r="K75" s="294">
        <v>590000</v>
      </c>
      <c r="L75" s="298"/>
      <c r="M75" s="292">
        <f>IF(LEFT(Tabla4[[#This Row],[Electronica]],2)="NC",-Tabla4[[#This Row],[Cantidad]]*Tabla4[[#This Row],[Precio]]+Tabla4[[#This Row],[Dto]],Tabla4[[#This Row],[Cantidad]]*Tabla4[[#This Row],[Precio]]-Tabla4[[#This Row],[Dto]])</f>
        <v>590000</v>
      </c>
      <c r="N75" s="292">
        <f>IFERROR(Tabla4[[#This Row],[Sub Total]]*VLOOKUP(Tabla4[[#This Row],[No]],Parametros!A:C,3,0),0)</f>
        <v>112100</v>
      </c>
      <c r="O75" s="292">
        <f>+Tabla4[[#This Row],[IVA]]+Tabla4[[#This Row],[Sub Total]]</f>
        <v>702100</v>
      </c>
    </row>
    <row r="76" spans="1:17" ht="48" x14ac:dyDescent="0.2">
      <c r="A76" s="6">
        <v>63</v>
      </c>
      <c r="B76" s="6" t="str">
        <f>VLOOKUP(Tabla4[[#This Row],[Codigo]],Tabla2[[Cod]:[Nombre ]],2,0)</f>
        <v>P-1051</v>
      </c>
      <c r="C76" s="53">
        <f>VLOOKUP(Tabla4[[#This Row],[Codigo]],Tabla2[[Cod]:[Nombre ]],3,0)</f>
        <v>44468</v>
      </c>
      <c r="D76" s="6">
        <f>VLOOKUP(Tabla4[[#This Row],[Codigo]],Tabla2[[Cod]:[Nombre ]],4,0)</f>
        <v>0</v>
      </c>
      <c r="E76" s="5" t="str">
        <f>VLOOKUP(Tabla4[[#This Row],[Codigo]],Tabla2[[Cod]:[Nombre ]],8,0)</f>
        <v>RENAL MEDICAL MARKETING LIMITADA</v>
      </c>
      <c r="F76" s="5" t="str">
        <f>VLOOKUP(Tabla4[[#This Row],[Codigo]],Tabla2[[Cod]:[Nombre ]],6,0)</f>
        <v>Anulado</v>
      </c>
      <c r="G76" s="7" t="s">
        <v>416</v>
      </c>
      <c r="H76" s="21" t="str">
        <f>VLOOKUP(Tabla4[[#This Row],[No]],Parametros!A:C,2,0)</f>
        <v>Consultoría Implementacion SG-SST</v>
      </c>
      <c r="I76" s="21" t="s">
        <v>439</v>
      </c>
      <c r="J76" s="163">
        <v>1</v>
      </c>
      <c r="K76" s="294">
        <v>450000</v>
      </c>
      <c r="L76" s="298"/>
      <c r="M76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76" s="292">
        <f>IFERROR(Tabla4[[#This Row],[Sub Total]]*VLOOKUP(Tabla4[[#This Row],[No]],Parametros!A:C,3,0),0)</f>
        <v>85500</v>
      </c>
      <c r="O76" s="292">
        <f>+Tabla4[[#This Row],[IVA]]+Tabla4[[#This Row],[Sub Total]]</f>
        <v>535500</v>
      </c>
    </row>
    <row r="77" spans="1:17" ht="36" x14ac:dyDescent="0.2">
      <c r="A77" s="6">
        <v>64</v>
      </c>
      <c r="B77" s="6" t="str">
        <f>VLOOKUP(Tabla4[[#This Row],[Codigo]],Tabla2[[Cod]:[Nombre ]],2,0)</f>
        <v>P-1052</v>
      </c>
      <c r="C77" s="53">
        <f>VLOOKUP(Tabla4[[#This Row],[Codigo]],Tabla2[[Cod]:[Nombre ]],3,0)</f>
        <v>44474</v>
      </c>
      <c r="D77" s="6" t="str">
        <f>VLOOKUP(Tabla4[[#This Row],[Codigo]],Tabla2[[Cod]:[Nombre ]],4,0)</f>
        <v>TIS-1049</v>
      </c>
      <c r="E77" s="5" t="str">
        <f>VLOOKUP(Tabla4[[#This Row],[Codigo]],Tabla2[[Cod]:[Nombre ]],8,0)</f>
        <v>Comercializadora ERZ SAS</v>
      </c>
      <c r="F77" s="5" t="str">
        <f>VLOOKUP(Tabla4[[#This Row],[Codigo]],Tabla2[[Cod]:[Nombre ]],6,0)</f>
        <v>ok</v>
      </c>
      <c r="G77" s="7" t="s">
        <v>416</v>
      </c>
      <c r="H77" s="21" t="str">
        <f>VLOOKUP(Tabla4[[#This Row],[No]],Parametros!A:C,2,0)</f>
        <v>Consultoría Implementacion SG-SST</v>
      </c>
      <c r="I77" s="21" t="s">
        <v>440</v>
      </c>
      <c r="J77" s="163">
        <v>1</v>
      </c>
      <c r="K77" s="294">
        <v>220000</v>
      </c>
      <c r="L77" s="298"/>
      <c r="M77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77" s="292">
        <f>IFERROR(Tabla4[[#This Row],[Sub Total]]*VLOOKUP(Tabla4[[#This Row],[No]],Parametros!A:C,3,0),0)</f>
        <v>41800</v>
      </c>
      <c r="O77" s="292">
        <f>+Tabla4[[#This Row],[IVA]]+Tabla4[[#This Row],[Sub Total]]</f>
        <v>261800</v>
      </c>
    </row>
    <row r="78" spans="1:17" ht="36" x14ac:dyDescent="0.2">
      <c r="A78" s="6">
        <v>65</v>
      </c>
      <c r="B78" s="6" t="str">
        <f>VLOOKUP(Tabla4[[#This Row],[Codigo]],Tabla2[[Cod]:[Nombre ]],2,0)</f>
        <v>P-1053</v>
      </c>
      <c r="C78" s="53">
        <f>VLOOKUP(Tabla4[[#This Row],[Codigo]],Tabla2[[Cod]:[Nombre ]],3,0)</f>
        <v>44475</v>
      </c>
      <c r="D78" s="6" t="str">
        <f>VLOOKUP(Tabla4[[#This Row],[Codigo]],Tabla2[[Cod]:[Nombre ]],4,0)</f>
        <v>TIS-1067</v>
      </c>
      <c r="E78" s="5" t="str">
        <f>VLOOKUP(Tabla4[[#This Row],[Codigo]],Tabla2[[Cod]:[Nombre ]],8,0)</f>
        <v>Maria del Pilar Alvarado Joya</v>
      </c>
      <c r="F78" s="5" t="str">
        <f>VLOOKUP(Tabla4[[#This Row],[Codigo]],Tabla2[[Cod]:[Nombre ]],6,0)</f>
        <v>ok</v>
      </c>
      <c r="G78" s="7" t="s">
        <v>417</v>
      </c>
      <c r="H78" s="21" t="str">
        <f>VLOOKUP(Tabla4[[#This Row],[No]],Parametros!A:C,2,0)</f>
        <v>Capacitación acompañamiento Virtual SST</v>
      </c>
      <c r="I78" s="21" t="s">
        <v>441</v>
      </c>
      <c r="J78" s="163">
        <v>1</v>
      </c>
      <c r="K78" s="294">
        <v>900000</v>
      </c>
      <c r="L78" s="298"/>
      <c r="M78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78" s="292">
        <f>IFERROR(Tabla4[[#This Row],[Sub Total]]*VLOOKUP(Tabla4[[#This Row],[No]],Parametros!A:C,3,0),0)</f>
        <v>0</v>
      </c>
      <c r="O78" s="292">
        <f>+Tabla4[[#This Row],[IVA]]+Tabla4[[#This Row],[Sub Total]]</f>
        <v>900000</v>
      </c>
    </row>
    <row r="79" spans="1:17" ht="36" x14ac:dyDescent="0.2">
      <c r="A79" s="6">
        <v>66</v>
      </c>
      <c r="B79" s="6" t="str">
        <f>VLOOKUP(Tabla4[[#This Row],[Codigo]],Tabla2[[Cod]:[Nombre ]],2,0)</f>
        <v>P-1054</v>
      </c>
      <c r="C79" s="53">
        <f>VLOOKUP(Tabla4[[#This Row],[Codigo]],Tabla2[[Cod]:[Nombre ]],3,0)</f>
        <v>44476</v>
      </c>
      <c r="D79" s="6" t="str">
        <f>VLOOKUP(Tabla4[[#This Row],[Codigo]],Tabla2[[Cod]:[Nombre ]],4,0)</f>
        <v>TIS-1071</v>
      </c>
      <c r="E79" s="5" t="str">
        <f>VLOOKUP(Tabla4[[#This Row],[Codigo]],Tabla2[[Cod]:[Nombre ]],8,0)</f>
        <v>Inversiones Sajamib SAS</v>
      </c>
      <c r="F79" s="5" t="str">
        <f>VLOOKUP(Tabla4[[#This Row],[Codigo]],Tabla2[[Cod]:[Nombre ]],6,0)</f>
        <v>ok</v>
      </c>
      <c r="G79" s="7" t="s">
        <v>417</v>
      </c>
      <c r="H79" s="21" t="str">
        <f>VLOOKUP(Tabla4[[#This Row],[No]],Parametros!A:C,2,0)</f>
        <v>Capacitación acompañamiento Virtual SST</v>
      </c>
      <c r="I79" s="21" t="s">
        <v>442</v>
      </c>
      <c r="J79" s="163">
        <v>1</v>
      </c>
      <c r="K79" s="294">
        <v>322000</v>
      </c>
      <c r="L79" s="298"/>
      <c r="M79" s="292">
        <f>IF(LEFT(Tabla4[[#This Row],[Electronica]],2)="NC",-Tabla4[[#This Row],[Cantidad]]*Tabla4[[#This Row],[Precio]]+Tabla4[[#This Row],[Dto]],Tabla4[[#This Row],[Cantidad]]*Tabla4[[#This Row],[Precio]]-Tabla4[[#This Row],[Dto]])</f>
        <v>322000</v>
      </c>
      <c r="N79" s="292">
        <f>IFERROR(Tabla4[[#This Row],[Sub Total]]*VLOOKUP(Tabla4[[#This Row],[No]],Parametros!A:C,3,0),0)</f>
        <v>0</v>
      </c>
      <c r="O79" s="292">
        <f>+Tabla4[[#This Row],[IVA]]+Tabla4[[#This Row],[Sub Total]]</f>
        <v>322000</v>
      </c>
    </row>
    <row r="80" spans="1:17" ht="60" x14ac:dyDescent="0.2">
      <c r="A80" s="6">
        <v>67</v>
      </c>
      <c r="B80" s="6" t="str">
        <f>VLOOKUP(Tabla4[[#This Row],[Codigo]],Tabla2[[Cod]:[Nombre ]],2,0)</f>
        <v>P-1055</v>
      </c>
      <c r="C80" s="53">
        <f>VLOOKUP(Tabla4[[#This Row],[Codigo]],Tabla2[[Cod]:[Nombre ]],3,0)</f>
        <v>44480</v>
      </c>
      <c r="D80" s="6" t="str">
        <f>VLOOKUP(Tabla4[[#This Row],[Codigo]],Tabla2[[Cod]:[Nombre ]],4,0)</f>
        <v>TIS-1075</v>
      </c>
      <c r="E80" s="5" t="str">
        <f>VLOOKUP(Tabla4[[#This Row],[Codigo]],Tabla2[[Cod]:[Nombre ]],8,0)</f>
        <v>RENAL MEDICAL MARKETING LIMITADA</v>
      </c>
      <c r="F80" s="5" t="str">
        <f>VLOOKUP(Tabla4[[#This Row],[Codigo]],Tabla2[[Cod]:[Nombre ]],6,0)</f>
        <v>ok</v>
      </c>
      <c r="G80" s="7" t="s">
        <v>282</v>
      </c>
      <c r="H80" s="21" t="str">
        <f>VLOOKUP(Tabla4[[#This Row],[No]],Parametros!A:C,2,0)</f>
        <v>Batería de Riesgo Psicosocial</v>
      </c>
      <c r="I80" s="21" t="s">
        <v>283</v>
      </c>
      <c r="J80" s="163">
        <v>70</v>
      </c>
      <c r="K80" s="294">
        <v>21000</v>
      </c>
      <c r="L80" s="298"/>
      <c r="M80" s="292">
        <f>IF(LEFT(Tabla4[[#This Row],[Electronica]],2)="NC",-Tabla4[[#This Row],[Cantidad]]*Tabla4[[#This Row],[Precio]]+Tabla4[[#This Row],[Dto]],Tabla4[[#This Row],[Cantidad]]*Tabla4[[#This Row],[Precio]]-Tabla4[[#This Row],[Dto]])</f>
        <v>1470000</v>
      </c>
      <c r="N80" s="292">
        <f>IFERROR(Tabla4[[#This Row],[Sub Total]]*VLOOKUP(Tabla4[[#This Row],[No]],Parametros!A:C,3,0),0)</f>
        <v>279300</v>
      </c>
      <c r="O80" s="292">
        <f>+Tabla4[[#This Row],[IVA]]+Tabla4[[#This Row],[Sub Total]]</f>
        <v>1749300</v>
      </c>
    </row>
    <row r="81" spans="1:15" ht="45" x14ac:dyDescent="0.2">
      <c r="A81" s="6">
        <v>68</v>
      </c>
      <c r="B81" s="6" t="str">
        <f>VLOOKUP(Tabla4[[#This Row],[Codigo]],Tabla2[[Cod]:[Nombre ]],2,0)</f>
        <v>P-1056</v>
      </c>
      <c r="C81" s="53">
        <f>VLOOKUP(Tabla4[[#This Row],[Codigo]],Tabla2[[Cod]:[Nombre ]],3,0)</f>
        <v>44496</v>
      </c>
      <c r="D81" s="6" t="str">
        <f>VLOOKUP(Tabla4[[#This Row],[Codigo]],Tabla2[[Cod]:[Nombre ]],4,0)</f>
        <v>Tis-1057</v>
      </c>
      <c r="E81" s="5" t="str">
        <f>VLOOKUP(Tabla4[[#This Row],[Codigo]],Tabla2[[Cod]:[Nombre ]],8,0)</f>
        <v>PRODUCTORA INTERAMERICANA DE PLASTICOS S.A.S.</v>
      </c>
      <c r="F81" s="5" t="str">
        <f>VLOOKUP(Tabla4[[#This Row],[Codigo]],Tabla2[[Cod]:[Nombre ]],6,0)</f>
        <v>ok</v>
      </c>
      <c r="G81" s="7">
        <v>15</v>
      </c>
      <c r="H81" s="21" t="str">
        <f>VLOOKUP(Tabla4[[#This Row],[No]],Parametros!A:C,2,0)</f>
        <v>Investigación Accidente de trabajo</v>
      </c>
      <c r="I81" s="21" t="s">
        <v>443</v>
      </c>
      <c r="J81" s="163">
        <v>2</v>
      </c>
      <c r="K81" s="294">
        <v>85000</v>
      </c>
      <c r="L81" s="298"/>
      <c r="M81" s="292">
        <f>IF(LEFT(Tabla4[[#This Row],[Electronica]],2)="NC",-Tabla4[[#This Row],[Cantidad]]*Tabla4[[#This Row],[Precio]]+Tabla4[[#This Row],[Dto]],Tabla4[[#This Row],[Cantidad]]*Tabla4[[#This Row],[Precio]]-Tabla4[[#This Row],[Dto]])</f>
        <v>170000</v>
      </c>
      <c r="N81" s="292">
        <f>IFERROR(Tabla4[[#This Row],[Sub Total]]*VLOOKUP(Tabla4[[#This Row],[No]],Parametros!A:C,3,0),0)</f>
        <v>32300</v>
      </c>
      <c r="O81" s="292">
        <f>+Tabla4[[#This Row],[IVA]]+Tabla4[[#This Row],[Sub Total]]</f>
        <v>202300</v>
      </c>
    </row>
    <row r="82" spans="1:15" ht="36" x14ac:dyDescent="0.2">
      <c r="A82" s="6">
        <v>69</v>
      </c>
      <c r="B82" s="6" t="str">
        <f>VLOOKUP(Tabla4[[#This Row],[Codigo]],Tabla2[[Cod]:[Nombre ]],2,0)</f>
        <v>P-1057</v>
      </c>
      <c r="C82" s="53">
        <f>VLOOKUP(Tabla4[[#This Row],[Codigo]],Tabla2[[Cod]:[Nombre ]],3,0)</f>
        <v>44496</v>
      </c>
      <c r="D82" s="6">
        <f>VLOOKUP(Tabla4[[#This Row],[Codigo]],Tabla2[[Cod]:[Nombre ]],4,0)</f>
        <v>0</v>
      </c>
      <c r="E82" s="5" t="str">
        <f>VLOOKUP(Tabla4[[#This Row],[Codigo]],Tabla2[[Cod]:[Nombre ]],8,0)</f>
        <v>RENAL MEDICAL MARKETING LIMITADA</v>
      </c>
      <c r="F82" s="5" t="str">
        <f>VLOOKUP(Tabla4[[#This Row],[Codigo]],Tabla2[[Cod]:[Nombre ]],6,0)</f>
        <v>Anulado</v>
      </c>
      <c r="G82" s="7" t="s">
        <v>416</v>
      </c>
      <c r="H82" s="21" t="str">
        <f>VLOOKUP(Tabla4[[#This Row],[No]],Parametros!A:C,2,0)</f>
        <v>Consultoría Implementacion SG-SST</v>
      </c>
      <c r="I82" s="21" t="s">
        <v>444</v>
      </c>
      <c r="J82" s="163">
        <v>1</v>
      </c>
      <c r="K82" s="294">
        <v>450000</v>
      </c>
      <c r="L82" s="298"/>
      <c r="M82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82" s="292">
        <f>IFERROR(Tabla4[[#This Row],[Sub Total]]*VLOOKUP(Tabla4[[#This Row],[No]],Parametros!A:C,3,0),0)</f>
        <v>85500</v>
      </c>
      <c r="O82" s="292">
        <f>+Tabla4[[#This Row],[IVA]]+Tabla4[[#This Row],[Sub Total]]</f>
        <v>535500</v>
      </c>
    </row>
    <row r="83" spans="1:15" ht="60" x14ac:dyDescent="0.2">
      <c r="A83" s="6">
        <v>70</v>
      </c>
      <c r="B83" s="6" t="str">
        <f>VLOOKUP(Tabla4[[#This Row],[Codigo]],Tabla2[[Cod]:[Nombre ]],2,0)</f>
        <v>P-1058</v>
      </c>
      <c r="C83" s="53">
        <f>VLOOKUP(Tabla4[[#This Row],[Codigo]],Tabla2[[Cod]:[Nombre ]],3,0)</f>
        <v>43859</v>
      </c>
      <c r="D83" s="6" t="str">
        <f>VLOOKUP(Tabla4[[#This Row],[Codigo]],Tabla2[[Cod]:[Nombre ]],4,0)</f>
        <v>T-147</v>
      </c>
      <c r="E83" s="5" t="str">
        <f>VLOOKUP(Tabla4[[#This Row],[Codigo]],Tabla2[[Cod]:[Nombre ]],8,0)</f>
        <v>Arrigui Asociados SAS</v>
      </c>
      <c r="F83" s="5" t="str">
        <f>VLOOKUP(Tabla4[[#This Row],[Codigo]],Tabla2[[Cod]:[Nombre ]],6,0)</f>
        <v>ok</v>
      </c>
      <c r="G83" s="7" t="s">
        <v>282</v>
      </c>
      <c r="H83" s="21" t="str">
        <f>VLOOKUP(Tabla4[[#This Row],[No]],Parametros!A:C,2,0)</f>
        <v>Batería de Riesgo Psicosocial</v>
      </c>
      <c r="I83" s="21" t="s">
        <v>283</v>
      </c>
      <c r="J83" s="163">
        <v>59</v>
      </c>
      <c r="K83" s="294">
        <v>20000</v>
      </c>
      <c r="L83" s="298"/>
      <c r="M83" s="292">
        <f>IF(LEFT(Tabla4[[#This Row],[Electronica]],2)="NC",-Tabla4[[#This Row],[Cantidad]]*Tabla4[[#This Row],[Precio]]+Tabla4[[#This Row],[Dto]],Tabla4[[#This Row],[Cantidad]]*Tabla4[[#This Row],[Precio]]-Tabla4[[#This Row],[Dto]])</f>
        <v>1180000</v>
      </c>
      <c r="N83" s="292">
        <f>IFERROR(Tabla4[[#This Row],[Sub Total]]*VLOOKUP(Tabla4[[#This Row],[No]],Parametros!A:C,3,0),0)</f>
        <v>224200</v>
      </c>
      <c r="O83" s="292">
        <f>+Tabla4[[#This Row],[IVA]]+Tabla4[[#This Row],[Sub Total]]</f>
        <v>1404200</v>
      </c>
    </row>
    <row r="84" spans="1:15" ht="48" x14ac:dyDescent="0.2">
      <c r="A84" s="6">
        <v>71</v>
      </c>
      <c r="B84" s="6" t="str">
        <f>VLOOKUP(Tabla4[[#This Row],[Codigo]],Tabla2[[Cod]:[Nombre ]],2,0)</f>
        <v>P-1059</v>
      </c>
      <c r="C84" s="53">
        <f>VLOOKUP(Tabla4[[#This Row],[Codigo]],Tabla2[[Cod]:[Nombre ]],3,0)</f>
        <v>44502</v>
      </c>
      <c r="D84" s="6" t="str">
        <f>VLOOKUP(Tabla4[[#This Row],[Codigo]],Tabla2[[Cod]:[Nombre ]],4,0)</f>
        <v>Tis-1073</v>
      </c>
      <c r="E84" s="5" t="str">
        <f>VLOOKUP(Tabla4[[#This Row],[Codigo]],Tabla2[[Cod]:[Nombre ]],8,0)</f>
        <v>Procesos 2000 S.A.S.</v>
      </c>
      <c r="F84" s="5" t="str">
        <f>VLOOKUP(Tabla4[[#This Row],[Codigo]],Tabla2[[Cod]:[Nombre ]],6,0)</f>
        <v>OK</v>
      </c>
      <c r="G84" s="7">
        <v>14</v>
      </c>
      <c r="H84" s="21" t="str">
        <f>VLOOKUP(Tabla4[[#This Row],[No]],Parametros!A:C,2,0)</f>
        <v>Evaluación de Carga mental</v>
      </c>
      <c r="I84" s="21" t="s">
        <v>445</v>
      </c>
      <c r="J84" s="163">
        <v>11</v>
      </c>
      <c r="K84" s="294">
        <v>109090</v>
      </c>
      <c r="L84" s="298"/>
      <c r="M84" s="292">
        <f>IF(LEFT(Tabla4[[#This Row],[Electronica]],2)="NC",-Tabla4[[#This Row],[Cantidad]]*Tabla4[[#This Row],[Precio]]+Tabla4[[#This Row],[Dto]],Tabla4[[#This Row],[Cantidad]]*Tabla4[[#This Row],[Precio]]-Tabla4[[#This Row],[Dto]])</f>
        <v>1199990</v>
      </c>
      <c r="N84" s="292">
        <f>IFERROR(Tabla4[[#This Row],[Sub Total]]*VLOOKUP(Tabla4[[#This Row],[No]],Parametros!A:C,3,0),0)</f>
        <v>227998.1</v>
      </c>
      <c r="O84" s="292">
        <f>+Tabla4[[#This Row],[IVA]]+Tabla4[[#This Row],[Sub Total]]</f>
        <v>1427988.1</v>
      </c>
    </row>
    <row r="85" spans="1:15" ht="60" x14ac:dyDescent="0.2">
      <c r="A85" s="6">
        <v>72</v>
      </c>
      <c r="B85" s="6" t="str">
        <f>VLOOKUP(Tabla4[[#This Row],[Codigo]],Tabla2[[Cod]:[Nombre ]],2,0)</f>
        <v>P-1060</v>
      </c>
      <c r="C85" s="53">
        <f>VLOOKUP(Tabla4[[#This Row],[Codigo]],Tabla2[[Cod]:[Nombre ]],3,0)</f>
        <v>44511</v>
      </c>
      <c r="D85" s="6" t="str">
        <f>VLOOKUP(Tabla4[[#This Row],[Codigo]],Tabla2[[Cod]:[Nombre ]],4,0)</f>
        <v>TIS-1063</v>
      </c>
      <c r="E85" s="5" t="str">
        <f>VLOOKUP(Tabla4[[#This Row],[Codigo]],Tabla2[[Cod]:[Nombre ]],8,0)</f>
        <v>WOLTA SAS</v>
      </c>
      <c r="F85" s="5" t="str">
        <f>VLOOKUP(Tabla4[[#This Row],[Codigo]],Tabla2[[Cod]:[Nombre ]],6,0)</f>
        <v>OK</v>
      </c>
      <c r="G85" s="7" t="s">
        <v>282</v>
      </c>
      <c r="H85" s="21" t="str">
        <f>VLOOKUP(Tabla4[[#This Row],[No]],Parametros!A:C,2,0)</f>
        <v>Batería de Riesgo Psicosocial</v>
      </c>
      <c r="I85" s="21" t="s">
        <v>283</v>
      </c>
      <c r="J85" s="163">
        <v>21</v>
      </c>
      <c r="K85" s="294">
        <v>25000</v>
      </c>
      <c r="L85" s="298"/>
      <c r="M85" s="292">
        <f>IF(LEFT(Tabla4[[#This Row],[Electronica]],2)="NC",-Tabla4[[#This Row],[Cantidad]]*Tabla4[[#This Row],[Precio]]+Tabla4[[#This Row],[Dto]],Tabla4[[#This Row],[Cantidad]]*Tabla4[[#This Row],[Precio]]-Tabla4[[#This Row],[Dto]])</f>
        <v>525000</v>
      </c>
      <c r="N85" s="292">
        <f>IFERROR(Tabla4[[#This Row],[Sub Total]]*VLOOKUP(Tabla4[[#This Row],[No]],Parametros!A:C,3,0),0)</f>
        <v>99750</v>
      </c>
      <c r="O85" s="292">
        <f>+Tabla4[[#This Row],[IVA]]+Tabla4[[#This Row],[Sub Total]]</f>
        <v>624750</v>
      </c>
    </row>
    <row r="86" spans="1:15" ht="60" x14ac:dyDescent="0.2">
      <c r="A86" s="6">
        <v>73</v>
      </c>
      <c r="B86" s="6" t="str">
        <f>VLOOKUP(Tabla4[[#This Row],[Codigo]],Tabla2[[Cod]:[Nombre ]],2,0)</f>
        <v>P-1061</v>
      </c>
      <c r="C86" s="53">
        <f>VLOOKUP(Tabla4[[#This Row],[Codigo]],Tabla2[[Cod]:[Nombre ]],3,0)</f>
        <v>44511</v>
      </c>
      <c r="D86" s="6" t="str">
        <f>VLOOKUP(Tabla4[[#This Row],[Codigo]],Tabla2[[Cod]:[Nombre ]],4,0)</f>
        <v>Tis-1083</v>
      </c>
      <c r="E86" s="5" t="str">
        <f>VLOOKUP(Tabla4[[#This Row],[Codigo]],Tabla2[[Cod]:[Nombre ]],8,0)</f>
        <v>Aviatek SAS</v>
      </c>
      <c r="F86" s="5" t="str">
        <f>VLOOKUP(Tabla4[[#This Row],[Codigo]],Tabla2[[Cod]:[Nombre ]],6,0)</f>
        <v>ok</v>
      </c>
      <c r="G86" s="7" t="s">
        <v>282</v>
      </c>
      <c r="H86" s="21" t="str">
        <f>VLOOKUP(Tabla4[[#This Row],[No]],Parametros!A:C,2,0)</f>
        <v>Batería de Riesgo Psicosocial</v>
      </c>
      <c r="I86" s="21" t="s">
        <v>283</v>
      </c>
      <c r="J86" s="163">
        <v>21</v>
      </c>
      <c r="K86" s="294">
        <v>22000</v>
      </c>
      <c r="L86" s="298"/>
      <c r="M86" s="292">
        <f>IF(LEFT(Tabla4[[#This Row],[Electronica]],2)="NC",-Tabla4[[#This Row],[Cantidad]]*Tabla4[[#This Row],[Precio]]+Tabla4[[#This Row],[Dto]],Tabla4[[#This Row],[Cantidad]]*Tabla4[[#This Row],[Precio]]-Tabla4[[#This Row],[Dto]])</f>
        <v>462000</v>
      </c>
      <c r="N86" s="292">
        <f>IFERROR(Tabla4[[#This Row],[Sub Total]]*VLOOKUP(Tabla4[[#This Row],[No]],Parametros!A:C,3,0),0)</f>
        <v>87780</v>
      </c>
      <c r="O86" s="292">
        <f>+Tabla4[[#This Row],[IVA]]+Tabla4[[#This Row],[Sub Total]]</f>
        <v>549780</v>
      </c>
    </row>
    <row r="87" spans="1:15" ht="60" x14ac:dyDescent="0.2">
      <c r="A87" s="6">
        <v>74</v>
      </c>
      <c r="B87" s="6" t="str">
        <f>VLOOKUP(Tabla4[[#This Row],[Codigo]],Tabla2[[Cod]:[Nombre ]],2,0)</f>
        <v>P-1062</v>
      </c>
      <c r="C87" s="53">
        <f>VLOOKUP(Tabla4[[#This Row],[Codigo]],Tabla2[[Cod]:[Nombre ]],3,0)</f>
        <v>44511</v>
      </c>
      <c r="D87" s="6" t="str">
        <f>VLOOKUP(Tabla4[[#This Row],[Codigo]],Tabla2[[Cod]:[Nombre ]],4,0)</f>
        <v>TIS-1077</v>
      </c>
      <c r="E87" s="5" t="str">
        <f>VLOOKUP(Tabla4[[#This Row],[Codigo]],Tabla2[[Cod]:[Nombre ]],8,0)</f>
        <v xml:space="preserve">BOCCHERINI S A </v>
      </c>
      <c r="F87" s="5" t="str">
        <f>VLOOKUP(Tabla4[[#This Row],[Codigo]],Tabla2[[Cod]:[Nombre ]],6,0)</f>
        <v>OK</v>
      </c>
      <c r="G87" s="7" t="s">
        <v>282</v>
      </c>
      <c r="H87" s="21" t="str">
        <f>VLOOKUP(Tabla4[[#This Row],[No]],Parametros!A:C,2,0)</f>
        <v>Batería de Riesgo Psicosocial</v>
      </c>
      <c r="I87" s="21" t="s">
        <v>283</v>
      </c>
      <c r="J87" s="163">
        <v>225</v>
      </c>
      <c r="K87" s="294">
        <v>19000</v>
      </c>
      <c r="L87" s="298"/>
      <c r="M87" s="292">
        <f>IF(LEFT(Tabla4[[#This Row],[Electronica]],2)="NC",-Tabla4[[#This Row],[Cantidad]]*Tabla4[[#This Row],[Precio]]+Tabla4[[#This Row],[Dto]],Tabla4[[#This Row],[Cantidad]]*Tabla4[[#This Row],[Precio]]-Tabla4[[#This Row],[Dto]])</f>
        <v>4275000</v>
      </c>
      <c r="N87" s="292">
        <f>IFERROR(Tabla4[[#This Row],[Sub Total]]*VLOOKUP(Tabla4[[#This Row],[No]],Parametros!A:C,3,0),0)</f>
        <v>812250</v>
      </c>
      <c r="O87" s="292">
        <f>+Tabla4[[#This Row],[IVA]]+Tabla4[[#This Row],[Sub Total]]</f>
        <v>5087250</v>
      </c>
    </row>
    <row r="88" spans="1:15" ht="60" x14ac:dyDescent="0.2">
      <c r="A88" s="6">
        <v>75</v>
      </c>
      <c r="B88" s="6" t="str">
        <f>VLOOKUP(Tabla4[[#This Row],[Codigo]],Tabla2[[Cod]:[Nombre ]],2,0)</f>
        <v>P-1063</v>
      </c>
      <c r="C88" s="53">
        <f>VLOOKUP(Tabla4[[#This Row],[Codigo]],Tabla2[[Cod]:[Nombre ]],3,0)</f>
        <v>44518</v>
      </c>
      <c r="D88" s="6">
        <f>VLOOKUP(Tabla4[[#This Row],[Codigo]],Tabla2[[Cod]:[Nombre ]],4,0)</f>
        <v>0</v>
      </c>
      <c r="E88" s="5" t="str">
        <f>VLOOKUP(Tabla4[[#This Row],[Codigo]],Tabla2[[Cod]:[Nombre ]],8,0)</f>
        <v>ANKER CONSULTORIA Y CONSTRUCCION S A S</v>
      </c>
      <c r="F88" s="5" t="str">
        <f>VLOOKUP(Tabla4[[#This Row],[Codigo]],Tabla2[[Cod]:[Nombre ]],6,0)</f>
        <v>OK</v>
      </c>
      <c r="G88" s="7">
        <v>16</v>
      </c>
      <c r="H88" s="21" t="str">
        <f>VLOOKUP(Tabla4[[#This Row],[No]],Parametros!A:C,2,0)</f>
        <v>Intervención Riesgo psicosocial</v>
      </c>
      <c r="I88" s="21" t="s">
        <v>446</v>
      </c>
      <c r="J88" s="163">
        <v>12</v>
      </c>
      <c r="K88" s="294">
        <v>75000</v>
      </c>
      <c r="L88" s="298"/>
      <c r="M88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88" s="292">
        <f>IFERROR(Tabla4[[#This Row],[Sub Total]]*VLOOKUP(Tabla4[[#This Row],[No]],Parametros!A:C,3,0),0)</f>
        <v>171000</v>
      </c>
      <c r="O88" s="292">
        <f>+Tabla4[[#This Row],[IVA]]+Tabla4[[#This Row],[Sub Total]]</f>
        <v>1071000</v>
      </c>
    </row>
    <row r="89" spans="1:15" ht="45" x14ac:dyDescent="0.2">
      <c r="A89" s="6">
        <v>76</v>
      </c>
      <c r="B89" s="6" t="str">
        <f>VLOOKUP(Tabla4[[#This Row],[Codigo]],Tabla2[[Cod]:[Nombre ]],2,0)</f>
        <v>P-1064</v>
      </c>
      <c r="C89" s="53">
        <f>VLOOKUP(Tabla4[[#This Row],[Codigo]],Tabla2[[Cod]:[Nombre ]],3,0)</f>
        <v>44518</v>
      </c>
      <c r="D89" s="6" t="str">
        <f>VLOOKUP(Tabla4[[#This Row],[Codigo]],Tabla2[[Cod]:[Nombre ]],4,0)</f>
        <v>TIS-1068</v>
      </c>
      <c r="E89" s="5" t="str">
        <f>VLOOKUP(Tabla4[[#This Row],[Codigo]],Tabla2[[Cod]:[Nombre ]],8,0)</f>
        <v>PRODUCTORA INTERAMERICANA DE PLASTICOS S.A.S.</v>
      </c>
      <c r="F89" s="5" t="str">
        <f>VLOOKUP(Tabla4[[#This Row],[Codigo]],Tabla2[[Cod]:[Nombre ]],6,0)</f>
        <v>OK</v>
      </c>
      <c r="G89" s="7">
        <v>15</v>
      </c>
      <c r="H89" s="21" t="str">
        <f>VLOOKUP(Tabla4[[#This Row],[No]],Parametros!A:C,2,0)</f>
        <v>Investigación Accidente de trabajo</v>
      </c>
      <c r="I89" s="21" t="s">
        <v>443</v>
      </c>
      <c r="J89" s="163">
        <v>2</v>
      </c>
      <c r="K89" s="294">
        <v>85000</v>
      </c>
      <c r="L89" s="298"/>
      <c r="M89" s="292">
        <f>IF(LEFT(Tabla4[[#This Row],[Electronica]],2)="NC",-Tabla4[[#This Row],[Cantidad]]*Tabla4[[#This Row],[Precio]]+Tabla4[[#This Row],[Dto]],Tabla4[[#This Row],[Cantidad]]*Tabla4[[#This Row],[Precio]]-Tabla4[[#This Row],[Dto]])</f>
        <v>170000</v>
      </c>
      <c r="N89" s="292">
        <f>IFERROR(Tabla4[[#This Row],[Sub Total]]*VLOOKUP(Tabla4[[#This Row],[No]],Parametros!A:C,3,0),0)</f>
        <v>32300</v>
      </c>
      <c r="O89" s="292">
        <f>+Tabla4[[#This Row],[IVA]]+Tabla4[[#This Row],[Sub Total]]</f>
        <v>202300</v>
      </c>
    </row>
    <row r="90" spans="1:15" ht="36" x14ac:dyDescent="0.2">
      <c r="A90" s="6">
        <v>77</v>
      </c>
      <c r="B90" s="6" t="str">
        <f>VLOOKUP(Tabla4[[#This Row],[Codigo]],Tabla2[[Cod]:[Nombre ]],2,0)</f>
        <v>P-1065</v>
      </c>
      <c r="C90" s="53">
        <f>VLOOKUP(Tabla4[[#This Row],[Codigo]],Tabla2[[Cod]:[Nombre ]],3,0)</f>
        <v>44518</v>
      </c>
      <c r="D90" s="6" t="str">
        <f>VLOOKUP(Tabla4[[#This Row],[Codigo]],Tabla2[[Cod]:[Nombre ]],4,0)</f>
        <v>TIS-1090</v>
      </c>
      <c r="E90" s="5" t="str">
        <f>VLOOKUP(Tabla4[[#This Row],[Codigo]],Tabla2[[Cod]:[Nombre ]],8,0)</f>
        <v>Inversiones Sajamib SAS</v>
      </c>
      <c r="F90" s="5" t="str">
        <f>VLOOKUP(Tabla4[[#This Row],[Codigo]],Tabla2[[Cod]:[Nombre ]],6,0)</f>
        <v>OK</v>
      </c>
      <c r="G90" s="7" t="s">
        <v>417</v>
      </c>
      <c r="H90" s="21" t="str">
        <f>VLOOKUP(Tabla4[[#This Row],[No]],Parametros!A:C,2,0)</f>
        <v>Capacitación acompañamiento Virtual SST</v>
      </c>
      <c r="I90" s="21" t="s">
        <v>447</v>
      </c>
      <c r="J90" s="163">
        <v>1</v>
      </c>
      <c r="K90" s="294">
        <v>322000</v>
      </c>
      <c r="L90" s="298"/>
      <c r="M90" s="292">
        <f>IF(LEFT(Tabla4[[#This Row],[Electronica]],2)="NC",-Tabla4[[#This Row],[Cantidad]]*Tabla4[[#This Row],[Precio]]+Tabla4[[#This Row],[Dto]],Tabla4[[#This Row],[Cantidad]]*Tabla4[[#This Row],[Precio]]-Tabla4[[#This Row],[Dto]])</f>
        <v>322000</v>
      </c>
      <c r="N90" s="292">
        <f>IFERROR(Tabla4[[#This Row],[Sub Total]]*VLOOKUP(Tabla4[[#This Row],[No]],Parametros!A:C,3,0),0)</f>
        <v>0</v>
      </c>
      <c r="O90" s="292">
        <f>+Tabla4[[#This Row],[IVA]]+Tabla4[[#This Row],[Sub Total]]</f>
        <v>322000</v>
      </c>
    </row>
    <row r="91" spans="1:15" ht="36" x14ac:dyDescent="0.2">
      <c r="A91" s="6">
        <v>78</v>
      </c>
      <c r="B91" s="6" t="str">
        <f>VLOOKUP(Tabla4[[#This Row],[Codigo]],Tabla2[[Cod]:[Nombre ]],2,0)</f>
        <v>P-1066</v>
      </c>
      <c r="C91" s="53">
        <f>VLOOKUP(Tabla4[[#This Row],[Codigo]],Tabla2[[Cod]:[Nombre ]],3,0)</f>
        <v>44518</v>
      </c>
      <c r="D91" s="6" t="str">
        <f>VLOOKUP(Tabla4[[#This Row],[Codigo]],Tabla2[[Cod]:[Nombre ]],4,0)</f>
        <v>Tis-1069</v>
      </c>
      <c r="E91" s="5" t="str">
        <f>VLOOKUP(Tabla4[[#This Row],[Codigo]],Tabla2[[Cod]:[Nombre ]],8,0)</f>
        <v>Comercializadora ERZ SAS</v>
      </c>
      <c r="F91" s="5" t="str">
        <f>VLOOKUP(Tabla4[[#This Row],[Codigo]],Tabla2[[Cod]:[Nombre ]],6,0)</f>
        <v>OK</v>
      </c>
      <c r="G91" s="7" t="s">
        <v>416</v>
      </c>
      <c r="H91" s="21" t="str">
        <f>VLOOKUP(Tabla4[[#This Row],[No]],Parametros!A:C,2,0)</f>
        <v>Consultoría Implementacion SG-SST</v>
      </c>
      <c r="I91" s="21" t="s">
        <v>448</v>
      </c>
      <c r="J91" s="163">
        <v>1</v>
      </c>
      <c r="K91" s="294">
        <v>220000</v>
      </c>
      <c r="L91" s="298"/>
      <c r="M91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91" s="292">
        <f>IFERROR(Tabla4[[#This Row],[Sub Total]]*VLOOKUP(Tabla4[[#This Row],[No]],Parametros!A:C,3,0),0)</f>
        <v>41800</v>
      </c>
      <c r="O91" s="292">
        <f>+Tabla4[[#This Row],[IVA]]+Tabla4[[#This Row],[Sub Total]]</f>
        <v>261800</v>
      </c>
    </row>
    <row r="92" spans="1:15" ht="36" x14ac:dyDescent="0.2">
      <c r="A92" s="6">
        <v>79</v>
      </c>
      <c r="B92" s="6" t="str">
        <f>VLOOKUP(Tabla4[[#This Row],[Codigo]],Tabla2[[Cod]:[Nombre ]],2,0)</f>
        <v>P-1067</v>
      </c>
      <c r="C92" s="53">
        <f>VLOOKUP(Tabla4[[#This Row],[Codigo]],Tabla2[[Cod]:[Nombre ]],3,0)</f>
        <v>44519</v>
      </c>
      <c r="D92" s="6" t="str">
        <f>VLOOKUP(Tabla4[[#This Row],[Codigo]],Tabla2[[Cod]:[Nombre ]],4,0)</f>
        <v>Tis-1086</v>
      </c>
      <c r="E92" s="5" t="str">
        <f>VLOOKUP(Tabla4[[#This Row],[Codigo]],Tabla2[[Cod]:[Nombre ]],8,0)</f>
        <v>Maria del Pilar Alvarado Joya</v>
      </c>
      <c r="F92" s="5" t="str">
        <f>VLOOKUP(Tabla4[[#This Row],[Codigo]],Tabla2[[Cod]:[Nombre ]],6,0)</f>
        <v>ok</v>
      </c>
      <c r="G92" s="7" t="s">
        <v>417</v>
      </c>
      <c r="H92" s="21" t="str">
        <f>VLOOKUP(Tabla4[[#This Row],[No]],Parametros!A:C,2,0)</f>
        <v>Capacitación acompañamiento Virtual SST</v>
      </c>
      <c r="I92" s="21" t="s">
        <v>449</v>
      </c>
      <c r="J92" s="163">
        <v>1</v>
      </c>
      <c r="K92" s="294">
        <v>900000</v>
      </c>
      <c r="L92" s="298"/>
      <c r="M92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92" s="292">
        <f>IFERROR(Tabla4[[#This Row],[Sub Total]]*VLOOKUP(Tabla4[[#This Row],[No]],Parametros!A:C,3,0),0)</f>
        <v>0</v>
      </c>
      <c r="O92" s="292">
        <f>+Tabla4[[#This Row],[IVA]]+Tabla4[[#This Row],[Sub Total]]</f>
        <v>900000</v>
      </c>
    </row>
    <row r="93" spans="1:15" ht="24" x14ac:dyDescent="0.2">
      <c r="A93" s="6">
        <v>80</v>
      </c>
      <c r="B93" s="6" t="str">
        <f>VLOOKUP(Tabla4[[#This Row],[Codigo]],Tabla2[[Cod]:[Nombre ]],2,0)</f>
        <v>P-1068</v>
      </c>
      <c r="C93" s="53">
        <f>VLOOKUP(Tabla4[[#This Row],[Codigo]],Tabla2[[Cod]:[Nombre ]],3,0)</f>
        <v>44523</v>
      </c>
      <c r="D93" s="6" t="str">
        <f>VLOOKUP(Tabla4[[#This Row],[Codigo]],Tabla2[[Cod]:[Nombre ]],4,0)</f>
        <v>TIS-1070</v>
      </c>
      <c r="E93" s="220" t="str">
        <f>VLOOKUP(Tabla4[[#This Row],[Codigo]],Tabla2[[Cod]:[Nombre ]],8,0)</f>
        <v>LACTEOS APPENZELL S.A.S</v>
      </c>
      <c r="F93" s="5" t="str">
        <f>VLOOKUP(Tabla4[[#This Row],[Codigo]],Tabla2[[Cod]:[Nombre ]],6,0)</f>
        <v>OK</v>
      </c>
      <c r="G93" s="7" t="s">
        <v>433</v>
      </c>
      <c r="H93" s="21" t="str">
        <f>VLOOKUP(Tabla4[[#This Row],[No]],Parametros!A:C,2,0)</f>
        <v>Mediciones Higienicas</v>
      </c>
      <c r="I93" s="21" t="s">
        <v>450</v>
      </c>
      <c r="J93" s="163">
        <v>1</v>
      </c>
      <c r="K93" s="294">
        <v>590000</v>
      </c>
      <c r="L93" s="298"/>
      <c r="M93" s="292">
        <f>IF(LEFT(Tabla4[[#This Row],[Electronica]],2)="NC",-Tabla4[[#This Row],[Cantidad]]*Tabla4[[#This Row],[Precio]]+Tabla4[[#This Row],[Dto]],Tabla4[[#This Row],[Cantidad]]*Tabla4[[#This Row],[Precio]]-Tabla4[[#This Row],[Dto]])</f>
        <v>590000</v>
      </c>
      <c r="N93" s="292">
        <f>IFERROR(Tabla4[[#This Row],[Sub Total]]*VLOOKUP(Tabla4[[#This Row],[No]],Parametros!A:C,3,0),0)</f>
        <v>112100</v>
      </c>
      <c r="O93" s="292">
        <f>+Tabla4[[#This Row],[IVA]]+Tabla4[[#This Row],[Sub Total]]</f>
        <v>702100</v>
      </c>
    </row>
    <row r="94" spans="1:15" ht="24" x14ac:dyDescent="0.2">
      <c r="A94" s="6">
        <v>80</v>
      </c>
      <c r="B94" s="6" t="str">
        <f>VLOOKUP(Tabla4[[#This Row],[Codigo]],Tabla2[[Cod]:[Nombre ]],2,0)</f>
        <v>P-1068</v>
      </c>
      <c r="C94" s="53">
        <f>VLOOKUP(Tabla4[[#This Row],[Codigo]],Tabla2[[Cod]:[Nombre ]],3,0)</f>
        <v>44523</v>
      </c>
      <c r="D94" s="6" t="str">
        <f>VLOOKUP(Tabla4[[#This Row],[Codigo]],Tabla2[[Cod]:[Nombre ]],4,0)</f>
        <v>TIS-1070</v>
      </c>
      <c r="E94" s="5" t="str">
        <f>VLOOKUP(Tabla4[[#This Row],[Codigo]],Tabla2[[Cod]:[Nombre ]],8,0)</f>
        <v>LACTEOS APPENZELL S.A.S</v>
      </c>
      <c r="F94" s="5" t="str">
        <f>VLOOKUP(Tabla4[[#This Row],[Codigo]],Tabla2[[Cod]:[Nombre ]],6,0)</f>
        <v>OK</v>
      </c>
      <c r="G94" s="7" t="s">
        <v>433</v>
      </c>
      <c r="H94" s="21" t="str">
        <f>VLOOKUP(Tabla4[[#This Row],[No]],Parametros!A:C,2,0)</f>
        <v>Mediciones Higienicas</v>
      </c>
      <c r="I94" s="21" t="s">
        <v>451</v>
      </c>
      <c r="J94" s="163">
        <v>1</v>
      </c>
      <c r="K94" s="294">
        <v>590000</v>
      </c>
      <c r="L94" s="298"/>
      <c r="M94" s="292">
        <f>IF(LEFT(Tabla4[[#This Row],[Electronica]],2)="NC",-Tabla4[[#This Row],[Cantidad]]*Tabla4[[#This Row],[Precio]]+Tabla4[[#This Row],[Dto]],Tabla4[[#This Row],[Cantidad]]*Tabla4[[#This Row],[Precio]]-Tabla4[[#This Row],[Dto]])</f>
        <v>590000</v>
      </c>
      <c r="N94" s="292">
        <f>IFERROR(Tabla4[[#This Row],[Sub Total]]*VLOOKUP(Tabla4[[#This Row],[No]],Parametros!A:C,3,0),0)</f>
        <v>112100</v>
      </c>
      <c r="O94" s="292">
        <f>+Tabla4[[#This Row],[IVA]]+Tabla4[[#This Row],[Sub Total]]</f>
        <v>702100</v>
      </c>
    </row>
    <row r="95" spans="1:15" ht="36" x14ac:dyDescent="0.2">
      <c r="A95" s="6">
        <v>81</v>
      </c>
      <c r="B95" s="6" t="str">
        <f>VLOOKUP(Tabla4[[#This Row],[Codigo]],Tabla2[[Cod]:[Nombre ]],2,0)</f>
        <v>P-1069</v>
      </c>
      <c r="C95" s="53">
        <f>VLOOKUP(Tabla4[[#This Row],[Codigo]],Tabla2[[Cod]:[Nombre ]],3,0)</f>
        <v>44523</v>
      </c>
      <c r="D95" s="6" t="str">
        <f>VLOOKUP(Tabla4[[#This Row],[Codigo]],Tabla2[[Cod]:[Nombre ]],4,0)</f>
        <v>TIS-1074</v>
      </c>
      <c r="E95" s="5" t="str">
        <f>VLOOKUP(Tabla4[[#This Row],[Codigo]],Tabla2[[Cod]:[Nombre ]],8,0)</f>
        <v>RENAL MEDICAL MARKETING LIMITADA</v>
      </c>
      <c r="F95" s="5" t="str">
        <f>VLOOKUP(Tabla4[[#This Row],[Codigo]],Tabla2[[Cod]:[Nombre ]],6,0)</f>
        <v>OK</v>
      </c>
      <c r="G95" s="7" t="s">
        <v>416</v>
      </c>
      <c r="H95" s="21" t="str">
        <f>VLOOKUP(Tabla4[[#This Row],[No]],Parametros!A:C,2,0)</f>
        <v>Consultoría Implementacion SG-SST</v>
      </c>
      <c r="I95" s="21" t="s">
        <v>452</v>
      </c>
      <c r="J95" s="163">
        <v>2</v>
      </c>
      <c r="K95" s="294">
        <v>450000</v>
      </c>
      <c r="L95" s="298"/>
      <c r="M95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95" s="292">
        <f>IFERROR(Tabla4[[#This Row],[Sub Total]]*VLOOKUP(Tabla4[[#This Row],[No]],Parametros!A:C,3,0),0)</f>
        <v>171000</v>
      </c>
      <c r="O95" s="292">
        <f>+Tabla4[[#This Row],[IVA]]+Tabla4[[#This Row],[Sub Total]]</f>
        <v>1071000</v>
      </c>
    </row>
    <row r="96" spans="1:15" ht="24" x14ac:dyDescent="0.2">
      <c r="A96" s="6">
        <v>82</v>
      </c>
      <c r="B96" s="6" t="str">
        <f>VLOOKUP(Tabla4[[#This Row],[Codigo]],Tabla2[[Cod]:[Nombre ]],2,0)</f>
        <v>P-1070</v>
      </c>
      <c r="C96" s="53">
        <f>VLOOKUP(Tabla4[[#This Row],[Codigo]],Tabla2[[Cod]:[Nombre ]],3,0)</f>
        <v>44530</v>
      </c>
      <c r="D96" s="6" t="str">
        <f>VLOOKUP(Tabla4[[#This Row],[Codigo]],Tabla2[[Cod]:[Nombre ]],4,0)</f>
        <v>TIS-1072</v>
      </c>
      <c r="E96" s="5" t="str">
        <f>VLOOKUP(Tabla4[[#This Row],[Codigo]],Tabla2[[Cod]:[Nombre ]],8,0)</f>
        <v>NAVAR SOLUCIONES S.A.S</v>
      </c>
      <c r="F96" s="5" t="str">
        <f>VLOOKUP(Tabla4[[#This Row],[Codigo]],Tabla2[[Cod]:[Nombre ]],6,0)</f>
        <v>OK</v>
      </c>
      <c r="G96" s="7" t="s">
        <v>415</v>
      </c>
      <c r="H96" s="21" t="str">
        <f>VLOOKUP(Tabla4[[#This Row],[No]],Parametros!A:C,2,0)</f>
        <v xml:space="preserve">Capacitacion riesgo laboral </v>
      </c>
      <c r="I96" s="21" t="s">
        <v>453</v>
      </c>
      <c r="J96" s="163">
        <v>1</v>
      </c>
      <c r="K96" s="294">
        <v>200000</v>
      </c>
      <c r="L96" s="298"/>
      <c r="M96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96" s="292">
        <f>IFERROR(Tabla4[[#This Row],[Sub Total]]*VLOOKUP(Tabla4[[#This Row],[No]],Parametros!A:C,3,0),0)</f>
        <v>38000</v>
      </c>
      <c r="O96" s="292">
        <f>+Tabla4[[#This Row],[IVA]]+Tabla4[[#This Row],[Sub Total]]</f>
        <v>238000</v>
      </c>
    </row>
    <row r="97" spans="1:15" ht="30" x14ac:dyDescent="0.2">
      <c r="A97" s="6">
        <v>83</v>
      </c>
      <c r="B97" s="6" t="str">
        <f>VLOOKUP(Tabla4[[#This Row],[Codigo]],Tabla2[[Cod]:[Nombre ]],2,0)</f>
        <v>P-1071</v>
      </c>
      <c r="C97" s="53">
        <f>VLOOKUP(Tabla4[[#This Row],[Codigo]],Tabla2[[Cod]:[Nombre ]],3,0)</f>
        <v>44530</v>
      </c>
      <c r="D97" s="6" t="str">
        <f>VLOOKUP(Tabla4[[#This Row],[Codigo]],Tabla2[[Cod]:[Nombre ]],4,0)</f>
        <v>TIS-1065</v>
      </c>
      <c r="E97" s="5" t="str">
        <f>VLOOKUP(Tabla4[[#This Row],[Codigo]],Tabla2[[Cod]:[Nombre ]],8,0)</f>
        <v>NAVAR CATERING SERVICES S.A.S ZOMAC</v>
      </c>
      <c r="F97" s="5" t="str">
        <f>VLOOKUP(Tabla4[[#This Row],[Codigo]],Tabla2[[Cod]:[Nombre ]],6,0)</f>
        <v>OK</v>
      </c>
      <c r="G97" s="7" t="s">
        <v>415</v>
      </c>
      <c r="H97" s="21" t="str">
        <f>VLOOKUP(Tabla4[[#This Row],[No]],Parametros!A:C,2,0)</f>
        <v xml:space="preserve">Capacitacion riesgo laboral </v>
      </c>
      <c r="I97" s="21" t="s">
        <v>453</v>
      </c>
      <c r="J97" s="163">
        <v>1</v>
      </c>
      <c r="K97" s="294">
        <v>200000</v>
      </c>
      <c r="L97" s="298"/>
      <c r="M97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97" s="292">
        <f>IFERROR(Tabla4[[#This Row],[Sub Total]]*VLOOKUP(Tabla4[[#This Row],[No]],Parametros!A:C,3,0),0)</f>
        <v>38000</v>
      </c>
      <c r="O97" s="292">
        <f>+Tabla4[[#This Row],[IVA]]+Tabla4[[#This Row],[Sub Total]]</f>
        <v>238000</v>
      </c>
    </row>
    <row r="98" spans="1:15" ht="60" x14ac:dyDescent="0.2">
      <c r="A98" s="6">
        <v>84</v>
      </c>
      <c r="B98" s="6" t="str">
        <f>VLOOKUP(Tabla4[[#This Row],[Codigo]],Tabla2[[Cod]:[Nombre ]],2,0)</f>
        <v>P-1072</v>
      </c>
      <c r="C98" s="53">
        <f>VLOOKUP(Tabla4[[#This Row],[Codigo]],Tabla2[[Cod]:[Nombre ]],3,0)</f>
        <v>44672</v>
      </c>
      <c r="D98" s="6" t="str">
        <f>VLOOKUP(Tabla4[[#This Row],[Codigo]],Tabla2[[Cod]:[Nombre ]],4,0)</f>
        <v>TIS-1122</v>
      </c>
      <c r="E98" s="5" t="str">
        <f>VLOOKUP(Tabla4[[#This Row],[Codigo]],Tabla2[[Cod]:[Nombre ]],8,0)</f>
        <v>MICROSITIOS SAS</v>
      </c>
      <c r="F98" s="5" t="str">
        <f>VLOOKUP(Tabla4[[#This Row],[Codigo]],Tabla2[[Cod]:[Nombre ]],6,0)</f>
        <v>OK</v>
      </c>
      <c r="G98" s="7" t="s">
        <v>282</v>
      </c>
      <c r="H98" s="21" t="str">
        <f>VLOOKUP(Tabla4[[#This Row],[No]],Parametros!A:C,2,0)</f>
        <v>Batería de Riesgo Psicosocial</v>
      </c>
      <c r="I98" s="21" t="s">
        <v>283</v>
      </c>
      <c r="J98" s="163">
        <v>14</v>
      </c>
      <c r="K98" s="294">
        <v>22000</v>
      </c>
      <c r="L98" s="298"/>
      <c r="M98" s="292">
        <f>IF(LEFT(Tabla4[[#This Row],[Electronica]],2)="NC",-Tabla4[[#This Row],[Cantidad]]*Tabla4[[#This Row],[Precio]]+Tabla4[[#This Row],[Dto]],Tabla4[[#This Row],[Cantidad]]*Tabla4[[#This Row],[Precio]]-Tabla4[[#This Row],[Dto]])</f>
        <v>308000</v>
      </c>
      <c r="N98" s="292">
        <f>IFERROR(Tabla4[[#This Row],[Sub Total]]*VLOOKUP(Tabla4[[#This Row],[No]],Parametros!A:C,3,0),0)</f>
        <v>58520</v>
      </c>
      <c r="O98" s="292">
        <f>+Tabla4[[#This Row],[IVA]]+Tabla4[[#This Row],[Sub Total]]</f>
        <v>366520</v>
      </c>
    </row>
    <row r="99" spans="1:15" ht="36" x14ac:dyDescent="0.2">
      <c r="A99" s="6">
        <v>85</v>
      </c>
      <c r="B99" s="6" t="str">
        <f>VLOOKUP(Tabla4[[#This Row],[Codigo]],Tabla2[[Cod]:[Nombre ]],2,0)</f>
        <v>P-1073</v>
      </c>
      <c r="C99" s="53">
        <f>VLOOKUP(Tabla4[[#This Row],[Codigo]],Tabla2[[Cod]:[Nombre ]],3,0)</f>
        <v>44533</v>
      </c>
      <c r="D99" s="6" t="str">
        <f>VLOOKUP(Tabla4[[#This Row],[Codigo]],Tabla2[[Cod]:[Nombre ]],4,0)</f>
        <v>Tis-1076</v>
      </c>
      <c r="E99" s="5" t="str">
        <f>VLOOKUP(Tabla4[[#This Row],[Codigo]],Tabla2[[Cod]:[Nombre ]],8,0)</f>
        <v>Comercializadora ERZ SAS</v>
      </c>
      <c r="F99" s="5" t="str">
        <f>VLOOKUP(Tabla4[[#This Row],[Codigo]],Tabla2[[Cod]:[Nombre ]],6,0)</f>
        <v>OK</v>
      </c>
      <c r="G99" s="7" t="s">
        <v>416</v>
      </c>
      <c r="H99" s="21" t="str">
        <f>VLOOKUP(Tabla4[[#This Row],[No]],Parametros!A:C,2,0)</f>
        <v>Consultoría Implementacion SG-SST</v>
      </c>
      <c r="I99" s="21" t="s">
        <v>454</v>
      </c>
      <c r="J99" s="163">
        <v>1</v>
      </c>
      <c r="K99" s="294">
        <v>220000</v>
      </c>
      <c r="L99" s="298"/>
      <c r="M99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99" s="292">
        <f>IFERROR(Tabla4[[#This Row],[Sub Total]]*VLOOKUP(Tabla4[[#This Row],[No]],Parametros!A:C,3,0),0)</f>
        <v>41800</v>
      </c>
      <c r="O99" s="292">
        <f>+Tabla4[[#This Row],[IVA]]+Tabla4[[#This Row],[Sub Total]]</f>
        <v>261800</v>
      </c>
    </row>
    <row r="100" spans="1:15" ht="60" x14ac:dyDescent="0.2">
      <c r="A100" s="6">
        <v>86</v>
      </c>
      <c r="B100" s="6" t="str">
        <f>VLOOKUP(Tabla4[[#This Row],[Codigo]],Tabla2[[Cod]:[Nombre ]],2,0)</f>
        <v>P-1074</v>
      </c>
      <c r="C100" s="53">
        <f>VLOOKUP(Tabla4[[#This Row],[Codigo]],Tabla2[[Cod]:[Nombre ]],3,0)</f>
        <v>44537</v>
      </c>
      <c r="D100" s="6" t="str">
        <f>VLOOKUP(Tabla4[[#This Row],[Codigo]],Tabla2[[Cod]:[Nombre ]],4,0)</f>
        <v>Tis-1079</v>
      </c>
      <c r="E100" s="5" t="str">
        <f>VLOOKUP(Tabla4[[#This Row],[Codigo]],Tabla2[[Cod]:[Nombre ]],8,0)</f>
        <v>Universidad Santo tomas</v>
      </c>
      <c r="F100" s="5" t="str">
        <f>VLOOKUP(Tabla4[[#This Row],[Codigo]],Tabla2[[Cod]:[Nombre ]],6,0)</f>
        <v>Anulado</v>
      </c>
      <c r="G100" s="7" t="s">
        <v>282</v>
      </c>
      <c r="H100" s="21" t="str">
        <f>VLOOKUP(Tabla4[[#This Row],[No]],Parametros!A:C,2,0)</f>
        <v>Batería de Riesgo Psicosocial</v>
      </c>
      <c r="I100" s="21" t="s">
        <v>283</v>
      </c>
      <c r="J100" s="163">
        <v>18</v>
      </c>
      <c r="K100" s="294">
        <v>30000</v>
      </c>
      <c r="L100" s="298"/>
      <c r="M100" s="292">
        <f>IF(LEFT(Tabla4[[#This Row],[Electronica]],2)="NC",-Tabla4[[#This Row],[Cantidad]]*Tabla4[[#This Row],[Precio]]+Tabla4[[#This Row],[Dto]],Tabla4[[#This Row],[Cantidad]]*Tabla4[[#This Row],[Precio]]-Tabla4[[#This Row],[Dto]])</f>
        <v>540000</v>
      </c>
      <c r="N100" s="292">
        <f>IFERROR(Tabla4[[#This Row],[Sub Total]]*VLOOKUP(Tabla4[[#This Row],[No]],Parametros!A:C,3,0),0)</f>
        <v>102600</v>
      </c>
      <c r="O100" s="292">
        <f>+Tabla4[[#This Row],[IVA]]+Tabla4[[#This Row],[Sub Total]]</f>
        <v>642600</v>
      </c>
    </row>
    <row r="101" spans="1:15" ht="36" x14ac:dyDescent="0.2">
      <c r="A101" s="6">
        <v>87</v>
      </c>
      <c r="B101" s="6" t="str">
        <f>VLOOKUP(Tabla4[[#This Row],[Codigo]],Tabla2[[Cod]:[Nombre ]],2,0)</f>
        <v>P-1075</v>
      </c>
      <c r="C101" s="53">
        <f>VLOOKUP(Tabla4[[#This Row],[Codigo]],Tabla2[[Cod]:[Nombre ]],3,0)</f>
        <v>44537</v>
      </c>
      <c r="D101" s="6" t="str">
        <f>VLOOKUP(Tabla4[[#This Row],[Codigo]],Tabla2[[Cod]:[Nombre ]],4,0)</f>
        <v>TIS-1102</v>
      </c>
      <c r="E101" s="5" t="str">
        <f>VLOOKUP(Tabla4[[#This Row],[Codigo]],Tabla2[[Cod]:[Nombre ]],8,0)</f>
        <v>Maria del Pilar Alvarado Joya</v>
      </c>
      <c r="F101" s="5" t="str">
        <f>VLOOKUP(Tabla4[[#This Row],[Codigo]],Tabla2[[Cod]:[Nombre ]],6,0)</f>
        <v>ok</v>
      </c>
      <c r="G101" s="7" t="s">
        <v>417</v>
      </c>
      <c r="H101" s="21" t="str">
        <f>VLOOKUP(Tabla4[[#This Row],[No]],Parametros!A:C,2,0)</f>
        <v>Capacitación acompañamiento Virtual SST</v>
      </c>
      <c r="I101" s="21" t="s">
        <v>455</v>
      </c>
      <c r="J101" s="163">
        <v>1</v>
      </c>
      <c r="K101" s="294">
        <v>900000</v>
      </c>
      <c r="L101" s="298"/>
      <c r="M101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101" s="292">
        <f>IFERROR(Tabla4[[#This Row],[Sub Total]]*VLOOKUP(Tabla4[[#This Row],[No]],Parametros!A:C,3,0),0)</f>
        <v>0</v>
      </c>
      <c r="O101" s="292">
        <f>+Tabla4[[#This Row],[IVA]]+Tabla4[[#This Row],[Sub Total]]</f>
        <v>900000</v>
      </c>
    </row>
    <row r="102" spans="1:15" ht="30" x14ac:dyDescent="0.2">
      <c r="A102" s="6">
        <v>88</v>
      </c>
      <c r="B102" s="6" t="str">
        <f>VLOOKUP(Tabla4[[#This Row],[Codigo]],Tabla2[[Cod]:[Nombre ]],2,0)</f>
        <v>P-1076</v>
      </c>
      <c r="C102" s="53">
        <f>VLOOKUP(Tabla4[[#This Row],[Codigo]],Tabla2[[Cod]:[Nombre ]],3,0)</f>
        <v>44537</v>
      </c>
      <c r="D102" s="6" t="str">
        <f>VLOOKUP(Tabla4[[#This Row],[Codigo]],Tabla2[[Cod]:[Nombre ]],4,0)</f>
        <v>Tis-1078</v>
      </c>
      <c r="E102" s="5" t="str">
        <f>VLOOKUP(Tabla4[[#This Row],[Codigo]],Tabla2[[Cod]:[Nombre ]],8,0)</f>
        <v>RENAL MEDICAL MARKETING LIMITADA</v>
      </c>
      <c r="F102" s="5" t="str">
        <f>VLOOKUP(Tabla4[[#This Row],[Codigo]],Tabla2[[Cod]:[Nombre ]],6,0)</f>
        <v>OK</v>
      </c>
      <c r="G102" s="7" t="s">
        <v>420</v>
      </c>
      <c r="H102" s="21" t="str">
        <f>VLOOKUP(Tabla4[[#This Row],[No]],Parametros!A:C,2,0)</f>
        <v>Análisis Puesto trabajo</v>
      </c>
      <c r="I102" s="21" t="s">
        <v>456</v>
      </c>
      <c r="J102" s="163">
        <v>1</v>
      </c>
      <c r="K102" s="294">
        <v>560000</v>
      </c>
      <c r="L102" s="298"/>
      <c r="M102" s="292">
        <f>IF(LEFT(Tabla4[[#This Row],[Electronica]],2)="NC",-Tabla4[[#This Row],[Cantidad]]*Tabla4[[#This Row],[Precio]]+Tabla4[[#This Row],[Dto]],Tabla4[[#This Row],[Cantidad]]*Tabla4[[#This Row],[Precio]]-Tabla4[[#This Row],[Dto]])</f>
        <v>560000</v>
      </c>
      <c r="N102" s="292">
        <f>IFERROR(Tabla4[[#This Row],[Sub Total]]*VLOOKUP(Tabla4[[#This Row],[No]],Parametros!A:C,3,0),0)</f>
        <v>106400</v>
      </c>
      <c r="O102" s="292">
        <f>+Tabla4[[#This Row],[IVA]]+Tabla4[[#This Row],[Sub Total]]</f>
        <v>666400</v>
      </c>
    </row>
    <row r="103" spans="1:15" ht="60" x14ac:dyDescent="0.2">
      <c r="A103" s="6">
        <v>89</v>
      </c>
      <c r="B103" s="6" t="str">
        <f>VLOOKUP(Tabla4[[#This Row],[Codigo]],Tabla2[[Cod]:[Nombre ]],2,0)</f>
        <v>P-1078</v>
      </c>
      <c r="C103" s="53">
        <f>VLOOKUP(Tabla4[[#This Row],[Codigo]],Tabla2[[Cod]:[Nombre ]],3,0)</f>
        <v>44544</v>
      </c>
      <c r="D103" s="6" t="str">
        <f>VLOOKUP(Tabla4[[#This Row],[Codigo]],Tabla2[[Cod]:[Nombre ]],4,0)</f>
        <v>Tis-1082</v>
      </c>
      <c r="E103" s="5" t="str">
        <f>VLOOKUP(Tabla4[[#This Row],[Codigo]],Tabla2[[Cod]:[Nombre ]],8,0)</f>
        <v xml:space="preserve">ASOCIACION RED DE DEFENSORES Y DEFENSORAS DE DERECHOS HUMANOS </v>
      </c>
      <c r="F103" s="5" t="str">
        <f>VLOOKUP(Tabla4[[#This Row],[Codigo]],Tabla2[[Cod]:[Nombre ]],6,0)</f>
        <v>OK</v>
      </c>
      <c r="G103" s="7">
        <v>13</v>
      </c>
      <c r="H103" s="21" t="str">
        <f>VLOOKUP(Tabla4[[#This Row],[No]],Parametros!A:C,2,0)</f>
        <v>Diseño y actualización SG SST</v>
      </c>
      <c r="I103" s="21" t="s">
        <v>457</v>
      </c>
      <c r="J103" s="163">
        <v>2</v>
      </c>
      <c r="K103" s="294">
        <v>600000</v>
      </c>
      <c r="L103" s="298"/>
      <c r="M103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103" s="292">
        <f>IFERROR(Tabla4[[#This Row],[Sub Total]]*VLOOKUP(Tabla4[[#This Row],[No]],Parametros!A:C,3,0),0)</f>
        <v>228000</v>
      </c>
      <c r="O103" s="292">
        <f>+Tabla4[[#This Row],[IVA]]+Tabla4[[#This Row],[Sub Total]]</f>
        <v>1428000</v>
      </c>
    </row>
    <row r="104" spans="1:15" ht="84" x14ac:dyDescent="0.2">
      <c r="A104" s="6">
        <v>89</v>
      </c>
      <c r="B104" s="6" t="str">
        <f>VLOOKUP(Tabla4[[#This Row],[Codigo]],Tabla2[[Cod]:[Nombre ]],2,0)</f>
        <v>P-1078</v>
      </c>
      <c r="C104" s="53">
        <f>VLOOKUP(Tabla4[[#This Row],[Codigo]],Tabla2[[Cod]:[Nombre ]],3,0)</f>
        <v>44544</v>
      </c>
      <c r="D104" s="6" t="str">
        <f>VLOOKUP(Tabla4[[#This Row],[Codigo]],Tabla2[[Cod]:[Nombre ]],4,0)</f>
        <v>Tis-1082</v>
      </c>
      <c r="E104" s="5" t="str">
        <f>VLOOKUP(Tabla4[[#This Row],[Codigo]],Tabla2[[Cod]:[Nombre ]],8,0)</f>
        <v xml:space="preserve">ASOCIACION RED DE DEFENSORES Y DEFENSORAS DE DERECHOS HUMANOS </v>
      </c>
      <c r="F104" s="5" t="str">
        <f>VLOOKUP(Tabla4[[#This Row],[Codigo]],Tabla2[[Cod]:[Nombre ]],6,0)</f>
        <v>OK</v>
      </c>
      <c r="G104" s="7" t="s">
        <v>416</v>
      </c>
      <c r="H104" s="21" t="str">
        <f>VLOOKUP(Tabla4[[#This Row],[No]],Parametros!A:C,2,0)</f>
        <v>Consultoría Implementacion SG-SST</v>
      </c>
      <c r="I104" s="21" t="s">
        <v>458</v>
      </c>
      <c r="J104" s="163">
        <v>2</v>
      </c>
      <c r="K104" s="294">
        <v>500000</v>
      </c>
      <c r="L104" s="298"/>
      <c r="M104" s="292">
        <f>IF(LEFT(Tabla4[[#This Row],[Electronica]],2)="NC",-Tabla4[[#This Row],[Cantidad]]*Tabla4[[#This Row],[Precio]]+Tabla4[[#This Row],[Dto]],Tabla4[[#This Row],[Cantidad]]*Tabla4[[#This Row],[Precio]]-Tabla4[[#This Row],[Dto]])</f>
        <v>1000000</v>
      </c>
      <c r="N104" s="292">
        <f>IFERROR(Tabla4[[#This Row],[Sub Total]]*VLOOKUP(Tabla4[[#This Row],[No]],Parametros!A:C,3,0),0)</f>
        <v>190000</v>
      </c>
      <c r="O104" s="292">
        <f>+Tabla4[[#This Row],[IVA]]+Tabla4[[#This Row],[Sub Total]]</f>
        <v>1190000</v>
      </c>
    </row>
    <row r="105" spans="1:15" ht="60" x14ac:dyDescent="0.2">
      <c r="A105" s="6">
        <v>90</v>
      </c>
      <c r="B105" s="6" t="str">
        <f>VLOOKUP(Tabla4[[#This Row],[Codigo]],Tabla2[[Cod]:[Nombre ]],2,0)</f>
        <v>P-1077</v>
      </c>
      <c r="C105" s="53">
        <f>VLOOKUP(Tabla4[[#This Row],[Codigo]],Tabla2[[Cod]:[Nombre ]],3,0)</f>
        <v>44544</v>
      </c>
      <c r="D105" s="6" t="str">
        <f>VLOOKUP(Tabla4[[#This Row],[Codigo]],Tabla2[[Cod]:[Nombre ]],4,0)</f>
        <v>TIS1101</v>
      </c>
      <c r="E105" s="5" t="str">
        <f>VLOOKUP(Tabla4[[#This Row],[Codigo]],Tabla2[[Cod]:[Nombre ]],8,0)</f>
        <v>SERVIPETROLEOS S.A.S</v>
      </c>
      <c r="F105" s="5" t="str">
        <f>VLOOKUP(Tabla4[[#This Row],[Codigo]],Tabla2[[Cod]:[Nombre ]],6,0)</f>
        <v>OK</v>
      </c>
      <c r="G105" s="7" t="s">
        <v>282</v>
      </c>
      <c r="H105" s="21" t="str">
        <f>VLOOKUP(Tabla4[[#This Row],[No]],Parametros!A:C,2,0)</f>
        <v>Batería de Riesgo Psicosocial</v>
      </c>
      <c r="I105" s="21" t="s">
        <v>459</v>
      </c>
      <c r="J105" s="163">
        <v>21</v>
      </c>
      <c r="K105" s="294">
        <v>25000</v>
      </c>
      <c r="L105" s="298"/>
      <c r="M105" s="292">
        <f>IF(LEFT(Tabla4[[#This Row],[Electronica]],2)="NC",-Tabla4[[#This Row],[Cantidad]]*Tabla4[[#This Row],[Precio]]+Tabla4[[#This Row],[Dto]],Tabla4[[#This Row],[Cantidad]]*Tabla4[[#This Row],[Precio]]-Tabla4[[#This Row],[Dto]])</f>
        <v>525000</v>
      </c>
      <c r="N105" s="292">
        <f>IFERROR(Tabla4[[#This Row],[Sub Total]]*VLOOKUP(Tabla4[[#This Row],[No]],Parametros!A:C,3,0),0)</f>
        <v>99750</v>
      </c>
      <c r="O105" s="292">
        <f>+Tabla4[[#This Row],[IVA]]+Tabla4[[#This Row],[Sub Total]]</f>
        <v>624750</v>
      </c>
    </row>
    <row r="106" spans="1:15" ht="60" x14ac:dyDescent="0.2">
      <c r="A106" s="6">
        <v>91</v>
      </c>
      <c r="B106" s="6" t="str">
        <f>VLOOKUP(Tabla4[[#This Row],[Codigo]],Tabla2[[Cod]:[Nombre ]],2,0)</f>
        <v>P-1079</v>
      </c>
      <c r="C106" s="53">
        <f>VLOOKUP(Tabla4[[#This Row],[Codigo]],Tabla2[[Cod]:[Nombre ]],3,0)</f>
        <v>44547</v>
      </c>
      <c r="D106" s="6" t="str">
        <f>VLOOKUP(Tabla4[[#This Row],[Codigo]],Tabla2[[Cod]:[Nombre ]],4,0)</f>
        <v>Tis-1080</v>
      </c>
      <c r="E106" s="5" t="str">
        <f>VLOOKUP(Tabla4[[#This Row],[Codigo]],Tabla2[[Cod]:[Nombre ]],8,0)</f>
        <v>PROYECTO COLOMBIA DIVERSA</v>
      </c>
      <c r="F106" s="5" t="str">
        <f>VLOOKUP(Tabla4[[#This Row],[Codigo]],Tabla2[[Cod]:[Nombre ]],6,0)</f>
        <v>OK</v>
      </c>
      <c r="G106" s="7" t="s">
        <v>282</v>
      </c>
      <c r="H106" s="21" t="str">
        <f>VLOOKUP(Tabla4[[#This Row],[No]],Parametros!A:C,2,0)</f>
        <v>Batería de Riesgo Psicosocial</v>
      </c>
      <c r="I106" s="21" t="s">
        <v>283</v>
      </c>
      <c r="J106" s="163">
        <v>23</v>
      </c>
      <c r="K106" s="294">
        <v>25000</v>
      </c>
      <c r="L106" s="298"/>
      <c r="M106" s="292">
        <f>IF(LEFT(Tabla4[[#This Row],[Electronica]],2)="NC",-Tabla4[[#This Row],[Cantidad]]*Tabla4[[#This Row],[Precio]]+Tabla4[[#This Row],[Dto]],Tabla4[[#This Row],[Cantidad]]*Tabla4[[#This Row],[Precio]]-Tabla4[[#This Row],[Dto]])</f>
        <v>575000</v>
      </c>
      <c r="N106" s="292">
        <f>IFERROR(Tabla4[[#This Row],[Sub Total]]*VLOOKUP(Tabla4[[#This Row],[No]],Parametros!A:C,3,0),0)</f>
        <v>109250</v>
      </c>
      <c r="O106" s="292">
        <f>+Tabla4[[#This Row],[IVA]]+Tabla4[[#This Row],[Sub Total]]</f>
        <v>684250</v>
      </c>
    </row>
    <row r="107" spans="1:15" ht="72" x14ac:dyDescent="0.2">
      <c r="A107" s="6">
        <v>92</v>
      </c>
      <c r="B107" s="6" t="str">
        <f>VLOOKUP(Tabla4[[#This Row],[Codigo]],Tabla2[[Cod]:[Nombre ]],2,0)</f>
        <v>P-1080</v>
      </c>
      <c r="C107" s="53">
        <f>VLOOKUP(Tabla4[[#This Row],[Codigo]],Tabla2[[Cod]:[Nombre ]],3,0)</f>
        <v>44550</v>
      </c>
      <c r="D107" s="6" t="str">
        <f>VLOOKUP(Tabla4[[#This Row],[Codigo]],Tabla2[[Cod]:[Nombre ]],4,0)</f>
        <v>Tis-1081</v>
      </c>
      <c r="E107" s="5" t="str">
        <f>VLOOKUP(Tabla4[[#This Row],[Codigo]],Tabla2[[Cod]:[Nombre ]],8,0)</f>
        <v>RENAL MEDICAL MARKETING LIMITADA</v>
      </c>
      <c r="F107" s="5" t="str">
        <f>VLOOKUP(Tabla4[[#This Row],[Codigo]],Tabla2[[Cod]:[Nombre ]],6,0)</f>
        <v>OK</v>
      </c>
      <c r="G107" s="7" t="s">
        <v>416</v>
      </c>
      <c r="H107" s="21" t="str">
        <f>VLOOKUP(Tabla4[[#This Row],[No]],Parametros!A:C,2,0)</f>
        <v>Consultoría Implementacion SG-SST</v>
      </c>
      <c r="I107" s="21" t="s">
        <v>460</v>
      </c>
      <c r="J107" s="163">
        <v>1</v>
      </c>
      <c r="K107" s="294">
        <v>450000</v>
      </c>
      <c r="L107" s="298"/>
      <c r="M107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107" s="292">
        <f>IFERROR(Tabla4[[#This Row],[Sub Total]]*VLOOKUP(Tabla4[[#This Row],[No]],Parametros!A:C,3,0),0)</f>
        <v>85500</v>
      </c>
      <c r="O107" s="292">
        <f>+Tabla4[[#This Row],[IVA]]+Tabla4[[#This Row],[Sub Total]]</f>
        <v>535500</v>
      </c>
    </row>
    <row r="108" spans="1:15" ht="60" x14ac:dyDescent="0.2">
      <c r="A108" s="6">
        <v>93</v>
      </c>
      <c r="B108" s="6" t="str">
        <f>VLOOKUP(Tabla4[[#This Row],[Codigo]],Tabla2[[Cod]:[Nombre ]],2,0)</f>
        <v>P-1081</v>
      </c>
      <c r="C108" s="53">
        <f>VLOOKUP(Tabla4[[#This Row],[Codigo]],Tabla2[[Cod]:[Nombre ]],3,0)</f>
        <v>44550</v>
      </c>
      <c r="D108" s="6" t="str">
        <f>VLOOKUP(Tabla4[[#This Row],[Codigo]],Tabla2[[Cod]:[Nombre ]],4,0)</f>
        <v>Tis-1127</v>
      </c>
      <c r="E108" s="220" t="str">
        <f>VLOOKUP(Tabla4[[#This Row],[Codigo]],Tabla2[[Cod]:[Nombre ]],8,0)</f>
        <v>SEQ CONSULTORES LTDA</v>
      </c>
      <c r="F108" s="5" t="str">
        <f>VLOOKUP(Tabla4[[#This Row],[Codigo]],Tabla2[[Cod]:[Nombre ]],6,0)</f>
        <v>OK</v>
      </c>
      <c r="G108" s="7" t="s">
        <v>433</v>
      </c>
      <c r="H108" s="21" t="str">
        <f>VLOOKUP(Tabla4[[#This Row],[No]],Parametros!A:C,2,0)</f>
        <v>Mediciones Higienicas</v>
      </c>
      <c r="I108" s="21" t="s">
        <v>435</v>
      </c>
      <c r="J108" s="163">
        <v>11</v>
      </c>
      <c r="K108" s="294">
        <v>59000</v>
      </c>
      <c r="L108" s="298"/>
      <c r="M108" s="292">
        <f>IF(LEFT(Tabla4[[#This Row],[Electronica]],2)="NC",-Tabla4[[#This Row],[Cantidad]]*Tabla4[[#This Row],[Precio]]+Tabla4[[#This Row],[Dto]],Tabla4[[#This Row],[Cantidad]]*Tabla4[[#This Row],[Precio]]-Tabla4[[#This Row],[Dto]])</f>
        <v>649000</v>
      </c>
      <c r="N108" s="292">
        <f>IFERROR(Tabla4[[#This Row],[Sub Total]]*VLOOKUP(Tabla4[[#This Row],[No]],Parametros!A:C,3,0),0)</f>
        <v>123310</v>
      </c>
      <c r="O108" s="292">
        <f>+Tabla4[[#This Row],[IVA]]+Tabla4[[#This Row],[Sub Total]]</f>
        <v>772310</v>
      </c>
    </row>
    <row r="109" spans="1:15" ht="60" x14ac:dyDescent="0.2">
      <c r="A109" s="6">
        <v>93</v>
      </c>
      <c r="B109" s="6" t="str">
        <f>VLOOKUP(Tabla4[[#This Row],[Codigo]],Tabla2[[Cod]:[Nombre ]],2,0)</f>
        <v>P-1081</v>
      </c>
      <c r="C109" s="53">
        <f>VLOOKUP(Tabla4[[#This Row],[Codigo]],Tabla2[[Cod]:[Nombre ]],3,0)</f>
        <v>44550</v>
      </c>
      <c r="D109" s="6" t="str">
        <f>VLOOKUP(Tabla4[[#This Row],[Codigo]],Tabla2[[Cod]:[Nombre ]],4,0)</f>
        <v>Tis-1127</v>
      </c>
      <c r="E109" s="5" t="str">
        <f>VLOOKUP(Tabla4[[#This Row],[Codigo]],Tabla2[[Cod]:[Nombre ]],8,0)</f>
        <v>SEQ CONSULTORES LTDA</v>
      </c>
      <c r="F109" s="5" t="str">
        <f>VLOOKUP(Tabla4[[#This Row],[Codigo]],Tabla2[[Cod]:[Nombre ]],6,0)</f>
        <v>OK</v>
      </c>
      <c r="G109" s="7" t="s">
        <v>433</v>
      </c>
      <c r="H109" s="21" t="str">
        <f>VLOOKUP(Tabla4[[#This Row],[No]],Parametros!A:C,2,0)</f>
        <v>Mediciones Higienicas</v>
      </c>
      <c r="I109" s="21" t="s">
        <v>461</v>
      </c>
      <c r="J109" s="163">
        <v>13</v>
      </c>
      <c r="K109" s="294">
        <v>59000</v>
      </c>
      <c r="L109" s="298"/>
      <c r="M109" s="292">
        <f>IF(LEFT(Tabla4[[#This Row],[Electronica]],2)="NC",-Tabla4[[#This Row],[Cantidad]]*Tabla4[[#This Row],[Precio]]+Tabla4[[#This Row],[Dto]],Tabla4[[#This Row],[Cantidad]]*Tabla4[[#This Row],[Precio]]-Tabla4[[#This Row],[Dto]])</f>
        <v>767000</v>
      </c>
      <c r="N109" s="292">
        <f>IFERROR(Tabla4[[#This Row],[Sub Total]]*VLOOKUP(Tabla4[[#This Row],[No]],Parametros!A:C,3,0),0)</f>
        <v>145730</v>
      </c>
      <c r="O109" s="292">
        <f>+Tabla4[[#This Row],[IVA]]+Tabla4[[#This Row],[Sub Total]]</f>
        <v>912730</v>
      </c>
    </row>
    <row r="110" spans="1:15" ht="60" x14ac:dyDescent="0.2">
      <c r="A110" s="6">
        <v>93</v>
      </c>
      <c r="B110" s="6" t="str">
        <f>VLOOKUP(Tabla4[[#This Row],[Codigo]],Tabla2[[Cod]:[Nombre ]],2,0)</f>
        <v>P-1081</v>
      </c>
      <c r="C110" s="53">
        <f>VLOOKUP(Tabla4[[#This Row],[Codigo]],Tabla2[[Cod]:[Nombre ]],3,0)</f>
        <v>44550</v>
      </c>
      <c r="D110" s="6" t="str">
        <f>VLOOKUP(Tabla4[[#This Row],[Codigo]],Tabla2[[Cod]:[Nombre ]],4,0)</f>
        <v>Tis-1127</v>
      </c>
      <c r="E110" s="5" t="str">
        <f>VLOOKUP(Tabla4[[#This Row],[Codigo]],Tabla2[[Cod]:[Nombre ]],8,0)</f>
        <v>SEQ CONSULTORES LTDA</v>
      </c>
      <c r="F110" s="5" t="str">
        <f>VLOOKUP(Tabla4[[#This Row],[Codigo]],Tabla2[[Cod]:[Nombre ]],6,0)</f>
        <v>OK</v>
      </c>
      <c r="G110" s="7" t="s">
        <v>433</v>
      </c>
      <c r="H110" s="21" t="str">
        <f>VLOOKUP(Tabla4[[#This Row],[No]],Parametros!A:C,2,0)</f>
        <v>Mediciones Higienicas</v>
      </c>
      <c r="I110" s="21" t="s">
        <v>462</v>
      </c>
      <c r="J110" s="163">
        <v>5</v>
      </c>
      <c r="K110" s="294">
        <v>300000</v>
      </c>
      <c r="L110" s="298"/>
      <c r="M110" s="292">
        <f>IF(LEFT(Tabla4[[#This Row],[Electronica]],2)="NC",-Tabla4[[#This Row],[Cantidad]]*Tabla4[[#This Row],[Precio]]+Tabla4[[#This Row],[Dto]],Tabla4[[#This Row],[Cantidad]]*Tabla4[[#This Row],[Precio]]-Tabla4[[#This Row],[Dto]])</f>
        <v>1500000</v>
      </c>
      <c r="N110" s="292">
        <f>IFERROR(Tabla4[[#This Row],[Sub Total]]*VLOOKUP(Tabla4[[#This Row],[No]],Parametros!A:C,3,0),0)</f>
        <v>285000</v>
      </c>
      <c r="O110" s="292">
        <f>+Tabla4[[#This Row],[IVA]]+Tabla4[[#This Row],[Sub Total]]</f>
        <v>1785000</v>
      </c>
    </row>
    <row r="111" spans="1:15" ht="60" x14ac:dyDescent="0.2">
      <c r="A111" s="6">
        <v>93</v>
      </c>
      <c r="B111" s="6" t="str">
        <f>VLOOKUP(Tabla4[[#This Row],[Codigo]],Tabla2[[Cod]:[Nombre ]],2,0)</f>
        <v>P-1081</v>
      </c>
      <c r="C111" s="53">
        <f>VLOOKUP(Tabla4[[#This Row],[Codigo]],Tabla2[[Cod]:[Nombre ]],3,0)</f>
        <v>44550</v>
      </c>
      <c r="D111" s="6" t="str">
        <f>VLOOKUP(Tabla4[[#This Row],[Codigo]],Tabla2[[Cod]:[Nombre ]],4,0)</f>
        <v>Tis-1127</v>
      </c>
      <c r="E111" s="5" t="str">
        <f>VLOOKUP(Tabla4[[#This Row],[Codigo]],Tabla2[[Cod]:[Nombre ]],8,0)</f>
        <v>SEQ CONSULTORES LTDA</v>
      </c>
      <c r="F111" s="5" t="str">
        <f>VLOOKUP(Tabla4[[#This Row],[Codigo]],Tabla2[[Cod]:[Nombre ]],6,0)</f>
        <v>OK</v>
      </c>
      <c r="G111" s="7" t="s">
        <v>433</v>
      </c>
      <c r="H111" s="21" t="str">
        <f>VLOOKUP(Tabla4[[#This Row],[No]],Parametros!A:C,2,0)</f>
        <v>Mediciones Higienicas</v>
      </c>
      <c r="I111" s="21" t="s">
        <v>463</v>
      </c>
      <c r="J111" s="163">
        <v>3</v>
      </c>
      <c r="K111" s="294">
        <v>900000</v>
      </c>
      <c r="L111" s="298"/>
      <c r="M111" s="292">
        <f>IF(LEFT(Tabla4[[#This Row],[Electronica]],2)="NC",-Tabla4[[#This Row],[Cantidad]]*Tabla4[[#This Row],[Precio]]+Tabla4[[#This Row],[Dto]],Tabla4[[#This Row],[Cantidad]]*Tabla4[[#This Row],[Precio]]-Tabla4[[#This Row],[Dto]])</f>
        <v>2700000</v>
      </c>
      <c r="N111" s="292">
        <f>IFERROR(Tabla4[[#This Row],[Sub Total]]*VLOOKUP(Tabla4[[#This Row],[No]],Parametros!A:C,3,0),0)</f>
        <v>513000</v>
      </c>
      <c r="O111" s="292">
        <f>+Tabla4[[#This Row],[IVA]]+Tabla4[[#This Row],[Sub Total]]</f>
        <v>3213000</v>
      </c>
    </row>
    <row r="112" spans="1:15" ht="60" x14ac:dyDescent="0.2">
      <c r="A112" s="6">
        <v>94</v>
      </c>
      <c r="B112" s="6" t="str">
        <f>VLOOKUP(Tabla4[[#This Row],[Codigo]],Tabla2[[Cod]:[Nombre ]],2,0)</f>
        <v>P-1082</v>
      </c>
      <c r="C112" s="53">
        <f>VLOOKUP(Tabla4[[#This Row],[Codigo]],Tabla2[[Cod]:[Nombre ]],3,0)</f>
        <v>44593</v>
      </c>
      <c r="D112" s="6" t="str">
        <f>VLOOKUP(Tabla4[[#This Row],[Codigo]],Tabla2[[Cod]:[Nombre ]],4,0)</f>
        <v>TIS-1093</v>
      </c>
      <c r="E112" s="5" t="str">
        <f>VLOOKUP(Tabla4[[#This Row],[Codigo]],Tabla2[[Cod]:[Nombre ]],8,0)</f>
        <v>PILYQ COLOMBIA S.A.S.</v>
      </c>
      <c r="F112" s="5" t="str">
        <f>VLOOKUP(Tabla4[[#This Row],[Codigo]],Tabla2[[Cod]:[Nombre ]],6,0)</f>
        <v>OK</v>
      </c>
      <c r="G112" s="7" t="s">
        <v>282</v>
      </c>
      <c r="H112" s="21" t="str">
        <f>VLOOKUP(Tabla4[[#This Row],[No]],Parametros!A:C,2,0)</f>
        <v>Batería de Riesgo Psicosocial</v>
      </c>
      <c r="I112" s="21" t="s">
        <v>283</v>
      </c>
      <c r="J112" s="163">
        <v>42</v>
      </c>
      <c r="K112" s="294">
        <v>25000</v>
      </c>
      <c r="L112" s="298"/>
      <c r="M112" s="292">
        <f>IF(LEFT(Tabla4[[#This Row],[Electronica]],2)="NC",-Tabla4[[#This Row],[Cantidad]]*Tabla4[[#This Row],[Precio]]+Tabla4[[#This Row],[Dto]],Tabla4[[#This Row],[Cantidad]]*Tabla4[[#This Row],[Precio]]-Tabla4[[#This Row],[Dto]])</f>
        <v>1050000</v>
      </c>
      <c r="N112" s="292">
        <f>IFERROR(Tabla4[[#This Row],[Sub Total]]*VLOOKUP(Tabla4[[#This Row],[No]],Parametros!A:C,3,0),0)</f>
        <v>199500</v>
      </c>
      <c r="O112" s="292">
        <f>+Tabla4[[#This Row],[IVA]]+Tabla4[[#This Row],[Sub Total]]</f>
        <v>1249500</v>
      </c>
    </row>
    <row r="113" spans="1:15" ht="36" x14ac:dyDescent="0.2">
      <c r="A113" s="6">
        <v>95</v>
      </c>
      <c r="B113" s="6" t="str">
        <f>VLOOKUP(Tabla4[[#This Row],[Codigo]],Tabla2[[Cod]:[Nombre ]],2,0)</f>
        <v>P-1083</v>
      </c>
      <c r="C113" s="53">
        <f>VLOOKUP(Tabla4[[#This Row],[Codigo]],Tabla2[[Cod]:[Nombre ]],3,0)</f>
        <v>44559</v>
      </c>
      <c r="D113" s="6" t="str">
        <f>VLOOKUP(Tabla4[[#This Row],[Codigo]],Tabla2[[Cod]:[Nombre ]],4,0)</f>
        <v>TIS-1090</v>
      </c>
      <c r="E113" s="5" t="str">
        <f>VLOOKUP(Tabla4[[#This Row],[Codigo]],Tabla2[[Cod]:[Nombre ]],8,0)</f>
        <v>Inversiones Sajamib SAS</v>
      </c>
      <c r="F113" s="5" t="str">
        <f>VLOOKUP(Tabla4[[#This Row],[Codigo]],Tabla2[[Cod]:[Nombre ]],6,0)</f>
        <v>OK</v>
      </c>
      <c r="G113" s="7" t="s">
        <v>417</v>
      </c>
      <c r="H113" s="21" t="str">
        <f>VLOOKUP(Tabla4[[#This Row],[No]],Parametros!A:C,2,0)</f>
        <v>Capacitación acompañamiento Virtual SST</v>
      </c>
      <c r="I113" s="21" t="s">
        <v>464</v>
      </c>
      <c r="J113" s="163">
        <v>1</v>
      </c>
      <c r="K113" s="294">
        <v>322000</v>
      </c>
      <c r="L113" s="298"/>
      <c r="M113" s="292">
        <f>IF(LEFT(Tabla4[[#This Row],[Electronica]],2)="NC",-Tabla4[[#This Row],[Cantidad]]*Tabla4[[#This Row],[Precio]]+Tabla4[[#This Row],[Dto]],Tabla4[[#This Row],[Cantidad]]*Tabla4[[#This Row],[Precio]]-Tabla4[[#This Row],[Dto]])</f>
        <v>322000</v>
      </c>
      <c r="N113" s="292">
        <f>IFERROR(Tabla4[[#This Row],[Sub Total]]*VLOOKUP(Tabla4[[#This Row],[No]],Parametros!A:C,3,0),0)</f>
        <v>0</v>
      </c>
      <c r="O113" s="292">
        <f>+Tabla4[[#This Row],[IVA]]+Tabla4[[#This Row],[Sub Total]]</f>
        <v>322000</v>
      </c>
    </row>
    <row r="114" spans="1:15" ht="45" x14ac:dyDescent="0.2">
      <c r="A114" s="6">
        <v>96</v>
      </c>
      <c r="B114" s="6" t="str">
        <f>VLOOKUP(Tabla4[[#This Row],[Codigo]],Tabla2[[Cod]:[Nombre ]],2,0)</f>
        <v>P-1084</v>
      </c>
      <c r="C114" s="53">
        <f>VLOOKUP(Tabla4[[#This Row],[Codigo]],Tabla2[[Cod]:[Nombre ]],3,0)</f>
        <v>44590</v>
      </c>
      <c r="D114" s="6" t="str">
        <f>VLOOKUP(Tabla4[[#This Row],[Codigo]],Tabla2[[Cod]:[Nombre ]],4,0)</f>
        <v>Tis-1085</v>
      </c>
      <c r="E114" s="5" t="str">
        <f>VLOOKUP(Tabla4[[#This Row],[Codigo]],Tabla2[[Cod]:[Nombre ]],8,0)</f>
        <v>PRODUCTORA INTERAMERICANA DE PLASTICOS S.A.S.</v>
      </c>
      <c r="F114" s="5" t="str">
        <f>VLOOKUP(Tabla4[[#This Row],[Codigo]],Tabla2[[Cod]:[Nombre ]],6,0)</f>
        <v>OK</v>
      </c>
      <c r="G114" s="7" t="s">
        <v>416</v>
      </c>
      <c r="H114" s="21" t="str">
        <f>VLOOKUP(Tabla4[[#This Row],[No]],Parametros!A:C,2,0)</f>
        <v>Consultoría Implementacion SG-SST</v>
      </c>
      <c r="I114" s="21" t="s">
        <v>465</v>
      </c>
      <c r="J114" s="163">
        <v>1</v>
      </c>
      <c r="K114" s="294">
        <v>200000</v>
      </c>
      <c r="L114" s="298"/>
      <c r="M114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114" s="292">
        <f>IFERROR(Tabla4[[#This Row],[Sub Total]]*VLOOKUP(Tabla4[[#This Row],[No]],Parametros!A:C,3,0),0)</f>
        <v>38000</v>
      </c>
      <c r="O114" s="292">
        <f>+Tabla4[[#This Row],[IVA]]+Tabla4[[#This Row],[Sub Total]]</f>
        <v>238000</v>
      </c>
    </row>
    <row r="115" spans="1:15" ht="36" x14ac:dyDescent="0.2">
      <c r="A115" s="6">
        <v>97</v>
      </c>
      <c r="B115" s="6" t="str">
        <f>VLOOKUP(Tabla4[[#This Row],[Codigo]],Tabla2[[Cod]:[Nombre ]],2,0)</f>
        <v>P-1085</v>
      </c>
      <c r="C115" s="53">
        <f>VLOOKUP(Tabla4[[#This Row],[Codigo]],Tabla2[[Cod]:[Nombre ]],3,0)</f>
        <v>44593</v>
      </c>
      <c r="D115" s="6" t="str">
        <f>VLOOKUP(Tabla4[[#This Row],[Codigo]],Tabla2[[Cod]:[Nombre ]],4,0)</f>
        <v>TIS-1095</v>
      </c>
      <c r="E115" s="5" t="str">
        <f>VLOOKUP(Tabla4[[#This Row],[Codigo]],Tabla2[[Cod]:[Nombre ]],8,0)</f>
        <v>Procesos 2000 S.A.S.</v>
      </c>
      <c r="F115" s="5" t="str">
        <f>VLOOKUP(Tabla4[[#This Row],[Codigo]],Tabla2[[Cod]:[Nombre ]],6,0)</f>
        <v>OK</v>
      </c>
      <c r="G115" s="7" t="s">
        <v>416</v>
      </c>
      <c r="H115" s="21" t="str">
        <f>VLOOKUP(Tabla4[[#This Row],[No]],Parametros!A:C,2,0)</f>
        <v>Consultoría Implementacion SG-SST</v>
      </c>
      <c r="I115" s="21" t="s">
        <v>466</v>
      </c>
      <c r="J115" s="163">
        <v>1</v>
      </c>
      <c r="K115" s="294">
        <v>2760000</v>
      </c>
      <c r="L115" s="298"/>
      <c r="M115" s="292">
        <f>IF(LEFT(Tabla4[[#This Row],[Electronica]],2)="NC",-Tabla4[[#This Row],[Cantidad]]*Tabla4[[#This Row],[Precio]]+Tabla4[[#This Row],[Dto]],Tabla4[[#This Row],[Cantidad]]*Tabla4[[#This Row],[Precio]]-Tabla4[[#This Row],[Dto]])</f>
        <v>2760000</v>
      </c>
      <c r="N115" s="292">
        <f>IFERROR(Tabla4[[#This Row],[Sub Total]]*VLOOKUP(Tabla4[[#This Row],[No]],Parametros!A:C,3,0),0)</f>
        <v>524400</v>
      </c>
      <c r="O115" s="292">
        <f>+Tabla4[[#This Row],[IVA]]+Tabla4[[#This Row],[Sub Total]]</f>
        <v>3284400</v>
      </c>
    </row>
    <row r="116" spans="1:15" ht="36" x14ac:dyDescent="0.2">
      <c r="A116" s="6">
        <v>98</v>
      </c>
      <c r="B116" s="6" t="str">
        <f>VLOOKUP(Tabla4[[#This Row],[Codigo]],Tabla2[[Cod]:[Nombre ]],2,0)</f>
        <v>P-1086</v>
      </c>
      <c r="C116" s="53">
        <f>VLOOKUP(Tabla4[[#This Row],[Codigo]],Tabla2[[Cod]:[Nombre ]],3,0)</f>
        <v>44593</v>
      </c>
      <c r="D116" s="6" t="str">
        <f>VLOOKUP(Tabla4[[#This Row],[Codigo]],Tabla2[[Cod]:[Nombre ]],4,0)</f>
        <v>TIS-1116</v>
      </c>
      <c r="E116" s="5" t="str">
        <f>VLOOKUP(Tabla4[[#This Row],[Codigo]],Tabla2[[Cod]:[Nombre ]],8,0)</f>
        <v>Inversiones Sajamib SAS</v>
      </c>
      <c r="F116" s="5" t="str">
        <f>VLOOKUP(Tabla4[[#This Row],[Codigo]],Tabla2[[Cod]:[Nombre ]],6,0)</f>
        <v>OK</v>
      </c>
      <c r="G116" s="7" t="s">
        <v>417</v>
      </c>
      <c r="H116" s="21" t="str">
        <f>VLOOKUP(Tabla4[[#This Row],[No]],Parametros!A:C,2,0)</f>
        <v>Capacitación acompañamiento Virtual SST</v>
      </c>
      <c r="I116" s="21" t="s">
        <v>467</v>
      </c>
      <c r="J116" s="163">
        <v>1</v>
      </c>
      <c r="K116" s="294">
        <v>322000</v>
      </c>
      <c r="L116" s="298"/>
      <c r="M116" s="292">
        <f>IF(LEFT(Tabla4[[#This Row],[Electronica]],2)="NC",-Tabla4[[#This Row],[Cantidad]]*Tabla4[[#This Row],[Precio]]+Tabla4[[#This Row],[Dto]],Tabla4[[#This Row],[Cantidad]]*Tabla4[[#This Row],[Precio]]-Tabla4[[#This Row],[Dto]])</f>
        <v>322000</v>
      </c>
      <c r="N116" s="292">
        <f>IFERROR(Tabla4[[#This Row],[Sub Total]]*VLOOKUP(Tabla4[[#This Row],[No]],Parametros!A:C,3,0),0)</f>
        <v>0</v>
      </c>
      <c r="O116" s="292">
        <f>+Tabla4[[#This Row],[IVA]]+Tabla4[[#This Row],[Sub Total]]</f>
        <v>322000</v>
      </c>
    </row>
    <row r="117" spans="1:15" ht="72" x14ac:dyDescent="0.2">
      <c r="A117" s="6">
        <v>99</v>
      </c>
      <c r="B117" s="6" t="str">
        <f>VLOOKUP(Tabla4[[#This Row],[Codigo]],Tabla2[[Cod]:[Nombre ]],2,0)</f>
        <v>P-1087</v>
      </c>
      <c r="C117" s="53">
        <f>VLOOKUP(Tabla4[[#This Row],[Codigo]],Tabla2[[Cod]:[Nombre ]],3,0)</f>
        <v>44593</v>
      </c>
      <c r="D117" s="6" t="str">
        <f>VLOOKUP(Tabla4[[#This Row],[Codigo]],Tabla2[[Cod]:[Nombre ]],4,0)</f>
        <v>TIS-1087</v>
      </c>
      <c r="E117" s="5" t="str">
        <f>VLOOKUP(Tabla4[[#This Row],[Codigo]],Tabla2[[Cod]:[Nombre ]],8,0)</f>
        <v>RENAL MEDICAL MARKETING LIMITADA</v>
      </c>
      <c r="F117" s="5" t="str">
        <f>VLOOKUP(Tabla4[[#This Row],[Codigo]],Tabla2[[Cod]:[Nombre ]],6,0)</f>
        <v>OK</v>
      </c>
      <c r="G117" s="7" t="s">
        <v>416</v>
      </c>
      <c r="H117" s="21" t="str">
        <f>VLOOKUP(Tabla4[[#This Row],[No]],Parametros!A:C,2,0)</f>
        <v>Consultoría Implementacion SG-SST</v>
      </c>
      <c r="I117" s="21" t="s">
        <v>468</v>
      </c>
      <c r="J117" s="163">
        <v>1</v>
      </c>
      <c r="K117" s="294">
        <v>450000</v>
      </c>
      <c r="L117" s="298"/>
      <c r="M117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117" s="292">
        <f>IFERROR(Tabla4[[#This Row],[Sub Total]]*VLOOKUP(Tabla4[[#This Row],[No]],Parametros!A:C,3,0),0)</f>
        <v>85500</v>
      </c>
      <c r="O117" s="292">
        <f>+Tabla4[[#This Row],[IVA]]+Tabla4[[#This Row],[Sub Total]]</f>
        <v>535500</v>
      </c>
    </row>
    <row r="118" spans="1:15" ht="30" x14ac:dyDescent="0.2">
      <c r="A118" s="6">
        <v>100</v>
      </c>
      <c r="B118" s="6" t="str">
        <f>VLOOKUP(Tabla4[[#This Row],[Codigo]],Tabla2[[Cod]:[Nombre ]],2,0)</f>
        <v>P-1088</v>
      </c>
      <c r="C118" s="53">
        <f>VLOOKUP(Tabla4[[#This Row],[Codigo]],Tabla2[[Cod]:[Nombre ]],3,0)</f>
        <v>44593</v>
      </c>
      <c r="D118" s="6" t="str">
        <f>VLOOKUP(Tabla4[[#This Row],[Codigo]],Tabla2[[Cod]:[Nombre ]],4,0)</f>
        <v>TIS-1089</v>
      </c>
      <c r="E118" s="5" t="str">
        <f>VLOOKUP(Tabla4[[#This Row],[Codigo]],Tabla2[[Cod]:[Nombre ]],8,0)</f>
        <v>Colegio Integrado Nacional Oriente de Caldas</v>
      </c>
      <c r="F118" s="5" t="str">
        <f>VLOOKUP(Tabla4[[#This Row],[Codigo]],Tabla2[[Cod]:[Nombre ]],6,0)</f>
        <v>ok</v>
      </c>
      <c r="G118" s="7" t="s">
        <v>282</v>
      </c>
      <c r="H118" s="21" t="str">
        <f>VLOOKUP(Tabla4[[#This Row],[No]],Parametros!A:C,2,0)</f>
        <v>Batería de Riesgo Psicosocial</v>
      </c>
      <c r="I118" s="21" t="s">
        <v>469</v>
      </c>
      <c r="J118" s="163">
        <v>44</v>
      </c>
      <c r="K118" s="294">
        <v>24000</v>
      </c>
      <c r="L118" s="298"/>
      <c r="M118" s="292">
        <f>IF(LEFT(Tabla4[[#This Row],[Electronica]],2)="NC",-Tabla4[[#This Row],[Cantidad]]*Tabla4[[#This Row],[Precio]]+Tabla4[[#This Row],[Dto]],Tabla4[[#This Row],[Cantidad]]*Tabla4[[#This Row],[Precio]]-Tabla4[[#This Row],[Dto]])</f>
        <v>1056000</v>
      </c>
      <c r="N118" s="292">
        <f>IFERROR(Tabla4[[#This Row],[Sub Total]]*VLOOKUP(Tabla4[[#This Row],[No]],Parametros!A:C,3,0),0)</f>
        <v>200640</v>
      </c>
      <c r="O118" s="292">
        <f>+Tabla4[[#This Row],[IVA]]+Tabla4[[#This Row],[Sub Total]]</f>
        <v>1256640</v>
      </c>
    </row>
    <row r="119" spans="1:15" ht="30" x14ac:dyDescent="0.2">
      <c r="A119" s="6">
        <v>100</v>
      </c>
      <c r="B119" s="6" t="str">
        <f>VLOOKUP(Tabla4[[#This Row],[Codigo]],Tabla2[[Cod]:[Nombre ]],2,0)</f>
        <v>P-1088</v>
      </c>
      <c r="C119" s="53">
        <f>VLOOKUP(Tabla4[[#This Row],[Codigo]],Tabla2[[Cod]:[Nombre ]],3,0)</f>
        <v>44593</v>
      </c>
      <c r="D119" s="6" t="str">
        <f>VLOOKUP(Tabla4[[#This Row],[Codigo]],Tabla2[[Cod]:[Nombre ]],4,0)</f>
        <v>TIS-1089</v>
      </c>
      <c r="E119" s="5" t="str">
        <f>VLOOKUP(Tabla4[[#This Row],[Codigo]],Tabla2[[Cod]:[Nombre ]],8,0)</f>
        <v>Colegio Integrado Nacional Oriente de Caldas</v>
      </c>
      <c r="F119" s="5" t="str">
        <f>VLOOKUP(Tabla4[[#This Row],[Codigo]],Tabla2[[Cod]:[Nombre ]],6,0)</f>
        <v>ok</v>
      </c>
      <c r="G119" s="7" t="s">
        <v>282</v>
      </c>
      <c r="H119" s="21" t="str">
        <f>VLOOKUP(Tabla4[[#This Row],[No]],Parametros!A:C,2,0)</f>
        <v>Batería de Riesgo Psicosocial</v>
      </c>
      <c r="I119" s="21" t="s">
        <v>470</v>
      </c>
      <c r="J119" s="163">
        <v>1</v>
      </c>
      <c r="K119" s="294">
        <v>50000</v>
      </c>
      <c r="L119" s="298"/>
      <c r="M119" s="292">
        <f>IF(LEFT(Tabla4[[#This Row],[Electronica]],2)="NC",-Tabla4[[#This Row],[Cantidad]]*Tabla4[[#This Row],[Precio]]+Tabla4[[#This Row],[Dto]],Tabla4[[#This Row],[Cantidad]]*Tabla4[[#This Row],[Precio]]-Tabla4[[#This Row],[Dto]])</f>
        <v>50000</v>
      </c>
      <c r="N119" s="292">
        <f>IFERROR(Tabla4[[#This Row],[Sub Total]]*VLOOKUP(Tabla4[[#This Row],[No]],Parametros!A:C,3,0),0)</f>
        <v>9500</v>
      </c>
      <c r="O119" s="292">
        <f>+Tabla4[[#This Row],[IVA]]+Tabla4[[#This Row],[Sub Total]]</f>
        <v>59500</v>
      </c>
    </row>
    <row r="120" spans="1:15" ht="30" x14ac:dyDescent="0.2">
      <c r="A120" s="6">
        <v>100</v>
      </c>
      <c r="B120" s="6" t="str">
        <f>VLOOKUP(Tabla4[[#This Row],[Codigo]],Tabla2[[Cod]:[Nombre ]],2,0)</f>
        <v>P-1088</v>
      </c>
      <c r="C120" s="53">
        <f>VLOOKUP(Tabla4[[#This Row],[Codigo]],Tabla2[[Cod]:[Nombre ]],3,0)</f>
        <v>44593</v>
      </c>
      <c r="D120" s="6" t="str">
        <f>VLOOKUP(Tabla4[[#This Row],[Codigo]],Tabla2[[Cod]:[Nombre ]],4,0)</f>
        <v>TIS-1089</v>
      </c>
      <c r="E120" s="5" t="str">
        <f>VLOOKUP(Tabla4[[#This Row],[Codigo]],Tabla2[[Cod]:[Nombre ]],8,0)</f>
        <v>Colegio Integrado Nacional Oriente de Caldas</v>
      </c>
      <c r="F120" s="5" t="str">
        <f>VLOOKUP(Tabla4[[#This Row],[Codigo]],Tabla2[[Cod]:[Nombre ]],6,0)</f>
        <v>ok</v>
      </c>
      <c r="G120" s="7" t="s">
        <v>282</v>
      </c>
      <c r="H120" s="21" t="str">
        <f>VLOOKUP(Tabla4[[#This Row],[No]],Parametros!A:C,2,0)</f>
        <v>Batería de Riesgo Psicosocial</v>
      </c>
      <c r="I120" s="21" t="s">
        <v>471</v>
      </c>
      <c r="J120" s="163">
        <v>1</v>
      </c>
      <c r="K120" s="294">
        <v>50000</v>
      </c>
      <c r="L120" s="298"/>
      <c r="M120" s="292">
        <f>IF(LEFT(Tabla4[[#This Row],[Electronica]],2)="NC",-Tabla4[[#This Row],[Cantidad]]*Tabla4[[#This Row],[Precio]]+Tabla4[[#This Row],[Dto]],Tabla4[[#This Row],[Cantidad]]*Tabla4[[#This Row],[Precio]]-Tabla4[[#This Row],[Dto]])</f>
        <v>50000</v>
      </c>
      <c r="N120" s="292">
        <f>IFERROR(Tabla4[[#This Row],[Sub Total]]*VLOOKUP(Tabla4[[#This Row],[No]],Parametros!A:C,3,0),0)</f>
        <v>9500</v>
      </c>
      <c r="O120" s="292">
        <f>+Tabla4[[#This Row],[IVA]]+Tabla4[[#This Row],[Sub Total]]</f>
        <v>59500</v>
      </c>
    </row>
    <row r="121" spans="1:15" ht="36" x14ac:dyDescent="0.2">
      <c r="A121" s="6">
        <v>101</v>
      </c>
      <c r="B121" s="6" t="str">
        <f>VLOOKUP(Tabla4[[#This Row],[Codigo]],Tabla2[[Cod]:[Nombre ]],2,0)</f>
        <v>P-1089</v>
      </c>
      <c r="C121" s="53">
        <f>VLOOKUP(Tabla4[[#This Row],[Codigo]],Tabla2[[Cod]:[Nombre ]],3,0)</f>
        <v>44594</v>
      </c>
      <c r="D121" s="6" t="str">
        <f>VLOOKUP(Tabla4[[#This Row],[Codigo]],Tabla2[[Cod]:[Nombre ]],4,0)</f>
        <v>TIS-1094</v>
      </c>
      <c r="E121" s="5" t="str">
        <f>VLOOKUP(Tabla4[[#This Row],[Codigo]],Tabla2[[Cod]:[Nombre ]],8,0)</f>
        <v>PASTRY CHEF PASTELERIA Y COCINA GOURMET SAS</v>
      </c>
      <c r="F121" s="5" t="str">
        <f>VLOOKUP(Tabla4[[#This Row],[Codigo]],Tabla2[[Cod]:[Nombre ]],6,0)</f>
        <v>OK</v>
      </c>
      <c r="G121" s="7" t="s">
        <v>416</v>
      </c>
      <c r="H121" s="21" t="str">
        <f>VLOOKUP(Tabla4[[#This Row],[No]],Parametros!A:C,2,0)</f>
        <v>Consultoría Implementacion SG-SST</v>
      </c>
      <c r="I121" s="21" t="s">
        <v>472</v>
      </c>
      <c r="J121" s="163">
        <v>1</v>
      </c>
      <c r="K121" s="294">
        <v>3720000</v>
      </c>
      <c r="L121" s="298"/>
      <c r="M121" s="292">
        <f>IF(LEFT(Tabla4[[#This Row],[Electronica]],2)="NC",-Tabla4[[#This Row],[Cantidad]]*Tabla4[[#This Row],[Precio]]+Tabla4[[#This Row],[Dto]],Tabla4[[#This Row],[Cantidad]]*Tabla4[[#This Row],[Precio]]-Tabla4[[#This Row],[Dto]])</f>
        <v>3720000</v>
      </c>
      <c r="N121" s="292">
        <f>IFERROR(Tabla4[[#This Row],[Sub Total]]*VLOOKUP(Tabla4[[#This Row],[No]],Parametros!A:C,3,0),0)</f>
        <v>706800</v>
      </c>
      <c r="O121" s="292">
        <f>+Tabla4[[#This Row],[IVA]]+Tabla4[[#This Row],[Sub Total]]</f>
        <v>4426800</v>
      </c>
    </row>
    <row r="122" spans="1:15" ht="36" x14ac:dyDescent="0.2">
      <c r="A122" s="6">
        <v>102</v>
      </c>
      <c r="B122" s="6" t="str">
        <f>VLOOKUP(Tabla4[[#This Row],[Codigo]],Tabla2[[Cod]:[Nombre ]],2,0)</f>
        <v>P-1090</v>
      </c>
      <c r="C122" s="53">
        <f>VLOOKUP(Tabla4[[#This Row],[Codigo]],Tabla2[[Cod]:[Nombre ]],3,0)</f>
        <v>44653</v>
      </c>
      <c r="D122" s="6" t="str">
        <f>VLOOKUP(Tabla4[[#This Row],[Codigo]],Tabla2[[Cod]:[Nombre ]],4,0)</f>
        <v>TIS-1010</v>
      </c>
      <c r="E122" s="5" t="str">
        <f>VLOOKUP(Tabla4[[#This Row],[Codigo]],Tabla2[[Cod]:[Nombre ]],8,0)</f>
        <v>Maria del Pilar Alvarado Joya</v>
      </c>
      <c r="F122" s="5" t="str">
        <f>VLOOKUP(Tabla4[[#This Row],[Codigo]],Tabla2[[Cod]:[Nombre ]],6,0)</f>
        <v>ok</v>
      </c>
      <c r="G122" s="7" t="s">
        <v>417</v>
      </c>
      <c r="H122" s="21" t="str">
        <f>VLOOKUP(Tabla4[[#This Row],[No]],Parametros!A:C,2,0)</f>
        <v>Capacitación acompañamiento Virtual SST</v>
      </c>
      <c r="I122" s="21" t="s">
        <v>473</v>
      </c>
      <c r="J122" s="163">
        <v>1</v>
      </c>
      <c r="K122" s="294">
        <v>900000</v>
      </c>
      <c r="L122" s="298"/>
      <c r="M122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122" s="292">
        <f>IFERROR(Tabla4[[#This Row],[Sub Total]]*VLOOKUP(Tabla4[[#This Row],[No]],Parametros!A:C,3,0),0)</f>
        <v>0</v>
      </c>
      <c r="O122" s="292">
        <f>+Tabla4[[#This Row],[IVA]]+Tabla4[[#This Row],[Sub Total]]</f>
        <v>900000</v>
      </c>
    </row>
    <row r="123" spans="1:15" ht="24" x14ac:dyDescent="0.2">
      <c r="A123" s="6">
        <v>103</v>
      </c>
      <c r="B123" s="6" t="str">
        <f>VLOOKUP(Tabla4[[#This Row],[Codigo]],Tabla2[[Cod]:[Nombre ]],2,0)</f>
        <v>P-1091</v>
      </c>
      <c r="C123" s="53">
        <f>VLOOKUP(Tabla4[[#This Row],[Codigo]],Tabla2[[Cod]:[Nombre ]],3,0)</f>
        <v>44600</v>
      </c>
      <c r="D123" s="6" t="str">
        <f>VLOOKUP(Tabla4[[#This Row],[Codigo]],Tabla2[[Cod]:[Nombre ]],4,0)</f>
        <v>NC10</v>
      </c>
      <c r="E123" s="5" t="str">
        <f>VLOOKUP(Tabla4[[#This Row],[Codigo]],Tabla2[[Cod]:[Nombre ]],8,0)</f>
        <v>Universidad Santo tomas</v>
      </c>
      <c r="F123" s="5" t="str">
        <f>VLOOKUP(Tabla4[[#This Row],[Codigo]],Tabla2[[Cod]:[Nombre ]],6,0)</f>
        <v>Anulado</v>
      </c>
      <c r="G123" s="7" t="s">
        <v>282</v>
      </c>
      <c r="H123" s="21" t="str">
        <f>VLOOKUP(Tabla4[[#This Row],[No]],Parametros!A:C,2,0)</f>
        <v>Batería de Riesgo Psicosocial</v>
      </c>
      <c r="I123" s="21" t="s">
        <v>474</v>
      </c>
      <c r="J123" s="163">
        <v>18</v>
      </c>
      <c r="K123" s="294">
        <v>30000</v>
      </c>
      <c r="L123" s="298"/>
      <c r="M123" s="292">
        <f>IF(LEFT(Tabla4[[#This Row],[Electronica]],2)="NC",-Tabla4[[#This Row],[Cantidad]]*Tabla4[[#This Row],[Precio]]+Tabla4[[#This Row],[Dto]],Tabla4[[#This Row],[Cantidad]]*Tabla4[[#This Row],[Precio]]-Tabla4[[#This Row],[Dto]])</f>
        <v>-540000</v>
      </c>
      <c r="N123" s="292">
        <f>IFERROR(Tabla4[[#This Row],[Sub Total]]*VLOOKUP(Tabla4[[#This Row],[No]],Parametros!A:C,3,0),0)</f>
        <v>-102600</v>
      </c>
      <c r="O123" s="292">
        <f>+Tabla4[[#This Row],[IVA]]+Tabla4[[#This Row],[Sub Total]]</f>
        <v>-642600</v>
      </c>
    </row>
    <row r="124" spans="1:15" ht="36" x14ac:dyDescent="0.2">
      <c r="A124" s="6">
        <v>104</v>
      </c>
      <c r="B124" s="6" t="str">
        <f>VLOOKUP(Tabla4[[#This Row],[Codigo]],Tabla2[[Cod]:[Nombre ]],2,0)</f>
        <v>P-1092</v>
      </c>
      <c r="C124" s="53">
        <f>VLOOKUP(Tabla4[[#This Row],[Codigo]],Tabla2[[Cod]:[Nombre ]],3,0)</f>
        <v>44601</v>
      </c>
      <c r="D124" s="6" t="str">
        <f>VLOOKUP(Tabla4[[#This Row],[Codigo]],Tabla2[[Cod]:[Nombre ]],4,0)</f>
        <v>TIS-1142</v>
      </c>
      <c r="E124" s="5" t="str">
        <f>VLOOKUP(Tabla4[[#This Row],[Codigo]],Tabla2[[Cod]:[Nombre ]],8,0)</f>
        <v>CONSTRUCCIONES CIVILES JMR S.A.S</v>
      </c>
      <c r="F124" s="5" t="str">
        <f>VLOOKUP(Tabla4[[#This Row],[Codigo]],Tabla2[[Cod]:[Nombre ]],6,0)</f>
        <v>ok</v>
      </c>
      <c r="G124" s="7" t="s">
        <v>416</v>
      </c>
      <c r="H124" s="21" t="str">
        <f>VLOOKUP(Tabla4[[#This Row],[No]],Parametros!A:C,2,0)</f>
        <v>Consultoría Implementacion SG-SST</v>
      </c>
      <c r="I124" s="21" t="s">
        <v>475</v>
      </c>
      <c r="J124" s="163">
        <v>1</v>
      </c>
      <c r="K124" s="294">
        <v>1009000</v>
      </c>
      <c r="L124" s="298"/>
      <c r="M124" s="292">
        <f>IF(LEFT(Tabla4[[#This Row],[Electronica]],2)="NC",-Tabla4[[#This Row],[Cantidad]]*Tabla4[[#This Row],[Precio]]+Tabla4[[#This Row],[Dto]],Tabla4[[#This Row],[Cantidad]]*Tabla4[[#This Row],[Precio]]-Tabla4[[#This Row],[Dto]])</f>
        <v>1009000</v>
      </c>
      <c r="N124" s="292">
        <f>IFERROR(Tabla4[[#This Row],[Sub Total]]*VLOOKUP(Tabla4[[#This Row],[No]],Parametros!A:C,3,0),0)</f>
        <v>191710</v>
      </c>
      <c r="O124" s="292">
        <f>+Tabla4[[#This Row],[IVA]]+Tabla4[[#This Row],[Sub Total]]</f>
        <v>1200710</v>
      </c>
    </row>
    <row r="125" spans="1:15" ht="36" x14ac:dyDescent="0.2">
      <c r="A125" s="6">
        <v>105</v>
      </c>
      <c r="B125" s="6" t="str">
        <f>VLOOKUP(Tabla4[[#This Row],[Codigo]],Tabla2[[Cod]:[Nombre ]],2,0)</f>
        <v>P-1093</v>
      </c>
      <c r="C125" s="53">
        <f>VLOOKUP(Tabla4[[#This Row],[Codigo]],Tabla2[[Cod]:[Nombre ]],3,0)</f>
        <v>44606</v>
      </c>
      <c r="D125" s="6" t="str">
        <f>VLOOKUP(Tabla4[[#This Row],[Codigo]],Tabla2[[Cod]:[Nombre ]],4,0)</f>
        <v>Tis-1091</v>
      </c>
      <c r="E125" s="5" t="str">
        <f>VLOOKUP(Tabla4[[#This Row],[Codigo]],Tabla2[[Cod]:[Nombre ]],8,0)</f>
        <v>K-2 INGENIERIA S.A.S.</v>
      </c>
      <c r="F125" s="5" t="str">
        <f>VLOOKUP(Tabla4[[#This Row],[Codigo]],Tabla2[[Cod]:[Nombre ]],6,0)</f>
        <v>OK</v>
      </c>
      <c r="G125" s="7" t="s">
        <v>282</v>
      </c>
      <c r="H125" s="21" t="str">
        <f>VLOOKUP(Tabla4[[#This Row],[No]],Parametros!A:C,2,0)</f>
        <v>Batería de Riesgo Psicosocial</v>
      </c>
      <c r="I125" s="21" t="s">
        <v>476</v>
      </c>
      <c r="J125" s="163">
        <v>15</v>
      </c>
      <c r="K125" s="294">
        <v>25000</v>
      </c>
      <c r="L125" s="298"/>
      <c r="M125" s="292">
        <f>IF(LEFT(Tabla4[[#This Row],[Electronica]],2)="NC",-Tabla4[[#This Row],[Cantidad]]*Tabla4[[#This Row],[Precio]]+Tabla4[[#This Row],[Dto]],Tabla4[[#This Row],[Cantidad]]*Tabla4[[#This Row],[Precio]]-Tabla4[[#This Row],[Dto]])</f>
        <v>375000</v>
      </c>
      <c r="N125" s="292">
        <f>IFERROR(Tabla4[[#This Row],[Sub Total]]*VLOOKUP(Tabla4[[#This Row],[No]],Parametros!A:C,3,0),0)</f>
        <v>71250</v>
      </c>
      <c r="O125" s="292">
        <f>+Tabla4[[#This Row],[IVA]]+Tabla4[[#This Row],[Sub Total]]</f>
        <v>446250</v>
      </c>
    </row>
    <row r="126" spans="1:15" ht="24" x14ac:dyDescent="0.2">
      <c r="A126" s="6">
        <v>106</v>
      </c>
      <c r="B126" s="6" t="str">
        <f>VLOOKUP(Tabla4[[#This Row],[Codigo]],Tabla2[[Cod]:[Nombre ]],2,0)</f>
        <v>P-1094</v>
      </c>
      <c r="C126" s="53">
        <f>VLOOKUP(Tabla4[[#This Row],[Codigo]],Tabla2[[Cod]:[Nombre ]],3,0)</f>
        <v>44610</v>
      </c>
      <c r="D126" s="6" t="str">
        <f>VLOOKUP(Tabla4[[#This Row],[Codigo]],Tabla2[[Cod]:[Nombre ]],4,0)</f>
        <v>TIS-1092</v>
      </c>
      <c r="E126" s="5" t="str">
        <f>VLOOKUP(Tabla4[[#This Row],[Codigo]],Tabla2[[Cod]:[Nombre ]],8,0)</f>
        <v>PILYQ COLOMBIA S.A.S.</v>
      </c>
      <c r="F126" s="5" t="str">
        <f>VLOOKUP(Tabla4[[#This Row],[Codigo]],Tabla2[[Cod]:[Nombre ]],6,0)</f>
        <v>Anulado</v>
      </c>
      <c r="G126" s="7" t="s">
        <v>282</v>
      </c>
      <c r="H126" s="21" t="str">
        <f>VLOOKUP(Tabla4[[#This Row],[No]],Parametros!A:C,2,0)</f>
        <v>Batería de Riesgo Psicosocial</v>
      </c>
      <c r="I126" s="21" t="s">
        <v>477</v>
      </c>
      <c r="J126" s="163">
        <v>1</v>
      </c>
      <c r="K126" s="294">
        <v>840000</v>
      </c>
      <c r="L126" s="298"/>
      <c r="M126" s="292">
        <f>IF(LEFT(Tabla4[[#This Row],[Electronica]],2)="NC",-Tabla4[[#This Row],[Cantidad]]*Tabla4[[#This Row],[Precio]]+Tabla4[[#This Row],[Dto]],Tabla4[[#This Row],[Cantidad]]*Tabla4[[#This Row],[Precio]]-Tabla4[[#This Row],[Dto]])</f>
        <v>840000</v>
      </c>
      <c r="N126" s="292">
        <f>IFERROR(Tabla4[[#This Row],[Sub Total]]*VLOOKUP(Tabla4[[#This Row],[No]],Parametros!A:C,3,0),0)</f>
        <v>159600</v>
      </c>
      <c r="O126" s="292">
        <f>+Tabla4[[#This Row],[IVA]]+Tabla4[[#This Row],[Sub Total]]</f>
        <v>999600</v>
      </c>
    </row>
    <row r="127" spans="1:15" ht="24" x14ac:dyDescent="0.2">
      <c r="A127" s="6">
        <v>107</v>
      </c>
      <c r="B127" s="6" t="str">
        <f>VLOOKUP(Tabla4[[#This Row],[Codigo]],Tabla2[[Cod]:[Nombre ]],2,0)</f>
        <v>P-1095</v>
      </c>
      <c r="C127" s="53">
        <f>VLOOKUP(Tabla4[[#This Row],[Codigo]],Tabla2[[Cod]:[Nombre ]],3,0)</f>
        <v>44610</v>
      </c>
      <c r="D127" s="6" t="str">
        <f>VLOOKUP(Tabla4[[#This Row],[Codigo]],Tabla2[[Cod]:[Nombre ]],4,0)</f>
        <v>NC-11</v>
      </c>
      <c r="E127" s="5" t="str">
        <f>VLOOKUP(Tabla4[[#This Row],[Codigo]],Tabla2[[Cod]:[Nombre ]],8,0)</f>
        <v>PILYQ COLOMBIA S.A.S.</v>
      </c>
      <c r="F127" s="5" t="str">
        <f>VLOOKUP(Tabla4[[#This Row],[Codigo]],Tabla2[[Cod]:[Nombre ]],6,0)</f>
        <v>Anulado</v>
      </c>
      <c r="G127" s="7" t="s">
        <v>282</v>
      </c>
      <c r="H127" s="21" t="str">
        <f>VLOOKUP(Tabla4[[#This Row],[No]],Parametros!A:C,2,0)</f>
        <v>Batería de Riesgo Psicosocial</v>
      </c>
      <c r="I127" s="21" t="s">
        <v>478</v>
      </c>
      <c r="J127" s="163">
        <v>1</v>
      </c>
      <c r="K127" s="294">
        <v>840000</v>
      </c>
      <c r="L127" s="298"/>
      <c r="M127" s="292">
        <f>IF(LEFT(Tabla4[[#This Row],[Electronica]],2)="NC",-Tabla4[[#This Row],[Cantidad]]*Tabla4[[#This Row],[Precio]]+Tabla4[[#This Row],[Dto]],Tabla4[[#This Row],[Cantidad]]*Tabla4[[#This Row],[Precio]]-Tabla4[[#This Row],[Dto]])</f>
        <v>-840000</v>
      </c>
      <c r="N127" s="292">
        <f>IFERROR(Tabla4[[#This Row],[Sub Total]]*VLOOKUP(Tabla4[[#This Row],[No]],Parametros!A:C,3,0),0)</f>
        <v>-159600</v>
      </c>
      <c r="O127" s="292">
        <f>+Tabla4[[#This Row],[IVA]]+Tabla4[[#This Row],[Sub Total]]</f>
        <v>-999600</v>
      </c>
    </row>
    <row r="128" spans="1:15" ht="24" x14ac:dyDescent="0.2">
      <c r="A128" s="6">
        <v>108</v>
      </c>
      <c r="B128" s="6" t="str">
        <f>VLOOKUP(Tabla4[[#This Row],[Codigo]],Tabla2[[Cod]:[Nombre ]],2,0)</f>
        <v>P-1096</v>
      </c>
      <c r="C128" s="53">
        <f>VLOOKUP(Tabla4[[#This Row],[Codigo]],Tabla2[[Cod]:[Nombre ]],3,0)</f>
        <v>44610</v>
      </c>
      <c r="D128" s="6" t="str">
        <f>VLOOKUP(Tabla4[[#This Row],[Codigo]],Tabla2[[Cod]:[Nombre ]],4,0)</f>
        <v>NC-10</v>
      </c>
      <c r="E128" s="5" t="str">
        <f>VLOOKUP(Tabla4[[#This Row],[Codigo]],Tabla2[[Cod]:[Nombre ]],8,0)</f>
        <v>Universidad Santo tomas</v>
      </c>
      <c r="F128" s="5" t="str">
        <f>VLOOKUP(Tabla4[[#This Row],[Codigo]],Tabla2[[Cod]:[Nombre ]],6,0)</f>
        <v>Anulado</v>
      </c>
      <c r="G128" s="7" t="s">
        <v>282</v>
      </c>
      <c r="H128" s="21" t="str">
        <f>VLOOKUP(Tabla4[[#This Row],[No]],Parametros!A:C,2,0)</f>
        <v>Batería de Riesgo Psicosocial</v>
      </c>
      <c r="I128" s="21" t="s">
        <v>479</v>
      </c>
      <c r="J128" s="163">
        <v>18</v>
      </c>
      <c r="K128" s="294">
        <v>30000</v>
      </c>
      <c r="L128" s="298"/>
      <c r="M128" s="292">
        <f>IF(LEFT(Tabla4[[#This Row],[Electronica]],2)="NC",-Tabla4[[#This Row],[Cantidad]]*Tabla4[[#This Row],[Precio]]+Tabla4[[#This Row],[Dto]],Tabla4[[#This Row],[Cantidad]]*Tabla4[[#This Row],[Precio]]-Tabla4[[#This Row],[Dto]])</f>
        <v>-540000</v>
      </c>
      <c r="N128" s="292">
        <f>IFERROR(Tabla4[[#This Row],[Sub Total]]*VLOOKUP(Tabla4[[#This Row],[No]],Parametros!A:C,3,0),0)</f>
        <v>-102600</v>
      </c>
      <c r="O128" s="292">
        <f>+Tabla4[[#This Row],[IVA]]+Tabla4[[#This Row],[Sub Total]]</f>
        <v>-642600</v>
      </c>
    </row>
    <row r="129" spans="1:15" ht="36" x14ac:dyDescent="0.2">
      <c r="A129" s="6">
        <v>109</v>
      </c>
      <c r="B129" s="6" t="str">
        <f>VLOOKUP(Tabla4[[#This Row],[Codigo]],Tabla2[[Cod]:[Nombre ]],2,0)</f>
        <v>P-1097</v>
      </c>
      <c r="C129" s="53">
        <f>VLOOKUP(Tabla4[[#This Row],[Codigo]],Tabla2[[Cod]:[Nombre ]],3,0)</f>
        <v>44615</v>
      </c>
      <c r="D129" s="6" t="str">
        <f>VLOOKUP(Tabla4[[#This Row],[Codigo]],Tabla2[[Cod]:[Nombre ]],4,0)</f>
        <v>TIS-1107</v>
      </c>
      <c r="E129" s="5" t="str">
        <f>VLOOKUP(Tabla4[[#This Row],[Codigo]],Tabla2[[Cod]:[Nombre ]],8,0)</f>
        <v>Liz Adriana Granados</v>
      </c>
      <c r="F129" s="5" t="str">
        <f>VLOOKUP(Tabla4[[#This Row],[Codigo]],Tabla2[[Cod]:[Nombre ]],6,0)</f>
        <v>OK</v>
      </c>
      <c r="G129" s="7" t="s">
        <v>417</v>
      </c>
      <c r="H129" s="21" t="str">
        <f>VLOOKUP(Tabla4[[#This Row],[No]],Parametros!A:C,2,0)</f>
        <v>Capacitación acompañamiento Virtual SST</v>
      </c>
      <c r="I129" s="21" t="s">
        <v>480</v>
      </c>
      <c r="J129" s="163">
        <v>5</v>
      </c>
      <c r="K129" s="294">
        <v>40000</v>
      </c>
      <c r="L129" s="298"/>
      <c r="M129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129" s="292">
        <f>IFERROR(Tabla4[[#This Row],[Sub Total]]*VLOOKUP(Tabla4[[#This Row],[No]],Parametros!A:C,3,0),0)</f>
        <v>0</v>
      </c>
      <c r="O129" s="292">
        <f>+Tabla4[[#This Row],[IVA]]+Tabla4[[#This Row],[Sub Total]]</f>
        <v>200000</v>
      </c>
    </row>
    <row r="130" spans="1:15" ht="48" x14ac:dyDescent="0.2">
      <c r="A130" s="6">
        <v>110</v>
      </c>
      <c r="B130" s="6" t="str">
        <f>VLOOKUP(Tabla4[[#This Row],[Codigo]],Tabla2[[Cod]:[Nombre ]],2,0)</f>
        <v>P-1098</v>
      </c>
      <c r="C130" s="53">
        <f>VLOOKUP(Tabla4[[#This Row],[Codigo]],Tabla2[[Cod]:[Nombre ]],3,0)</f>
        <v>44627</v>
      </c>
      <c r="D130" s="6" t="str">
        <f>VLOOKUP(Tabla4[[#This Row],[Codigo]],Tabla2[[Cod]:[Nombre ]],4,0)</f>
        <v>TIS-1098</v>
      </c>
      <c r="E130" s="220" t="str">
        <f>VLOOKUP(Tabla4[[#This Row],[Codigo]],Tabla2[[Cod]:[Nombre ]],8,0)</f>
        <v>MASTERLINE COLOMBIA SOCIEDAD POR ACCIONES SIMPLIFICADA</v>
      </c>
      <c r="F130" s="5" t="str">
        <f>VLOOKUP(Tabla4[[#This Row],[Codigo]],Tabla2[[Cod]:[Nombre ]],6,0)</f>
        <v>OK</v>
      </c>
      <c r="G130" s="7" t="s">
        <v>433</v>
      </c>
      <c r="H130" s="21" t="str">
        <f>VLOOKUP(Tabla4[[#This Row],[No]],Parametros!A:C,2,0)</f>
        <v>Mediciones Higienicas</v>
      </c>
      <c r="I130" s="21" t="s">
        <v>481</v>
      </c>
      <c r="J130" s="163">
        <v>1</v>
      </c>
      <c r="K130" s="294">
        <v>1600000</v>
      </c>
      <c r="L130" s="298"/>
      <c r="M130" s="292">
        <f>IF(LEFT(Tabla4[[#This Row],[Electronica]],2)="NC",-Tabla4[[#This Row],[Cantidad]]*Tabla4[[#This Row],[Precio]]+Tabla4[[#This Row],[Dto]],Tabla4[[#This Row],[Cantidad]]*Tabla4[[#This Row],[Precio]]-Tabla4[[#This Row],[Dto]])</f>
        <v>1600000</v>
      </c>
      <c r="N130" s="292">
        <f>IFERROR(Tabla4[[#This Row],[Sub Total]]*VLOOKUP(Tabla4[[#This Row],[No]],Parametros!A:C,3,0),0)</f>
        <v>304000</v>
      </c>
      <c r="O130" s="292">
        <f>+Tabla4[[#This Row],[IVA]]+Tabla4[[#This Row],[Sub Total]]</f>
        <v>1904000</v>
      </c>
    </row>
    <row r="131" spans="1:15" ht="48" x14ac:dyDescent="0.2">
      <c r="A131" s="6">
        <v>110</v>
      </c>
      <c r="B131" s="6" t="str">
        <f>VLOOKUP(Tabla4[[#This Row],[Codigo]],Tabla2[[Cod]:[Nombre ]],2,0)</f>
        <v>P-1098</v>
      </c>
      <c r="C131" s="53">
        <f>VLOOKUP(Tabla4[[#This Row],[Codigo]],Tabla2[[Cod]:[Nombre ]],3,0)</f>
        <v>44627</v>
      </c>
      <c r="D131" s="6" t="str">
        <f>VLOOKUP(Tabla4[[#This Row],[Codigo]],Tabla2[[Cod]:[Nombre ]],4,0)</f>
        <v>TIS-1098</v>
      </c>
      <c r="E131" s="5" t="str">
        <f>VLOOKUP(Tabla4[[#This Row],[Codigo]],Tabla2[[Cod]:[Nombre ]],8,0)</f>
        <v>MASTERLINE COLOMBIA SOCIEDAD POR ACCIONES SIMPLIFICADA</v>
      </c>
      <c r="F131" s="5" t="str">
        <f>VLOOKUP(Tabla4[[#This Row],[Codigo]],Tabla2[[Cod]:[Nombre ]],6,0)</f>
        <v>OK</v>
      </c>
      <c r="G131" s="7" t="s">
        <v>433</v>
      </c>
      <c r="H131" s="21" t="str">
        <f>VLOOKUP(Tabla4[[#This Row],[No]],Parametros!A:C,2,0)</f>
        <v>Mediciones Higienicas</v>
      </c>
      <c r="I131" s="21" t="s">
        <v>482</v>
      </c>
      <c r="J131" s="163">
        <v>1</v>
      </c>
      <c r="K131" s="294">
        <v>1280000</v>
      </c>
      <c r="L131" s="298"/>
      <c r="M131" s="292">
        <f>IF(LEFT(Tabla4[[#This Row],[Electronica]],2)="NC",-Tabla4[[#This Row],[Cantidad]]*Tabla4[[#This Row],[Precio]]+Tabla4[[#This Row],[Dto]],Tabla4[[#This Row],[Cantidad]]*Tabla4[[#This Row],[Precio]]-Tabla4[[#This Row],[Dto]])</f>
        <v>1280000</v>
      </c>
      <c r="N131" s="292">
        <f>IFERROR(Tabla4[[#This Row],[Sub Total]]*VLOOKUP(Tabla4[[#This Row],[No]],Parametros!A:C,3,0),0)</f>
        <v>243200</v>
      </c>
      <c r="O131" s="292">
        <f>+Tabla4[[#This Row],[IVA]]+Tabla4[[#This Row],[Sub Total]]</f>
        <v>1523200</v>
      </c>
    </row>
    <row r="132" spans="1:15" ht="45" x14ac:dyDescent="0.2">
      <c r="A132" s="6">
        <v>111</v>
      </c>
      <c r="B132" s="6" t="str">
        <f>VLOOKUP(Tabla4[[#This Row],[Codigo]],Tabla2[[Cod]:[Nombre ]],2,0)</f>
        <v>P-1099</v>
      </c>
      <c r="C132" s="53">
        <f>VLOOKUP(Tabla4[[#This Row],[Codigo]],Tabla2[[Cod]:[Nombre ]],3,0)</f>
        <v>44634</v>
      </c>
      <c r="D132" s="6" t="str">
        <f>VLOOKUP(Tabla4[[#This Row],[Codigo]],Tabla2[[Cod]:[Nombre ]],4,0)</f>
        <v>TIS-1100</v>
      </c>
      <c r="E132" s="5" t="str">
        <f>VLOOKUP(Tabla4[[#This Row],[Codigo]],Tabla2[[Cod]:[Nombre ]],8,0)</f>
        <v>PRODUCTORA INTERAMERICANA DE PLASTICOS S.A.S.</v>
      </c>
      <c r="F132" s="5" t="str">
        <f>VLOOKUP(Tabla4[[#This Row],[Codigo]],Tabla2[[Cod]:[Nombre ]],6,0)</f>
        <v>OK</v>
      </c>
      <c r="G132" s="7" t="s">
        <v>416</v>
      </c>
      <c r="H132" s="21" t="str">
        <f>VLOOKUP(Tabla4[[#This Row],[No]],Parametros!A:C,2,0)</f>
        <v>Consultoría Implementacion SG-SST</v>
      </c>
      <c r="I132" s="21" t="s">
        <v>483</v>
      </c>
      <c r="J132" s="163">
        <v>1</v>
      </c>
      <c r="K132" s="294">
        <v>200000</v>
      </c>
      <c r="L132" s="298"/>
      <c r="M132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132" s="292">
        <f>IFERROR(Tabla4[[#This Row],[Sub Total]]*VLOOKUP(Tabla4[[#This Row],[No]],Parametros!A:C,3,0),0)</f>
        <v>38000</v>
      </c>
      <c r="O132" s="292">
        <f>+Tabla4[[#This Row],[IVA]]+Tabla4[[#This Row],[Sub Total]]</f>
        <v>238000</v>
      </c>
    </row>
    <row r="133" spans="1:15" ht="36" x14ac:dyDescent="0.2">
      <c r="A133" s="6">
        <v>112</v>
      </c>
      <c r="B133" s="6" t="str">
        <f>VLOOKUP(Tabla4[[#This Row],[Codigo]],Tabla2[[Cod]:[Nombre ]],2,0)</f>
        <v>P-1100</v>
      </c>
      <c r="C133" s="53">
        <f>VLOOKUP(Tabla4[[#This Row],[Codigo]],Tabla2[[Cod]:[Nombre ]],3,0)</f>
        <v>44634</v>
      </c>
      <c r="D133" s="6" t="str">
        <f>VLOOKUP(Tabla4[[#This Row],[Codigo]],Tabla2[[Cod]:[Nombre ]],4,0)</f>
        <v>TIS-1117</v>
      </c>
      <c r="E133" s="5" t="str">
        <f>VLOOKUP(Tabla4[[#This Row],[Codigo]],Tabla2[[Cod]:[Nombre ]],8,0)</f>
        <v>Inversiones Sajamib SAS</v>
      </c>
      <c r="F133" s="5" t="str">
        <f>VLOOKUP(Tabla4[[#This Row],[Codigo]],Tabla2[[Cod]:[Nombre ]],6,0)</f>
        <v>OK</v>
      </c>
      <c r="G133" s="7" t="s">
        <v>417</v>
      </c>
      <c r="H133" s="21" t="str">
        <f>VLOOKUP(Tabla4[[#This Row],[No]],Parametros!A:C,2,0)</f>
        <v>Capacitación acompañamiento Virtual SST</v>
      </c>
      <c r="I133" s="21" t="s">
        <v>484</v>
      </c>
      <c r="J133" s="163">
        <v>1</v>
      </c>
      <c r="K133" s="294">
        <v>322000</v>
      </c>
      <c r="L133" s="298"/>
      <c r="M133" s="292">
        <f>IF(LEFT(Tabla4[[#This Row],[Electronica]],2)="NC",-Tabla4[[#This Row],[Cantidad]]*Tabla4[[#This Row],[Precio]]+Tabla4[[#This Row],[Dto]],Tabla4[[#This Row],[Cantidad]]*Tabla4[[#This Row],[Precio]]-Tabla4[[#This Row],[Dto]])</f>
        <v>322000</v>
      </c>
      <c r="N133" s="292">
        <f>IFERROR(Tabla4[[#This Row],[Sub Total]]*VLOOKUP(Tabla4[[#This Row],[No]],Parametros!A:C,3,0),0)</f>
        <v>0</v>
      </c>
      <c r="O133" s="292">
        <f>+Tabla4[[#This Row],[IVA]]+Tabla4[[#This Row],[Sub Total]]</f>
        <v>322000</v>
      </c>
    </row>
    <row r="134" spans="1:15" ht="36" x14ac:dyDescent="0.2">
      <c r="A134" s="6">
        <v>113</v>
      </c>
      <c r="B134" s="6" t="str">
        <f>VLOOKUP(Tabla4[[#This Row],[Codigo]],Tabla2[[Cod]:[Nombre ]],2,0)</f>
        <v>P-1101</v>
      </c>
      <c r="C134" s="53">
        <f>VLOOKUP(Tabla4[[#This Row],[Codigo]],Tabla2[[Cod]:[Nombre ]],3,0)</f>
        <v>44653</v>
      </c>
      <c r="D134" s="6" t="str">
        <f>VLOOKUP(Tabla4[[#This Row],[Codigo]],Tabla2[[Cod]:[Nombre ]],4,0)</f>
        <v>TIS-1120</v>
      </c>
      <c r="E134" s="5" t="str">
        <f>VLOOKUP(Tabla4[[#This Row],[Codigo]],Tabla2[[Cod]:[Nombre ]],8,0)</f>
        <v>Comercializadora ERZ SAS</v>
      </c>
      <c r="F134" s="5" t="str">
        <f>VLOOKUP(Tabla4[[#This Row],[Codigo]],Tabla2[[Cod]:[Nombre ]],6,0)</f>
        <v>OK</v>
      </c>
      <c r="G134" s="7" t="s">
        <v>416</v>
      </c>
      <c r="H134" s="21" t="str">
        <f>VLOOKUP(Tabla4[[#This Row],[No]],Parametros!A:C,2,0)</f>
        <v>Consultoría Implementacion SG-SST</v>
      </c>
      <c r="I134" s="21" t="s">
        <v>485</v>
      </c>
      <c r="J134" s="163">
        <v>1</v>
      </c>
      <c r="K134" s="294">
        <v>220000</v>
      </c>
      <c r="L134" s="298"/>
      <c r="M134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134" s="292">
        <f>IFERROR(Tabla4[[#This Row],[Sub Total]]*VLOOKUP(Tabla4[[#This Row],[No]],Parametros!A:C,3,0),0)</f>
        <v>41800</v>
      </c>
      <c r="O134" s="292">
        <f>+Tabla4[[#This Row],[IVA]]+Tabla4[[#This Row],[Sub Total]]</f>
        <v>261800</v>
      </c>
    </row>
    <row r="135" spans="1:15" ht="36" x14ac:dyDescent="0.2">
      <c r="A135" s="6">
        <v>113</v>
      </c>
      <c r="B135" s="6" t="str">
        <f>VLOOKUP(Tabla4[[#This Row],[Codigo]],Tabla2[[Cod]:[Nombre ]],2,0)</f>
        <v>P-1101</v>
      </c>
      <c r="C135" s="53">
        <f>VLOOKUP(Tabla4[[#This Row],[Codigo]],Tabla2[[Cod]:[Nombre ]],3,0)</f>
        <v>44653</v>
      </c>
      <c r="D135" s="6" t="str">
        <f>VLOOKUP(Tabla4[[#This Row],[Codigo]],Tabla2[[Cod]:[Nombre ]],4,0)</f>
        <v>TIS-1120</v>
      </c>
      <c r="E135" s="5" t="str">
        <f>VLOOKUP(Tabla4[[#This Row],[Codigo]],Tabla2[[Cod]:[Nombre ]],8,0)</f>
        <v>Comercializadora ERZ SAS</v>
      </c>
      <c r="F135" s="5" t="str">
        <f>VLOOKUP(Tabla4[[#This Row],[Codigo]],Tabla2[[Cod]:[Nombre ]],6,0)</f>
        <v>OK</v>
      </c>
      <c r="G135" s="7" t="s">
        <v>416</v>
      </c>
      <c r="H135" s="21" t="str">
        <f>VLOOKUP(Tabla4[[#This Row],[No]],Parametros!A:C,2,0)</f>
        <v>Consultoría Implementacion SG-SST</v>
      </c>
      <c r="I135" s="21" t="s">
        <v>486</v>
      </c>
      <c r="J135" s="163">
        <v>1</v>
      </c>
      <c r="K135" s="294">
        <v>220000</v>
      </c>
      <c r="L135" s="298"/>
      <c r="M135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135" s="292">
        <f>IFERROR(Tabla4[[#This Row],[Sub Total]]*VLOOKUP(Tabla4[[#This Row],[No]],Parametros!A:C,3,0),0)</f>
        <v>41800</v>
      </c>
      <c r="O135" s="292">
        <f>+Tabla4[[#This Row],[IVA]]+Tabla4[[#This Row],[Sub Total]]</f>
        <v>261800</v>
      </c>
    </row>
    <row r="136" spans="1:15" ht="36" x14ac:dyDescent="0.2">
      <c r="A136" s="6">
        <v>113</v>
      </c>
      <c r="B136" s="6" t="str">
        <f>VLOOKUP(Tabla4[[#This Row],[Codigo]],Tabla2[[Cod]:[Nombre ]],2,0)</f>
        <v>P-1101</v>
      </c>
      <c r="C136" s="53">
        <f>VLOOKUP(Tabla4[[#This Row],[Codigo]],Tabla2[[Cod]:[Nombre ]],3,0)</f>
        <v>44653</v>
      </c>
      <c r="D136" s="6" t="str">
        <f>VLOOKUP(Tabla4[[#This Row],[Codigo]],Tabla2[[Cod]:[Nombre ]],4,0)</f>
        <v>TIS-1120</v>
      </c>
      <c r="E136" s="5" t="str">
        <f>VLOOKUP(Tabla4[[#This Row],[Codigo]],Tabla2[[Cod]:[Nombre ]],8,0)</f>
        <v>Comercializadora ERZ SAS</v>
      </c>
      <c r="F136" s="5" t="str">
        <f>VLOOKUP(Tabla4[[#This Row],[Codigo]],Tabla2[[Cod]:[Nombre ]],6,0)</f>
        <v>OK</v>
      </c>
      <c r="G136" s="7" t="s">
        <v>416</v>
      </c>
      <c r="H136" s="21" t="str">
        <f>VLOOKUP(Tabla4[[#This Row],[No]],Parametros!A:C,2,0)</f>
        <v>Consultoría Implementacion SG-SST</v>
      </c>
      <c r="I136" s="21" t="s">
        <v>487</v>
      </c>
      <c r="J136" s="163">
        <v>1</v>
      </c>
      <c r="K136" s="294">
        <v>220000</v>
      </c>
      <c r="L136" s="298"/>
      <c r="M136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136" s="292">
        <f>IFERROR(Tabla4[[#This Row],[Sub Total]]*VLOOKUP(Tabla4[[#This Row],[No]],Parametros!A:C,3,0),0)</f>
        <v>41800</v>
      </c>
      <c r="O136" s="292">
        <f>+Tabla4[[#This Row],[IVA]]+Tabla4[[#This Row],[Sub Total]]</f>
        <v>261800</v>
      </c>
    </row>
    <row r="137" spans="1:15" ht="36" x14ac:dyDescent="0.2">
      <c r="A137" s="6">
        <v>113</v>
      </c>
      <c r="B137" s="6" t="str">
        <f>VLOOKUP(Tabla4[[#This Row],[Codigo]],Tabla2[[Cod]:[Nombre ]],2,0)</f>
        <v>P-1101</v>
      </c>
      <c r="C137" s="53">
        <f>VLOOKUP(Tabla4[[#This Row],[Codigo]],Tabla2[[Cod]:[Nombre ]],3,0)</f>
        <v>44653</v>
      </c>
      <c r="D137" s="6" t="str">
        <f>VLOOKUP(Tabla4[[#This Row],[Codigo]],Tabla2[[Cod]:[Nombre ]],4,0)</f>
        <v>TIS-1120</v>
      </c>
      <c r="E137" s="5" t="str">
        <f>VLOOKUP(Tabla4[[#This Row],[Codigo]],Tabla2[[Cod]:[Nombre ]],8,0)</f>
        <v>Comercializadora ERZ SAS</v>
      </c>
      <c r="F137" s="5" t="str">
        <f>VLOOKUP(Tabla4[[#This Row],[Codigo]],Tabla2[[Cod]:[Nombre ]],6,0)</f>
        <v>OK</v>
      </c>
      <c r="G137" s="7" t="s">
        <v>416</v>
      </c>
      <c r="H137" s="21" t="str">
        <f>VLOOKUP(Tabla4[[#This Row],[No]],Parametros!A:C,2,0)</f>
        <v>Consultoría Implementacion SG-SST</v>
      </c>
      <c r="I137" s="21" t="s">
        <v>488</v>
      </c>
      <c r="J137" s="163">
        <v>1</v>
      </c>
      <c r="K137" s="294">
        <v>220000</v>
      </c>
      <c r="L137" s="298"/>
      <c r="M137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137" s="292">
        <f>IFERROR(Tabla4[[#This Row],[Sub Total]]*VLOOKUP(Tabla4[[#This Row],[No]],Parametros!A:C,3,0),0)</f>
        <v>41800</v>
      </c>
      <c r="O137" s="292">
        <f>+Tabla4[[#This Row],[IVA]]+Tabla4[[#This Row],[Sub Total]]</f>
        <v>261800</v>
      </c>
    </row>
    <row r="138" spans="1:15" ht="72" x14ac:dyDescent="0.2">
      <c r="A138" s="6">
        <v>114</v>
      </c>
      <c r="B138" s="6" t="str">
        <f>VLOOKUP(Tabla4[[#This Row],[Codigo]],Tabla2[[Cod]:[Nombre ]],2,0)</f>
        <v>P-1102</v>
      </c>
      <c r="C138" s="53">
        <f>VLOOKUP(Tabla4[[#This Row],[Codigo]],Tabla2[[Cod]:[Nombre ]],3,0)</f>
        <v>44634</v>
      </c>
      <c r="D138" s="6" t="str">
        <f>VLOOKUP(Tabla4[[#This Row],[Codigo]],Tabla2[[Cod]:[Nombre ]],4,0)</f>
        <v>TIS-1103</v>
      </c>
      <c r="E138" s="5" t="str">
        <f>VLOOKUP(Tabla4[[#This Row],[Codigo]],Tabla2[[Cod]:[Nombre ]],8,0)</f>
        <v>RENAL MEDICAL MARKETING LIMITADA</v>
      </c>
      <c r="F138" s="5" t="str">
        <f>VLOOKUP(Tabla4[[#This Row],[Codigo]],Tabla2[[Cod]:[Nombre ]],6,0)</f>
        <v>OK</v>
      </c>
      <c r="G138" s="7" t="s">
        <v>416</v>
      </c>
      <c r="H138" s="21" t="str">
        <f>VLOOKUP(Tabla4[[#This Row],[No]],Parametros!A:C,2,0)</f>
        <v>Consultoría Implementacion SG-SST</v>
      </c>
      <c r="I138" s="21" t="s">
        <v>489</v>
      </c>
      <c r="J138" s="163">
        <v>1</v>
      </c>
      <c r="K138" s="294">
        <v>450000</v>
      </c>
      <c r="L138" s="298"/>
      <c r="M138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138" s="292">
        <f>IFERROR(Tabla4[[#This Row],[Sub Total]]*VLOOKUP(Tabla4[[#This Row],[No]],Parametros!A:C,3,0),0)</f>
        <v>85500</v>
      </c>
      <c r="O138" s="292">
        <f>+Tabla4[[#This Row],[IVA]]+Tabla4[[#This Row],[Sub Total]]</f>
        <v>535500</v>
      </c>
    </row>
    <row r="139" spans="1:15" ht="24" x14ac:dyDescent="0.2">
      <c r="A139" s="6">
        <v>115</v>
      </c>
      <c r="B139" s="6" t="str">
        <f>VLOOKUP(Tabla4[[#This Row],[Codigo]],Tabla2[[Cod]:[Nombre ]],2,0)</f>
        <v>P-1103</v>
      </c>
      <c r="C139" s="53">
        <f>VLOOKUP(Tabla4[[#This Row],[Codigo]],Tabla2[[Cod]:[Nombre ]],3,0)</f>
        <v>44634</v>
      </c>
      <c r="D139" s="6" t="str">
        <f>VLOOKUP(Tabla4[[#This Row],[Codigo]],Tabla2[[Cod]:[Nombre ]],4,0)</f>
        <v>Tis-1097</v>
      </c>
      <c r="E139" s="5" t="str">
        <f>VLOOKUP(Tabla4[[#This Row],[Codigo]],Tabla2[[Cod]:[Nombre ]],8,0)</f>
        <v>Procesos 2000 S.A.S.</v>
      </c>
      <c r="F139" s="5" t="str">
        <f>VLOOKUP(Tabla4[[#This Row],[Codigo]],Tabla2[[Cod]:[Nombre ]],6,0)</f>
        <v>Anulado</v>
      </c>
      <c r="G139" s="7">
        <v>13</v>
      </c>
      <c r="H139" s="21" t="str">
        <f>VLOOKUP(Tabla4[[#This Row],[No]],Parametros!A:C,2,0)</f>
        <v>Diseño y actualización SG SST</v>
      </c>
      <c r="I139" s="21" t="s">
        <v>490</v>
      </c>
      <c r="J139" s="163">
        <v>2</v>
      </c>
      <c r="K139" s="294">
        <v>600000</v>
      </c>
      <c r="L139" s="298"/>
      <c r="M139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139" s="292">
        <f>IFERROR(Tabla4[[#This Row],[Sub Total]]*VLOOKUP(Tabla4[[#This Row],[No]],Parametros!A:C,3,0),0)</f>
        <v>228000</v>
      </c>
      <c r="O139" s="292">
        <f>+Tabla4[[#This Row],[IVA]]+Tabla4[[#This Row],[Sub Total]]</f>
        <v>1428000</v>
      </c>
    </row>
    <row r="140" spans="1:15" ht="35.25" customHeight="1" x14ac:dyDescent="0.2">
      <c r="A140" s="6">
        <v>115</v>
      </c>
      <c r="B140" s="6" t="str">
        <f>VLOOKUP(Tabla4[[#This Row],[Codigo]],Tabla2[[Cod]:[Nombre ]],2,0)</f>
        <v>P-1103</v>
      </c>
      <c r="C140" s="53">
        <f>VLOOKUP(Tabla4[[#This Row],[Codigo]],Tabla2[[Cod]:[Nombre ]],3,0)</f>
        <v>44634</v>
      </c>
      <c r="D140" s="6" t="str">
        <f>VLOOKUP(Tabla4[[#This Row],[Codigo]],Tabla2[[Cod]:[Nombre ]],4,0)</f>
        <v>Tis-1097</v>
      </c>
      <c r="E140" s="5" t="str">
        <f>VLOOKUP(Tabla4[[#This Row],[Codigo]],Tabla2[[Cod]:[Nombre ]],8,0)</f>
        <v>Procesos 2000 S.A.S.</v>
      </c>
      <c r="F140" s="5" t="str">
        <f>VLOOKUP(Tabla4[[#This Row],[Codigo]],Tabla2[[Cod]:[Nombre ]],6,0)</f>
        <v>Anulado</v>
      </c>
      <c r="G140" s="7" t="s">
        <v>416</v>
      </c>
      <c r="H140" s="21" t="str">
        <f>VLOOKUP(Tabla4[[#This Row],[No]],Parametros!A:C,2,0)</f>
        <v>Consultoría Implementacion SG-SST</v>
      </c>
      <c r="I140" s="21" t="s">
        <v>491</v>
      </c>
      <c r="J140" s="163">
        <v>10</v>
      </c>
      <c r="K140" s="294">
        <v>800000</v>
      </c>
      <c r="L140" s="298"/>
      <c r="M140" s="292">
        <f>IF(LEFT(Tabla4[[#This Row],[Electronica]],2)="NC",-Tabla4[[#This Row],[Cantidad]]*Tabla4[[#This Row],[Precio]]+Tabla4[[#This Row],[Dto]],Tabla4[[#This Row],[Cantidad]]*Tabla4[[#This Row],[Precio]]-Tabla4[[#This Row],[Dto]])</f>
        <v>8000000</v>
      </c>
      <c r="N140" s="292">
        <f>IFERROR(Tabla4[[#This Row],[Sub Total]]*VLOOKUP(Tabla4[[#This Row],[No]],Parametros!A:C,3,0),0)</f>
        <v>1520000</v>
      </c>
      <c r="O140" s="292">
        <f>+Tabla4[[#This Row],[IVA]]+Tabla4[[#This Row],[Sub Total]]</f>
        <v>9520000</v>
      </c>
    </row>
    <row r="141" spans="1:15" ht="24" x14ac:dyDescent="0.2">
      <c r="A141" s="6">
        <v>116</v>
      </c>
      <c r="B141" s="6" t="str">
        <f>VLOOKUP(Tabla4[[#This Row],[Codigo]],Tabla2[[Cod]:[Nombre ]],2,0)</f>
        <v>P-1104</v>
      </c>
      <c r="C141" s="53">
        <f>VLOOKUP(Tabla4[[#This Row],[Codigo]],Tabla2[[Cod]:[Nombre ]],3,0)</f>
        <v>44634</v>
      </c>
      <c r="D141" s="6" t="str">
        <f>VLOOKUP(Tabla4[[#This Row],[Codigo]],Tabla2[[Cod]:[Nombre ]],4,0)</f>
        <v>NC13</v>
      </c>
      <c r="E141" s="5" t="str">
        <f>VLOOKUP(Tabla4[[#This Row],[Codigo]],Tabla2[[Cod]:[Nombre ]],8,0)</f>
        <v>Procesos 2000 S.A.S.</v>
      </c>
      <c r="F141" s="5" t="str">
        <f>VLOOKUP(Tabla4[[#This Row],[Codigo]],Tabla2[[Cod]:[Nombre ]],6,0)</f>
        <v>Anulado</v>
      </c>
      <c r="G141" s="7">
        <v>13</v>
      </c>
      <c r="H141" s="21" t="str">
        <f>VLOOKUP(Tabla4[[#This Row],[No]],Parametros!A:C,2,0)</f>
        <v>Diseño y actualización SG SST</v>
      </c>
      <c r="I141" s="21" t="s">
        <v>492</v>
      </c>
      <c r="J141" s="163">
        <v>2</v>
      </c>
      <c r="K141" s="294">
        <v>600000</v>
      </c>
      <c r="L141" s="298">
        <v>840000</v>
      </c>
      <c r="M141" s="292">
        <f>IF(LEFT(Tabla4[[#This Row],[Electronica]],2)="NC",-Tabla4[[#This Row],[Cantidad]]*Tabla4[[#This Row],[Precio]]+Tabla4[[#This Row],[Dto]],Tabla4[[#This Row],[Cantidad]]*Tabla4[[#This Row],[Precio]]-Tabla4[[#This Row],[Dto]])</f>
        <v>-360000</v>
      </c>
      <c r="N141" s="292">
        <f>IFERROR(Tabla4[[#This Row],[Sub Total]]*VLOOKUP(Tabla4[[#This Row],[No]],Parametros!A:C,3,0),0)</f>
        <v>-68400</v>
      </c>
      <c r="O141" s="292">
        <f>+Tabla4[[#This Row],[IVA]]+Tabla4[[#This Row],[Sub Total]]</f>
        <v>-428400</v>
      </c>
    </row>
    <row r="142" spans="1:15" ht="39" customHeight="1" x14ac:dyDescent="0.2">
      <c r="A142" s="6">
        <v>116</v>
      </c>
      <c r="B142" s="6" t="str">
        <f>VLOOKUP(Tabla4[[#This Row],[Codigo]],Tabla2[[Cod]:[Nombre ]],2,0)</f>
        <v>P-1104</v>
      </c>
      <c r="C142" s="53">
        <f>VLOOKUP(Tabla4[[#This Row],[Codigo]],Tabla2[[Cod]:[Nombre ]],3,0)</f>
        <v>44634</v>
      </c>
      <c r="D142" s="6" t="str">
        <f>VLOOKUP(Tabla4[[#This Row],[Codigo]],Tabla2[[Cod]:[Nombre ]],4,0)</f>
        <v>NC13</v>
      </c>
      <c r="E142" s="5" t="str">
        <f>VLOOKUP(Tabla4[[#This Row],[Codigo]],Tabla2[[Cod]:[Nombre ]],8,0)</f>
        <v>Procesos 2000 S.A.S.</v>
      </c>
      <c r="F142" s="5" t="str">
        <f>VLOOKUP(Tabla4[[#This Row],[Codigo]],Tabla2[[Cod]:[Nombre ]],6,0)</f>
        <v>Anulado</v>
      </c>
      <c r="G142" s="7" t="s">
        <v>416</v>
      </c>
      <c r="H142" s="21" t="str">
        <f>VLOOKUP(Tabla4[[#This Row],[No]],Parametros!A:C,2,0)</f>
        <v>Consultoría Implementacion SG-SST</v>
      </c>
      <c r="I142" s="21" t="s">
        <v>493</v>
      </c>
      <c r="J142" s="163">
        <v>10</v>
      </c>
      <c r="K142" s="294">
        <v>800000</v>
      </c>
      <c r="L142" s="298">
        <v>5600000</v>
      </c>
      <c r="M142" s="292">
        <f>IF(LEFT(Tabla4[[#This Row],[Electronica]],2)="NC",-Tabla4[[#This Row],[Cantidad]]*Tabla4[[#This Row],[Precio]]+Tabla4[[#This Row],[Dto]],Tabla4[[#This Row],[Cantidad]]*Tabla4[[#This Row],[Precio]]-Tabla4[[#This Row],[Dto]])</f>
        <v>-2400000</v>
      </c>
      <c r="N142" s="292">
        <f>IFERROR(Tabla4[[#This Row],[Sub Total]]*VLOOKUP(Tabla4[[#This Row],[No]],Parametros!A:C,3,0),0)</f>
        <v>-456000</v>
      </c>
      <c r="O142" s="292">
        <f>+Tabla4[[#This Row],[IVA]]+Tabla4[[#This Row],[Sub Total]]</f>
        <v>-2856000</v>
      </c>
    </row>
    <row r="143" spans="1:15" ht="24" x14ac:dyDescent="0.2">
      <c r="A143" s="6">
        <v>117</v>
      </c>
      <c r="B143" s="6" t="str">
        <f>VLOOKUP(Tabla4[[#This Row],[Codigo]],Tabla2[[Cod]:[Nombre ]],2,0)</f>
        <v>P-1105</v>
      </c>
      <c r="C143" s="53">
        <f>VLOOKUP(Tabla4[[#This Row],[Codigo]],Tabla2[[Cod]:[Nombre ]],3,0)</f>
        <v>44648</v>
      </c>
      <c r="D143" s="6" t="str">
        <f>VLOOKUP(Tabla4[[#This Row],[Codigo]],Tabla2[[Cod]:[Nombre ]],4,0)</f>
        <v>TIS-1099</v>
      </c>
      <c r="E143" s="5" t="str">
        <f>VLOOKUP(Tabla4[[#This Row],[Codigo]],Tabla2[[Cod]:[Nombre ]],8,0)</f>
        <v>ENERGINN S.A.S</v>
      </c>
      <c r="F143" s="5" t="str">
        <f>VLOOKUP(Tabla4[[#This Row],[Codigo]],Tabla2[[Cod]:[Nombre ]],6,0)</f>
        <v>OK</v>
      </c>
      <c r="G143" s="7" t="s">
        <v>282</v>
      </c>
      <c r="H143" s="21" t="str">
        <f>VLOOKUP(Tabla4[[#This Row],[No]],Parametros!A:C,2,0)</f>
        <v>Batería de Riesgo Psicosocial</v>
      </c>
      <c r="I143" s="21" t="s">
        <v>494</v>
      </c>
      <c r="J143" s="163">
        <v>51</v>
      </c>
      <c r="K143" s="294">
        <v>26500</v>
      </c>
      <c r="L143" s="298"/>
      <c r="M143" s="292">
        <f>IF(LEFT(Tabla4[[#This Row],[Electronica]],2)="NC",-Tabla4[[#This Row],[Cantidad]]*Tabla4[[#This Row],[Precio]]+Tabla4[[#This Row],[Dto]],Tabla4[[#This Row],[Cantidad]]*Tabla4[[#This Row],[Precio]]-Tabla4[[#This Row],[Dto]])</f>
        <v>1351500</v>
      </c>
      <c r="N143" s="292">
        <f>IFERROR(Tabla4[[#This Row],[Sub Total]]*VLOOKUP(Tabla4[[#This Row],[No]],Parametros!A:C,3,0),0)</f>
        <v>256785</v>
      </c>
      <c r="O143" s="292">
        <f>+Tabla4[[#This Row],[IVA]]+Tabla4[[#This Row],[Sub Total]]</f>
        <v>1608285</v>
      </c>
    </row>
    <row r="144" spans="1:15" ht="15" customHeight="1" x14ac:dyDescent="0.2">
      <c r="A144" s="6">
        <v>118</v>
      </c>
      <c r="B144" s="6" t="str">
        <f>VLOOKUP(Tabla4[[#This Row],[Codigo]],Tabla2[[Cod]:[Nombre ]],2,0)</f>
        <v>P-1106</v>
      </c>
      <c r="C144" s="53">
        <f>VLOOKUP(Tabla4[[#This Row],[Codigo]],Tabla2[[Cod]:[Nombre ]],3,0)</f>
        <v>44653</v>
      </c>
      <c r="D144" s="6" t="str">
        <f>VLOOKUP(Tabla4[[#This Row],[Codigo]],Tabla2[[Cod]:[Nombre ]],4,0)</f>
        <v>TIS-1096</v>
      </c>
      <c r="E144" s="220" t="str">
        <f>VLOOKUP(Tabla4[[#This Row],[Codigo]],Tabla2[[Cod]:[Nombre ]],8,0)</f>
        <v>VUELTACANELA S.A.S</v>
      </c>
      <c r="F144" s="5" t="str">
        <f>VLOOKUP(Tabla4[[#This Row],[Codigo]],Tabla2[[Cod]:[Nombre ]],6,0)</f>
        <v>OK</v>
      </c>
      <c r="G144" s="7" t="s">
        <v>433</v>
      </c>
      <c r="H144" s="21" t="str">
        <f>VLOOKUP(Tabla4[[#This Row],[No]],Parametros!A:C,2,0)</f>
        <v>Mediciones Higienicas</v>
      </c>
      <c r="I144" s="21" t="s">
        <v>495</v>
      </c>
      <c r="J144" s="163">
        <v>1</v>
      </c>
      <c r="K144" s="294">
        <v>450000</v>
      </c>
      <c r="L144" s="298"/>
      <c r="M144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144" s="292">
        <f>IFERROR(Tabla4[[#This Row],[Sub Total]]*VLOOKUP(Tabla4[[#This Row],[No]],Parametros!A:C,3,0),0)</f>
        <v>85500</v>
      </c>
      <c r="O144" s="292">
        <f>+Tabla4[[#This Row],[IVA]]+Tabla4[[#This Row],[Sub Total]]</f>
        <v>535500</v>
      </c>
    </row>
    <row r="145" spans="1:15" ht="24" x14ac:dyDescent="0.2">
      <c r="A145" s="6">
        <v>119</v>
      </c>
      <c r="B145" s="6" t="str">
        <f>VLOOKUP(Tabla4[[#This Row],[Codigo]],Tabla2[[Cod]:[Nombre ]],2,0)</f>
        <v>P-1107</v>
      </c>
      <c r="C145" s="53">
        <f>VLOOKUP(Tabla4[[#This Row],[Codigo]],Tabla2[[Cod]:[Nombre ]],3,0)</f>
        <v>44631</v>
      </c>
      <c r="D145" s="6" t="str">
        <f>VLOOKUP(Tabla4[[#This Row],[Codigo]],Tabla2[[Cod]:[Nombre ]],4,0)</f>
        <v>Tis-1097</v>
      </c>
      <c r="E145" s="5" t="str">
        <f>VLOOKUP(Tabla4[[#This Row],[Codigo]],Tabla2[[Cod]:[Nombre ]],8,0)</f>
        <v>Procesos 2000 S.A.S.</v>
      </c>
      <c r="F145" s="5" t="str">
        <f>VLOOKUP(Tabla4[[#This Row],[Codigo]],Tabla2[[Cod]:[Nombre ]],6,0)</f>
        <v>OK</v>
      </c>
      <c r="G145" s="7">
        <v>13</v>
      </c>
      <c r="H145" s="21" t="str">
        <f>VLOOKUP(Tabla4[[#This Row],[No]],Parametros!A:C,2,0)</f>
        <v>Diseño y actualización SG SST</v>
      </c>
      <c r="I145" s="21" t="s">
        <v>496</v>
      </c>
      <c r="J145" s="163">
        <v>2</v>
      </c>
      <c r="K145" s="294">
        <v>600000</v>
      </c>
      <c r="L145" s="298">
        <v>360000</v>
      </c>
      <c r="M145" s="292">
        <f>IF(LEFT(Tabla4[[#This Row],[Electronica]],2)="NC",-Tabla4[[#This Row],[Cantidad]]*Tabla4[[#This Row],[Precio]]+Tabla4[[#This Row],[Dto]],Tabla4[[#This Row],[Cantidad]]*Tabla4[[#This Row],[Precio]]-Tabla4[[#This Row],[Dto]])</f>
        <v>840000</v>
      </c>
      <c r="N145" s="292">
        <f>IFERROR(Tabla4[[#This Row],[Sub Total]]*VLOOKUP(Tabla4[[#This Row],[No]],Parametros!A:C,3,0),0)</f>
        <v>159600</v>
      </c>
      <c r="O145" s="292">
        <f>+Tabla4[[#This Row],[IVA]]+Tabla4[[#This Row],[Sub Total]]</f>
        <v>999600</v>
      </c>
    </row>
    <row r="146" spans="1:15" ht="34.5" customHeight="1" x14ac:dyDescent="0.2">
      <c r="A146" s="6">
        <v>119</v>
      </c>
      <c r="B146" s="6" t="str">
        <f>VLOOKUP(Tabla4[[#This Row],[Codigo]],Tabla2[[Cod]:[Nombre ]],2,0)</f>
        <v>P-1107</v>
      </c>
      <c r="C146" s="53">
        <f>VLOOKUP(Tabla4[[#This Row],[Codigo]],Tabla2[[Cod]:[Nombre ]],3,0)</f>
        <v>44631</v>
      </c>
      <c r="D146" s="6" t="str">
        <f>VLOOKUP(Tabla4[[#This Row],[Codigo]],Tabla2[[Cod]:[Nombre ]],4,0)</f>
        <v>Tis-1097</v>
      </c>
      <c r="E146" s="5" t="str">
        <f>VLOOKUP(Tabla4[[#This Row],[Codigo]],Tabla2[[Cod]:[Nombre ]],8,0)</f>
        <v>Procesos 2000 S.A.S.</v>
      </c>
      <c r="F146" s="5" t="str">
        <f>VLOOKUP(Tabla4[[#This Row],[Codigo]],Tabla2[[Cod]:[Nombre ]],6,0)</f>
        <v>OK</v>
      </c>
      <c r="G146" s="7" t="s">
        <v>416</v>
      </c>
      <c r="H146" s="21" t="str">
        <f>VLOOKUP(Tabla4[[#This Row],[No]],Parametros!A:C,2,0)</f>
        <v>Consultoría Implementacion SG-SST</v>
      </c>
      <c r="I146" s="21" t="s">
        <v>497</v>
      </c>
      <c r="J146" s="163">
        <v>10</v>
      </c>
      <c r="K146" s="294">
        <v>800000</v>
      </c>
      <c r="L146" s="298">
        <v>2400000</v>
      </c>
      <c r="M146" s="292">
        <f>IF(LEFT(Tabla4[[#This Row],[Electronica]],2)="NC",-Tabla4[[#This Row],[Cantidad]]*Tabla4[[#This Row],[Precio]]+Tabla4[[#This Row],[Dto]],Tabla4[[#This Row],[Cantidad]]*Tabla4[[#This Row],[Precio]]-Tabla4[[#This Row],[Dto]])</f>
        <v>5600000</v>
      </c>
      <c r="N146" s="292">
        <f>IFERROR(Tabla4[[#This Row],[Sub Total]]*VLOOKUP(Tabla4[[#This Row],[No]],Parametros!A:C,3,0),0)</f>
        <v>1064000</v>
      </c>
      <c r="O146" s="292">
        <f>+Tabla4[[#This Row],[IVA]]+Tabla4[[#This Row],[Sub Total]]</f>
        <v>6664000</v>
      </c>
    </row>
    <row r="147" spans="1:15" ht="72" x14ac:dyDescent="0.2">
      <c r="A147" s="6">
        <v>120</v>
      </c>
      <c r="B147" s="6" t="str">
        <f>VLOOKUP(Tabla4[[#This Row],[Codigo]],Tabla2[[Cod]:[Nombre ]],2,0)</f>
        <v>P-1108</v>
      </c>
      <c r="C147" s="53">
        <f>VLOOKUP(Tabla4[[#This Row],[Codigo]],Tabla2[[Cod]:[Nombre ]],3,0)</f>
        <v>44653</v>
      </c>
      <c r="D147" s="6" t="str">
        <f>VLOOKUP(Tabla4[[#This Row],[Codigo]],Tabla2[[Cod]:[Nombre ]],4,0)</f>
        <v>Tis-1104</v>
      </c>
      <c r="E147" s="5" t="str">
        <f>VLOOKUP(Tabla4[[#This Row],[Codigo]],Tabla2[[Cod]:[Nombre ]],8,0)</f>
        <v>RENAL MEDICAL MARKETING LIMITADA</v>
      </c>
      <c r="F147" s="5" t="str">
        <f>VLOOKUP(Tabla4[[#This Row],[Codigo]],Tabla2[[Cod]:[Nombre ]],6,0)</f>
        <v>OK</v>
      </c>
      <c r="G147" s="7" t="s">
        <v>416</v>
      </c>
      <c r="H147" s="21" t="str">
        <f>VLOOKUP(Tabla4[[#This Row],[No]],Parametros!A:C,2,0)</f>
        <v>Consultoría Implementacion SG-SST</v>
      </c>
      <c r="I147" s="21" t="s">
        <v>498</v>
      </c>
      <c r="J147" s="163">
        <v>1</v>
      </c>
      <c r="K147" s="294">
        <v>450000</v>
      </c>
      <c r="L147" s="298"/>
      <c r="M147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147" s="292">
        <f>IFERROR(Tabla4[[#This Row],[Sub Total]]*VLOOKUP(Tabla4[[#This Row],[No]],Parametros!A:C,3,0),0)</f>
        <v>85500</v>
      </c>
      <c r="O147" s="292">
        <f>+Tabla4[[#This Row],[IVA]]+Tabla4[[#This Row],[Sub Total]]</f>
        <v>535500</v>
      </c>
    </row>
    <row r="148" spans="1:15" ht="30" x14ac:dyDescent="0.2">
      <c r="A148" s="6">
        <v>121</v>
      </c>
      <c r="B148" s="6" t="str">
        <f>VLOOKUP(Tabla4[[#This Row],[Codigo]],Tabla2[[Cod]:[Nombre ]],2,0)</f>
        <v>P-1109</v>
      </c>
      <c r="C148" s="53">
        <f>VLOOKUP(Tabla4[[#This Row],[Codigo]],Tabla2[[Cod]:[Nombre ]],3,0)</f>
        <v>44653</v>
      </c>
      <c r="D148" s="6" t="str">
        <f>VLOOKUP(Tabla4[[#This Row],[Codigo]],Tabla2[[Cod]:[Nombre ]],4,0)</f>
        <v>TIS-1105</v>
      </c>
      <c r="E148" s="5" t="str">
        <f>VLOOKUP(Tabla4[[#This Row],[Codigo]],Tabla2[[Cod]:[Nombre ]],8,0)</f>
        <v>Fonseca Abogados Asesoria Empresarial SAS</v>
      </c>
      <c r="F148" s="5" t="str">
        <f>VLOOKUP(Tabla4[[#This Row],[Codigo]],Tabla2[[Cod]:[Nombre ]],6,0)</f>
        <v>OK</v>
      </c>
      <c r="G148" s="7" t="s">
        <v>282</v>
      </c>
      <c r="H148" s="21" t="str">
        <f>VLOOKUP(Tabla4[[#This Row],[No]],Parametros!A:C,2,0)</f>
        <v>Batería de Riesgo Psicosocial</v>
      </c>
      <c r="I148" s="21" t="s">
        <v>499</v>
      </c>
      <c r="J148" s="163">
        <v>5</v>
      </c>
      <c r="K148" s="294">
        <v>35000</v>
      </c>
      <c r="L148" s="298"/>
      <c r="M148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148" s="292">
        <f>IFERROR(Tabla4[[#This Row],[Sub Total]]*VLOOKUP(Tabla4[[#This Row],[No]],Parametros!A:C,3,0),0)</f>
        <v>33250</v>
      </c>
      <c r="O148" s="292">
        <f>+Tabla4[[#This Row],[IVA]]+Tabla4[[#This Row],[Sub Total]]</f>
        <v>208250</v>
      </c>
    </row>
    <row r="149" spans="1:15" ht="24" x14ac:dyDescent="0.2">
      <c r="A149" s="6">
        <v>122</v>
      </c>
      <c r="B149" s="6" t="str">
        <f>VLOOKUP(Tabla4[[#This Row],[Codigo]],Tabla2[[Cod]:[Nombre ]],2,0)</f>
        <v>P-1110</v>
      </c>
      <c r="C149" s="53">
        <f>VLOOKUP(Tabla4[[#This Row],[Codigo]],Tabla2[[Cod]:[Nombre ]],3,0)</f>
        <v>44653</v>
      </c>
      <c r="D149" s="6" t="str">
        <f>VLOOKUP(Tabla4[[#This Row],[Codigo]],Tabla2[[Cod]:[Nombre ]],4,0)</f>
        <v>TIS-1106</v>
      </c>
      <c r="E149" s="5" t="str">
        <f>VLOOKUP(Tabla4[[#This Row],[Codigo]],Tabla2[[Cod]:[Nombre ]],8,0)</f>
        <v>ROCKETFY S.A.S.</v>
      </c>
      <c r="F149" s="5" t="str">
        <f>VLOOKUP(Tabla4[[#This Row],[Codigo]],Tabla2[[Cod]:[Nombre ]],6,0)</f>
        <v>OK</v>
      </c>
      <c r="G149" s="7" t="s">
        <v>282</v>
      </c>
      <c r="H149" s="21" t="str">
        <f>VLOOKUP(Tabla4[[#This Row],[No]],Parametros!A:C,2,0)</f>
        <v>Batería de Riesgo Psicosocial</v>
      </c>
      <c r="I149" s="21" t="s">
        <v>499</v>
      </c>
      <c r="J149" s="163">
        <v>70</v>
      </c>
      <c r="K149" s="294">
        <v>19800</v>
      </c>
      <c r="L149" s="298"/>
      <c r="M149" s="292">
        <f>IF(LEFT(Tabla4[[#This Row],[Electronica]],2)="NC",-Tabla4[[#This Row],[Cantidad]]*Tabla4[[#This Row],[Precio]]+Tabla4[[#This Row],[Dto]],Tabla4[[#This Row],[Cantidad]]*Tabla4[[#This Row],[Precio]]-Tabla4[[#This Row],[Dto]])</f>
        <v>1386000</v>
      </c>
      <c r="N149" s="292">
        <f>IFERROR(Tabla4[[#This Row],[Sub Total]]*VLOOKUP(Tabla4[[#This Row],[No]],Parametros!A:C,3,0),0)</f>
        <v>263340</v>
      </c>
      <c r="O149" s="292">
        <f>+Tabla4[[#This Row],[IVA]]+Tabla4[[#This Row],[Sub Total]]</f>
        <v>1649340</v>
      </c>
    </row>
    <row r="150" spans="1:15" ht="48" x14ac:dyDescent="0.2">
      <c r="A150" s="6">
        <v>123</v>
      </c>
      <c r="B150" s="6" t="str">
        <f>VLOOKUP(Tabla4[[#This Row],[Codigo]],Tabla2[[Cod]:[Nombre ]],2,0)</f>
        <v>P-1111</v>
      </c>
      <c r="C150" s="53">
        <f>VLOOKUP(Tabla4[[#This Row],[Codigo]],Tabla2[[Cod]:[Nombre ]],3,0)</f>
        <v>44656</v>
      </c>
      <c r="D150" s="6" t="str">
        <f>VLOOKUP(Tabla4[[#This Row],[Codigo]],Tabla2[[Cod]:[Nombre ]],4,0)</f>
        <v>TIS-1108</v>
      </c>
      <c r="E150" s="5" t="str">
        <f>VLOOKUP(Tabla4[[#This Row],[Codigo]],Tabla2[[Cod]:[Nombre ]],8,0)</f>
        <v>K-2 INGENIERIA S.A.S.</v>
      </c>
      <c r="F150" s="5" t="str">
        <f>VLOOKUP(Tabla4[[#This Row],[Codigo]],Tabla2[[Cod]:[Nombre ]],6,0)</f>
        <v>OK</v>
      </c>
      <c r="G150" s="7" t="s">
        <v>282</v>
      </c>
      <c r="H150" s="21" t="str">
        <f>VLOOKUP(Tabla4[[#This Row],[No]],Parametros!A:C,2,0)</f>
        <v>Batería de Riesgo Psicosocial</v>
      </c>
      <c r="I150" s="21" t="s">
        <v>500</v>
      </c>
      <c r="J150" s="163">
        <v>9</v>
      </c>
      <c r="K150" s="294">
        <v>25000</v>
      </c>
      <c r="L150" s="298"/>
      <c r="M150" s="292">
        <f>IF(LEFT(Tabla4[[#This Row],[Electronica]],2)="NC",-Tabla4[[#This Row],[Cantidad]]*Tabla4[[#This Row],[Precio]]+Tabla4[[#This Row],[Dto]],Tabla4[[#This Row],[Cantidad]]*Tabla4[[#This Row],[Precio]]-Tabla4[[#This Row],[Dto]])</f>
        <v>225000</v>
      </c>
      <c r="N150" s="292">
        <f>IFERROR(Tabla4[[#This Row],[Sub Total]]*VLOOKUP(Tabla4[[#This Row],[No]],Parametros!A:C,3,0),0)</f>
        <v>42750</v>
      </c>
      <c r="O150" s="292">
        <f>+Tabla4[[#This Row],[IVA]]+Tabla4[[#This Row],[Sub Total]]</f>
        <v>267750</v>
      </c>
    </row>
    <row r="151" spans="1:15" ht="48" x14ac:dyDescent="0.2">
      <c r="A151" s="6">
        <v>124</v>
      </c>
      <c r="B151" s="6" t="str">
        <f>VLOOKUP(Tabla4[[#This Row],[Codigo]],Tabla2[[Cod]:[Nombre ]],2,0)</f>
        <v>P-1112</v>
      </c>
      <c r="C151" s="53">
        <f>VLOOKUP(Tabla4[[#This Row],[Codigo]],Tabla2[[Cod]:[Nombre ]],3,0)</f>
        <v>44656</v>
      </c>
      <c r="D151" s="6" t="str">
        <f>VLOOKUP(Tabla4[[#This Row],[Codigo]],Tabla2[[Cod]:[Nombre ]],4,0)</f>
        <v>TIS-1109</v>
      </c>
      <c r="E151" s="5" t="str">
        <f>VLOOKUP(Tabla4[[#This Row],[Codigo]],Tabla2[[Cod]:[Nombre ]],8,0)</f>
        <v>K-2 INGENIERIA S.A.S.</v>
      </c>
      <c r="F151" s="5" t="str">
        <f>VLOOKUP(Tabla4[[#This Row],[Codigo]],Tabla2[[Cod]:[Nombre ]],6,0)</f>
        <v>OK</v>
      </c>
      <c r="G151" s="7" t="s">
        <v>282</v>
      </c>
      <c r="H151" s="21" t="str">
        <f>VLOOKUP(Tabla4[[#This Row],[No]],Parametros!A:C,2,0)</f>
        <v>Batería de Riesgo Psicosocial</v>
      </c>
      <c r="I151" s="21" t="s">
        <v>501</v>
      </c>
      <c r="J151" s="163">
        <v>6</v>
      </c>
      <c r="K151" s="294">
        <v>25000</v>
      </c>
      <c r="L151" s="298"/>
      <c r="M151" s="292">
        <f>IF(LEFT(Tabla4[[#This Row],[Electronica]],2)="NC",-Tabla4[[#This Row],[Cantidad]]*Tabla4[[#This Row],[Precio]]+Tabla4[[#This Row],[Dto]],Tabla4[[#This Row],[Cantidad]]*Tabla4[[#This Row],[Precio]]-Tabla4[[#This Row],[Dto]])</f>
        <v>150000</v>
      </c>
      <c r="N151" s="292">
        <f>IFERROR(Tabla4[[#This Row],[Sub Total]]*VLOOKUP(Tabla4[[#This Row],[No]],Parametros!A:C,3,0),0)</f>
        <v>28500</v>
      </c>
      <c r="O151" s="292">
        <f>+Tabla4[[#This Row],[IVA]]+Tabla4[[#This Row],[Sub Total]]</f>
        <v>178500</v>
      </c>
    </row>
    <row r="152" spans="1:15" ht="24" x14ac:dyDescent="0.2">
      <c r="A152" s="6">
        <v>125</v>
      </c>
      <c r="B152" s="6" t="str">
        <f>VLOOKUP(Tabla4[[#This Row],[Codigo]],Tabla2[[Cod]:[Nombre ]],2,0)</f>
        <v>P-1113</v>
      </c>
      <c r="C152" s="53">
        <f>VLOOKUP(Tabla4[[#This Row],[Codigo]],Tabla2[[Cod]:[Nombre ]],3,0)</f>
        <v>44657</v>
      </c>
      <c r="D152" s="6" t="str">
        <f>VLOOKUP(Tabla4[[#This Row],[Codigo]],Tabla2[[Cod]:[Nombre ]],4,0)</f>
        <v>TIS-1111</v>
      </c>
      <c r="E152" s="5" t="str">
        <f>VLOOKUP(Tabla4[[#This Row],[Codigo]],Tabla2[[Cod]:[Nombre ]],8,0)</f>
        <v>BARRO BLANCO FARMS SAS</v>
      </c>
      <c r="F152" s="5" t="str">
        <f>VLOOKUP(Tabla4[[#This Row],[Codigo]],Tabla2[[Cod]:[Nombre ]],6,0)</f>
        <v>OK</v>
      </c>
      <c r="G152" s="7" t="s">
        <v>282</v>
      </c>
      <c r="H152" s="21" t="str">
        <f>VLOOKUP(Tabla4[[#This Row],[No]],Parametros!A:C,2,0)</f>
        <v>Batería de Riesgo Psicosocial</v>
      </c>
      <c r="I152" s="21" t="s">
        <v>502</v>
      </c>
      <c r="J152" s="163">
        <v>20</v>
      </c>
      <c r="K152" s="294">
        <v>36000</v>
      </c>
      <c r="L152" s="298"/>
      <c r="M152" s="292">
        <f>IF(LEFT(Tabla4[[#This Row],[Electronica]],2)="NC",-Tabla4[[#This Row],[Cantidad]]*Tabla4[[#This Row],[Precio]]+Tabla4[[#This Row],[Dto]],Tabla4[[#This Row],[Cantidad]]*Tabla4[[#This Row],[Precio]]-Tabla4[[#This Row],[Dto]])</f>
        <v>720000</v>
      </c>
      <c r="N152" s="292">
        <f>IFERROR(Tabla4[[#This Row],[Sub Total]]*VLOOKUP(Tabla4[[#This Row],[No]],Parametros!A:C,3,0),0)</f>
        <v>136800</v>
      </c>
      <c r="O152" s="292">
        <f>+Tabla4[[#This Row],[IVA]]+Tabla4[[#This Row],[Sub Total]]</f>
        <v>856800</v>
      </c>
    </row>
    <row r="153" spans="1:15" ht="60" x14ac:dyDescent="0.2">
      <c r="A153" s="6">
        <v>126</v>
      </c>
      <c r="B153" s="6" t="str">
        <f>VLOOKUP(Tabla4[[#This Row],[Codigo]],Tabla2[[Cod]:[Nombre ]],2,0)</f>
        <v>P-1114</v>
      </c>
      <c r="C153" s="53">
        <f>VLOOKUP(Tabla4[[#This Row],[Codigo]],Tabla2[[Cod]:[Nombre ]],3,0)</f>
        <v>44671</v>
      </c>
      <c r="D153" s="6" t="str">
        <f>VLOOKUP(Tabla4[[#This Row],[Codigo]],Tabla2[[Cod]:[Nombre ]],4,0)</f>
        <v>Tis-1140</v>
      </c>
      <c r="E153" s="5" t="str">
        <f>VLOOKUP(Tabla4[[#This Row],[Codigo]],Tabla2[[Cod]:[Nombre ]],8,0)</f>
        <v>FET GROUP SAS</v>
      </c>
      <c r="F153" s="5" t="str">
        <f>VLOOKUP(Tabla4[[#This Row],[Codigo]],Tabla2[[Cod]:[Nombre ]],6,0)</f>
        <v>OK</v>
      </c>
      <c r="G153" s="7" t="s">
        <v>412</v>
      </c>
      <c r="H153" s="21" t="str">
        <f>VLOOKUP(Tabla4[[#This Row],[No]],Parametros!A:C,2,0)</f>
        <v>Profesiograma</v>
      </c>
      <c r="I153" s="21" t="s">
        <v>503</v>
      </c>
      <c r="J153" s="163">
        <v>1</v>
      </c>
      <c r="K153" s="294">
        <v>600000</v>
      </c>
      <c r="L153" s="298"/>
      <c r="M153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153" s="292">
        <f>IFERROR(Tabla4[[#This Row],[Sub Total]]*VLOOKUP(Tabla4[[#This Row],[No]],Parametros!A:C,3,0),0)</f>
        <v>114000</v>
      </c>
      <c r="O153" s="292">
        <f>+Tabla4[[#This Row],[IVA]]+Tabla4[[#This Row],[Sub Total]]</f>
        <v>714000</v>
      </c>
    </row>
    <row r="154" spans="1:15" ht="72" x14ac:dyDescent="0.2">
      <c r="A154" s="6">
        <v>126</v>
      </c>
      <c r="B154" s="6" t="str">
        <f>VLOOKUP(Tabla4[[#This Row],[Codigo]],Tabla2[[Cod]:[Nombre ]],2,0)</f>
        <v>P-1114</v>
      </c>
      <c r="C154" s="53">
        <f>VLOOKUP(Tabla4[[#This Row],[Codigo]],Tabla2[[Cod]:[Nombre ]],3,0)</f>
        <v>44671</v>
      </c>
      <c r="D154" s="6" t="str">
        <f>VLOOKUP(Tabla4[[#This Row],[Codigo]],Tabla2[[Cod]:[Nombre ]],4,0)</f>
        <v>Tis-1140</v>
      </c>
      <c r="E154" s="5" t="str">
        <f>VLOOKUP(Tabla4[[#This Row],[Codigo]],Tabla2[[Cod]:[Nombre ]],8,0)</f>
        <v>FET GROUP SAS</v>
      </c>
      <c r="F154" s="5" t="str">
        <f>VLOOKUP(Tabla4[[#This Row],[Codigo]],Tabla2[[Cod]:[Nombre ]],6,0)</f>
        <v>OK</v>
      </c>
      <c r="G154" s="7" t="s">
        <v>282</v>
      </c>
      <c r="H154" s="21" t="str">
        <f>VLOOKUP(Tabla4[[#This Row],[No]],Parametros!A:C,2,0)</f>
        <v>Batería de Riesgo Psicosocial</v>
      </c>
      <c r="I154" s="21" t="s">
        <v>504</v>
      </c>
      <c r="J154" s="163">
        <v>10</v>
      </c>
      <c r="K154" s="294">
        <v>50000</v>
      </c>
      <c r="L154" s="298"/>
      <c r="M154" s="292">
        <f>IF(LEFT(Tabla4[[#This Row],[Electronica]],2)="NC",-Tabla4[[#This Row],[Cantidad]]*Tabla4[[#This Row],[Precio]]+Tabla4[[#This Row],[Dto]],Tabla4[[#This Row],[Cantidad]]*Tabla4[[#This Row],[Precio]]-Tabla4[[#This Row],[Dto]])</f>
        <v>500000</v>
      </c>
      <c r="N154" s="292">
        <f>IFERROR(Tabla4[[#This Row],[Sub Total]]*VLOOKUP(Tabla4[[#This Row],[No]],Parametros!A:C,3,0),0)</f>
        <v>95000</v>
      </c>
      <c r="O154" s="292">
        <f>+Tabla4[[#This Row],[IVA]]+Tabla4[[#This Row],[Sub Total]]</f>
        <v>595000</v>
      </c>
    </row>
    <row r="155" spans="1:15" ht="36" x14ac:dyDescent="0.2">
      <c r="A155" s="6">
        <v>126</v>
      </c>
      <c r="B155" s="6" t="str">
        <f>VLOOKUP(Tabla4[[#This Row],[Codigo]],Tabla2[[Cod]:[Nombre ]],2,0)</f>
        <v>P-1114</v>
      </c>
      <c r="C155" s="53">
        <f>VLOOKUP(Tabla4[[#This Row],[Codigo]],Tabla2[[Cod]:[Nombre ]],3,0)</f>
        <v>44671</v>
      </c>
      <c r="D155" s="6" t="str">
        <f>VLOOKUP(Tabla4[[#This Row],[Codigo]],Tabla2[[Cod]:[Nombre ]],4,0)</f>
        <v>Tis-1140</v>
      </c>
      <c r="E155" s="5" t="str">
        <f>VLOOKUP(Tabla4[[#This Row],[Codigo]],Tabla2[[Cod]:[Nombre ]],8,0)</f>
        <v>FET GROUP SAS</v>
      </c>
      <c r="F155" s="5" t="str">
        <f>VLOOKUP(Tabla4[[#This Row],[Codigo]],Tabla2[[Cod]:[Nombre ]],6,0)</f>
        <v>OK</v>
      </c>
      <c r="G155" s="7" t="s">
        <v>420</v>
      </c>
      <c r="H155" s="21" t="str">
        <f>VLOOKUP(Tabla4[[#This Row],[No]],Parametros!A:C,2,0)</f>
        <v>Análisis Puesto trabajo</v>
      </c>
      <c r="I155" s="21" t="s">
        <v>505</v>
      </c>
      <c r="J155" s="163">
        <v>10</v>
      </c>
      <c r="K155" s="294">
        <v>60000</v>
      </c>
      <c r="L155" s="298"/>
      <c r="M155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155" s="292">
        <f>IFERROR(Tabla4[[#This Row],[Sub Total]]*VLOOKUP(Tabla4[[#This Row],[No]],Parametros!A:C,3,0),0)</f>
        <v>114000</v>
      </c>
      <c r="O155" s="292">
        <f>+Tabla4[[#This Row],[IVA]]+Tabla4[[#This Row],[Sub Total]]</f>
        <v>714000</v>
      </c>
    </row>
    <row r="156" spans="1:15" ht="36" x14ac:dyDescent="0.2">
      <c r="A156" s="6">
        <v>127</v>
      </c>
      <c r="B156" s="6" t="str">
        <f>VLOOKUP(Tabla4[[#This Row],[Codigo]],Tabla2[[Cod]:[Nombre ]],2,0)</f>
        <v>P-1115</v>
      </c>
      <c r="C156" s="53">
        <f>VLOOKUP(Tabla4[[#This Row],[Codigo]],Tabla2[[Cod]:[Nombre ]],3,0)</f>
        <v>44671</v>
      </c>
      <c r="D156" s="6" t="str">
        <f>VLOOKUP(Tabla4[[#This Row],[Codigo]],Tabla2[[Cod]:[Nombre ]],4,0)</f>
        <v>TIS-1119</v>
      </c>
      <c r="E156" s="5" t="str">
        <f>VLOOKUP(Tabla4[[#This Row],[Codigo]],Tabla2[[Cod]:[Nombre ]],8,0)</f>
        <v>PASTRY CHEF PASTELERIA Y COCINA GOURMET SAS</v>
      </c>
      <c r="F156" s="5" t="str">
        <f>VLOOKUP(Tabla4[[#This Row],[Codigo]],Tabla2[[Cod]:[Nombre ]],6,0)</f>
        <v>OK</v>
      </c>
      <c r="G156" s="7" t="s">
        <v>416</v>
      </c>
      <c r="H156" s="21" t="str">
        <f>VLOOKUP(Tabla4[[#This Row],[No]],Parametros!A:C,2,0)</f>
        <v>Consultoría Implementacion SG-SST</v>
      </c>
      <c r="I156" s="21" t="s">
        <v>506</v>
      </c>
      <c r="J156" s="163">
        <v>1</v>
      </c>
      <c r="K156" s="294">
        <v>723333.61344537814</v>
      </c>
      <c r="L156" s="298"/>
      <c r="M156" s="292">
        <f>IF(LEFT(Tabla4[[#This Row],[Electronica]],2)="NC",-Tabla4[[#This Row],[Cantidad]]*Tabla4[[#This Row],[Precio]]+Tabla4[[#This Row],[Dto]],Tabla4[[#This Row],[Cantidad]]*Tabla4[[#This Row],[Precio]]-Tabla4[[#This Row],[Dto]])</f>
        <v>723333.61344537814</v>
      </c>
      <c r="N156" s="292">
        <f>IFERROR(Tabla4[[#This Row],[Sub Total]]*VLOOKUP(Tabla4[[#This Row],[No]],Parametros!A:C,3,0),0)</f>
        <v>137433.38655462186</v>
      </c>
      <c r="O156" s="292">
        <f>+Tabla4[[#This Row],[IVA]]+Tabla4[[#This Row],[Sub Total]]</f>
        <v>860767</v>
      </c>
    </row>
    <row r="157" spans="1:15" ht="36" x14ac:dyDescent="0.2">
      <c r="A157" s="6">
        <v>128</v>
      </c>
      <c r="B157" s="6" t="str">
        <f>VLOOKUP(Tabla4[[#This Row],[Codigo]],Tabla2[[Cod]:[Nombre ]],2,0)</f>
        <v>P-1116</v>
      </c>
      <c r="C157" s="53">
        <f>VLOOKUP(Tabla4[[#This Row],[Codigo]],Tabla2[[Cod]:[Nombre ]],3,0)</f>
        <v>44671</v>
      </c>
      <c r="D157" s="6" t="str">
        <f>VLOOKUP(Tabla4[[#This Row],[Codigo]],Tabla2[[Cod]:[Nombre ]],4,0)</f>
        <v>Tis-1118</v>
      </c>
      <c r="E157" s="5" t="str">
        <f>VLOOKUP(Tabla4[[#This Row],[Codigo]],Tabla2[[Cod]:[Nombre ]],8,0)</f>
        <v>Inversiones Sajamib SAS</v>
      </c>
      <c r="F157" s="5" t="str">
        <f>VLOOKUP(Tabla4[[#This Row],[Codigo]],Tabla2[[Cod]:[Nombre ]],6,0)</f>
        <v>OK</v>
      </c>
      <c r="G157" s="7" t="s">
        <v>417</v>
      </c>
      <c r="H157" s="21" t="str">
        <f>VLOOKUP(Tabla4[[#This Row],[No]],Parametros!A:C,2,0)</f>
        <v>Capacitación acompañamiento Virtual SST</v>
      </c>
      <c r="I157" s="21" t="s">
        <v>507</v>
      </c>
      <c r="J157" s="163">
        <v>1</v>
      </c>
      <c r="K157" s="294">
        <v>322000</v>
      </c>
      <c r="L157" s="298"/>
      <c r="M157" s="292">
        <f>IF(LEFT(Tabla4[[#This Row],[Electronica]],2)="NC",-Tabla4[[#This Row],[Cantidad]]*Tabla4[[#This Row],[Precio]]+Tabla4[[#This Row],[Dto]],Tabla4[[#This Row],[Cantidad]]*Tabla4[[#This Row],[Precio]]-Tabla4[[#This Row],[Dto]])</f>
        <v>322000</v>
      </c>
      <c r="N157" s="292">
        <f>IFERROR(Tabla4[[#This Row],[Sub Total]]*VLOOKUP(Tabla4[[#This Row],[No]],Parametros!A:C,3,0),0)</f>
        <v>0</v>
      </c>
      <c r="O157" s="292">
        <f>+Tabla4[[#This Row],[IVA]]+Tabla4[[#This Row],[Sub Total]]</f>
        <v>322000</v>
      </c>
    </row>
    <row r="158" spans="1:15" ht="36" x14ac:dyDescent="0.2">
      <c r="A158" s="6">
        <v>129</v>
      </c>
      <c r="B158" s="6" t="str">
        <f>VLOOKUP(Tabla4[[#This Row],[Codigo]],Tabla2[[Cod]:[Nombre ]],2,0)</f>
        <v>P-1117</v>
      </c>
      <c r="C158" s="53">
        <f>VLOOKUP(Tabla4[[#This Row],[Codigo]],Tabla2[[Cod]:[Nombre ]],3,0)</f>
        <v>44679</v>
      </c>
      <c r="D158" s="6" t="str">
        <f>VLOOKUP(Tabla4[[#This Row],[Codigo]],Tabla2[[Cod]:[Nombre ]],4,0)</f>
        <v>TIS-1113</v>
      </c>
      <c r="E158" s="5" t="str">
        <f>VLOOKUP(Tabla4[[#This Row],[Codigo]],Tabla2[[Cod]:[Nombre ]],8,0)</f>
        <v>HUTERCOL S.A.S.</v>
      </c>
      <c r="F158" s="5" t="str">
        <f>VLOOKUP(Tabla4[[#This Row],[Codigo]],Tabla2[[Cod]:[Nombre ]],6,0)</f>
        <v>OK</v>
      </c>
      <c r="G158" s="7" t="s">
        <v>416</v>
      </c>
      <c r="H158" s="21" t="str">
        <f>VLOOKUP(Tabla4[[#This Row],[No]],Parametros!A:C,2,0)</f>
        <v>Consultoría Implementacion SG-SST</v>
      </c>
      <c r="I158" s="21" t="s">
        <v>508</v>
      </c>
      <c r="J158" s="163">
        <v>1</v>
      </c>
      <c r="K158" s="294">
        <v>1050000</v>
      </c>
      <c r="L158" s="298"/>
      <c r="M158" s="292">
        <f>IF(LEFT(Tabla4[[#This Row],[Electronica]],2)="NC",-Tabla4[[#This Row],[Cantidad]]*Tabla4[[#This Row],[Precio]]+Tabla4[[#This Row],[Dto]],Tabla4[[#This Row],[Cantidad]]*Tabla4[[#This Row],[Precio]]-Tabla4[[#This Row],[Dto]])</f>
        <v>1050000</v>
      </c>
      <c r="N158" s="292">
        <f>IFERROR(Tabla4[[#This Row],[Sub Total]]*VLOOKUP(Tabla4[[#This Row],[No]],Parametros!A:C,3,0),0)</f>
        <v>199500</v>
      </c>
      <c r="O158" s="292">
        <f>+Tabla4[[#This Row],[IVA]]+Tabla4[[#This Row],[Sub Total]]</f>
        <v>1249500</v>
      </c>
    </row>
    <row r="159" spans="1:15" ht="72" x14ac:dyDescent="0.2">
      <c r="A159" s="6">
        <v>130</v>
      </c>
      <c r="B159" s="6" t="str">
        <f>VLOOKUP(Tabla4[[#This Row],[Codigo]],Tabla2[[Cod]:[Nombre ]],2,0)</f>
        <v>P-1118</v>
      </c>
      <c r="C159" s="53">
        <f>VLOOKUP(Tabla4[[#This Row],[Codigo]],Tabla2[[Cod]:[Nombre ]],3,0)</f>
        <v>44679</v>
      </c>
      <c r="D159" s="6" t="str">
        <f>VLOOKUP(Tabla4[[#This Row],[Codigo]],Tabla2[[Cod]:[Nombre ]],4,0)</f>
        <v>TIS-1114</v>
      </c>
      <c r="E159" s="5" t="str">
        <f>VLOOKUP(Tabla4[[#This Row],[Codigo]],Tabla2[[Cod]:[Nombre ]],8,0)</f>
        <v>RENAL MEDICAL MARKETING LIMITADA</v>
      </c>
      <c r="F159" s="5" t="str">
        <f>VLOOKUP(Tabla4[[#This Row],[Codigo]],Tabla2[[Cod]:[Nombre ]],6,0)</f>
        <v>OK</v>
      </c>
      <c r="G159" s="7" t="s">
        <v>416</v>
      </c>
      <c r="H159" s="21" t="str">
        <f>VLOOKUP(Tabla4[[#This Row],[No]],Parametros!A:C,2,0)</f>
        <v>Consultoría Implementacion SG-SST</v>
      </c>
      <c r="I159" s="21" t="s">
        <v>509</v>
      </c>
      <c r="J159" s="163">
        <v>1</v>
      </c>
      <c r="K159" s="294">
        <v>450000</v>
      </c>
      <c r="L159" s="298"/>
      <c r="M159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159" s="292">
        <f>IFERROR(Tabla4[[#This Row],[Sub Total]]*VLOOKUP(Tabla4[[#This Row],[No]],Parametros!A:C,3,0),0)</f>
        <v>85500</v>
      </c>
      <c r="O159" s="292">
        <f>+Tabla4[[#This Row],[IVA]]+Tabla4[[#This Row],[Sub Total]]</f>
        <v>535500</v>
      </c>
    </row>
    <row r="160" spans="1:15" ht="45" x14ac:dyDescent="0.2">
      <c r="A160" s="6">
        <v>131</v>
      </c>
      <c r="B160" s="6" t="str">
        <f>VLOOKUP(Tabla4[[#This Row],[Codigo]],Tabla2[[Cod]:[Nombre ]],2,0)</f>
        <v>P-1119</v>
      </c>
      <c r="C160" s="53">
        <f>VLOOKUP(Tabla4[[#This Row],[Codigo]],Tabla2[[Cod]:[Nombre ]],3,0)</f>
        <v>44679</v>
      </c>
      <c r="D160" s="6" t="str">
        <f>VLOOKUP(Tabla4[[#This Row],[Codigo]],Tabla2[[Cod]:[Nombre ]],4,0)</f>
        <v>TIS-1115</v>
      </c>
      <c r="E160" s="5" t="str">
        <f>VLOOKUP(Tabla4[[#This Row],[Codigo]],Tabla2[[Cod]:[Nombre ]],8,0)</f>
        <v>PRODUCTORA INTERAMERICANA DE PLASTICOS S.A.S.</v>
      </c>
      <c r="F160" s="5" t="str">
        <f>VLOOKUP(Tabla4[[#This Row],[Codigo]],Tabla2[[Cod]:[Nombre ]],6,0)</f>
        <v>OK</v>
      </c>
      <c r="G160" s="7" t="s">
        <v>416</v>
      </c>
      <c r="H160" s="21" t="str">
        <f>VLOOKUP(Tabla4[[#This Row],[No]],Parametros!A:C,2,0)</f>
        <v>Consultoría Implementacion SG-SST</v>
      </c>
      <c r="I160" s="21" t="s">
        <v>510</v>
      </c>
      <c r="J160" s="163">
        <v>1</v>
      </c>
      <c r="K160" s="294">
        <v>200000</v>
      </c>
      <c r="L160" s="298"/>
      <c r="M160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160" s="292">
        <f>IFERROR(Tabla4[[#This Row],[Sub Total]]*VLOOKUP(Tabla4[[#This Row],[No]],Parametros!A:C,3,0),0)</f>
        <v>38000</v>
      </c>
      <c r="O160" s="292">
        <f>+Tabla4[[#This Row],[IVA]]+Tabla4[[#This Row],[Sub Total]]</f>
        <v>238000</v>
      </c>
    </row>
    <row r="161" spans="1:15" ht="84" x14ac:dyDescent="0.2">
      <c r="A161" s="6">
        <v>132</v>
      </c>
      <c r="B161" s="6" t="str">
        <f>VLOOKUP(Tabla4[[#This Row],[Codigo]],Tabla2[[Cod]:[Nombre ]],2,0)</f>
        <v>P-1120</v>
      </c>
      <c r="C161" s="53">
        <f>VLOOKUP(Tabla4[[#This Row],[Codigo]],Tabla2[[Cod]:[Nombre ]],3,0)</f>
        <v>44679</v>
      </c>
      <c r="D161" s="6" t="str">
        <f>VLOOKUP(Tabla4[[#This Row],[Codigo]],Tabla2[[Cod]:[Nombre ]],4,0)</f>
        <v>TIS-1208</v>
      </c>
      <c r="E161" s="5" t="str">
        <f>VLOOKUP(Tabla4[[#This Row],[Codigo]],Tabla2[[Cod]:[Nombre ]],8,0)</f>
        <v>CAVACOR S.A.S</v>
      </c>
      <c r="F161" s="5" t="str">
        <f>VLOOKUP(Tabla4[[#This Row],[Codigo]],Tabla2[[Cod]:[Nombre ]],6,0)</f>
        <v>OK</v>
      </c>
      <c r="G161" s="7" t="s">
        <v>417</v>
      </c>
      <c r="H161" s="21" t="str">
        <f>VLOOKUP(Tabla4[[#This Row],[No]],Parametros!A:C,2,0)</f>
        <v>Capacitación acompañamiento Virtual SST</v>
      </c>
      <c r="I161" s="21" t="s">
        <v>511</v>
      </c>
      <c r="J161" s="163">
        <v>1</v>
      </c>
      <c r="K161" s="294">
        <v>2100000</v>
      </c>
      <c r="L161" s="298"/>
      <c r="M161" s="292">
        <f>IF(LEFT(Tabla4[[#This Row],[Electronica]],2)="NC",-Tabla4[[#This Row],[Cantidad]]*Tabla4[[#This Row],[Precio]]+Tabla4[[#This Row],[Dto]],Tabla4[[#This Row],[Cantidad]]*Tabla4[[#This Row],[Precio]]-Tabla4[[#This Row],[Dto]])</f>
        <v>2100000</v>
      </c>
      <c r="N161" s="292">
        <f>IFERROR(Tabla4[[#This Row],[Sub Total]]*VLOOKUP(Tabla4[[#This Row],[No]],Parametros!A:C,3,0),0)</f>
        <v>0</v>
      </c>
      <c r="O161" s="292">
        <f>+Tabla4[[#This Row],[IVA]]+Tabla4[[#This Row],[Sub Total]]</f>
        <v>2100000</v>
      </c>
    </row>
    <row r="162" spans="1:15" ht="36" x14ac:dyDescent="0.2">
      <c r="A162" s="6">
        <v>133</v>
      </c>
      <c r="B162" s="6" t="str">
        <f>VLOOKUP(Tabla4[[#This Row],[Codigo]],Tabla2[[Cod]:[Nombre ]],2,0)</f>
        <v>P-1121</v>
      </c>
      <c r="C162" s="53">
        <f>VLOOKUP(Tabla4[[#This Row],[Codigo]],Tabla2[[Cod]:[Nombre ]],3,0)</f>
        <v>44694</v>
      </c>
      <c r="D162" s="6" t="str">
        <f>VLOOKUP(Tabla4[[#This Row],[Codigo]],Tabla2[[Cod]:[Nombre ]],4,0)</f>
        <v>Tis-1125</v>
      </c>
      <c r="E162" s="5" t="str">
        <f>VLOOKUP(Tabla4[[#This Row],[Codigo]],Tabla2[[Cod]:[Nombre ]],8,0)</f>
        <v>Inversiones Sajamib SAS</v>
      </c>
      <c r="F162" s="5" t="str">
        <f>VLOOKUP(Tabla4[[#This Row],[Codigo]],Tabla2[[Cod]:[Nombre ]],6,0)</f>
        <v>OK</v>
      </c>
      <c r="G162" s="7" t="s">
        <v>417</v>
      </c>
      <c r="H162" s="21" t="str">
        <f>VLOOKUP(Tabla4[[#This Row],[No]],Parametros!A:C,2,0)</f>
        <v>Capacitación acompañamiento Virtual SST</v>
      </c>
      <c r="I162" s="21" t="s">
        <v>512</v>
      </c>
      <c r="J162" s="163">
        <v>1</v>
      </c>
      <c r="K162" s="294">
        <v>322000</v>
      </c>
      <c r="L162" s="298"/>
      <c r="M162" s="292">
        <f>IF(LEFT(Tabla4[[#This Row],[Electronica]],2)="NC",-Tabla4[[#This Row],[Cantidad]]*Tabla4[[#This Row],[Precio]]+Tabla4[[#This Row],[Dto]],Tabla4[[#This Row],[Cantidad]]*Tabla4[[#This Row],[Precio]]-Tabla4[[#This Row],[Dto]])</f>
        <v>322000</v>
      </c>
      <c r="N162" s="292">
        <f>IFERROR(Tabla4[[#This Row],[Sub Total]]*VLOOKUP(Tabla4[[#This Row],[No]],Parametros!A:C,3,0),0)</f>
        <v>0</v>
      </c>
      <c r="O162" s="292">
        <f>+Tabla4[[#This Row],[IVA]]+Tabla4[[#This Row],[Sub Total]]</f>
        <v>322000</v>
      </c>
    </row>
    <row r="163" spans="1:15" ht="24" x14ac:dyDescent="0.2">
      <c r="A163" s="6">
        <v>134</v>
      </c>
      <c r="B163" s="6" t="str">
        <f>VLOOKUP(Tabla4[[#This Row],[Codigo]],Tabla2[[Cod]:[Nombre ]],2,0)</f>
        <v>P-1122</v>
      </c>
      <c r="C163" s="53">
        <f>VLOOKUP(Tabla4[[#This Row],[Codigo]],Tabla2[[Cod]:[Nombre ]],3,0)</f>
        <v>44694</v>
      </c>
      <c r="D163" s="6" t="str">
        <f>VLOOKUP(Tabla4[[#This Row],[Codigo]],Tabla2[[Cod]:[Nombre ]],4,0)</f>
        <v>TIS-1121</v>
      </c>
      <c r="E163" s="5" t="str">
        <f>VLOOKUP(Tabla4[[#This Row],[Codigo]],Tabla2[[Cod]:[Nombre ]],8,0)</f>
        <v>Banco de Bogota S.A.</v>
      </c>
      <c r="F163" s="5" t="str">
        <f>VLOOKUP(Tabla4[[#This Row],[Codigo]],Tabla2[[Cod]:[Nombre ]],6,0)</f>
        <v>OK</v>
      </c>
      <c r="G163" s="7" t="s">
        <v>282</v>
      </c>
      <c r="H163" s="21" t="str">
        <f>VLOOKUP(Tabla4[[#This Row],[No]],Parametros!A:C,2,0)</f>
        <v>Batería de Riesgo Psicosocial</v>
      </c>
      <c r="I163" s="21" t="s">
        <v>513</v>
      </c>
      <c r="J163" s="163">
        <v>1</v>
      </c>
      <c r="K163" s="294">
        <v>67903200</v>
      </c>
      <c r="L163" s="298"/>
      <c r="M163" s="292">
        <f>IF(LEFT(Tabla4[[#This Row],[Electronica]],2)="NC",-Tabla4[[#This Row],[Cantidad]]*Tabla4[[#This Row],[Precio]]+Tabla4[[#This Row],[Dto]],Tabla4[[#This Row],[Cantidad]]*Tabla4[[#This Row],[Precio]]-Tabla4[[#This Row],[Dto]])</f>
        <v>67903200</v>
      </c>
      <c r="N163" s="292">
        <f>IFERROR(Tabla4[[#This Row],[Sub Total]]*VLOOKUP(Tabla4[[#This Row],[No]],Parametros!A:C,3,0),0)</f>
        <v>12901608</v>
      </c>
      <c r="O163" s="292">
        <f>+Tabla4[[#This Row],[IVA]]+Tabla4[[#This Row],[Sub Total]]</f>
        <v>80804808</v>
      </c>
    </row>
    <row r="164" spans="1:15" ht="45" x14ac:dyDescent="0.2">
      <c r="A164" s="6">
        <v>135</v>
      </c>
      <c r="B164" s="6" t="str">
        <f>VLOOKUP(Tabla4[[#This Row],[Codigo]],Tabla2[[Cod]:[Nombre ]],2,0)</f>
        <v>P-1123</v>
      </c>
      <c r="C164" s="53">
        <f>VLOOKUP(Tabla4[[#This Row],[Codigo]],Tabla2[[Cod]:[Nombre ]],3,0)</f>
        <v>44694</v>
      </c>
      <c r="D164" s="6" t="str">
        <f>VLOOKUP(Tabla4[[#This Row],[Codigo]],Tabla2[[Cod]:[Nombre ]],4,0)</f>
        <v>TIS-1134</v>
      </c>
      <c r="E164" s="5" t="str">
        <f>VLOOKUP(Tabla4[[#This Row],[Codigo]],Tabla2[[Cod]:[Nombre ]],8,0)</f>
        <v>PRODUCTORA INTERAMERICANA DE PLASTICOS S.A.S.</v>
      </c>
      <c r="F164" s="5" t="str">
        <f>VLOOKUP(Tabla4[[#This Row],[Codigo]],Tabla2[[Cod]:[Nombre ]],6,0)</f>
        <v>OK</v>
      </c>
      <c r="G164" s="7" t="s">
        <v>416</v>
      </c>
      <c r="H164" s="21" t="str">
        <f>VLOOKUP(Tabla4[[#This Row],[No]],Parametros!A:C,2,0)</f>
        <v>Consultoría Implementacion SG-SST</v>
      </c>
      <c r="I164" s="21" t="s">
        <v>514</v>
      </c>
      <c r="J164" s="163">
        <v>2</v>
      </c>
      <c r="K164" s="294">
        <v>200000</v>
      </c>
      <c r="L164" s="298"/>
      <c r="M164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164" s="292">
        <f>IFERROR(Tabla4[[#This Row],[Sub Total]]*VLOOKUP(Tabla4[[#This Row],[No]],Parametros!A:C,3,0),0)</f>
        <v>76000</v>
      </c>
      <c r="O164" s="292">
        <f>+Tabla4[[#This Row],[IVA]]+Tabla4[[#This Row],[Sub Total]]</f>
        <v>476000</v>
      </c>
    </row>
    <row r="165" spans="1:15" ht="36" x14ac:dyDescent="0.2">
      <c r="A165" s="6">
        <v>136</v>
      </c>
      <c r="B165" s="6" t="str">
        <f>VLOOKUP(Tabla4[[#This Row],[Codigo]],Tabla2[[Cod]:[Nombre ]],2,0)</f>
        <v>P-1124</v>
      </c>
      <c r="C165" s="53">
        <f>VLOOKUP(Tabla4[[#This Row],[Codigo]],Tabla2[[Cod]:[Nombre ]],3,0)</f>
        <v>44694</v>
      </c>
      <c r="D165" s="6" t="str">
        <f>VLOOKUP(Tabla4[[#This Row],[Codigo]],Tabla2[[Cod]:[Nombre ]],4,0)</f>
        <v>TIS-1149</v>
      </c>
      <c r="E165" s="5" t="str">
        <f>VLOOKUP(Tabla4[[#This Row],[Codigo]],Tabla2[[Cod]:[Nombre ]],8,0)</f>
        <v>Maria del Pilar Alvarado Joya</v>
      </c>
      <c r="F165" s="5" t="str">
        <f>VLOOKUP(Tabla4[[#This Row],[Codigo]],Tabla2[[Cod]:[Nombre ]],6,0)</f>
        <v>OK</v>
      </c>
      <c r="G165" s="7" t="s">
        <v>417</v>
      </c>
      <c r="H165" s="21" t="str">
        <f>VLOOKUP(Tabla4[[#This Row],[No]],Parametros!A:C,2,0)</f>
        <v>Capacitación acompañamiento Virtual SST</v>
      </c>
      <c r="I165" s="21" t="s">
        <v>515</v>
      </c>
      <c r="J165" s="163">
        <v>1</v>
      </c>
      <c r="K165" s="294">
        <v>300000</v>
      </c>
      <c r="L165" s="298"/>
      <c r="M165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165" s="292">
        <f>IFERROR(Tabla4[[#This Row],[Sub Total]]*VLOOKUP(Tabla4[[#This Row],[No]],Parametros!A:C,3,0),0)</f>
        <v>0</v>
      </c>
      <c r="O165" s="292">
        <f>+Tabla4[[#This Row],[IVA]]+Tabla4[[#This Row],[Sub Total]]</f>
        <v>300000</v>
      </c>
    </row>
    <row r="166" spans="1:15" ht="36" x14ac:dyDescent="0.2">
      <c r="A166" s="6">
        <v>137</v>
      </c>
      <c r="B166" s="6" t="str">
        <f>VLOOKUP(Tabla4[[#This Row],[Codigo]],Tabla2[[Cod]:[Nombre ]],2,0)</f>
        <v>P-1125</v>
      </c>
      <c r="C166" s="53">
        <f>VLOOKUP(Tabla4[[#This Row],[Codigo]],Tabla2[[Cod]:[Nombre ]],3,0)</f>
        <v>44694</v>
      </c>
      <c r="D166" s="6" t="str">
        <f>VLOOKUP(Tabla4[[#This Row],[Codigo]],Tabla2[[Cod]:[Nombre ]],4,0)</f>
        <v>Tis-1124</v>
      </c>
      <c r="E166" s="5" t="str">
        <f>VLOOKUP(Tabla4[[#This Row],[Codigo]],Tabla2[[Cod]:[Nombre ]],8,0)</f>
        <v>PASTRY CHEF PASTELERIA Y COCINA GOURMET SAS</v>
      </c>
      <c r="F166" s="5" t="str">
        <f>VLOOKUP(Tabla4[[#This Row],[Codigo]],Tabla2[[Cod]:[Nombre ]],6,0)</f>
        <v>OK</v>
      </c>
      <c r="G166" s="7" t="s">
        <v>416</v>
      </c>
      <c r="H166" s="21" t="str">
        <f>VLOOKUP(Tabla4[[#This Row],[No]],Parametros!A:C,2,0)</f>
        <v>Consultoría Implementacion SG-SST</v>
      </c>
      <c r="I166" s="21" t="s">
        <v>516</v>
      </c>
      <c r="J166" s="163">
        <v>1</v>
      </c>
      <c r="K166" s="294">
        <v>723333</v>
      </c>
      <c r="L166" s="298"/>
      <c r="M166" s="292">
        <f>IF(LEFT(Tabla4[[#This Row],[Electronica]],2)="NC",-Tabla4[[#This Row],[Cantidad]]*Tabla4[[#This Row],[Precio]]+Tabla4[[#This Row],[Dto]],Tabla4[[#This Row],[Cantidad]]*Tabla4[[#This Row],[Precio]]-Tabla4[[#This Row],[Dto]])</f>
        <v>723333</v>
      </c>
      <c r="N166" s="292">
        <f>IFERROR(Tabla4[[#This Row],[Sub Total]]*VLOOKUP(Tabla4[[#This Row],[No]],Parametros!A:C,3,0),0)</f>
        <v>137433.26999999999</v>
      </c>
      <c r="O166" s="292">
        <f>+Tabla4[[#This Row],[IVA]]+Tabla4[[#This Row],[Sub Total]]</f>
        <v>860766.27</v>
      </c>
    </row>
    <row r="167" spans="1:15" ht="30" x14ac:dyDescent="0.2">
      <c r="A167" s="6">
        <v>138</v>
      </c>
      <c r="B167" s="6" t="str">
        <f>VLOOKUP(Tabla4[[#This Row],[Codigo]],Tabla2[[Cod]:[Nombre ]],2,0)</f>
        <v>P-1126</v>
      </c>
      <c r="C167" s="53">
        <f>VLOOKUP(Tabla4[[#This Row],[Codigo]],Tabla2[[Cod]:[Nombre ]],3,0)</f>
        <v>44713</v>
      </c>
      <c r="D167" s="6" t="str">
        <f>VLOOKUP(Tabla4[[#This Row],[Codigo]],Tabla2[[Cod]:[Nombre ]],4,0)</f>
        <v>Tis-1129</v>
      </c>
      <c r="E167" s="5" t="str">
        <f>VLOOKUP(Tabla4[[#This Row],[Codigo]],Tabla2[[Cod]:[Nombre ]],8,0)</f>
        <v>AXIOMATICA SOLUCIONES TECNOLOGICAS SAS</v>
      </c>
      <c r="F167" s="5" t="str">
        <f>VLOOKUP(Tabla4[[#This Row],[Codigo]],Tabla2[[Cod]:[Nombre ]],6,0)</f>
        <v>OK</v>
      </c>
      <c r="G167" s="7" t="s">
        <v>433</v>
      </c>
      <c r="H167" s="21" t="s">
        <v>517</v>
      </c>
      <c r="I167" s="21" t="s">
        <v>518</v>
      </c>
      <c r="J167" s="163">
        <v>1</v>
      </c>
      <c r="K167" s="294">
        <v>590000</v>
      </c>
      <c r="L167" s="298"/>
      <c r="M167" s="292">
        <f>IF(LEFT(Tabla4[[#This Row],[Electronica]],2)="NC",-Tabla4[[#This Row],[Cantidad]]*Tabla4[[#This Row],[Precio]]+Tabla4[[#This Row],[Dto]],Tabla4[[#This Row],[Cantidad]]*Tabla4[[#This Row],[Precio]]-Tabla4[[#This Row],[Dto]])</f>
        <v>590000</v>
      </c>
      <c r="N167" s="292">
        <f>IFERROR(Tabla4[[#This Row],[Sub Total]]*VLOOKUP(Tabla4[[#This Row],[No]],Parametros!A:C,3,0),0)</f>
        <v>112100</v>
      </c>
      <c r="O167" s="292">
        <f>+Tabla4[[#This Row],[IVA]]+Tabla4[[#This Row],[Sub Total]]</f>
        <v>702100</v>
      </c>
    </row>
    <row r="168" spans="1:15" ht="24" x14ac:dyDescent="0.2">
      <c r="A168" s="6">
        <v>139</v>
      </c>
      <c r="B168" s="6" t="str">
        <f>VLOOKUP(Tabla4[[#This Row],[Codigo]],Tabla2[[Cod]:[Nombre ]],2,0)</f>
        <v>P-1127</v>
      </c>
      <c r="C168" s="53">
        <f>VLOOKUP(Tabla4[[#This Row],[Codigo]],Tabla2[[Cod]:[Nombre ]],3,0)</f>
        <v>44713</v>
      </c>
      <c r="D168" s="6" t="str">
        <f>VLOOKUP(Tabla4[[#This Row],[Codigo]],Tabla2[[Cod]:[Nombre ]],4,0)</f>
        <v>Tis-1155</v>
      </c>
      <c r="E168" s="5" t="str">
        <f>VLOOKUP(Tabla4[[#This Row],[Codigo]],Tabla2[[Cod]:[Nombre ]],8,0)</f>
        <v>Universidad Santo Tomas</v>
      </c>
      <c r="F168" s="5" t="str">
        <f>VLOOKUP(Tabla4[[#This Row],[Codigo]],Tabla2[[Cod]:[Nombre ]],6,0)</f>
        <v>ok</v>
      </c>
      <c r="G168" s="7" t="s">
        <v>282</v>
      </c>
      <c r="H168" s="21" t="s">
        <v>16</v>
      </c>
      <c r="I168" s="21" t="s">
        <v>499</v>
      </c>
      <c r="J168" s="163">
        <v>414</v>
      </c>
      <c r="K168" s="294">
        <v>25000</v>
      </c>
      <c r="L168" s="298"/>
      <c r="M168" s="292">
        <f>IF(LEFT(Tabla4[[#This Row],[Electronica]],2)="NC",-Tabla4[[#This Row],[Cantidad]]*Tabla4[[#This Row],[Precio]]+Tabla4[[#This Row],[Dto]],Tabla4[[#This Row],[Cantidad]]*Tabla4[[#This Row],[Precio]]-Tabla4[[#This Row],[Dto]])</f>
        <v>10350000</v>
      </c>
      <c r="N168" s="292">
        <f>IFERROR(Tabla4[[#This Row],[Sub Total]]*VLOOKUP(Tabla4[[#This Row],[No]],Parametros!A:C,3,0),0)</f>
        <v>1966500</v>
      </c>
      <c r="O168" s="292">
        <f>+Tabla4[[#This Row],[IVA]]+Tabla4[[#This Row],[Sub Total]]</f>
        <v>12316500</v>
      </c>
    </row>
    <row r="169" spans="1:15" ht="72" x14ac:dyDescent="0.2">
      <c r="A169" s="6">
        <v>140</v>
      </c>
      <c r="B169" s="6" t="str">
        <f>VLOOKUP(Tabla4[[#This Row],[Codigo]],Tabla2[[Cod]:[Nombre ]],2,0)</f>
        <v>P-1128</v>
      </c>
      <c r="C169" s="53">
        <f>VLOOKUP(Tabla4[[#This Row],[Codigo]],Tabla2[[Cod]:[Nombre ]],3,0)</f>
        <v>44721</v>
      </c>
      <c r="D169" s="6" t="str">
        <f>VLOOKUP(Tabla4[[#This Row],[Codigo]],Tabla2[[Cod]:[Nombre ]],4,0)</f>
        <v>TIS-1133</v>
      </c>
      <c r="E169" s="5" t="str">
        <f>VLOOKUP(Tabla4[[#This Row],[Codigo]],Tabla2[[Cod]:[Nombre ]],8,0)</f>
        <v>RENAL MEDICAL MARKETING LIMITADA</v>
      </c>
      <c r="F169" s="5" t="str">
        <f>VLOOKUP(Tabla4[[#This Row],[Codigo]],Tabla2[[Cod]:[Nombre ]],6,0)</f>
        <v>OK</v>
      </c>
      <c r="G169" s="7" t="s">
        <v>416</v>
      </c>
      <c r="H169" s="21" t="s">
        <v>519</v>
      </c>
      <c r="I169" s="21" t="s">
        <v>520</v>
      </c>
      <c r="J169" s="163">
        <v>1</v>
      </c>
      <c r="K169" s="294">
        <v>450000</v>
      </c>
      <c r="L169" s="298"/>
      <c r="M169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169" s="292">
        <f>IFERROR(Tabla4[[#This Row],[Sub Total]]*VLOOKUP(Tabla4[[#This Row],[No]],Parametros!A:C,3,0),0)</f>
        <v>85500</v>
      </c>
      <c r="O169" s="292">
        <f>+Tabla4[[#This Row],[IVA]]+Tabla4[[#This Row],[Sub Total]]</f>
        <v>535500</v>
      </c>
    </row>
    <row r="170" spans="1:15" ht="30" x14ac:dyDescent="0.2">
      <c r="A170" s="6">
        <v>141</v>
      </c>
      <c r="B170" s="6" t="str">
        <f>VLOOKUP(Tabla4[[#This Row],[Codigo]],Tabla2[[Cod]:[Nombre ]],2,0)</f>
        <v>P-1129</v>
      </c>
      <c r="C170" s="53">
        <f>VLOOKUP(Tabla4[[#This Row],[Codigo]],Tabla2[[Cod]:[Nombre ]],3,0)</f>
        <v>44721</v>
      </c>
      <c r="D170" s="6" t="str">
        <f>VLOOKUP(Tabla4[[#This Row],[Codigo]],Tabla2[[Cod]:[Nombre ]],4,0)</f>
        <v>Tis-1135</v>
      </c>
      <c r="E170" s="220" t="str">
        <f>VLOOKUP(Tabla4[[#This Row],[Codigo]],Tabla2[[Cod]:[Nombre ]],8,0)</f>
        <v>AUTOMOTORES LLANO GRANDE S. A.</v>
      </c>
      <c r="F170" s="5" t="str">
        <f>VLOOKUP(Tabla4[[#This Row],[Codigo]],Tabla2[[Cod]:[Nombre ]],6,0)</f>
        <v>OK</v>
      </c>
      <c r="G170" s="7" t="s">
        <v>433</v>
      </c>
      <c r="H170" s="21" t="s">
        <v>517</v>
      </c>
      <c r="I170" s="21" t="s">
        <v>521</v>
      </c>
      <c r="J170" s="163">
        <v>1</v>
      </c>
      <c r="K170" s="294">
        <v>600000</v>
      </c>
      <c r="L170" s="298"/>
      <c r="M170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170" s="292">
        <f>IFERROR(Tabla4[[#This Row],[Sub Total]]*VLOOKUP(Tabla4[[#This Row],[No]],Parametros!A:C,3,0),0)</f>
        <v>114000</v>
      </c>
      <c r="O170" s="292">
        <f>+Tabla4[[#This Row],[IVA]]+Tabla4[[#This Row],[Sub Total]]</f>
        <v>714000</v>
      </c>
    </row>
    <row r="171" spans="1:15" ht="48" x14ac:dyDescent="0.2">
      <c r="A171" s="6">
        <v>142</v>
      </c>
      <c r="B171" s="6" t="str">
        <f>VLOOKUP(Tabla4[[#This Row],[Codigo]],Tabla2[[Cod]:[Nombre ]],2,0)</f>
        <v>P-1130</v>
      </c>
      <c r="C171" s="53">
        <f>VLOOKUP(Tabla4[[#This Row],[Codigo]],Tabla2[[Cod]:[Nombre ]],3,0)</f>
        <v>44721</v>
      </c>
      <c r="D171" s="6" t="str">
        <f>VLOOKUP(Tabla4[[#This Row],[Codigo]],Tabla2[[Cod]:[Nombre ]],4,0)</f>
        <v>Tis-1136</v>
      </c>
      <c r="E171" s="220" t="str">
        <f>VLOOKUP(Tabla4[[#This Row],[Codigo]],Tabla2[[Cod]:[Nombre ]],8,0)</f>
        <v>LC TALLER DE ESCULTURAS SAS</v>
      </c>
      <c r="F171" s="5" t="str">
        <f>VLOOKUP(Tabla4[[#This Row],[Codigo]],Tabla2[[Cod]:[Nombre ]],6,0)</f>
        <v>OK</v>
      </c>
      <c r="G171" s="7" t="s">
        <v>433</v>
      </c>
      <c r="H171" s="21" t="s">
        <v>517</v>
      </c>
      <c r="I171" s="21" t="s">
        <v>522</v>
      </c>
      <c r="J171" s="163">
        <v>1</v>
      </c>
      <c r="K171" s="294">
        <v>1157000</v>
      </c>
      <c r="L171" s="298"/>
      <c r="M171" s="292">
        <f>IF(LEFT(Tabla4[[#This Row],[Electronica]],2)="NC",-Tabla4[[#This Row],[Cantidad]]*Tabla4[[#This Row],[Precio]]+Tabla4[[#This Row],[Dto]],Tabla4[[#This Row],[Cantidad]]*Tabla4[[#This Row],[Precio]]-Tabla4[[#This Row],[Dto]])</f>
        <v>1157000</v>
      </c>
      <c r="N171" s="292">
        <f>IFERROR(Tabla4[[#This Row],[Sub Total]]*VLOOKUP(Tabla4[[#This Row],[No]],Parametros!A:C,3,0),0)</f>
        <v>219830</v>
      </c>
      <c r="O171" s="292">
        <f>+Tabla4[[#This Row],[IVA]]+Tabla4[[#This Row],[Sub Total]]</f>
        <v>1376830</v>
      </c>
    </row>
    <row r="172" spans="1:15" ht="30" x14ac:dyDescent="0.2">
      <c r="A172" s="6">
        <v>142</v>
      </c>
      <c r="B172" s="6" t="str">
        <f>VLOOKUP(Tabla4[[#This Row],[Codigo]],Tabla2[[Cod]:[Nombre ]],2,0)</f>
        <v>P-1130</v>
      </c>
      <c r="C172" s="53">
        <f>VLOOKUP(Tabla4[[#This Row],[Codigo]],Tabla2[[Cod]:[Nombre ]],3,0)</f>
        <v>44721</v>
      </c>
      <c r="D172" s="6" t="str">
        <f>VLOOKUP(Tabla4[[#This Row],[Codigo]],Tabla2[[Cod]:[Nombre ]],4,0)</f>
        <v>Tis-1136</v>
      </c>
      <c r="E172" s="5" t="str">
        <f>VLOOKUP(Tabla4[[#This Row],[Codigo]],Tabla2[[Cod]:[Nombre ]],8,0)</f>
        <v>LC TALLER DE ESCULTURAS SAS</v>
      </c>
      <c r="F172" s="5" t="str">
        <f>VLOOKUP(Tabla4[[#This Row],[Codigo]],Tabla2[[Cod]:[Nombre ]],6,0)</f>
        <v>OK</v>
      </c>
      <c r="G172" s="7" t="s">
        <v>433</v>
      </c>
      <c r="H172" s="21" t="s">
        <v>517</v>
      </c>
      <c r="I172" s="21" t="s">
        <v>523</v>
      </c>
      <c r="J172" s="163">
        <v>1</v>
      </c>
      <c r="K172" s="294">
        <v>590000</v>
      </c>
      <c r="L172" s="298"/>
      <c r="M172" s="292">
        <f>IF(LEFT(Tabla4[[#This Row],[Electronica]],2)="NC",-Tabla4[[#This Row],[Cantidad]]*Tabla4[[#This Row],[Precio]]+Tabla4[[#This Row],[Dto]],Tabla4[[#This Row],[Cantidad]]*Tabla4[[#This Row],[Precio]]-Tabla4[[#This Row],[Dto]])</f>
        <v>590000</v>
      </c>
      <c r="N172" s="292">
        <f>IFERROR(Tabla4[[#This Row],[Sub Total]]*VLOOKUP(Tabla4[[#This Row],[No]],Parametros!A:C,3,0),0)</f>
        <v>112100</v>
      </c>
      <c r="O172" s="292">
        <f>+Tabla4[[#This Row],[IVA]]+Tabla4[[#This Row],[Sub Total]]</f>
        <v>702100</v>
      </c>
    </row>
    <row r="173" spans="1:15" ht="36" x14ac:dyDescent="0.2">
      <c r="A173" s="6">
        <v>143</v>
      </c>
      <c r="B173" s="6" t="str">
        <f>VLOOKUP(Tabla4[[#This Row],[Codigo]],Tabla2[[Cod]:[Nombre ]],2,0)</f>
        <v>P-1131</v>
      </c>
      <c r="C173" s="53">
        <f>VLOOKUP(Tabla4[[#This Row],[Codigo]],Tabla2[[Cod]:[Nombre ]],3,0)</f>
        <v>44721</v>
      </c>
      <c r="D173" s="6" t="str">
        <f>VLOOKUP(Tabla4[[#This Row],[Codigo]],Tabla2[[Cod]:[Nombre ]],4,0)</f>
        <v>Tis-1137</v>
      </c>
      <c r="E173" s="5" t="str">
        <f>VLOOKUP(Tabla4[[#This Row],[Codigo]],Tabla2[[Cod]:[Nombre ]],8,0)</f>
        <v>PASTRY CHEF PASTELERIA Y COCINA GOURMET SAS</v>
      </c>
      <c r="F173" s="5" t="str">
        <f>VLOOKUP(Tabla4[[#This Row],[Codigo]],Tabla2[[Cod]:[Nombre ]],6,0)</f>
        <v>OK</v>
      </c>
      <c r="G173" s="7" t="s">
        <v>416</v>
      </c>
      <c r="H173" s="21" t="s">
        <v>519</v>
      </c>
      <c r="I173" s="21" t="s">
        <v>524</v>
      </c>
      <c r="J173" s="163">
        <v>1</v>
      </c>
      <c r="K173" s="294">
        <v>723333</v>
      </c>
      <c r="L173" s="298"/>
      <c r="M173" s="292">
        <f>IF(LEFT(Tabla4[[#This Row],[Electronica]],2)="NC",-Tabla4[[#This Row],[Cantidad]]*Tabla4[[#This Row],[Precio]]+Tabla4[[#This Row],[Dto]],Tabla4[[#This Row],[Cantidad]]*Tabla4[[#This Row],[Precio]]-Tabla4[[#This Row],[Dto]])</f>
        <v>723333</v>
      </c>
      <c r="N173" s="292">
        <f>IFERROR(Tabla4[[#This Row],[Sub Total]]*VLOOKUP(Tabla4[[#This Row],[No]],Parametros!A:C,3,0),0)</f>
        <v>137433.26999999999</v>
      </c>
      <c r="O173" s="292">
        <f>+Tabla4[[#This Row],[IVA]]+Tabla4[[#This Row],[Sub Total]]</f>
        <v>860766.27</v>
      </c>
    </row>
    <row r="174" spans="1:15" ht="36" x14ac:dyDescent="0.2">
      <c r="A174" s="6">
        <v>144</v>
      </c>
      <c r="B174" s="6" t="str">
        <f>VLOOKUP(Tabla4[[#This Row],[Codigo]],Tabla2[[Cod]:[Nombre ]],2,0)</f>
        <v>P-1132</v>
      </c>
      <c r="C174" s="53">
        <f>VLOOKUP(Tabla4[[#This Row],[Codigo]],Tabla2[[Cod]:[Nombre ]],3,0)</f>
        <v>44733</v>
      </c>
      <c r="D174" s="6" t="str">
        <f>VLOOKUP(Tabla4[[#This Row],[Codigo]],Tabla2[[Cod]:[Nombre ]],4,0)</f>
        <v>Tis-1138</v>
      </c>
      <c r="E174" s="5" t="str">
        <f>VLOOKUP(Tabla4[[#This Row],[Codigo]],Tabla2[[Cod]:[Nombre ]],8,0)</f>
        <v>Inversiones Sajamib SAS</v>
      </c>
      <c r="F174" s="5" t="str">
        <f>VLOOKUP(Tabla4[[#This Row],[Codigo]],Tabla2[[Cod]:[Nombre ]],6,0)</f>
        <v>OK</v>
      </c>
      <c r="G174" s="7" t="s">
        <v>417</v>
      </c>
      <c r="H174" s="21" t="s">
        <v>525</v>
      </c>
      <c r="I174" s="21" t="s">
        <v>526</v>
      </c>
      <c r="J174" s="163">
        <v>1</v>
      </c>
      <c r="K174" s="294">
        <v>322000</v>
      </c>
      <c r="L174" s="298"/>
      <c r="M174" s="292">
        <f>IF(LEFT(Tabla4[[#This Row],[Electronica]],2)="NC",-Tabla4[[#This Row],[Cantidad]]*Tabla4[[#This Row],[Precio]]+Tabla4[[#This Row],[Dto]],Tabla4[[#This Row],[Cantidad]]*Tabla4[[#This Row],[Precio]]-Tabla4[[#This Row],[Dto]])</f>
        <v>322000</v>
      </c>
      <c r="N174" s="292">
        <f>IFERROR(Tabla4[[#This Row],[Sub Total]]*VLOOKUP(Tabla4[[#This Row],[No]],Parametros!A:C,3,0),0)</f>
        <v>0</v>
      </c>
      <c r="O174" s="292">
        <f>+Tabla4[[#This Row],[IVA]]+Tabla4[[#This Row],[Sub Total]]</f>
        <v>322000</v>
      </c>
    </row>
    <row r="175" spans="1:15" ht="24" x14ac:dyDescent="0.2">
      <c r="A175" s="6">
        <v>145</v>
      </c>
      <c r="B175" s="6" t="str">
        <f>VLOOKUP(Tabla4[[#This Row],[Codigo]],Tabla2[[Cod]:[Nombre ]],2,0)</f>
        <v>P-1133</v>
      </c>
      <c r="C175" s="53">
        <f>VLOOKUP(Tabla4[[#This Row],[Codigo]],Tabla2[[Cod]:[Nombre ]],3,0)</f>
        <v>44714</v>
      </c>
      <c r="D175" s="6" t="str">
        <f>VLOOKUP(Tabla4[[#This Row],[Codigo]],Tabla2[[Cod]:[Nombre ]],4,0)</f>
        <v>TIS-1131</v>
      </c>
      <c r="E175" s="5" t="str">
        <f>VLOOKUP(Tabla4[[#This Row],[Codigo]],Tabla2[[Cod]:[Nombre ]],8,0)</f>
        <v>Banco de Bogota S.A.</v>
      </c>
      <c r="F175" s="5" t="str">
        <f>VLOOKUP(Tabla4[[#This Row],[Codigo]],Tabla2[[Cod]:[Nombre ]],6,0)</f>
        <v>OK</v>
      </c>
      <c r="G175" s="7" t="s">
        <v>282</v>
      </c>
      <c r="H175" s="21" t="s">
        <v>16</v>
      </c>
      <c r="I175" s="21" t="s">
        <v>527</v>
      </c>
      <c r="J175" s="163">
        <v>1</v>
      </c>
      <c r="K175" s="294">
        <v>22800000</v>
      </c>
      <c r="L175" s="298"/>
      <c r="M175" s="292">
        <f>IF(LEFT(Tabla4[[#This Row],[Electronica]],2)="NC",-Tabla4[[#This Row],[Cantidad]]*Tabla4[[#This Row],[Precio]]+Tabla4[[#This Row],[Dto]],Tabla4[[#This Row],[Cantidad]]*Tabla4[[#This Row],[Precio]]-Tabla4[[#This Row],[Dto]])</f>
        <v>22800000</v>
      </c>
      <c r="N175" s="292">
        <f>IFERROR(Tabla4[[#This Row],[Sub Total]]*VLOOKUP(Tabla4[[#This Row],[No]],Parametros!A:C,3,0),0)</f>
        <v>4332000</v>
      </c>
      <c r="O175" s="292">
        <f>+Tabla4[[#This Row],[IVA]]+Tabla4[[#This Row],[Sub Total]]</f>
        <v>27132000</v>
      </c>
    </row>
    <row r="176" spans="1:15" ht="45" x14ac:dyDescent="0.2">
      <c r="A176" s="6">
        <v>146</v>
      </c>
      <c r="B176" s="6" t="str">
        <f>VLOOKUP(Tabla4[[#This Row],[Codigo]],Tabla2[[Cod]:[Nombre ]],2,0)</f>
        <v>P-1134</v>
      </c>
      <c r="C176" s="53">
        <f>VLOOKUP(Tabla4[[#This Row],[Codigo]],Tabla2[[Cod]:[Nombre ]],3,0)</f>
        <v>44718</v>
      </c>
      <c r="D176" s="6" t="str">
        <f>VLOOKUP(Tabla4[[#This Row],[Codigo]],Tabla2[[Cod]:[Nombre ]],4,0)</f>
        <v>Tis-1132</v>
      </c>
      <c r="E176" s="5" t="str">
        <f>VLOOKUP(Tabla4[[#This Row],[Codigo]],Tabla2[[Cod]:[Nombre ]],8,0)</f>
        <v>CONSTRUCCIONES Y AMBIENTE - CONAMBIENTE - S.A.S</v>
      </c>
      <c r="F176" s="5" t="str">
        <f>VLOOKUP(Tabla4[[#This Row],[Codigo]],Tabla2[[Cod]:[Nombre ]],6,0)</f>
        <v>OK</v>
      </c>
      <c r="G176" s="7" t="s">
        <v>282</v>
      </c>
      <c r="H176" s="21" t="s">
        <v>16</v>
      </c>
      <c r="I176" s="21" t="s">
        <v>528</v>
      </c>
      <c r="J176" s="163">
        <v>1</v>
      </c>
      <c r="K176" s="294">
        <v>350000</v>
      </c>
      <c r="L176" s="298"/>
      <c r="M176" s="292">
        <f>IF(LEFT(Tabla4[[#This Row],[Electronica]],2)="NC",-Tabla4[[#This Row],[Cantidad]]*Tabla4[[#This Row],[Precio]]+Tabla4[[#This Row],[Dto]],Tabla4[[#This Row],[Cantidad]]*Tabla4[[#This Row],[Precio]]-Tabla4[[#This Row],[Dto]])</f>
        <v>350000</v>
      </c>
      <c r="N176" s="292">
        <f>IFERROR(Tabla4[[#This Row],[Sub Total]]*VLOOKUP(Tabla4[[#This Row],[No]],Parametros!A:C,3,0),0)</f>
        <v>66500</v>
      </c>
      <c r="O176" s="292">
        <f>+Tabla4[[#This Row],[IVA]]+Tabla4[[#This Row],[Sub Total]]</f>
        <v>416500</v>
      </c>
    </row>
    <row r="177" spans="1:15" ht="36" x14ac:dyDescent="0.2">
      <c r="A177" s="6">
        <v>147</v>
      </c>
      <c r="B177" s="6" t="str">
        <f>VLOOKUP(Tabla4[[#This Row],[Codigo]],Tabla2[[Cod]:[Nombre ]],2,0)</f>
        <v>P-1135</v>
      </c>
      <c r="C177" s="53">
        <f>VLOOKUP(Tabla4[[#This Row],[Codigo]],Tabla2[[Cod]:[Nombre ]],3,0)</f>
        <v>44721</v>
      </c>
      <c r="D177" s="6" t="str">
        <f>VLOOKUP(Tabla4[[#This Row],[Codigo]],Tabla2[[Cod]:[Nombre ]],4,0)</f>
        <v>TIS-1139</v>
      </c>
      <c r="E177" s="5" t="str">
        <f>VLOOKUP(Tabla4[[#This Row],[Codigo]],Tabla2[[Cod]:[Nombre ]],8,0)</f>
        <v>Comercializadora ERZ SAS</v>
      </c>
      <c r="F177" s="5" t="str">
        <f>VLOOKUP(Tabla4[[#This Row],[Codigo]],Tabla2[[Cod]:[Nombre ]],6,0)</f>
        <v>OK</v>
      </c>
      <c r="G177" s="7" t="s">
        <v>416</v>
      </c>
      <c r="H177" s="21" t="s">
        <v>519</v>
      </c>
      <c r="I177" s="21" t="s">
        <v>529</v>
      </c>
      <c r="J177" s="163">
        <v>1</v>
      </c>
      <c r="K177" s="294">
        <v>220000</v>
      </c>
      <c r="L177" s="298"/>
      <c r="M177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177" s="292">
        <f>IFERROR(Tabla4[[#This Row],[Sub Total]]*VLOOKUP(Tabla4[[#This Row],[No]],Parametros!A:C,3,0),0)</f>
        <v>41800</v>
      </c>
      <c r="O177" s="292">
        <f>+Tabla4[[#This Row],[IVA]]+Tabla4[[#This Row],[Sub Total]]</f>
        <v>261800</v>
      </c>
    </row>
    <row r="178" spans="1:15" ht="36" x14ac:dyDescent="0.2">
      <c r="A178" s="6">
        <v>148</v>
      </c>
      <c r="B178" s="6" t="str">
        <f>VLOOKUP(Tabla4[[#This Row],[Codigo]],Tabla2[[Cod]:[Nombre ]],2,0)</f>
        <v>P-1136</v>
      </c>
      <c r="C178" s="53">
        <f>VLOOKUP(Tabla4[[#This Row],[Codigo]],Tabla2[[Cod]:[Nombre ]],3,0)</f>
        <v>44747</v>
      </c>
      <c r="D178" s="6">
        <f>VLOOKUP(Tabla4[[#This Row],[Codigo]],Tabla2[[Cod]:[Nombre ]],4,0)</f>
        <v>0</v>
      </c>
      <c r="E178" s="5" t="str">
        <f>VLOOKUP(Tabla4[[#This Row],[Codigo]],Tabla2[[Cod]:[Nombre ]],8,0)</f>
        <v>Maria del Pilar Alvarado Joya</v>
      </c>
      <c r="F178" s="5" t="str">
        <f>VLOOKUP(Tabla4[[#This Row],[Codigo]],Tabla2[[Cod]:[Nombre ]],6,0)</f>
        <v>OK</v>
      </c>
      <c r="G178" s="7" t="s">
        <v>417</v>
      </c>
      <c r="H178" s="21" t="s">
        <v>525</v>
      </c>
      <c r="I178" s="21" t="s">
        <v>530</v>
      </c>
      <c r="J178" s="163">
        <v>3</v>
      </c>
      <c r="K178" s="294">
        <v>300000</v>
      </c>
      <c r="L178" s="298"/>
      <c r="M178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178" s="292">
        <f>IFERROR(Tabla4[[#This Row],[Sub Total]]*VLOOKUP(Tabla4[[#This Row],[No]],Parametros!A:C,3,0),0)</f>
        <v>0</v>
      </c>
      <c r="O178" s="292">
        <f>+Tabla4[[#This Row],[IVA]]+Tabla4[[#This Row],[Sub Total]]</f>
        <v>900000</v>
      </c>
    </row>
    <row r="179" spans="1:15" ht="36" x14ac:dyDescent="0.2">
      <c r="A179" s="6">
        <v>148</v>
      </c>
      <c r="B179" s="6" t="str">
        <f>VLOOKUP(Tabla4[[#This Row],[Codigo]],Tabla2[[Cod]:[Nombre ]],2,0)</f>
        <v>P-1136</v>
      </c>
      <c r="C179" s="53">
        <f>VLOOKUP(Tabla4[[#This Row],[Codigo]],Tabla2[[Cod]:[Nombre ]],3,0)</f>
        <v>44747</v>
      </c>
      <c r="D179" s="6">
        <f>VLOOKUP(Tabla4[[#This Row],[Codigo]],Tabla2[[Cod]:[Nombre ]],4,0)</f>
        <v>0</v>
      </c>
      <c r="E179" s="5" t="str">
        <f>VLOOKUP(Tabla4[[#This Row],[Codigo]],Tabla2[[Cod]:[Nombre ]],8,0)</f>
        <v>Maria del Pilar Alvarado Joya</v>
      </c>
      <c r="F179" s="5" t="str">
        <f>VLOOKUP(Tabla4[[#This Row],[Codigo]],Tabla2[[Cod]:[Nombre ]],6,0)</f>
        <v>OK</v>
      </c>
      <c r="G179" s="7" t="s">
        <v>417</v>
      </c>
      <c r="H179" s="21" t="s">
        <v>525</v>
      </c>
      <c r="I179" s="21" t="s">
        <v>531</v>
      </c>
      <c r="J179" s="163">
        <v>1</v>
      </c>
      <c r="K179" s="294">
        <v>300000</v>
      </c>
      <c r="L179" s="298"/>
      <c r="M179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179" s="292">
        <f>IFERROR(Tabla4[[#This Row],[Sub Total]]*VLOOKUP(Tabla4[[#This Row],[No]],Parametros!A:C,3,0),0)</f>
        <v>0</v>
      </c>
      <c r="O179" s="292">
        <f>+Tabla4[[#This Row],[IVA]]+Tabla4[[#This Row],[Sub Total]]</f>
        <v>300000</v>
      </c>
    </row>
    <row r="180" spans="1:15" ht="30" x14ac:dyDescent="0.2">
      <c r="A180" s="6">
        <v>149</v>
      </c>
      <c r="B180" s="6" t="str">
        <f>VLOOKUP(Tabla4[[#This Row],[Codigo]],Tabla2[[Cod]:[Nombre ]],2,0)</f>
        <v>P-1137</v>
      </c>
      <c r="C180" s="53">
        <f>VLOOKUP(Tabla4[[#This Row],[Codigo]],Tabla2[[Cod]:[Nombre ]],3,0)</f>
        <v>44748</v>
      </c>
      <c r="D180" s="6" t="str">
        <f>VLOOKUP(Tabla4[[#This Row],[Codigo]],Tabla2[[Cod]:[Nombre ]],4,0)</f>
        <v>TIS-1150</v>
      </c>
      <c r="E180" s="5" t="str">
        <f>VLOOKUP(Tabla4[[#This Row],[Codigo]],Tabla2[[Cod]:[Nombre ]],8,0)</f>
        <v>LABORATORIO MAXPROTEC S.A.S.</v>
      </c>
      <c r="F180" s="5" t="str">
        <f>VLOOKUP(Tabla4[[#This Row],[Codigo]],Tabla2[[Cod]:[Nombre ]],6,0)</f>
        <v>OK</v>
      </c>
      <c r="G180" s="7" t="s">
        <v>282</v>
      </c>
      <c r="H180" s="21" t="s">
        <v>16</v>
      </c>
      <c r="I180" s="21" t="s">
        <v>499</v>
      </c>
      <c r="J180" s="163">
        <v>35</v>
      </c>
      <c r="K180" s="294">
        <v>26000</v>
      </c>
      <c r="L180" s="298"/>
      <c r="M180" s="292">
        <f>IF(LEFT(Tabla4[[#This Row],[Electronica]],2)="NC",-Tabla4[[#This Row],[Cantidad]]*Tabla4[[#This Row],[Precio]]+Tabla4[[#This Row],[Dto]],Tabla4[[#This Row],[Cantidad]]*Tabla4[[#This Row],[Precio]]-Tabla4[[#This Row],[Dto]])</f>
        <v>910000</v>
      </c>
      <c r="N180" s="292">
        <f>IFERROR(Tabla4[[#This Row],[Sub Total]]*VLOOKUP(Tabla4[[#This Row],[No]],Parametros!A:C,3,0),0)</f>
        <v>172900</v>
      </c>
      <c r="O180" s="292">
        <f>+Tabla4[[#This Row],[IVA]]+Tabla4[[#This Row],[Sub Total]]</f>
        <v>1082900</v>
      </c>
    </row>
    <row r="181" spans="1:15" ht="24" x14ac:dyDescent="0.2">
      <c r="A181" s="6">
        <v>150</v>
      </c>
      <c r="B181" s="6" t="str">
        <f>VLOOKUP(Tabla4[[#This Row],[Codigo]],Tabla2[[Cod]:[Nombre ]],2,0)</f>
        <v>P-1138</v>
      </c>
      <c r="C181" s="53">
        <f>VLOOKUP(Tabla4[[#This Row],[Codigo]],Tabla2[[Cod]:[Nombre ]],3,0)</f>
        <v>44748</v>
      </c>
      <c r="D181" s="6" t="str">
        <f>VLOOKUP(Tabla4[[#This Row],[Codigo]],Tabla2[[Cod]:[Nombre ]],4,0)</f>
        <v>TIS-1144</v>
      </c>
      <c r="E181" s="5" t="str">
        <f>VLOOKUP(Tabla4[[#This Row],[Codigo]],Tabla2[[Cod]:[Nombre ]],8,0)</f>
        <v>Banco de Bogota S.A.</v>
      </c>
      <c r="F181" s="5" t="str">
        <f>VLOOKUP(Tabla4[[#This Row],[Codigo]],Tabla2[[Cod]:[Nombre ]],6,0)</f>
        <v>OK</v>
      </c>
      <c r="G181" s="7" t="s">
        <v>282</v>
      </c>
      <c r="H181" s="21" t="s">
        <v>16</v>
      </c>
      <c r="I181" s="21" t="s">
        <v>532</v>
      </c>
      <c r="J181" s="163">
        <v>1</v>
      </c>
      <c r="K181" s="294">
        <v>22800000</v>
      </c>
      <c r="L181" s="298"/>
      <c r="M181" s="292">
        <f>IF(LEFT(Tabla4[[#This Row],[Electronica]],2)="NC",-Tabla4[[#This Row],[Cantidad]]*Tabla4[[#This Row],[Precio]]+Tabla4[[#This Row],[Dto]],Tabla4[[#This Row],[Cantidad]]*Tabla4[[#This Row],[Precio]]-Tabla4[[#This Row],[Dto]])</f>
        <v>22800000</v>
      </c>
      <c r="N181" s="292">
        <f>IFERROR(Tabla4[[#This Row],[Sub Total]]*VLOOKUP(Tabla4[[#This Row],[No]],Parametros!A:C,3,0),0)</f>
        <v>4332000</v>
      </c>
      <c r="O181" s="292">
        <f>+Tabla4[[#This Row],[IVA]]+Tabla4[[#This Row],[Sub Total]]</f>
        <v>27132000</v>
      </c>
    </row>
    <row r="182" spans="1:15" ht="36" x14ac:dyDescent="0.2">
      <c r="A182" s="6">
        <v>151</v>
      </c>
      <c r="B182" s="6" t="str">
        <f>VLOOKUP(Tabla4[[#This Row],[Codigo]],Tabla2[[Cod]:[Nombre ]],2,0)</f>
        <v>P-1139</v>
      </c>
      <c r="C182" s="53">
        <f>VLOOKUP(Tabla4[[#This Row],[Codigo]],Tabla2[[Cod]:[Nombre ]],3,0)</f>
        <v>44748</v>
      </c>
      <c r="D182" s="6" t="str">
        <f>VLOOKUP(Tabla4[[#This Row],[Codigo]],Tabla2[[Cod]:[Nombre ]],4,0)</f>
        <v>TIS-1145</v>
      </c>
      <c r="E182" s="5" t="str">
        <f>VLOOKUP(Tabla4[[#This Row],[Codigo]],Tabla2[[Cod]:[Nombre ]],8,0)</f>
        <v>PASTRY CHEF PASTELERIA Y COCINA GOURMET SAS</v>
      </c>
      <c r="F182" s="5" t="str">
        <f>VLOOKUP(Tabla4[[#This Row],[Codigo]],Tabla2[[Cod]:[Nombre ]],6,0)</f>
        <v>OK</v>
      </c>
      <c r="G182" s="7" t="s">
        <v>416</v>
      </c>
      <c r="H182" s="21" t="s">
        <v>519</v>
      </c>
      <c r="I182" s="21" t="s">
        <v>532</v>
      </c>
      <c r="J182" s="163">
        <v>1</v>
      </c>
      <c r="K182" s="294">
        <v>723333</v>
      </c>
      <c r="L182" s="298"/>
      <c r="M182" s="292">
        <f>IF(LEFT(Tabla4[[#This Row],[Electronica]],2)="NC",-Tabla4[[#This Row],[Cantidad]]*Tabla4[[#This Row],[Precio]]+Tabla4[[#This Row],[Dto]],Tabla4[[#This Row],[Cantidad]]*Tabla4[[#This Row],[Precio]]-Tabla4[[#This Row],[Dto]])</f>
        <v>723333</v>
      </c>
      <c r="N182" s="292">
        <f>IFERROR(Tabla4[[#This Row],[Sub Total]]*VLOOKUP(Tabla4[[#This Row],[No]],Parametros!A:C,3,0),0)</f>
        <v>137433.26999999999</v>
      </c>
      <c r="O182" s="292">
        <f>+Tabla4[[#This Row],[IVA]]+Tabla4[[#This Row],[Sub Total]]</f>
        <v>860766.27</v>
      </c>
    </row>
    <row r="183" spans="1:15" ht="45" x14ac:dyDescent="0.2">
      <c r="A183" s="6">
        <v>152</v>
      </c>
      <c r="B183" s="6" t="str">
        <f>VLOOKUP(Tabla4[[#This Row],[Codigo]],Tabla2[[Cod]:[Nombre ]],2,0)</f>
        <v>P-1140</v>
      </c>
      <c r="C183" s="53">
        <f>VLOOKUP(Tabla4[[#This Row],[Codigo]],Tabla2[[Cod]:[Nombre ]],3,0)</f>
        <v>44748</v>
      </c>
      <c r="D183" s="6" t="str">
        <f>VLOOKUP(Tabla4[[#This Row],[Codigo]],Tabla2[[Cod]:[Nombre ]],4,0)</f>
        <v>TIS-1146</v>
      </c>
      <c r="E183" s="5" t="str">
        <f>VLOOKUP(Tabla4[[#This Row],[Codigo]],Tabla2[[Cod]:[Nombre ]],8,0)</f>
        <v>PRODUCTORA INTERAMERICANA DE PLASTICOS S.A.S.</v>
      </c>
      <c r="F183" s="5" t="str">
        <f>VLOOKUP(Tabla4[[#This Row],[Codigo]],Tabla2[[Cod]:[Nombre ]],6,0)</f>
        <v>OK</v>
      </c>
      <c r="G183" s="7" t="s">
        <v>416</v>
      </c>
      <c r="H183" s="21" t="s">
        <v>519</v>
      </c>
      <c r="I183" s="21" t="s">
        <v>532</v>
      </c>
      <c r="J183" s="163">
        <v>1</v>
      </c>
      <c r="K183" s="294">
        <v>200000</v>
      </c>
      <c r="L183" s="298"/>
      <c r="M183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183" s="292">
        <f>IFERROR(Tabla4[[#This Row],[Sub Total]]*VLOOKUP(Tabla4[[#This Row],[No]],Parametros!A:C,3,0),0)</f>
        <v>38000</v>
      </c>
      <c r="O183" s="292">
        <f>+Tabla4[[#This Row],[IVA]]+Tabla4[[#This Row],[Sub Total]]</f>
        <v>238000</v>
      </c>
    </row>
    <row r="184" spans="1:15" ht="36" x14ac:dyDescent="0.2">
      <c r="A184" s="6">
        <v>153</v>
      </c>
      <c r="B184" s="6" t="str">
        <f>VLOOKUP(Tabla4[[#This Row],[Codigo]],Tabla2[[Cod]:[Nombre ]],2,0)</f>
        <v>P-1141</v>
      </c>
      <c r="C184" s="53">
        <f>VLOOKUP(Tabla4[[#This Row],[Codigo]],Tabla2[[Cod]:[Nombre ]],3,0)</f>
        <v>44748</v>
      </c>
      <c r="D184" s="6" t="str">
        <f>VLOOKUP(Tabla4[[#This Row],[Codigo]],Tabla2[[Cod]:[Nombre ]],4,0)</f>
        <v>TIS-1147</v>
      </c>
      <c r="E184" s="5" t="str">
        <f>VLOOKUP(Tabla4[[#This Row],[Codigo]],Tabla2[[Cod]:[Nombre ]],8,0)</f>
        <v>RENAL MEDICAL MARKETING LIMITADA</v>
      </c>
      <c r="F184" s="5" t="str">
        <f>VLOOKUP(Tabla4[[#This Row],[Codigo]],Tabla2[[Cod]:[Nombre ]],6,0)</f>
        <v>OK</v>
      </c>
      <c r="G184" s="7" t="s">
        <v>416</v>
      </c>
      <c r="H184" s="21" t="s">
        <v>519</v>
      </c>
      <c r="I184" s="21" t="s">
        <v>532</v>
      </c>
      <c r="J184" s="163">
        <v>1</v>
      </c>
      <c r="K184" s="294">
        <v>450000</v>
      </c>
      <c r="L184" s="298"/>
      <c r="M184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184" s="292">
        <f>IFERROR(Tabla4[[#This Row],[Sub Total]]*VLOOKUP(Tabla4[[#This Row],[No]],Parametros!A:C,3,0),0)</f>
        <v>85500</v>
      </c>
      <c r="O184" s="292">
        <f>+Tabla4[[#This Row],[IVA]]+Tabla4[[#This Row],[Sub Total]]</f>
        <v>535500</v>
      </c>
    </row>
    <row r="185" spans="1:15" ht="36" x14ac:dyDescent="0.2">
      <c r="A185" s="6">
        <v>154</v>
      </c>
      <c r="B185" s="6" t="str">
        <f>VLOOKUP(Tabla4[[#This Row],[Codigo]],Tabla2[[Cod]:[Nombre ]],2,0)</f>
        <v>P-1142</v>
      </c>
      <c r="C185" s="53">
        <f>VLOOKUP(Tabla4[[#This Row],[Codigo]],Tabla2[[Cod]:[Nombre ]],3,0)</f>
        <v>44748</v>
      </c>
      <c r="D185" s="6" t="str">
        <f>VLOOKUP(Tabla4[[#This Row],[Codigo]],Tabla2[[Cod]:[Nombre ]],4,0)</f>
        <v>TIS-1148</v>
      </c>
      <c r="E185" s="5" t="str">
        <f>VLOOKUP(Tabla4[[#This Row],[Codigo]],Tabla2[[Cod]:[Nombre ]],8,0)</f>
        <v>Comercializadora ERZ SAS</v>
      </c>
      <c r="F185" s="5" t="str">
        <f>VLOOKUP(Tabla4[[#This Row],[Codigo]],Tabla2[[Cod]:[Nombre ]],6,0)</f>
        <v>OK</v>
      </c>
      <c r="G185" s="7" t="s">
        <v>416</v>
      </c>
      <c r="H185" s="21" t="s">
        <v>519</v>
      </c>
      <c r="I185" s="21" t="s">
        <v>532</v>
      </c>
      <c r="J185" s="163">
        <v>1</v>
      </c>
      <c r="K185" s="294">
        <v>220000</v>
      </c>
      <c r="L185" s="298"/>
      <c r="M185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185" s="292">
        <f>IFERROR(Tabla4[[#This Row],[Sub Total]]*VLOOKUP(Tabla4[[#This Row],[No]],Parametros!A:C,3,0),0)</f>
        <v>41800</v>
      </c>
      <c r="O185" s="292">
        <f>+Tabla4[[#This Row],[IVA]]+Tabla4[[#This Row],[Sub Total]]</f>
        <v>261800</v>
      </c>
    </row>
    <row r="186" spans="1:15" ht="30" x14ac:dyDescent="0.2">
      <c r="A186" s="6">
        <v>155</v>
      </c>
      <c r="B186" s="6" t="str">
        <f>VLOOKUP(Tabla4[[#This Row],[Codigo]],Tabla2[[Cod]:[Nombre ]],2,0)</f>
        <v>P-1143</v>
      </c>
      <c r="C186" s="53">
        <f>VLOOKUP(Tabla4[[#This Row],[Codigo]],Tabla2[[Cod]:[Nombre ]],3,0)</f>
        <v>44790</v>
      </c>
      <c r="D186" s="6" t="str">
        <f>VLOOKUP(Tabla4[[#This Row],[Codigo]],Tabla2[[Cod]:[Nombre ]],4,0)</f>
        <v>Tis-1157</v>
      </c>
      <c r="E186" s="220" t="str">
        <f>VLOOKUP(Tabla4[[#This Row],[Codigo]],Tabla2[[Cod]:[Nombre ]],8,0)</f>
        <v>Colombiana de Envases Industriales S. A.</v>
      </c>
      <c r="F186" s="5" t="str">
        <f>VLOOKUP(Tabla4[[#This Row],[Codigo]],Tabla2[[Cod]:[Nombre ]],6,0)</f>
        <v>OK</v>
      </c>
      <c r="G186" s="7" t="s">
        <v>433</v>
      </c>
      <c r="H186" s="21" t="s">
        <v>517</v>
      </c>
      <c r="I186" s="21" t="s">
        <v>533</v>
      </c>
      <c r="J186" s="163">
        <v>6</v>
      </c>
      <c r="K186" s="294">
        <v>500000</v>
      </c>
      <c r="L186" s="298"/>
      <c r="M186" s="292">
        <f>IF(LEFT(Tabla4[[#This Row],[Electronica]],2)="NC",-Tabla4[[#This Row],[Cantidad]]*Tabla4[[#This Row],[Precio]]+Tabla4[[#This Row],[Dto]],Tabla4[[#This Row],[Cantidad]]*Tabla4[[#This Row],[Precio]]-Tabla4[[#This Row],[Dto]])</f>
        <v>3000000</v>
      </c>
      <c r="N186" s="292">
        <f>IFERROR(Tabla4[[#This Row],[Sub Total]]*VLOOKUP(Tabla4[[#This Row],[No]],Parametros!A:C,3,0),0)</f>
        <v>570000</v>
      </c>
      <c r="O186" s="292">
        <f>+Tabla4[[#This Row],[IVA]]+Tabla4[[#This Row],[Sub Total]]</f>
        <v>3570000</v>
      </c>
    </row>
    <row r="187" spans="1:15" ht="30" x14ac:dyDescent="0.2">
      <c r="A187" s="6">
        <v>155</v>
      </c>
      <c r="B187" s="6" t="str">
        <f>VLOOKUP(Tabla4[[#This Row],[Codigo]],Tabla2[[Cod]:[Nombre ]],2,0)</f>
        <v>P-1143</v>
      </c>
      <c r="C187" s="53">
        <f>VLOOKUP(Tabla4[[#This Row],[Codigo]],Tabla2[[Cod]:[Nombre ]],3,0)</f>
        <v>44790</v>
      </c>
      <c r="D187" s="6" t="str">
        <f>VLOOKUP(Tabla4[[#This Row],[Codigo]],Tabla2[[Cod]:[Nombre ]],4,0)</f>
        <v>Tis-1157</v>
      </c>
      <c r="E187" s="5" t="str">
        <f>VLOOKUP(Tabla4[[#This Row],[Codigo]],Tabla2[[Cod]:[Nombre ]],8,0)</f>
        <v>Colombiana de Envases Industriales S. A.</v>
      </c>
      <c r="F187" s="5" t="str">
        <f>VLOOKUP(Tabla4[[#This Row],[Codigo]],Tabla2[[Cod]:[Nombre ]],6,0)</f>
        <v>OK</v>
      </c>
      <c r="G187" s="7" t="s">
        <v>433</v>
      </c>
      <c r="H187" s="21" t="s">
        <v>517</v>
      </c>
      <c r="I187" s="21" t="s">
        <v>534</v>
      </c>
      <c r="J187" s="163">
        <v>6</v>
      </c>
      <c r="K187" s="294">
        <v>460000</v>
      </c>
      <c r="L187" s="298"/>
      <c r="M187" s="292">
        <f>IF(LEFT(Tabla4[[#This Row],[Electronica]],2)="NC",-Tabla4[[#This Row],[Cantidad]]*Tabla4[[#This Row],[Precio]]+Tabla4[[#This Row],[Dto]],Tabla4[[#This Row],[Cantidad]]*Tabla4[[#This Row],[Precio]]-Tabla4[[#This Row],[Dto]])</f>
        <v>2760000</v>
      </c>
      <c r="N187" s="292">
        <f>IFERROR(Tabla4[[#This Row],[Sub Total]]*VLOOKUP(Tabla4[[#This Row],[No]],Parametros!A:C,3,0),0)</f>
        <v>524400</v>
      </c>
      <c r="O187" s="292">
        <f>+Tabla4[[#This Row],[IVA]]+Tabla4[[#This Row],[Sub Total]]</f>
        <v>3284400</v>
      </c>
    </row>
    <row r="188" spans="1:15" ht="30" x14ac:dyDescent="0.2">
      <c r="A188" s="6">
        <v>155</v>
      </c>
      <c r="B188" s="6" t="str">
        <f>VLOOKUP(Tabla4[[#This Row],[Codigo]],Tabla2[[Cod]:[Nombre ]],2,0)</f>
        <v>P-1143</v>
      </c>
      <c r="C188" s="53">
        <f>VLOOKUP(Tabla4[[#This Row],[Codigo]],Tabla2[[Cod]:[Nombre ]],3,0)</f>
        <v>44790</v>
      </c>
      <c r="D188" s="6" t="str">
        <f>VLOOKUP(Tabla4[[#This Row],[Codigo]],Tabla2[[Cod]:[Nombre ]],4,0)</f>
        <v>Tis-1157</v>
      </c>
      <c r="E188" s="5" t="str">
        <f>VLOOKUP(Tabla4[[#This Row],[Codigo]],Tabla2[[Cod]:[Nombre ]],8,0)</f>
        <v>Colombiana de Envases Industriales S. A.</v>
      </c>
      <c r="F188" s="5" t="str">
        <f>VLOOKUP(Tabla4[[#This Row],[Codigo]],Tabla2[[Cod]:[Nombre ]],6,0)</f>
        <v>OK</v>
      </c>
      <c r="G188" s="7" t="s">
        <v>433</v>
      </c>
      <c r="H188" s="21" t="s">
        <v>517</v>
      </c>
      <c r="I188" s="21" t="s">
        <v>535</v>
      </c>
      <c r="J188" s="163">
        <v>1</v>
      </c>
      <c r="K188" s="294">
        <v>700000</v>
      </c>
      <c r="L188" s="298"/>
      <c r="M188" s="292">
        <f>IF(LEFT(Tabla4[[#This Row],[Electronica]],2)="NC",-Tabla4[[#This Row],[Cantidad]]*Tabla4[[#This Row],[Precio]]+Tabla4[[#This Row],[Dto]],Tabla4[[#This Row],[Cantidad]]*Tabla4[[#This Row],[Precio]]-Tabla4[[#This Row],[Dto]])</f>
        <v>700000</v>
      </c>
      <c r="N188" s="292">
        <f>IFERROR(Tabla4[[#This Row],[Sub Total]]*VLOOKUP(Tabla4[[#This Row],[No]],Parametros!A:C,3,0),0)</f>
        <v>133000</v>
      </c>
      <c r="O188" s="292">
        <f>+Tabla4[[#This Row],[IVA]]+Tabla4[[#This Row],[Sub Total]]</f>
        <v>833000</v>
      </c>
    </row>
    <row r="189" spans="1:15" ht="24" x14ac:dyDescent="0.2">
      <c r="A189" s="6">
        <v>156</v>
      </c>
      <c r="B189" s="6" t="str">
        <f>VLOOKUP(Tabla4[[#This Row],[Codigo]],Tabla2[[Cod]:[Nombre ]],2,0)</f>
        <v>P-1144</v>
      </c>
      <c r="C189" s="53">
        <f>VLOOKUP(Tabla4[[#This Row],[Codigo]],Tabla2[[Cod]:[Nombre ]],3,0)</f>
        <v>44790</v>
      </c>
      <c r="D189" s="6" t="str">
        <f>VLOOKUP(Tabla4[[#This Row],[Codigo]],Tabla2[[Cod]:[Nombre ]],4,0)</f>
        <v>Tis-1165</v>
      </c>
      <c r="E189" s="5" t="str">
        <f>VLOOKUP(Tabla4[[#This Row],[Codigo]],Tabla2[[Cod]:[Nombre ]],8,0)</f>
        <v>CARNES FRIAS ITALIA SAS</v>
      </c>
      <c r="F189" s="5" t="str">
        <f>VLOOKUP(Tabla4[[#This Row],[Codigo]],Tabla2[[Cod]:[Nombre ]],6,0)</f>
        <v>OK</v>
      </c>
      <c r="G189" s="7" t="s">
        <v>282</v>
      </c>
      <c r="H189" s="21" t="s">
        <v>16</v>
      </c>
      <c r="I189" s="21" t="s">
        <v>499</v>
      </c>
      <c r="J189" s="163">
        <v>23</v>
      </c>
      <c r="K189" s="294">
        <v>32000</v>
      </c>
      <c r="L189" s="298"/>
      <c r="M189" s="292">
        <f>IF(LEFT(Tabla4[[#This Row],[Electronica]],2)="NC",-Tabla4[[#This Row],[Cantidad]]*Tabla4[[#This Row],[Precio]]+Tabla4[[#This Row],[Dto]],Tabla4[[#This Row],[Cantidad]]*Tabla4[[#This Row],[Precio]]-Tabla4[[#This Row],[Dto]])</f>
        <v>736000</v>
      </c>
      <c r="N189" s="292">
        <f>IFERROR(Tabla4[[#This Row],[Sub Total]]*VLOOKUP(Tabla4[[#This Row],[No]],Parametros!A:C,3,0),0)</f>
        <v>139840</v>
      </c>
      <c r="O189" s="292">
        <f>+Tabla4[[#This Row],[IVA]]+Tabla4[[#This Row],[Sub Total]]</f>
        <v>875840</v>
      </c>
    </row>
    <row r="190" spans="1:15" x14ac:dyDescent="0.2">
      <c r="A190" s="6">
        <v>157</v>
      </c>
      <c r="B190" s="6" t="str">
        <f>VLOOKUP(Tabla4[[#This Row],[Codigo]],Tabla2[[Cod]:[Nombre ]],2,0)</f>
        <v>P-1145</v>
      </c>
      <c r="C190" s="53">
        <f>VLOOKUP(Tabla4[[#This Row],[Codigo]],Tabla2[[Cod]:[Nombre ]],3,0)</f>
        <v>44790</v>
      </c>
      <c r="D190" s="6" t="str">
        <f>VLOOKUP(Tabla4[[#This Row],[Codigo]],Tabla2[[Cod]:[Nombre ]],4,0)</f>
        <v>Tis-1156</v>
      </c>
      <c r="E190" s="220" t="str">
        <f>VLOOKUP(Tabla4[[#This Row],[Codigo]],Tabla2[[Cod]:[Nombre ]],8,0)</f>
        <v>QUICK HELP S.A.S</v>
      </c>
      <c r="F190" s="5" t="str">
        <f>VLOOKUP(Tabla4[[#This Row],[Codigo]],Tabla2[[Cod]:[Nombre ]],6,0)</f>
        <v>OK</v>
      </c>
      <c r="G190" s="7" t="s">
        <v>433</v>
      </c>
      <c r="H190" s="21" t="s">
        <v>517</v>
      </c>
      <c r="I190" s="21" t="s">
        <v>536</v>
      </c>
      <c r="J190" s="163">
        <v>6</v>
      </c>
      <c r="K190" s="294">
        <v>90000</v>
      </c>
      <c r="L190" s="298"/>
      <c r="M190" s="292">
        <f>IF(LEFT(Tabla4[[#This Row],[Electronica]],2)="NC",-Tabla4[[#This Row],[Cantidad]]*Tabla4[[#This Row],[Precio]]+Tabla4[[#This Row],[Dto]],Tabla4[[#This Row],[Cantidad]]*Tabla4[[#This Row],[Precio]]-Tabla4[[#This Row],[Dto]])</f>
        <v>540000</v>
      </c>
      <c r="N190" s="292">
        <f>IFERROR(Tabla4[[#This Row],[Sub Total]]*VLOOKUP(Tabla4[[#This Row],[No]],Parametros!A:C,3,0),0)</f>
        <v>102600</v>
      </c>
      <c r="O190" s="292">
        <f>+Tabla4[[#This Row],[IVA]]+Tabla4[[#This Row],[Sub Total]]</f>
        <v>642600</v>
      </c>
    </row>
    <row r="191" spans="1:15" x14ac:dyDescent="0.2">
      <c r="A191" s="6">
        <v>157</v>
      </c>
      <c r="B191" s="6" t="str">
        <f>VLOOKUP(Tabla4[[#This Row],[Codigo]],Tabla2[[Cod]:[Nombre ]],2,0)</f>
        <v>P-1145</v>
      </c>
      <c r="C191" s="53">
        <f>VLOOKUP(Tabla4[[#This Row],[Codigo]],Tabla2[[Cod]:[Nombre ]],3,0)</f>
        <v>44790</v>
      </c>
      <c r="D191" s="6" t="str">
        <f>VLOOKUP(Tabla4[[#This Row],[Codigo]],Tabla2[[Cod]:[Nombre ]],4,0)</f>
        <v>Tis-1156</v>
      </c>
      <c r="E191" s="5" t="str">
        <f>VLOOKUP(Tabla4[[#This Row],[Codigo]],Tabla2[[Cod]:[Nombre ]],8,0)</f>
        <v>QUICK HELP S.A.S</v>
      </c>
      <c r="F191" s="5" t="str">
        <f>VLOOKUP(Tabla4[[#This Row],[Codigo]],Tabla2[[Cod]:[Nombre ]],6,0)</f>
        <v>OK</v>
      </c>
      <c r="G191" s="7" t="s">
        <v>433</v>
      </c>
      <c r="H191" s="21" t="s">
        <v>517</v>
      </c>
      <c r="I191" s="21" t="s">
        <v>537</v>
      </c>
      <c r="J191" s="163">
        <v>4</v>
      </c>
      <c r="K191" s="294">
        <v>130000</v>
      </c>
      <c r="L191" s="298"/>
      <c r="M191" s="292">
        <f>IF(LEFT(Tabla4[[#This Row],[Electronica]],2)="NC",-Tabla4[[#This Row],[Cantidad]]*Tabla4[[#This Row],[Precio]]+Tabla4[[#This Row],[Dto]],Tabla4[[#This Row],[Cantidad]]*Tabla4[[#This Row],[Precio]]-Tabla4[[#This Row],[Dto]])</f>
        <v>520000</v>
      </c>
      <c r="N191" s="292">
        <f>IFERROR(Tabla4[[#This Row],[Sub Total]]*VLOOKUP(Tabla4[[#This Row],[No]],Parametros!A:C,3,0),0)</f>
        <v>98800</v>
      </c>
      <c r="O191" s="292">
        <f>+Tabla4[[#This Row],[IVA]]+Tabla4[[#This Row],[Sub Total]]</f>
        <v>618800</v>
      </c>
    </row>
    <row r="192" spans="1:15" x14ac:dyDescent="0.2">
      <c r="A192" s="6">
        <v>157</v>
      </c>
      <c r="B192" s="6" t="str">
        <f>VLOOKUP(Tabla4[[#This Row],[Codigo]],Tabla2[[Cod]:[Nombre ]],2,0)</f>
        <v>P-1145</v>
      </c>
      <c r="C192" s="53">
        <f>VLOOKUP(Tabla4[[#This Row],[Codigo]],Tabla2[[Cod]:[Nombre ]],3,0)</f>
        <v>44790</v>
      </c>
      <c r="D192" s="6" t="str">
        <f>VLOOKUP(Tabla4[[#This Row],[Codigo]],Tabla2[[Cod]:[Nombre ]],4,0)</f>
        <v>Tis-1156</v>
      </c>
      <c r="E192" s="5" t="str">
        <f>VLOOKUP(Tabla4[[#This Row],[Codigo]],Tabla2[[Cod]:[Nombre ]],8,0)</f>
        <v>QUICK HELP S.A.S</v>
      </c>
      <c r="F192" s="5" t="str">
        <f>VLOOKUP(Tabla4[[#This Row],[Codigo]],Tabla2[[Cod]:[Nombre ]],6,0)</f>
        <v>OK</v>
      </c>
      <c r="G192" s="7" t="s">
        <v>433</v>
      </c>
      <c r="H192" s="21" t="s">
        <v>517</v>
      </c>
      <c r="I192" s="21" t="s">
        <v>538</v>
      </c>
      <c r="J192" s="163">
        <v>2</v>
      </c>
      <c r="K192" s="294">
        <v>850000</v>
      </c>
      <c r="L192" s="298"/>
      <c r="M192" s="292">
        <f>IF(LEFT(Tabla4[[#This Row],[Electronica]],2)="NC",-Tabla4[[#This Row],[Cantidad]]*Tabla4[[#This Row],[Precio]]+Tabla4[[#This Row],[Dto]],Tabla4[[#This Row],[Cantidad]]*Tabla4[[#This Row],[Precio]]-Tabla4[[#This Row],[Dto]])</f>
        <v>1700000</v>
      </c>
      <c r="N192" s="292">
        <f>IFERROR(Tabla4[[#This Row],[Sub Total]]*VLOOKUP(Tabla4[[#This Row],[No]],Parametros!A:C,3,0),0)</f>
        <v>323000</v>
      </c>
      <c r="O192" s="292">
        <f>+Tabla4[[#This Row],[IVA]]+Tabla4[[#This Row],[Sub Total]]</f>
        <v>2023000</v>
      </c>
    </row>
    <row r="193" spans="1:15" ht="36" x14ac:dyDescent="0.2">
      <c r="A193" s="6">
        <v>158</v>
      </c>
      <c r="B193" s="6" t="str">
        <f>VLOOKUP(Tabla4[[#This Row],[Codigo]],Tabla2[[Cod]:[Nombre ]],2,0)</f>
        <v>P-1146</v>
      </c>
      <c r="C193" s="53">
        <f>VLOOKUP(Tabla4[[#This Row],[Codigo]],Tabla2[[Cod]:[Nombre ]],3,0)</f>
        <v>44792</v>
      </c>
      <c r="D193" s="6" t="str">
        <f>VLOOKUP(Tabla4[[#This Row],[Codigo]],Tabla2[[Cod]:[Nombre ]],4,0)</f>
        <v>Tis-1166</v>
      </c>
      <c r="E193" s="5" t="str">
        <f>VLOOKUP(Tabla4[[#This Row],[Codigo]],Tabla2[[Cod]:[Nombre ]],8,0)</f>
        <v>Inversiones Sajamib SAS</v>
      </c>
      <c r="F193" s="5" t="str">
        <f>VLOOKUP(Tabla4[[#This Row],[Codigo]],Tabla2[[Cod]:[Nombre ]],6,0)</f>
        <v>OK</v>
      </c>
      <c r="G193" s="7" t="s">
        <v>417</v>
      </c>
      <c r="H193" s="21" t="s">
        <v>525</v>
      </c>
      <c r="I193" s="21" t="s">
        <v>539</v>
      </c>
      <c r="J193" s="163">
        <v>1</v>
      </c>
      <c r="K193" s="294">
        <v>322000</v>
      </c>
      <c r="L193" s="298"/>
      <c r="M193" s="292">
        <f>IF(LEFT(Tabla4[[#This Row],[Electronica]],2)="NC",-Tabla4[[#This Row],[Cantidad]]*Tabla4[[#This Row],[Precio]]+Tabla4[[#This Row],[Dto]],Tabla4[[#This Row],[Cantidad]]*Tabla4[[#This Row],[Precio]]-Tabla4[[#This Row],[Dto]])</f>
        <v>322000</v>
      </c>
      <c r="N193" s="292">
        <f>IFERROR(Tabla4[[#This Row],[Sub Total]]*VLOOKUP(Tabla4[[#This Row],[No]],Parametros!A:C,3,0),0)</f>
        <v>0</v>
      </c>
      <c r="O193" s="292">
        <f>+Tabla4[[#This Row],[IVA]]+Tabla4[[#This Row],[Sub Total]]</f>
        <v>322000</v>
      </c>
    </row>
    <row r="194" spans="1:15" ht="36" x14ac:dyDescent="0.2">
      <c r="A194" s="6">
        <v>158</v>
      </c>
      <c r="B194" s="6" t="str">
        <f>VLOOKUP(Tabla4[[#This Row],[Codigo]],Tabla2[[Cod]:[Nombre ]],2,0)</f>
        <v>P-1146</v>
      </c>
      <c r="C194" s="53">
        <f>VLOOKUP(Tabla4[[#This Row],[Codigo]],Tabla2[[Cod]:[Nombre ]],3,0)</f>
        <v>44792</v>
      </c>
      <c r="D194" s="6" t="str">
        <f>VLOOKUP(Tabla4[[#This Row],[Codigo]],Tabla2[[Cod]:[Nombre ]],4,0)</f>
        <v>Tis-1166</v>
      </c>
      <c r="E194" s="5" t="str">
        <f>VLOOKUP(Tabla4[[#This Row],[Codigo]],Tabla2[[Cod]:[Nombre ]],8,0)</f>
        <v>Inversiones Sajamib SAS</v>
      </c>
      <c r="F194" s="5" t="str">
        <f>VLOOKUP(Tabla4[[#This Row],[Codigo]],Tabla2[[Cod]:[Nombre ]],6,0)</f>
        <v>OK</v>
      </c>
      <c r="G194" s="7" t="s">
        <v>417</v>
      </c>
      <c r="H194" s="21" t="s">
        <v>525</v>
      </c>
      <c r="I194" s="21" t="s">
        <v>540</v>
      </c>
      <c r="J194" s="163">
        <v>1</v>
      </c>
      <c r="K194" s="294">
        <v>322000</v>
      </c>
      <c r="L194" s="298"/>
      <c r="M194" s="292">
        <f>IF(LEFT(Tabla4[[#This Row],[Electronica]],2)="NC",-Tabla4[[#This Row],[Cantidad]]*Tabla4[[#This Row],[Precio]]+Tabla4[[#This Row],[Dto]],Tabla4[[#This Row],[Cantidad]]*Tabla4[[#This Row],[Precio]]-Tabla4[[#This Row],[Dto]])</f>
        <v>322000</v>
      </c>
      <c r="N194" s="292">
        <f>IFERROR(Tabla4[[#This Row],[Sub Total]]*VLOOKUP(Tabla4[[#This Row],[No]],Parametros!A:C,3,0),0)</f>
        <v>0</v>
      </c>
      <c r="O194" s="292">
        <f>+Tabla4[[#This Row],[IVA]]+Tabla4[[#This Row],[Sub Total]]</f>
        <v>322000</v>
      </c>
    </row>
    <row r="195" spans="1:15" ht="36" x14ac:dyDescent="0.2">
      <c r="A195" s="6">
        <v>158</v>
      </c>
      <c r="B195" s="6" t="str">
        <f>VLOOKUP(Tabla4[[#This Row],[Codigo]],Tabla2[[Cod]:[Nombre ]],2,0)</f>
        <v>P-1146</v>
      </c>
      <c r="C195" s="53">
        <f>VLOOKUP(Tabla4[[#This Row],[Codigo]],Tabla2[[Cod]:[Nombre ]],3,0)</f>
        <v>44792</v>
      </c>
      <c r="D195" s="6" t="str">
        <f>VLOOKUP(Tabla4[[#This Row],[Codigo]],Tabla2[[Cod]:[Nombre ]],4,0)</f>
        <v>Tis-1166</v>
      </c>
      <c r="E195" s="5" t="str">
        <f>VLOOKUP(Tabla4[[#This Row],[Codigo]],Tabla2[[Cod]:[Nombre ]],8,0)</f>
        <v>Inversiones Sajamib SAS</v>
      </c>
      <c r="F195" s="5" t="str">
        <f>VLOOKUP(Tabla4[[#This Row],[Codigo]],Tabla2[[Cod]:[Nombre ]],6,0)</f>
        <v>OK</v>
      </c>
      <c r="G195" s="7" t="s">
        <v>417</v>
      </c>
      <c r="H195" s="21" t="str">
        <f>VLOOKUP(Tabla4[[#This Row],[No]],Parametros!A:C,2,0)</f>
        <v>Capacitación acompañamiento Virtual SST</v>
      </c>
      <c r="I195" s="21" t="s">
        <v>541</v>
      </c>
      <c r="J195" s="163">
        <v>1</v>
      </c>
      <c r="K195" s="294">
        <v>322000</v>
      </c>
      <c r="L195" s="298"/>
      <c r="M195" s="292">
        <f>IF(LEFT(Tabla4[[#This Row],[Electronica]],2)="NC",-Tabla4[[#This Row],[Cantidad]]*Tabla4[[#This Row],[Precio]]+Tabla4[[#This Row],[Dto]],Tabla4[[#This Row],[Cantidad]]*Tabla4[[#This Row],[Precio]]-Tabla4[[#This Row],[Dto]])</f>
        <v>322000</v>
      </c>
      <c r="N195" s="292">
        <f>IFERROR(Tabla4[[#This Row],[Sub Total]]*VLOOKUP(Tabla4[[#This Row],[No]],Parametros!A:C,3,0),0)</f>
        <v>0</v>
      </c>
      <c r="O195" s="292">
        <f>+Tabla4[[#This Row],[IVA]]+Tabla4[[#This Row],[Sub Total]]</f>
        <v>322000</v>
      </c>
    </row>
    <row r="196" spans="1:15" ht="30" x14ac:dyDescent="0.2">
      <c r="A196" s="6">
        <v>159</v>
      </c>
      <c r="B196" s="6" t="str">
        <f>VLOOKUP(Tabla4[[#This Row],[Codigo]],Tabla2[[Cod]:[Nombre ]],2,0)</f>
        <v>P-1147</v>
      </c>
      <c r="C196" s="53">
        <f>VLOOKUP(Tabla4[[#This Row],[Codigo]],Tabla2[[Cod]:[Nombre ]],3,0)</f>
        <v>44792</v>
      </c>
      <c r="D196" s="6" t="str">
        <f>VLOOKUP(Tabla4[[#This Row],[Codigo]],Tabla2[[Cod]:[Nombre ]],4,0)</f>
        <v>Tis-1161</v>
      </c>
      <c r="E196" s="5" t="str">
        <f>VLOOKUP(Tabla4[[#This Row],[Codigo]],Tabla2[[Cod]:[Nombre ]],8,0)</f>
        <v>Soluciones Avanzadas de Ingeniería SAS</v>
      </c>
      <c r="F196" s="5" t="str">
        <f>VLOOKUP(Tabla4[[#This Row],[Codigo]],Tabla2[[Cod]:[Nombre ]],6,0)</f>
        <v>OK</v>
      </c>
      <c r="G196" s="7" t="s">
        <v>282</v>
      </c>
      <c r="H196" s="21" t="s">
        <v>16</v>
      </c>
      <c r="I196" s="21" t="s">
        <v>542</v>
      </c>
      <c r="J196" s="163">
        <v>23</v>
      </c>
      <c r="K196" s="294">
        <v>23000</v>
      </c>
      <c r="L196" s="298"/>
      <c r="M196" s="292">
        <f>IF(LEFT(Tabla4[[#This Row],[Electronica]],2)="NC",-Tabla4[[#This Row],[Cantidad]]*Tabla4[[#This Row],[Precio]]+Tabla4[[#This Row],[Dto]],Tabla4[[#This Row],[Cantidad]]*Tabla4[[#This Row],[Precio]]-Tabla4[[#This Row],[Dto]])</f>
        <v>529000</v>
      </c>
      <c r="N196" s="292">
        <f>IFERROR(Tabla4[[#This Row],[Sub Total]]*VLOOKUP(Tabla4[[#This Row],[No]],Parametros!A:C,3,0),0)</f>
        <v>100510</v>
      </c>
      <c r="O196" s="292">
        <f>+Tabla4[[#This Row],[IVA]]+Tabla4[[#This Row],[Sub Total]]</f>
        <v>629510</v>
      </c>
    </row>
    <row r="197" spans="1:15" ht="36" x14ac:dyDescent="0.2">
      <c r="A197" s="6">
        <v>160</v>
      </c>
      <c r="B197" s="6" t="str">
        <f>VLOOKUP(Tabla4[[#This Row],[Codigo]],Tabla2[[Cod]:[Nombre ]],2,0)</f>
        <v>P-1148</v>
      </c>
      <c r="C197" s="53">
        <f>VLOOKUP(Tabla4[[#This Row],[Codigo]],Tabla2[[Cod]:[Nombre ]],3,0)</f>
        <v>44809</v>
      </c>
      <c r="D197" s="6" t="str">
        <f>VLOOKUP(Tabla4[[#This Row],[Codigo]],Tabla2[[Cod]:[Nombre ]],4,0)</f>
        <v>TIS-1164</v>
      </c>
      <c r="E197" s="5" t="str">
        <f>VLOOKUP(Tabla4[[#This Row],[Codigo]],Tabla2[[Cod]:[Nombre ]],8,0)</f>
        <v>D&amp;G ASESORES LTDA</v>
      </c>
      <c r="F197" s="5" t="str">
        <f>VLOOKUP(Tabla4[[#This Row],[Codigo]],Tabla2[[Cod]:[Nombre ]],6,0)</f>
        <v>OK</v>
      </c>
      <c r="G197" s="7" t="s">
        <v>416</v>
      </c>
      <c r="H197" s="21" t="s">
        <v>519</v>
      </c>
      <c r="I197" s="21" t="s">
        <v>543</v>
      </c>
      <c r="J197" s="163">
        <v>12</v>
      </c>
      <c r="K197" s="294">
        <v>700000</v>
      </c>
      <c r="L197" s="298"/>
      <c r="M197" s="292">
        <f>IF(LEFT(Tabla4[[#This Row],[Electronica]],2)="NC",-Tabla4[[#This Row],[Cantidad]]*Tabla4[[#This Row],[Precio]]+Tabla4[[#This Row],[Dto]],Tabla4[[#This Row],[Cantidad]]*Tabla4[[#This Row],[Precio]]-Tabla4[[#This Row],[Dto]])</f>
        <v>8400000</v>
      </c>
      <c r="N197" s="292">
        <f>IFERROR(Tabla4[[#This Row],[Sub Total]]*VLOOKUP(Tabla4[[#This Row],[No]],Parametros!A:C,3,0),0)</f>
        <v>1596000</v>
      </c>
      <c r="O197" s="292">
        <f>+Tabla4[[#This Row],[IVA]]+Tabla4[[#This Row],[Sub Total]]</f>
        <v>9996000</v>
      </c>
    </row>
    <row r="198" spans="1:15" ht="36" x14ac:dyDescent="0.2">
      <c r="A198" s="6">
        <v>160</v>
      </c>
      <c r="B198" s="6" t="str">
        <f>VLOOKUP(Tabla4[[#This Row],[Codigo]],Tabla2[[Cod]:[Nombre ]],2,0)</f>
        <v>P-1148</v>
      </c>
      <c r="C198" s="53">
        <f>VLOOKUP(Tabla4[[#This Row],[Codigo]],Tabla2[[Cod]:[Nombre ]],3,0)</f>
        <v>44809</v>
      </c>
      <c r="D198" s="6" t="str">
        <f>VLOOKUP(Tabla4[[#This Row],[Codigo]],Tabla2[[Cod]:[Nombre ]],4,0)</f>
        <v>TIS-1164</v>
      </c>
      <c r="E198" s="5" t="str">
        <f>VLOOKUP(Tabla4[[#This Row],[Codigo]],Tabla2[[Cod]:[Nombre ]],8,0)</f>
        <v>D&amp;G ASESORES LTDA</v>
      </c>
      <c r="F198" s="5" t="str">
        <f>VLOOKUP(Tabla4[[#This Row],[Codigo]],Tabla2[[Cod]:[Nombre ]],6,0)</f>
        <v>OK</v>
      </c>
      <c r="G198" s="7" t="s">
        <v>416</v>
      </c>
      <c r="H198" s="21" t="s">
        <v>519</v>
      </c>
      <c r="I198" s="21" t="s">
        <v>544</v>
      </c>
      <c r="J198" s="163">
        <v>12</v>
      </c>
      <c r="K198" s="294">
        <v>700000</v>
      </c>
      <c r="L198" s="298"/>
      <c r="M198" s="292">
        <f>IF(LEFT(Tabla4[[#This Row],[Electronica]],2)="NC",-Tabla4[[#This Row],[Cantidad]]*Tabla4[[#This Row],[Precio]]+Tabla4[[#This Row],[Dto]],Tabla4[[#This Row],[Cantidad]]*Tabla4[[#This Row],[Precio]]-Tabla4[[#This Row],[Dto]])</f>
        <v>8400000</v>
      </c>
      <c r="N198" s="292">
        <f>IFERROR(Tabla4[[#This Row],[Sub Total]]*VLOOKUP(Tabla4[[#This Row],[No]],Parametros!A:C,3,0),0)</f>
        <v>1596000</v>
      </c>
      <c r="O198" s="292">
        <f>+Tabla4[[#This Row],[IVA]]+Tabla4[[#This Row],[Sub Total]]</f>
        <v>9996000</v>
      </c>
    </row>
    <row r="199" spans="1:15" ht="36" x14ac:dyDescent="0.2">
      <c r="A199" s="6">
        <v>160</v>
      </c>
      <c r="B199" s="6" t="str">
        <f>VLOOKUP(Tabla4[[#This Row],[Codigo]],Tabla2[[Cod]:[Nombre ]],2,0)</f>
        <v>P-1148</v>
      </c>
      <c r="C199" s="53">
        <f>VLOOKUP(Tabla4[[#This Row],[Codigo]],Tabla2[[Cod]:[Nombre ]],3,0)</f>
        <v>44809</v>
      </c>
      <c r="D199" s="6" t="str">
        <f>VLOOKUP(Tabla4[[#This Row],[Codigo]],Tabla2[[Cod]:[Nombre ]],4,0)</f>
        <v>TIS-1164</v>
      </c>
      <c r="E199" s="5" t="str">
        <f>VLOOKUP(Tabla4[[#This Row],[Codigo]],Tabla2[[Cod]:[Nombre ]],8,0)</f>
        <v>D&amp;G ASESORES LTDA</v>
      </c>
      <c r="F199" s="5" t="str">
        <f>VLOOKUP(Tabla4[[#This Row],[Codigo]],Tabla2[[Cod]:[Nombre ]],6,0)</f>
        <v>OK</v>
      </c>
      <c r="G199" s="7" t="s">
        <v>416</v>
      </c>
      <c r="H199" s="21" t="s">
        <v>519</v>
      </c>
      <c r="I199" s="21" t="s">
        <v>545</v>
      </c>
      <c r="J199" s="163">
        <v>12</v>
      </c>
      <c r="K199" s="294">
        <v>700000</v>
      </c>
      <c r="L199" s="298"/>
      <c r="M199" s="292">
        <f>IF(LEFT(Tabla4[[#This Row],[Electronica]],2)="NC",-Tabla4[[#This Row],[Cantidad]]*Tabla4[[#This Row],[Precio]]+Tabla4[[#This Row],[Dto]],Tabla4[[#This Row],[Cantidad]]*Tabla4[[#This Row],[Precio]]-Tabla4[[#This Row],[Dto]])</f>
        <v>8400000</v>
      </c>
      <c r="N199" s="292">
        <f>IFERROR(Tabla4[[#This Row],[Sub Total]]*VLOOKUP(Tabla4[[#This Row],[No]],Parametros!A:C,3,0),0)</f>
        <v>1596000</v>
      </c>
      <c r="O199" s="292">
        <f>+Tabla4[[#This Row],[IVA]]+Tabla4[[#This Row],[Sub Total]]</f>
        <v>9996000</v>
      </c>
    </row>
    <row r="200" spans="1:15" ht="72" x14ac:dyDescent="0.2">
      <c r="A200" s="6">
        <v>161</v>
      </c>
      <c r="B200" s="6" t="str">
        <f>VLOOKUP(Tabla4[[#This Row],[Codigo]],Tabla2[[Cod]:[Nombre ]],2,0)</f>
        <v>P-1149</v>
      </c>
      <c r="C200" s="53">
        <f>VLOOKUP(Tabla4[[#This Row],[Codigo]],Tabla2[[Cod]:[Nombre ]],3,0)</f>
        <v>44811</v>
      </c>
      <c r="D200" s="6">
        <f>VLOOKUP(Tabla4[[#This Row],[Codigo]],Tabla2[[Cod]:[Nombre ]],4,0)</f>
        <v>0</v>
      </c>
      <c r="E200" s="5" t="str">
        <f>VLOOKUP(Tabla4[[#This Row],[Codigo]],Tabla2[[Cod]:[Nombre ]],8,0)</f>
        <v>Inversiones Londoño Sepulveda S.A.S</v>
      </c>
      <c r="F200" s="5" t="str">
        <f>VLOOKUP(Tabla4[[#This Row],[Codigo]],Tabla2[[Cod]:[Nombre ]],6,0)</f>
        <v>OK</v>
      </c>
      <c r="G200" s="7" t="s">
        <v>282</v>
      </c>
      <c r="H200" s="21" t="s">
        <v>16</v>
      </c>
      <c r="I200" s="21" t="s">
        <v>546</v>
      </c>
      <c r="J200" s="163">
        <v>6</v>
      </c>
      <c r="K200" s="294">
        <v>70000</v>
      </c>
      <c r="L200" s="298"/>
      <c r="M200" s="292">
        <f>IF(LEFT(Tabla4[[#This Row],[Electronica]],2)="NC",-Tabla4[[#This Row],[Cantidad]]*Tabla4[[#This Row],[Precio]]+Tabla4[[#This Row],[Dto]],Tabla4[[#This Row],[Cantidad]]*Tabla4[[#This Row],[Precio]]-Tabla4[[#This Row],[Dto]])</f>
        <v>420000</v>
      </c>
      <c r="N200" s="292">
        <f>IFERROR(Tabla4[[#This Row],[Sub Total]]*VLOOKUP(Tabla4[[#This Row],[No]],Parametros!A:C,3,0),0)</f>
        <v>79800</v>
      </c>
      <c r="O200" s="292">
        <f>+Tabla4[[#This Row],[IVA]]+Tabla4[[#This Row],[Sub Total]]</f>
        <v>499800</v>
      </c>
    </row>
    <row r="201" spans="1:15" ht="30" x14ac:dyDescent="0.2">
      <c r="A201" s="6">
        <v>162</v>
      </c>
      <c r="B201" s="6" t="str">
        <f>VLOOKUP(Tabla4[[#This Row],[Codigo]],Tabla2[[Cod]:[Nombre ]],2,0)</f>
        <v>P-1150</v>
      </c>
      <c r="C201" s="53">
        <f>VLOOKUP(Tabla4[[#This Row],[Codigo]],Tabla2[[Cod]:[Nombre ]],3,0)</f>
        <v>44812</v>
      </c>
      <c r="D201" s="6" t="str">
        <f>VLOOKUP(Tabla4[[#This Row],[Codigo]],Tabla2[[Cod]:[Nombre ]],4,0)</f>
        <v>TIS-1153</v>
      </c>
      <c r="E201" s="5" t="str">
        <f>VLOOKUP(Tabla4[[#This Row],[Codigo]],Tabla2[[Cod]:[Nombre ]],8,0)</f>
        <v>STT Group sucursal colombia SA</v>
      </c>
      <c r="F201" s="5" t="str">
        <f>VLOOKUP(Tabla4[[#This Row],[Codigo]],Tabla2[[Cod]:[Nombre ]],6,0)</f>
        <v>ok</v>
      </c>
      <c r="G201" s="7" t="s">
        <v>282</v>
      </c>
      <c r="H201" s="21" t="s">
        <v>16</v>
      </c>
      <c r="I201" s="21" t="s">
        <v>499</v>
      </c>
      <c r="J201" s="163">
        <v>51</v>
      </c>
      <c r="K201" s="294">
        <v>25000</v>
      </c>
      <c r="L201" s="298"/>
      <c r="M201" s="292">
        <f>IF(LEFT(Tabla4[[#This Row],[Electronica]],2)="NC",-Tabla4[[#This Row],[Cantidad]]*Tabla4[[#This Row],[Precio]]+Tabla4[[#This Row],[Dto]],Tabla4[[#This Row],[Cantidad]]*Tabla4[[#This Row],[Precio]]-Tabla4[[#This Row],[Dto]])</f>
        <v>1275000</v>
      </c>
      <c r="N201" s="292">
        <f>IFERROR(Tabla4[[#This Row],[Sub Total]]*VLOOKUP(Tabla4[[#This Row],[No]],Parametros!A:C,3,0),0)</f>
        <v>242250</v>
      </c>
      <c r="O201" s="292">
        <f>+Tabla4[[#This Row],[IVA]]+Tabla4[[#This Row],[Sub Total]]</f>
        <v>1517250</v>
      </c>
    </row>
    <row r="202" spans="1:15" ht="30" x14ac:dyDescent="0.2">
      <c r="A202" s="6">
        <v>163</v>
      </c>
      <c r="B202" s="6" t="str">
        <f>VLOOKUP(Tabla4[[#This Row],[Codigo]],Tabla2[[Cod]:[Nombre ]],2,0)</f>
        <v>P-1151</v>
      </c>
      <c r="C202" s="53">
        <f>VLOOKUP(Tabla4[[#This Row],[Codigo]],Tabla2[[Cod]:[Nombre ]],3,0)</f>
        <v>44812</v>
      </c>
      <c r="D202" s="6" t="str">
        <f>VLOOKUP(Tabla4[[#This Row],[Codigo]],Tabla2[[Cod]:[Nombre ]],4,0)</f>
        <v>Tis-1181</v>
      </c>
      <c r="E202" s="5" t="str">
        <f>VLOOKUP(Tabla4[[#This Row],[Codigo]],Tabla2[[Cod]:[Nombre ]],8,0)</f>
        <v>BETA SERVICIOS TEMPORALES S A S</v>
      </c>
      <c r="F202" s="5" t="str">
        <f>VLOOKUP(Tabla4[[#This Row],[Codigo]],Tabla2[[Cod]:[Nombre ]],6,0)</f>
        <v>Anulado</v>
      </c>
      <c r="G202" s="7" t="s">
        <v>282</v>
      </c>
      <c r="H202" s="21" t="s">
        <v>16</v>
      </c>
      <c r="I202" s="21" t="s">
        <v>528</v>
      </c>
      <c r="J202" s="163">
        <v>9</v>
      </c>
      <c r="K202" s="294">
        <v>25000</v>
      </c>
      <c r="L202" s="298"/>
      <c r="M202" s="292">
        <f>IF(LEFT(Tabla4[[#This Row],[Electronica]],2)="NC",-Tabla4[[#This Row],[Cantidad]]*Tabla4[[#This Row],[Precio]]+Tabla4[[#This Row],[Dto]],Tabla4[[#This Row],[Cantidad]]*Tabla4[[#This Row],[Precio]]-Tabla4[[#This Row],[Dto]])</f>
        <v>225000</v>
      </c>
      <c r="N202" s="292">
        <f>IFERROR(Tabla4[[#This Row],[Sub Total]]*VLOOKUP(Tabla4[[#This Row],[No]],Parametros!A:C,3,0),0)</f>
        <v>42750</v>
      </c>
      <c r="O202" s="292">
        <f>+Tabla4[[#This Row],[IVA]]+Tabla4[[#This Row],[Sub Total]]</f>
        <v>267750</v>
      </c>
    </row>
    <row r="203" spans="1:15" x14ac:dyDescent="0.2">
      <c r="A203" s="6">
        <v>164</v>
      </c>
      <c r="B203" s="6" t="str">
        <f>VLOOKUP(Tabla4[[#This Row],[Codigo]],Tabla2[[Cod]:[Nombre ]],2,0)</f>
        <v>P-1152</v>
      </c>
      <c r="C203" s="53">
        <f>VLOOKUP(Tabla4[[#This Row],[Codigo]],Tabla2[[Cod]:[Nombre ]],3,0)</f>
        <v>44824</v>
      </c>
      <c r="D203" s="6" t="str">
        <f>VLOOKUP(Tabla4[[#This Row],[Codigo]],Tabla2[[Cod]:[Nombre ]],4,0)</f>
        <v>TIS-1176</v>
      </c>
      <c r="E203" s="5" t="str">
        <f>VLOOKUP(Tabla4[[#This Row],[Codigo]],Tabla2[[Cod]:[Nombre ]],8,0)</f>
        <v>GRUPO S I E SAS</v>
      </c>
      <c r="F203" s="5" t="str">
        <f>VLOOKUP(Tabla4[[#This Row],[Codigo]],Tabla2[[Cod]:[Nombre ]],6,0)</f>
        <v>OK</v>
      </c>
      <c r="G203" s="7" t="s">
        <v>433</v>
      </c>
      <c r="H203" s="21" t="s">
        <v>517</v>
      </c>
      <c r="I203" s="21" t="s">
        <v>518</v>
      </c>
      <c r="J203" s="163">
        <v>1</v>
      </c>
      <c r="K203" s="294">
        <v>600000</v>
      </c>
      <c r="L203" s="298"/>
      <c r="M203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203" s="292">
        <f>IFERROR(Tabla4[[#This Row],[Sub Total]]*VLOOKUP(Tabla4[[#This Row],[No]],Parametros!A:C,3,0),0)</f>
        <v>114000</v>
      </c>
      <c r="O203" s="292">
        <f>+Tabla4[[#This Row],[IVA]]+Tabla4[[#This Row],[Sub Total]]</f>
        <v>714000</v>
      </c>
    </row>
    <row r="204" spans="1:15" x14ac:dyDescent="0.2">
      <c r="A204" s="6">
        <v>164</v>
      </c>
      <c r="B204" s="6" t="str">
        <f>VLOOKUP(Tabla4[[#This Row],[Codigo]],Tabla2[[Cod]:[Nombre ]],2,0)</f>
        <v>P-1152</v>
      </c>
      <c r="C204" s="53">
        <f>VLOOKUP(Tabla4[[#This Row],[Codigo]],Tabla2[[Cod]:[Nombre ]],3,0)</f>
        <v>44824</v>
      </c>
      <c r="D204" s="6" t="str">
        <f>VLOOKUP(Tabla4[[#This Row],[Codigo]],Tabla2[[Cod]:[Nombre ]],4,0)</f>
        <v>TIS-1176</v>
      </c>
      <c r="E204" s="5" t="str">
        <f>VLOOKUP(Tabla4[[#This Row],[Codigo]],Tabla2[[Cod]:[Nombre ]],8,0)</f>
        <v>GRUPO S I E SAS</v>
      </c>
      <c r="F204" s="5" t="str">
        <f>VLOOKUP(Tabla4[[#This Row],[Codigo]],Tabla2[[Cod]:[Nombre ]],6,0)</f>
        <v>OK</v>
      </c>
      <c r="G204" s="7" t="s">
        <v>433</v>
      </c>
      <c r="H204" s="21" t="s">
        <v>517</v>
      </c>
      <c r="I204" s="21" t="s">
        <v>547</v>
      </c>
      <c r="J204" s="163">
        <v>2</v>
      </c>
      <c r="K204" s="294">
        <v>600000</v>
      </c>
      <c r="L204" s="298"/>
      <c r="M204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204" s="292">
        <f>IFERROR(Tabla4[[#This Row],[Sub Total]]*VLOOKUP(Tabla4[[#This Row],[No]],Parametros!A:C,3,0),0)</f>
        <v>228000</v>
      </c>
      <c r="O204" s="292">
        <f>+Tabla4[[#This Row],[IVA]]+Tabla4[[#This Row],[Sub Total]]</f>
        <v>1428000</v>
      </c>
    </row>
    <row r="205" spans="1:15" x14ac:dyDescent="0.2">
      <c r="A205" s="6">
        <v>164</v>
      </c>
      <c r="B205" s="6" t="str">
        <f>VLOOKUP(Tabla4[[#This Row],[Codigo]],Tabla2[[Cod]:[Nombre ]],2,0)</f>
        <v>P-1152</v>
      </c>
      <c r="C205" s="53">
        <f>VLOOKUP(Tabla4[[#This Row],[Codigo]],Tabla2[[Cod]:[Nombre ]],3,0)</f>
        <v>44824</v>
      </c>
      <c r="D205" s="6" t="str">
        <f>VLOOKUP(Tabla4[[#This Row],[Codigo]],Tabla2[[Cod]:[Nombre ]],4,0)</f>
        <v>TIS-1176</v>
      </c>
      <c r="E205" s="5" t="str">
        <f>VLOOKUP(Tabla4[[#This Row],[Codigo]],Tabla2[[Cod]:[Nombre ]],8,0)</f>
        <v>GRUPO S I E SAS</v>
      </c>
      <c r="F205" s="5" t="str">
        <f>VLOOKUP(Tabla4[[#This Row],[Codigo]],Tabla2[[Cod]:[Nombre ]],6,0)</f>
        <v>OK</v>
      </c>
      <c r="G205" s="7" t="s">
        <v>433</v>
      </c>
      <c r="H205" s="21" t="s">
        <v>517</v>
      </c>
      <c r="I205" s="21" t="s">
        <v>548</v>
      </c>
      <c r="J205" s="163">
        <v>1</v>
      </c>
      <c r="K205" s="294">
        <v>650000</v>
      </c>
      <c r="L205" s="298"/>
      <c r="M205" s="292">
        <f>IF(LEFT(Tabla4[[#This Row],[Electronica]],2)="NC",-Tabla4[[#This Row],[Cantidad]]*Tabla4[[#This Row],[Precio]]+Tabla4[[#This Row],[Dto]],Tabla4[[#This Row],[Cantidad]]*Tabla4[[#This Row],[Precio]]-Tabla4[[#This Row],[Dto]])</f>
        <v>650000</v>
      </c>
      <c r="N205" s="292">
        <f>IFERROR(Tabla4[[#This Row],[Sub Total]]*VLOOKUP(Tabla4[[#This Row],[No]],Parametros!A:C,3,0),0)</f>
        <v>123500</v>
      </c>
      <c r="O205" s="292">
        <f>+Tabla4[[#This Row],[IVA]]+Tabla4[[#This Row],[Sub Total]]</f>
        <v>773500</v>
      </c>
    </row>
    <row r="206" spans="1:15" ht="45" x14ac:dyDescent="0.2">
      <c r="A206" s="6">
        <v>165</v>
      </c>
      <c r="B206" s="6" t="str">
        <f>VLOOKUP(Tabla4[[#This Row],[Codigo]],Tabla2[[Cod]:[Nombre ]],2,0)</f>
        <v>P-1153</v>
      </c>
      <c r="C206" s="53">
        <f>VLOOKUP(Tabla4[[#This Row],[Codigo]],Tabla2[[Cod]:[Nombre ]],3,0)</f>
        <v>44826</v>
      </c>
      <c r="D206" s="6" t="str">
        <f>VLOOKUP(Tabla4[[#This Row],[Codigo]],Tabla2[[Cod]:[Nombre ]],4,0)</f>
        <v>Tis-1180</v>
      </c>
      <c r="E206" s="5" t="str">
        <f>VLOOKUP(Tabla4[[#This Row],[Codigo]],Tabla2[[Cod]:[Nombre ]],8,0)</f>
        <v>INSTRUMENTACION Y SOLUCIONES PARA LABORATORIO S A S</v>
      </c>
      <c r="F206" s="5" t="str">
        <f>VLOOKUP(Tabla4[[#This Row],[Codigo]],Tabla2[[Cod]:[Nombre ]],6,0)</f>
        <v>OK</v>
      </c>
      <c r="G206" s="7" t="s">
        <v>282</v>
      </c>
      <c r="H206" s="21" t="s">
        <v>16</v>
      </c>
      <c r="I206" s="21" t="s">
        <v>549</v>
      </c>
      <c r="J206" s="163">
        <v>11</v>
      </c>
      <c r="K206" s="294">
        <v>54000</v>
      </c>
      <c r="L206" s="298"/>
      <c r="M206" s="292">
        <f>IF(LEFT(Tabla4[[#This Row],[Electronica]],2)="NC",-Tabla4[[#This Row],[Cantidad]]*Tabla4[[#This Row],[Precio]]+Tabla4[[#This Row],[Dto]],Tabla4[[#This Row],[Cantidad]]*Tabla4[[#This Row],[Precio]]-Tabla4[[#This Row],[Dto]])</f>
        <v>594000</v>
      </c>
      <c r="N206" s="292">
        <f>IFERROR(Tabla4[[#This Row],[Sub Total]]*VLOOKUP(Tabla4[[#This Row],[No]],Parametros!A:C,3,0),0)</f>
        <v>112860</v>
      </c>
      <c r="O206" s="292">
        <f>+Tabla4[[#This Row],[IVA]]+Tabla4[[#This Row],[Sub Total]]</f>
        <v>706860</v>
      </c>
    </row>
    <row r="207" spans="1:15" ht="36" x14ac:dyDescent="0.2">
      <c r="A207" s="6">
        <v>166</v>
      </c>
      <c r="B207" s="6" t="str">
        <f>VLOOKUP(Tabla4[[#This Row],[Codigo]],Tabla2[[Cod]:[Nombre ]],2,0)</f>
        <v>P-1154</v>
      </c>
      <c r="C207" s="53">
        <f>VLOOKUP(Tabla4[[#This Row],[Codigo]],Tabla2[[Cod]:[Nombre ]],3,0)</f>
        <v>44826</v>
      </c>
      <c r="D207" s="6" t="str">
        <f>VLOOKUP(Tabla4[[#This Row],[Codigo]],Tabla2[[Cod]:[Nombre ]],4,0)</f>
        <v>Tis-1162</v>
      </c>
      <c r="E207" s="5" t="str">
        <f>VLOOKUP(Tabla4[[#This Row],[Codigo]],Tabla2[[Cod]:[Nombre ]],8,0)</f>
        <v>HUTERCOL S.A.S.</v>
      </c>
      <c r="F207" s="5" t="str">
        <f>VLOOKUP(Tabla4[[#This Row],[Codigo]],Tabla2[[Cod]:[Nombre ]],6,0)</f>
        <v>OK</v>
      </c>
      <c r="G207" s="7" t="s">
        <v>416</v>
      </c>
      <c r="H207" s="21" t="s">
        <v>519</v>
      </c>
      <c r="I207" s="21" t="s">
        <v>550</v>
      </c>
      <c r="J207" s="163">
        <v>1</v>
      </c>
      <c r="K207" s="294">
        <v>1050000</v>
      </c>
      <c r="L207" s="298"/>
      <c r="M207" s="292">
        <f>IF(LEFT(Tabla4[[#This Row],[Electronica]],2)="NC",-Tabla4[[#This Row],[Cantidad]]*Tabla4[[#This Row],[Precio]]+Tabla4[[#This Row],[Dto]],Tabla4[[#This Row],[Cantidad]]*Tabla4[[#This Row],[Precio]]-Tabla4[[#This Row],[Dto]])</f>
        <v>1050000</v>
      </c>
      <c r="N207" s="292">
        <f>IFERROR(Tabla4[[#This Row],[Sub Total]]*VLOOKUP(Tabla4[[#This Row],[No]],Parametros!A:C,3,0),0)</f>
        <v>199500</v>
      </c>
      <c r="O207" s="292">
        <f>+Tabla4[[#This Row],[IVA]]+Tabla4[[#This Row],[Sub Total]]</f>
        <v>1249500</v>
      </c>
    </row>
    <row r="208" spans="1:15" ht="24" x14ac:dyDescent="0.2">
      <c r="A208" s="6">
        <v>167</v>
      </c>
      <c r="B208" s="6" t="str">
        <f>VLOOKUP(Tabla4[[#This Row],[Codigo]],Tabla2[[Cod]:[Nombre ]],2,0)</f>
        <v>P-1155</v>
      </c>
      <c r="C208" s="53">
        <f>VLOOKUP(Tabla4[[#This Row],[Codigo]],Tabla2[[Cod]:[Nombre ]],3,0)</f>
        <v>44826</v>
      </c>
      <c r="D208" s="6" t="str">
        <f>VLOOKUP(Tabla4[[#This Row],[Codigo]],Tabla2[[Cod]:[Nombre ]],4,0)</f>
        <v>TIS-1160</v>
      </c>
      <c r="E208" s="5" t="str">
        <f>VLOOKUP(Tabla4[[#This Row],[Codigo]],Tabla2[[Cod]:[Nombre ]],8,0)</f>
        <v>PACKVISION SAS</v>
      </c>
      <c r="F208" s="5" t="str">
        <f>VLOOKUP(Tabla4[[#This Row],[Codigo]],Tabla2[[Cod]:[Nombre ]],6,0)</f>
        <v>OK</v>
      </c>
      <c r="G208" s="7" t="s">
        <v>420</v>
      </c>
      <c r="H208" s="21" t="s">
        <v>551</v>
      </c>
      <c r="I208" s="21" t="s">
        <v>552</v>
      </c>
      <c r="J208" s="163">
        <v>1</v>
      </c>
      <c r="K208" s="294">
        <v>986000</v>
      </c>
      <c r="L208" s="298"/>
      <c r="M208" s="292">
        <f>IF(LEFT(Tabla4[[#This Row],[Electronica]],2)="NC",-Tabla4[[#This Row],[Cantidad]]*Tabla4[[#This Row],[Precio]]+Tabla4[[#This Row],[Dto]],Tabla4[[#This Row],[Cantidad]]*Tabla4[[#This Row],[Precio]]-Tabla4[[#This Row],[Dto]])</f>
        <v>986000</v>
      </c>
      <c r="N208" s="292">
        <f>IFERROR(Tabla4[[#This Row],[Sub Total]]*VLOOKUP(Tabla4[[#This Row],[No]],Parametros!A:C,3,0),0)</f>
        <v>187340</v>
      </c>
      <c r="O208" s="292">
        <f>+Tabla4[[#This Row],[IVA]]+Tabla4[[#This Row],[Sub Total]]</f>
        <v>1173340</v>
      </c>
    </row>
    <row r="209" spans="1:15" ht="45" x14ac:dyDescent="0.2">
      <c r="A209" s="6">
        <v>168</v>
      </c>
      <c r="B209" s="6" t="str">
        <f>VLOOKUP(Tabla4[[#This Row],[Codigo]],Tabla2[[Cod]:[Nombre ]],2,0)</f>
        <v>P-1156</v>
      </c>
      <c r="C209" s="53">
        <f>VLOOKUP(Tabla4[[#This Row],[Codigo]],Tabla2[[Cod]:[Nombre ]],3,0)</f>
        <v>44826</v>
      </c>
      <c r="D209" s="6" t="str">
        <f>VLOOKUP(Tabla4[[#This Row],[Codigo]],Tabla2[[Cod]:[Nombre ]],4,0)</f>
        <v>TIS-1159</v>
      </c>
      <c r="E209" s="5" t="str">
        <f>VLOOKUP(Tabla4[[#This Row],[Codigo]],Tabla2[[Cod]:[Nombre ]],8,0)</f>
        <v>PRODUCTORA INTERAMERICANA DE PLASTICOS S.A.S.</v>
      </c>
      <c r="F209" s="5" t="str">
        <f>VLOOKUP(Tabla4[[#This Row],[Codigo]],Tabla2[[Cod]:[Nombre ]],6,0)</f>
        <v>OK</v>
      </c>
      <c r="G209" s="7" t="s">
        <v>282</v>
      </c>
      <c r="H209" s="21" t="s">
        <v>16</v>
      </c>
      <c r="I209" s="21"/>
      <c r="J209" s="163">
        <v>48</v>
      </c>
      <c r="K209" s="294">
        <v>20000</v>
      </c>
      <c r="L209" s="298"/>
      <c r="M209" s="292">
        <f>IF(LEFT(Tabla4[[#This Row],[Electronica]],2)="NC",-Tabla4[[#This Row],[Cantidad]]*Tabla4[[#This Row],[Precio]]+Tabla4[[#This Row],[Dto]],Tabla4[[#This Row],[Cantidad]]*Tabla4[[#This Row],[Precio]]-Tabla4[[#This Row],[Dto]])</f>
        <v>960000</v>
      </c>
      <c r="N209" s="292">
        <f>IFERROR(Tabla4[[#This Row],[Sub Total]]*VLOOKUP(Tabla4[[#This Row],[No]],Parametros!A:C,3,0),0)</f>
        <v>182400</v>
      </c>
      <c r="O209" s="292">
        <f>+Tabla4[[#This Row],[IVA]]+Tabla4[[#This Row],[Sub Total]]</f>
        <v>1142400</v>
      </c>
    </row>
    <row r="210" spans="1:15" ht="45" x14ac:dyDescent="0.2">
      <c r="A210" s="6">
        <v>168</v>
      </c>
      <c r="B210" s="6" t="str">
        <f>VLOOKUP(Tabla4[[#This Row],[Codigo]],Tabla2[[Cod]:[Nombre ]],2,0)</f>
        <v>P-1156</v>
      </c>
      <c r="C210" s="53">
        <f>VLOOKUP(Tabla4[[#This Row],[Codigo]],Tabla2[[Cod]:[Nombre ]],3,0)</f>
        <v>44826</v>
      </c>
      <c r="D210" s="6" t="str">
        <f>VLOOKUP(Tabla4[[#This Row],[Codigo]],Tabla2[[Cod]:[Nombre ]],4,0)</f>
        <v>TIS-1159</v>
      </c>
      <c r="E210" s="5" t="str">
        <f>VLOOKUP(Tabla4[[#This Row],[Codigo]],Tabla2[[Cod]:[Nombre ]],8,0)</f>
        <v>PRODUCTORA INTERAMERICANA DE PLASTICOS S.A.S.</v>
      </c>
      <c r="F210" s="5" t="str">
        <f>VLOOKUP(Tabla4[[#This Row],[Codigo]],Tabla2[[Cod]:[Nombre ]],6,0)</f>
        <v>OK</v>
      </c>
      <c r="G210" s="7" t="s">
        <v>416</v>
      </c>
      <c r="H210" s="21" t="s">
        <v>519</v>
      </c>
      <c r="I210" s="21"/>
      <c r="J210" s="163">
        <v>1</v>
      </c>
      <c r="K210" s="294">
        <v>200000</v>
      </c>
      <c r="L210" s="298"/>
      <c r="M210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210" s="292">
        <f>IFERROR(Tabla4[[#This Row],[Sub Total]]*VLOOKUP(Tabla4[[#This Row],[No]],Parametros!A:C,3,0),0)</f>
        <v>38000</v>
      </c>
      <c r="O210" s="292">
        <f>+Tabla4[[#This Row],[IVA]]+Tabla4[[#This Row],[Sub Total]]</f>
        <v>238000</v>
      </c>
    </row>
    <row r="211" spans="1:15" ht="45" x14ac:dyDescent="0.2">
      <c r="A211" s="6">
        <v>168</v>
      </c>
      <c r="B211" s="6" t="str">
        <f>VLOOKUP(Tabla4[[#This Row],[Codigo]],Tabla2[[Cod]:[Nombre ]],2,0)</f>
        <v>P-1156</v>
      </c>
      <c r="C211" s="53">
        <f>VLOOKUP(Tabla4[[#This Row],[Codigo]],Tabla2[[Cod]:[Nombre ]],3,0)</f>
        <v>44826</v>
      </c>
      <c r="D211" s="6" t="str">
        <f>VLOOKUP(Tabla4[[#This Row],[Codigo]],Tabla2[[Cod]:[Nombre ]],4,0)</f>
        <v>TIS-1159</v>
      </c>
      <c r="E211" s="5" t="str">
        <f>VLOOKUP(Tabla4[[#This Row],[Codigo]],Tabla2[[Cod]:[Nombre ]],8,0)</f>
        <v>PRODUCTORA INTERAMERICANA DE PLASTICOS S.A.S.</v>
      </c>
      <c r="F211" s="5" t="str">
        <f>VLOOKUP(Tabla4[[#This Row],[Codigo]],Tabla2[[Cod]:[Nombre ]],6,0)</f>
        <v>OK</v>
      </c>
      <c r="G211" s="7">
        <v>15</v>
      </c>
      <c r="H211" s="21" t="s">
        <v>553</v>
      </c>
      <c r="I211" s="21"/>
      <c r="J211" s="163">
        <v>3</v>
      </c>
      <c r="K211" s="294">
        <v>90000</v>
      </c>
      <c r="L211" s="298"/>
      <c r="M211" s="292">
        <f>IF(LEFT(Tabla4[[#This Row],[Electronica]],2)="NC",-Tabla4[[#This Row],[Cantidad]]*Tabla4[[#This Row],[Precio]]+Tabla4[[#This Row],[Dto]],Tabla4[[#This Row],[Cantidad]]*Tabla4[[#This Row],[Precio]]-Tabla4[[#This Row],[Dto]])</f>
        <v>270000</v>
      </c>
      <c r="N211" s="292">
        <f>IFERROR(Tabla4[[#This Row],[Sub Total]]*VLOOKUP(Tabla4[[#This Row],[No]],Parametros!A:C,3,0),0)</f>
        <v>51300</v>
      </c>
      <c r="O211" s="292">
        <f>+Tabla4[[#This Row],[IVA]]+Tabla4[[#This Row],[Sub Total]]</f>
        <v>321300</v>
      </c>
    </row>
    <row r="212" spans="1:15" ht="36" x14ac:dyDescent="0.2">
      <c r="A212" s="6">
        <v>169</v>
      </c>
      <c r="B212" s="6" t="str">
        <f>VLOOKUP(Tabla4[[#This Row],[Codigo]],Tabla2[[Cod]:[Nombre ]],2,0)</f>
        <v>P-1157</v>
      </c>
      <c r="C212" s="53">
        <f>VLOOKUP(Tabla4[[#This Row],[Codigo]],Tabla2[[Cod]:[Nombre ]],3,0)</f>
        <v>44884</v>
      </c>
      <c r="D212" s="6" t="str">
        <f>VLOOKUP(Tabla4[[#This Row],[Codigo]],Tabla2[[Cod]:[Nombre ]],4,0)</f>
        <v>TIS-1183</v>
      </c>
      <c r="E212" s="5" t="str">
        <f>VLOOKUP(Tabla4[[#This Row],[Codigo]],Tabla2[[Cod]:[Nombre ]],8,0)</f>
        <v>Comercializadora ERZ SAS</v>
      </c>
      <c r="F212" s="5" t="str">
        <f>VLOOKUP(Tabla4[[#This Row],[Codigo]],Tabla2[[Cod]:[Nombre ]],6,0)</f>
        <v>OK</v>
      </c>
      <c r="G212" s="7" t="s">
        <v>416</v>
      </c>
      <c r="H212" s="21" t="s">
        <v>519</v>
      </c>
      <c r="I212" s="21" t="s">
        <v>554</v>
      </c>
      <c r="J212" s="163">
        <v>1</v>
      </c>
      <c r="K212" s="294">
        <v>220000</v>
      </c>
      <c r="L212" s="298"/>
      <c r="M212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212" s="292">
        <f>IFERROR(Tabla4[[#This Row],[Sub Total]]*VLOOKUP(Tabla4[[#This Row],[No]],Parametros!A:C,3,0),0)</f>
        <v>41800</v>
      </c>
      <c r="O212" s="292">
        <f>+Tabla4[[#This Row],[IVA]]+Tabla4[[#This Row],[Sub Total]]</f>
        <v>261800</v>
      </c>
    </row>
    <row r="213" spans="1:15" ht="36" x14ac:dyDescent="0.2">
      <c r="A213" s="6">
        <v>169</v>
      </c>
      <c r="B213" s="6" t="str">
        <f>VLOOKUP(Tabla4[[#This Row],[Codigo]],Tabla2[[Cod]:[Nombre ]],2,0)</f>
        <v>P-1157</v>
      </c>
      <c r="C213" s="53">
        <f>VLOOKUP(Tabla4[[#This Row],[Codigo]],Tabla2[[Cod]:[Nombre ]],3,0)</f>
        <v>44884</v>
      </c>
      <c r="D213" s="6" t="str">
        <f>VLOOKUP(Tabla4[[#This Row],[Codigo]],Tabla2[[Cod]:[Nombre ]],4,0)</f>
        <v>TIS-1183</v>
      </c>
      <c r="E213" s="5" t="str">
        <f>VLOOKUP(Tabla4[[#This Row],[Codigo]],Tabla2[[Cod]:[Nombre ]],8,0)</f>
        <v>Comercializadora ERZ SAS</v>
      </c>
      <c r="F213" s="5" t="str">
        <f>VLOOKUP(Tabla4[[#This Row],[Codigo]],Tabla2[[Cod]:[Nombre ]],6,0)</f>
        <v>OK</v>
      </c>
      <c r="G213" s="7" t="s">
        <v>416</v>
      </c>
      <c r="H213" s="21" t="s">
        <v>519</v>
      </c>
      <c r="I213" s="21" t="s">
        <v>555</v>
      </c>
      <c r="J213" s="163">
        <v>1</v>
      </c>
      <c r="K213" s="294">
        <v>220000</v>
      </c>
      <c r="L213" s="298"/>
      <c r="M213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213" s="292">
        <f>IFERROR(Tabla4[[#This Row],[Sub Total]]*VLOOKUP(Tabla4[[#This Row],[No]],Parametros!A:C,3,0),0)</f>
        <v>41800</v>
      </c>
      <c r="O213" s="292">
        <f>+Tabla4[[#This Row],[IVA]]+Tabla4[[#This Row],[Sub Total]]</f>
        <v>261800</v>
      </c>
    </row>
    <row r="214" spans="1:15" ht="36" x14ac:dyDescent="0.2">
      <c r="A214" s="6">
        <v>169</v>
      </c>
      <c r="B214" s="6" t="str">
        <f>VLOOKUP(Tabla4[[#This Row],[Codigo]],Tabla2[[Cod]:[Nombre ]],2,0)</f>
        <v>P-1157</v>
      </c>
      <c r="C214" s="53">
        <f>VLOOKUP(Tabla4[[#This Row],[Codigo]],Tabla2[[Cod]:[Nombre ]],3,0)</f>
        <v>44884</v>
      </c>
      <c r="D214" s="6" t="str">
        <f>VLOOKUP(Tabla4[[#This Row],[Codigo]],Tabla2[[Cod]:[Nombre ]],4,0)</f>
        <v>TIS-1183</v>
      </c>
      <c r="E214" s="5" t="str">
        <f>VLOOKUP(Tabla4[[#This Row],[Codigo]],Tabla2[[Cod]:[Nombre ]],8,0)</f>
        <v>Comercializadora ERZ SAS</v>
      </c>
      <c r="F214" s="5" t="str">
        <f>VLOOKUP(Tabla4[[#This Row],[Codigo]],Tabla2[[Cod]:[Nombre ]],6,0)</f>
        <v>OK</v>
      </c>
      <c r="G214" s="7" t="s">
        <v>416</v>
      </c>
      <c r="H214" s="21" t="s">
        <v>519</v>
      </c>
      <c r="I214" s="21" t="s">
        <v>556</v>
      </c>
      <c r="J214" s="163">
        <v>1</v>
      </c>
      <c r="K214" s="294">
        <v>220000</v>
      </c>
      <c r="L214" s="298"/>
      <c r="M214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214" s="292">
        <f>IFERROR(Tabla4[[#This Row],[Sub Total]]*VLOOKUP(Tabla4[[#This Row],[No]],Parametros!A:C,3,0),0)</f>
        <v>41800</v>
      </c>
      <c r="O214" s="292">
        <f>+Tabla4[[#This Row],[IVA]]+Tabla4[[#This Row],[Sub Total]]</f>
        <v>261800</v>
      </c>
    </row>
    <row r="215" spans="1:15" ht="36" x14ac:dyDescent="0.2">
      <c r="A215" s="6">
        <v>169</v>
      </c>
      <c r="B215" s="6" t="str">
        <f>VLOOKUP(Tabla4[[#This Row],[Codigo]],Tabla2[[Cod]:[Nombre ]],2,0)</f>
        <v>P-1157</v>
      </c>
      <c r="C215" s="53">
        <f>VLOOKUP(Tabla4[[#This Row],[Codigo]],Tabla2[[Cod]:[Nombre ]],3,0)</f>
        <v>44884</v>
      </c>
      <c r="D215" s="6" t="str">
        <f>VLOOKUP(Tabla4[[#This Row],[Codigo]],Tabla2[[Cod]:[Nombre ]],4,0)</f>
        <v>TIS-1183</v>
      </c>
      <c r="E215" s="5" t="str">
        <f>VLOOKUP(Tabla4[[#This Row],[Codigo]],Tabla2[[Cod]:[Nombre ]],8,0)</f>
        <v>Comercializadora ERZ SAS</v>
      </c>
      <c r="F215" s="5" t="str">
        <f>VLOOKUP(Tabla4[[#This Row],[Codigo]],Tabla2[[Cod]:[Nombre ]],6,0)</f>
        <v>OK</v>
      </c>
      <c r="G215" s="7" t="s">
        <v>416</v>
      </c>
      <c r="H215" s="21" t="s">
        <v>519</v>
      </c>
      <c r="I215" s="21" t="s">
        <v>557</v>
      </c>
      <c r="J215" s="163">
        <v>1</v>
      </c>
      <c r="K215" s="294">
        <v>220000</v>
      </c>
      <c r="L215" s="298"/>
      <c r="M215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215" s="292">
        <f>IFERROR(Tabla4[[#This Row],[Sub Total]]*VLOOKUP(Tabla4[[#This Row],[No]],Parametros!A:C,3,0),0)</f>
        <v>41800</v>
      </c>
      <c r="O215" s="292">
        <f>+Tabla4[[#This Row],[IVA]]+Tabla4[[#This Row],[Sub Total]]</f>
        <v>261800</v>
      </c>
    </row>
    <row r="216" spans="1:15" ht="72" x14ac:dyDescent="0.2">
      <c r="A216" s="6">
        <v>170</v>
      </c>
      <c r="B216" s="6" t="str">
        <f>VLOOKUP(Tabla4[[#This Row],[Codigo]],Tabla2[[Cod]:[Nombre ]],2,0)</f>
        <v>P-1158</v>
      </c>
      <c r="C216" s="53">
        <f>VLOOKUP(Tabla4[[#This Row],[Codigo]],Tabla2[[Cod]:[Nombre ]],3,0)</f>
        <v>44888</v>
      </c>
      <c r="D216" s="6">
        <f>VLOOKUP(Tabla4[[#This Row],[Codigo]],Tabla2[[Cod]:[Nombre ]],4,0)</f>
        <v>0</v>
      </c>
      <c r="E216" s="5" t="str">
        <f>VLOOKUP(Tabla4[[#This Row],[Codigo]],Tabla2[[Cod]:[Nombre ]],8,0)</f>
        <v>PATRIMONIOS AUTONOMOS FIDUCIARIA BANCOLOMBIA S A SOCIEDAD FIDUCIARIA</v>
      </c>
      <c r="F216" s="5" t="str">
        <f>VLOOKUP(Tabla4[[#This Row],[Codigo]],Tabla2[[Cod]:[Nombre ]],6,0)</f>
        <v>Anulado</v>
      </c>
      <c r="G216" s="7" t="s">
        <v>282</v>
      </c>
      <c r="H216" s="21" t="s">
        <v>16</v>
      </c>
      <c r="I216" s="21" t="s">
        <v>558</v>
      </c>
      <c r="J216" s="163">
        <v>113</v>
      </c>
      <c r="K216" s="294">
        <v>34784</v>
      </c>
      <c r="L216" s="298"/>
      <c r="M216" s="292">
        <f>IF(LEFT(Tabla4[[#This Row],[Electronica]],2)="NC",-Tabla4[[#This Row],[Cantidad]]*Tabla4[[#This Row],[Precio]]+Tabla4[[#This Row],[Dto]],Tabla4[[#This Row],[Cantidad]]*Tabla4[[#This Row],[Precio]]-Tabla4[[#This Row],[Dto]])</f>
        <v>3930592</v>
      </c>
      <c r="N216" s="292">
        <f>IFERROR(Tabla4[[#This Row],[Sub Total]]*VLOOKUP(Tabla4[[#This Row],[No]],Parametros!A:C,3,0),0)</f>
        <v>746812.48</v>
      </c>
      <c r="O216" s="292">
        <f>+Tabla4[[#This Row],[IVA]]+Tabla4[[#This Row],[Sub Total]]</f>
        <v>4677404.4800000004</v>
      </c>
    </row>
    <row r="217" spans="1:15" ht="24" x14ac:dyDescent="0.2">
      <c r="A217" s="6">
        <v>171</v>
      </c>
      <c r="B217" s="6" t="str">
        <f>VLOOKUP(Tabla4[[#This Row],[Codigo]],Tabla2[[Cod]:[Nombre ]],2,0)</f>
        <v>P-1159</v>
      </c>
      <c r="C217" s="53">
        <f>VLOOKUP(Tabla4[[#This Row],[Codigo]],Tabla2[[Cod]:[Nombre ]],3,0)</f>
        <v>44792</v>
      </c>
      <c r="D217" s="6" t="str">
        <f>VLOOKUP(Tabla4[[#This Row],[Codigo]],Tabla2[[Cod]:[Nombre ]],4,0)</f>
        <v>TIS-1158</v>
      </c>
      <c r="E217" s="5" t="str">
        <f>VLOOKUP(Tabla4[[#This Row],[Codigo]],Tabla2[[Cod]:[Nombre ]],8,0)</f>
        <v>Banco de Bogota S.A.</v>
      </c>
      <c r="F217" s="5" t="str">
        <f>VLOOKUP(Tabla4[[#This Row],[Codigo]],Tabla2[[Cod]:[Nombre ]],6,0)</f>
        <v>OK</v>
      </c>
      <c r="G217" s="7" t="s">
        <v>282</v>
      </c>
      <c r="H217" s="21" t="s">
        <v>16</v>
      </c>
      <c r="I217" s="21" t="s">
        <v>559</v>
      </c>
      <c r="J217" s="163">
        <v>1</v>
      </c>
      <c r="K217" s="294">
        <v>22800000</v>
      </c>
      <c r="L217" s="298"/>
      <c r="M217" s="292">
        <f>IF(LEFT(Tabla4[[#This Row],[Electronica]],2)="NC",-Tabla4[[#This Row],[Cantidad]]*Tabla4[[#This Row],[Precio]]+Tabla4[[#This Row],[Dto]],Tabla4[[#This Row],[Cantidad]]*Tabla4[[#This Row],[Precio]]-Tabla4[[#This Row],[Dto]])</f>
        <v>22800000</v>
      </c>
      <c r="N217" s="292">
        <f>IFERROR(Tabla4[[#This Row],[Sub Total]]*VLOOKUP(Tabla4[[#This Row],[No]],Parametros!A:C,3,0),0)</f>
        <v>4332000</v>
      </c>
      <c r="O217" s="292">
        <f>+Tabla4[[#This Row],[IVA]]+Tabla4[[#This Row],[Sub Total]]</f>
        <v>27132000</v>
      </c>
    </row>
    <row r="218" spans="1:15" ht="24" x14ac:dyDescent="0.2">
      <c r="A218" s="6">
        <v>172</v>
      </c>
      <c r="B218" s="6" t="str">
        <f>VLOOKUP(Tabla4[[#This Row],[Codigo]],Tabla2[[Cod]:[Nombre ]],2,0)</f>
        <v>P-1160</v>
      </c>
      <c r="C218" s="53">
        <f>VLOOKUP(Tabla4[[#This Row],[Codigo]],Tabla2[[Cod]:[Nombre ]],3,0)</f>
        <v>44805</v>
      </c>
      <c r="D218" s="6" t="str">
        <f>VLOOKUP(Tabla4[[#This Row],[Codigo]],Tabla2[[Cod]:[Nombre ]],4,0)</f>
        <v>TIS-1163</v>
      </c>
      <c r="E218" s="5" t="str">
        <f>VLOOKUP(Tabla4[[#This Row],[Codigo]],Tabla2[[Cod]:[Nombre ]],8,0)</f>
        <v>Banco de Bogota S.A.</v>
      </c>
      <c r="F218" s="5" t="str">
        <f>VLOOKUP(Tabla4[[#This Row],[Codigo]],Tabla2[[Cod]:[Nombre ]],6,0)</f>
        <v>OK</v>
      </c>
      <c r="G218" s="7" t="s">
        <v>282</v>
      </c>
      <c r="H218" s="21" t="s">
        <v>16</v>
      </c>
      <c r="I218" s="21" t="s">
        <v>560</v>
      </c>
      <c r="J218" s="163">
        <v>1</v>
      </c>
      <c r="K218" s="294">
        <v>22800000</v>
      </c>
      <c r="L218" s="298"/>
      <c r="M218" s="292">
        <f>IF(LEFT(Tabla4[[#This Row],[Electronica]],2)="NC",-Tabla4[[#This Row],[Cantidad]]*Tabla4[[#This Row],[Precio]]+Tabla4[[#This Row],[Dto]],Tabla4[[#This Row],[Cantidad]]*Tabla4[[#This Row],[Precio]]-Tabla4[[#This Row],[Dto]])</f>
        <v>22800000</v>
      </c>
      <c r="N218" s="292">
        <f>IFERROR(Tabla4[[#This Row],[Sub Total]]*VLOOKUP(Tabla4[[#This Row],[No]],Parametros!A:C,3,0),0)</f>
        <v>4332000</v>
      </c>
      <c r="O218" s="292">
        <f>+Tabla4[[#This Row],[IVA]]+Tabla4[[#This Row],[Sub Total]]</f>
        <v>27132000</v>
      </c>
    </row>
    <row r="219" spans="1:15" ht="36" x14ac:dyDescent="0.2">
      <c r="A219" s="6">
        <v>173</v>
      </c>
      <c r="B219" s="6" t="str">
        <f>VLOOKUP(Tabla4[[#This Row],[Codigo]],Tabla2[[Cod]:[Nombre ]],2,0)</f>
        <v>P-1161</v>
      </c>
      <c r="C219" s="53">
        <f>VLOOKUP(Tabla4[[#This Row],[Codigo]],Tabla2[[Cod]:[Nombre ]],3,0)</f>
        <v>44806</v>
      </c>
      <c r="D219" s="6" t="str">
        <f>VLOOKUP(Tabla4[[#This Row],[Codigo]],Tabla2[[Cod]:[Nombre ]],4,0)</f>
        <v>TIS-1168</v>
      </c>
      <c r="E219" s="5" t="str">
        <f>VLOOKUP(Tabla4[[#This Row],[Codigo]],Tabla2[[Cod]:[Nombre ]],8,0)</f>
        <v>PASTRY CHEF PASTELERIA Y COCINA GOURMET SAS</v>
      </c>
      <c r="F219" s="5" t="str">
        <f>VLOOKUP(Tabla4[[#This Row],[Codigo]],Tabla2[[Cod]:[Nombre ]],6,0)</f>
        <v>OK</v>
      </c>
      <c r="G219" s="7" t="s">
        <v>416</v>
      </c>
      <c r="H219" s="21" t="s">
        <v>519</v>
      </c>
      <c r="I219" s="21" t="s">
        <v>561</v>
      </c>
      <c r="J219" s="163">
        <v>2</v>
      </c>
      <c r="K219" s="294">
        <v>723333</v>
      </c>
      <c r="L219" s="298"/>
      <c r="M219" s="292">
        <f>IF(LEFT(Tabla4[[#This Row],[Electronica]],2)="NC",-Tabla4[[#This Row],[Cantidad]]*Tabla4[[#This Row],[Precio]]+Tabla4[[#This Row],[Dto]],Tabla4[[#This Row],[Cantidad]]*Tabla4[[#This Row],[Precio]]-Tabla4[[#This Row],[Dto]])</f>
        <v>1446666</v>
      </c>
      <c r="N219" s="292">
        <f>IFERROR(Tabla4[[#This Row],[Sub Total]]*VLOOKUP(Tabla4[[#This Row],[No]],Parametros!A:C,3,0),0)</f>
        <v>274866.53999999998</v>
      </c>
      <c r="O219" s="292">
        <f>+Tabla4[[#This Row],[IVA]]+Tabla4[[#This Row],[Sub Total]]</f>
        <v>1721532.54</v>
      </c>
    </row>
    <row r="220" spans="1:15" ht="36" x14ac:dyDescent="0.2">
      <c r="A220" s="6">
        <v>174</v>
      </c>
      <c r="B220" s="6" t="str">
        <f>VLOOKUP(Tabla4[[#This Row],[Codigo]],Tabla2[[Cod]:[Nombre ]],2,0)</f>
        <v>P-1162</v>
      </c>
      <c r="C220" s="53">
        <f>VLOOKUP(Tabla4[[#This Row],[Codigo]],Tabla2[[Cod]:[Nombre ]],3,0)</f>
        <v>44806</v>
      </c>
      <c r="D220" s="6" t="str">
        <f>VLOOKUP(Tabla4[[#This Row],[Codigo]],Tabla2[[Cod]:[Nombre ]],4,0)</f>
        <v>TIS-1169</v>
      </c>
      <c r="E220" s="5" t="str">
        <f>VLOOKUP(Tabla4[[#This Row],[Codigo]],Tabla2[[Cod]:[Nombre ]],8,0)</f>
        <v>Comercializadora ERZ SAS</v>
      </c>
      <c r="F220" s="5" t="str">
        <f>VLOOKUP(Tabla4[[#This Row],[Codigo]],Tabla2[[Cod]:[Nombre ]],6,0)</f>
        <v>OK</v>
      </c>
      <c r="G220" s="7" t="s">
        <v>416</v>
      </c>
      <c r="H220" s="21" t="s">
        <v>519</v>
      </c>
      <c r="I220" s="21" t="s">
        <v>562</v>
      </c>
      <c r="J220" s="163">
        <v>2</v>
      </c>
      <c r="K220" s="294">
        <v>220000</v>
      </c>
      <c r="L220" s="298"/>
      <c r="M220" s="292">
        <f>IF(LEFT(Tabla4[[#This Row],[Electronica]],2)="NC",-Tabla4[[#This Row],[Cantidad]]*Tabla4[[#This Row],[Precio]]+Tabla4[[#This Row],[Dto]],Tabla4[[#This Row],[Cantidad]]*Tabla4[[#This Row],[Precio]]-Tabla4[[#This Row],[Dto]])</f>
        <v>440000</v>
      </c>
      <c r="N220" s="292">
        <f>IFERROR(Tabla4[[#This Row],[Sub Total]]*VLOOKUP(Tabla4[[#This Row],[No]],Parametros!A:C,3,0),0)</f>
        <v>83600</v>
      </c>
      <c r="O220" s="292">
        <f>+Tabla4[[#This Row],[IVA]]+Tabla4[[#This Row],[Sub Total]]</f>
        <v>523600</v>
      </c>
    </row>
    <row r="221" spans="1:15" ht="45" x14ac:dyDescent="0.2">
      <c r="A221" s="6">
        <v>175</v>
      </c>
      <c r="B221" s="6" t="str">
        <f>VLOOKUP(Tabla4[[#This Row],[Codigo]],Tabla2[[Cod]:[Nombre ]],2,0)</f>
        <v>P-1163</v>
      </c>
      <c r="C221" s="53">
        <f>VLOOKUP(Tabla4[[#This Row],[Codigo]],Tabla2[[Cod]:[Nombre ]],3,0)</f>
        <v>44811</v>
      </c>
      <c r="D221" s="6" t="str">
        <f>VLOOKUP(Tabla4[[#This Row],[Codigo]],Tabla2[[Cod]:[Nombre ]],4,0)</f>
        <v>TIS-1170</v>
      </c>
      <c r="E221" s="5" t="str">
        <f>VLOOKUP(Tabla4[[#This Row],[Codigo]],Tabla2[[Cod]:[Nombre ]],8,0)</f>
        <v>CONSTRUCCIONES Y AMBIENTE - CONAMBIENTE - S.A.S</v>
      </c>
      <c r="F221" s="5" t="str">
        <f>VLOOKUP(Tabla4[[#This Row],[Codigo]],Tabla2[[Cod]:[Nombre ]],6,0)</f>
        <v>OK</v>
      </c>
      <c r="G221" s="7" t="s">
        <v>282</v>
      </c>
      <c r="H221" s="21" t="s">
        <v>16</v>
      </c>
      <c r="I221" s="21" t="s">
        <v>563</v>
      </c>
      <c r="J221" s="163">
        <v>1</v>
      </c>
      <c r="K221" s="294">
        <v>350000</v>
      </c>
      <c r="L221" s="298"/>
      <c r="M221" s="292">
        <f>IF(LEFT(Tabla4[[#This Row],[Electronica]],2)="NC",-Tabla4[[#This Row],[Cantidad]]*Tabla4[[#This Row],[Precio]]+Tabla4[[#This Row],[Dto]],Tabla4[[#This Row],[Cantidad]]*Tabla4[[#This Row],[Precio]]-Tabla4[[#This Row],[Dto]])</f>
        <v>350000</v>
      </c>
      <c r="N221" s="292">
        <f>IFERROR(Tabla4[[#This Row],[Sub Total]]*VLOOKUP(Tabla4[[#This Row],[No]],Parametros!A:C,3,0),0)</f>
        <v>66500</v>
      </c>
      <c r="O221" s="292">
        <f>+Tabla4[[#This Row],[IVA]]+Tabla4[[#This Row],[Sub Total]]</f>
        <v>416500</v>
      </c>
    </row>
    <row r="222" spans="1:15" ht="24" x14ac:dyDescent="0.2">
      <c r="A222" s="6">
        <v>176</v>
      </c>
      <c r="B222" s="6" t="str">
        <f>VLOOKUP(Tabla4[[#This Row],[Codigo]],Tabla2[[Cod]:[Nombre ]],2,0)</f>
        <v>P-1164</v>
      </c>
      <c r="C222" s="53">
        <f>VLOOKUP(Tabla4[[#This Row],[Codigo]],Tabla2[[Cod]:[Nombre ]],3,0)</f>
        <v>44811</v>
      </c>
      <c r="D222" s="6" t="str">
        <f>VLOOKUP(Tabla4[[#This Row],[Codigo]],Tabla2[[Cod]:[Nombre ]],4,0)</f>
        <v>TIS-1171</v>
      </c>
      <c r="E222" s="5" t="str">
        <f>VLOOKUP(Tabla4[[#This Row],[Codigo]],Tabla2[[Cod]:[Nombre ]],8,0)</f>
        <v>COEL INGENIERIA LTDA</v>
      </c>
      <c r="F222" s="5" t="str">
        <f>VLOOKUP(Tabla4[[#This Row],[Codigo]],Tabla2[[Cod]:[Nombre ]],6,0)</f>
        <v>OK</v>
      </c>
      <c r="G222" s="7" t="s">
        <v>282</v>
      </c>
      <c r="H222" s="21" t="s">
        <v>16</v>
      </c>
      <c r="I222" s="21" t="s">
        <v>564</v>
      </c>
      <c r="J222" s="163">
        <v>42</v>
      </c>
      <c r="K222" s="294">
        <v>27000</v>
      </c>
      <c r="L222" s="298"/>
      <c r="M222" s="292">
        <f>IF(LEFT(Tabla4[[#This Row],[Electronica]],2)="NC",-Tabla4[[#This Row],[Cantidad]]*Tabla4[[#This Row],[Precio]]+Tabla4[[#This Row],[Dto]],Tabla4[[#This Row],[Cantidad]]*Tabla4[[#This Row],[Precio]]-Tabla4[[#This Row],[Dto]])</f>
        <v>1134000</v>
      </c>
      <c r="N222" s="292">
        <f>IFERROR(Tabla4[[#This Row],[Sub Total]]*VLOOKUP(Tabla4[[#This Row],[No]],Parametros!A:C,3,0),0)</f>
        <v>215460</v>
      </c>
      <c r="O222" s="292">
        <f>+Tabla4[[#This Row],[IVA]]+Tabla4[[#This Row],[Sub Total]]</f>
        <v>1349460</v>
      </c>
    </row>
    <row r="223" spans="1:15" ht="30" x14ac:dyDescent="0.2">
      <c r="A223" s="6">
        <v>177</v>
      </c>
      <c r="B223" s="6" t="str">
        <f>VLOOKUP(Tabla4[[#This Row],[Codigo]],Tabla2[[Cod]:[Nombre ]],2,0)</f>
        <v>P-1165</v>
      </c>
      <c r="C223" s="53">
        <f>VLOOKUP(Tabla4[[#This Row],[Codigo]],Tabla2[[Cod]:[Nombre ]],3,0)</f>
        <v>44811</v>
      </c>
      <c r="D223" s="6" t="str">
        <f>VLOOKUP(Tabla4[[#This Row],[Codigo]],Tabla2[[Cod]:[Nombre ]],4,0)</f>
        <v>TIS-1172</v>
      </c>
      <c r="E223" s="5" t="str">
        <f>VLOOKUP(Tabla4[[#This Row],[Codigo]],Tabla2[[Cod]:[Nombre ]],8,0)</f>
        <v>TRANSPORTES ESPECIALES ALIADOS S.A.S</v>
      </c>
      <c r="F223" s="5" t="str">
        <f>VLOOKUP(Tabla4[[#This Row],[Codigo]],Tabla2[[Cod]:[Nombre ]],6,0)</f>
        <v>OK</v>
      </c>
      <c r="G223" s="7" t="s">
        <v>282</v>
      </c>
      <c r="H223" s="21" t="s">
        <v>16</v>
      </c>
      <c r="I223" s="21" t="s">
        <v>564</v>
      </c>
      <c r="J223" s="163">
        <v>247</v>
      </c>
      <c r="K223" s="294">
        <v>19000</v>
      </c>
      <c r="L223" s="298">
        <v>0</v>
      </c>
      <c r="M223" s="292">
        <f>IF(LEFT(Tabla4[[#This Row],[Electronica]],2)="NC",-Tabla4[[#This Row],[Cantidad]]*Tabla4[[#This Row],[Precio]]+Tabla4[[#This Row],[Dto]],Tabla4[[#This Row],[Cantidad]]*Tabla4[[#This Row],[Precio]]-Tabla4[[#This Row],[Dto]])</f>
        <v>4693000</v>
      </c>
      <c r="N223" s="292">
        <f>IFERROR(Tabla4[[#This Row],[Sub Total]]*VLOOKUP(Tabla4[[#This Row],[No]],Parametros!A:C,3,0),0)</f>
        <v>891670</v>
      </c>
      <c r="O223" s="292">
        <f>+Tabla4[[#This Row],[IVA]]+Tabla4[[#This Row],[Sub Total]]</f>
        <v>5584670</v>
      </c>
    </row>
    <row r="224" spans="1:15" ht="30" x14ac:dyDescent="0.2">
      <c r="A224" s="6">
        <v>178</v>
      </c>
      <c r="B224" s="6" t="str">
        <f>VLOOKUP(Tabla4[[#This Row],[Codigo]],Tabla2[[Cod]:[Nombre ]],2,0)</f>
        <v>P-1166</v>
      </c>
      <c r="C224" s="53">
        <f>VLOOKUP(Tabla4[[#This Row],[Codigo]],Tabla2[[Cod]:[Nombre ]],3,0)</f>
        <v>44811</v>
      </c>
      <c r="D224" s="6" t="str">
        <f>VLOOKUP(Tabla4[[#This Row],[Codigo]],Tabla2[[Cod]:[Nombre ]],4,0)</f>
        <v>TIS-1173</v>
      </c>
      <c r="E224" s="5" t="str">
        <f>VLOOKUP(Tabla4[[#This Row],[Codigo]],Tabla2[[Cod]:[Nombre ]],8,0)</f>
        <v>Terminales Automotrices SA</v>
      </c>
      <c r="F224" s="5" t="str">
        <f>VLOOKUP(Tabla4[[#This Row],[Codigo]],Tabla2[[Cod]:[Nombre ]],6,0)</f>
        <v>OK</v>
      </c>
      <c r="G224" s="7" t="s">
        <v>282</v>
      </c>
      <c r="H224" s="21" t="s">
        <v>16</v>
      </c>
      <c r="I224" s="21" t="s">
        <v>565</v>
      </c>
      <c r="J224" s="163">
        <v>120</v>
      </c>
      <c r="K224" s="294">
        <v>25000</v>
      </c>
      <c r="L224" s="298">
        <v>0</v>
      </c>
      <c r="M224" s="292">
        <f>IF(LEFT(Tabla4[[#This Row],[Electronica]],2)="NC",-Tabla4[[#This Row],[Cantidad]]*Tabla4[[#This Row],[Precio]]+Tabla4[[#This Row],[Dto]],Tabla4[[#This Row],[Cantidad]]*Tabla4[[#This Row],[Precio]]-Tabla4[[#This Row],[Dto]])</f>
        <v>3000000</v>
      </c>
      <c r="N224" s="292">
        <f>IFERROR(Tabla4[[#This Row],[Sub Total]]*VLOOKUP(Tabla4[[#This Row],[No]],Parametros!A:C,3,0),0)</f>
        <v>570000</v>
      </c>
      <c r="O224" s="292">
        <f>+Tabla4[[#This Row],[IVA]]+Tabla4[[#This Row],[Sub Total]]</f>
        <v>3570000</v>
      </c>
    </row>
    <row r="225" spans="1:15" ht="30" x14ac:dyDescent="0.2">
      <c r="A225" s="6">
        <v>179</v>
      </c>
      <c r="B225" s="6" t="str">
        <f>VLOOKUP(Tabla4[[#This Row],[Codigo]],Tabla2[[Cod]:[Nombre ]],2,0)</f>
        <v>P-1167</v>
      </c>
      <c r="C225" s="53">
        <f>VLOOKUP(Tabla4[[#This Row],[Codigo]],Tabla2[[Cod]:[Nombre ]],3,0)</f>
        <v>44811</v>
      </c>
      <c r="D225" s="6" t="str">
        <f>VLOOKUP(Tabla4[[#This Row],[Codigo]],Tabla2[[Cod]:[Nombre ]],4,0)</f>
        <v>TIS-1174</v>
      </c>
      <c r="E225" s="5" t="str">
        <f>VLOOKUP(Tabla4[[#This Row],[Codigo]],Tabla2[[Cod]:[Nombre ]],8,0)</f>
        <v>NATALIA GUARNIZO VARON</v>
      </c>
      <c r="F225" s="5" t="str">
        <f>VLOOKUP(Tabla4[[#This Row],[Codigo]],Tabla2[[Cod]:[Nombre ]],6,0)</f>
        <v>OK</v>
      </c>
      <c r="G225" s="7" t="s">
        <v>566</v>
      </c>
      <c r="H225" s="21" t="s">
        <v>567</v>
      </c>
      <c r="I225" s="21" t="s">
        <v>564</v>
      </c>
      <c r="J225" s="163">
        <v>1</v>
      </c>
      <c r="K225" s="294">
        <v>200000</v>
      </c>
      <c r="L225" s="298"/>
      <c r="M225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225" s="292">
        <f>IFERROR(Tabla4[[#This Row],[Sub Total]]*VLOOKUP(Tabla4[[#This Row],[No]],Parametros!A:C,3,0),0)</f>
        <v>0</v>
      </c>
      <c r="O225" s="292">
        <f>+Tabla4[[#This Row],[IVA]]+Tabla4[[#This Row],[Sub Total]]</f>
        <v>200000</v>
      </c>
    </row>
    <row r="226" spans="1:15" x14ac:dyDescent="0.2">
      <c r="A226" s="6">
        <v>180</v>
      </c>
      <c r="B226" s="6" t="str">
        <f>VLOOKUP(Tabla4[[#This Row],[Codigo]],Tabla2[[Cod]:[Nombre ]],2,0)</f>
        <v>P-1168</v>
      </c>
      <c r="C226" s="53">
        <f>VLOOKUP(Tabla4[[#This Row],[Codigo]],Tabla2[[Cod]:[Nombre ]],3,0)</f>
        <v>44821</v>
      </c>
      <c r="D226" s="6" t="str">
        <f>VLOOKUP(Tabla4[[#This Row],[Codigo]],Tabla2[[Cod]:[Nombre ]],4,0)</f>
        <v>TIS-1175</v>
      </c>
      <c r="E226" s="5" t="str">
        <f>VLOOKUP(Tabla4[[#This Row],[Codigo]],Tabla2[[Cod]:[Nombre ]],8,0)</f>
        <v>MEMCO SAS</v>
      </c>
      <c r="F226" s="5" t="str">
        <f>VLOOKUP(Tabla4[[#This Row],[Codigo]],Tabla2[[Cod]:[Nombre ]],6,0)</f>
        <v>OK</v>
      </c>
      <c r="G226" s="7" t="s">
        <v>433</v>
      </c>
      <c r="H226" s="21" t="s">
        <v>517</v>
      </c>
      <c r="I226" s="21" t="s">
        <v>564</v>
      </c>
      <c r="J226" s="163">
        <v>21</v>
      </c>
      <c r="K226" s="294">
        <v>50000</v>
      </c>
      <c r="L226" s="298"/>
      <c r="M226" s="292">
        <f>IF(LEFT(Tabla4[[#This Row],[Electronica]],2)="NC",-Tabla4[[#This Row],[Cantidad]]*Tabla4[[#This Row],[Precio]]+Tabla4[[#This Row],[Dto]],Tabla4[[#This Row],[Cantidad]]*Tabla4[[#This Row],[Precio]]-Tabla4[[#This Row],[Dto]])</f>
        <v>1050000</v>
      </c>
      <c r="N226" s="292">
        <f>IFERROR(Tabla4[[#This Row],[Sub Total]]*VLOOKUP(Tabla4[[#This Row],[No]],Parametros!A:C,3,0),0)</f>
        <v>199500</v>
      </c>
      <c r="O226" s="292">
        <f>+Tabla4[[#This Row],[IVA]]+Tabla4[[#This Row],[Sub Total]]</f>
        <v>1249500</v>
      </c>
    </row>
    <row r="227" spans="1:15" ht="24" x14ac:dyDescent="0.2">
      <c r="A227" s="6">
        <v>181</v>
      </c>
      <c r="B227" s="6" t="str">
        <f>VLOOKUP(Tabla4[[#This Row],[Codigo]],Tabla2[[Cod]:[Nombre ]],2,0)</f>
        <v>P-1169</v>
      </c>
      <c r="C227" s="53">
        <f>VLOOKUP(Tabla4[[#This Row],[Codigo]],Tabla2[[Cod]:[Nombre ]],3,0)</f>
        <v>44835</v>
      </c>
      <c r="D227" s="6" t="str">
        <f>VLOOKUP(Tabla4[[#This Row],[Codigo]],Tabla2[[Cod]:[Nombre ]],4,0)</f>
        <v>TIS-1178</v>
      </c>
      <c r="E227" s="5" t="str">
        <f>VLOOKUP(Tabla4[[#This Row],[Codigo]],Tabla2[[Cod]:[Nombre ]],8,0)</f>
        <v>Banco de Bogota S.A.</v>
      </c>
      <c r="F227" s="5" t="str">
        <f>VLOOKUP(Tabla4[[#This Row],[Codigo]],Tabla2[[Cod]:[Nombre ]],6,0)</f>
        <v>OK</v>
      </c>
      <c r="G227" s="7" t="s">
        <v>282</v>
      </c>
      <c r="H227" s="21" t="s">
        <v>16</v>
      </c>
      <c r="I227" s="21" t="s">
        <v>568</v>
      </c>
      <c r="J227" s="163">
        <v>1</v>
      </c>
      <c r="K227" s="294">
        <v>22800000</v>
      </c>
      <c r="L227" s="298"/>
      <c r="M227" s="292">
        <f>IF(LEFT(Tabla4[[#This Row],[Electronica]],2)="NC",-Tabla4[[#This Row],[Cantidad]]*Tabla4[[#This Row],[Precio]]+Tabla4[[#This Row],[Dto]],Tabla4[[#This Row],[Cantidad]]*Tabla4[[#This Row],[Precio]]-Tabla4[[#This Row],[Dto]])</f>
        <v>22800000</v>
      </c>
      <c r="N227" s="292">
        <f>IFERROR(Tabla4[[#This Row],[Sub Total]]*VLOOKUP(Tabla4[[#This Row],[No]],Parametros!A:C,3,0),0)</f>
        <v>4332000</v>
      </c>
      <c r="O227" s="292">
        <f>+Tabla4[[#This Row],[IVA]]+Tabla4[[#This Row],[Sub Total]]</f>
        <v>27132000</v>
      </c>
    </row>
    <row r="228" spans="1:15" ht="24" x14ac:dyDescent="0.2">
      <c r="A228" s="6">
        <v>182</v>
      </c>
      <c r="B228" s="6" t="str">
        <f>VLOOKUP(Tabla4[[#This Row],[Codigo]],Tabla2[[Cod]:[Nombre ]],2,0)</f>
        <v>P-1170</v>
      </c>
      <c r="C228" s="53">
        <f>VLOOKUP(Tabla4[[#This Row],[Codigo]],Tabla2[[Cod]:[Nombre ]],3,0)</f>
        <v>44866</v>
      </c>
      <c r="D228" s="6" t="str">
        <f>VLOOKUP(Tabla4[[#This Row],[Codigo]],Tabla2[[Cod]:[Nombre ]],4,0)</f>
        <v>TIS-1182</v>
      </c>
      <c r="E228" s="5" t="str">
        <f>VLOOKUP(Tabla4[[#This Row],[Codigo]],Tabla2[[Cod]:[Nombre ]],8,0)</f>
        <v>Banco de Bogota S.A.</v>
      </c>
      <c r="F228" s="5" t="str">
        <f>VLOOKUP(Tabla4[[#This Row],[Codigo]],Tabla2[[Cod]:[Nombre ]],6,0)</f>
        <v>OK</v>
      </c>
      <c r="G228" s="7" t="s">
        <v>282</v>
      </c>
      <c r="H228" s="21" t="s">
        <v>16</v>
      </c>
      <c r="I228" s="21" t="s">
        <v>569</v>
      </c>
      <c r="J228" s="163">
        <v>1</v>
      </c>
      <c r="K228" s="294">
        <v>22800000</v>
      </c>
      <c r="L228" s="298"/>
      <c r="M228" s="292">
        <f>IF(LEFT(Tabla4[[#This Row],[Electronica]],2)="NC",-Tabla4[[#This Row],[Cantidad]]*Tabla4[[#This Row],[Precio]]+Tabla4[[#This Row],[Dto]],Tabla4[[#This Row],[Cantidad]]*Tabla4[[#This Row],[Precio]]-Tabla4[[#This Row],[Dto]])</f>
        <v>22800000</v>
      </c>
      <c r="N228" s="292">
        <f>IFERROR(Tabla4[[#This Row],[Sub Total]]*VLOOKUP(Tabla4[[#This Row],[No]],Parametros!A:C,3,0),0)</f>
        <v>4332000</v>
      </c>
      <c r="O228" s="292">
        <f>+Tabla4[[#This Row],[IVA]]+Tabla4[[#This Row],[Sub Total]]</f>
        <v>27132000</v>
      </c>
    </row>
    <row r="229" spans="1:15" ht="24" x14ac:dyDescent="0.2">
      <c r="A229" s="6">
        <v>183</v>
      </c>
      <c r="B229" s="6" t="str">
        <f>VLOOKUP(Tabla4[[#This Row],[Codigo]],Tabla2[[Cod]:[Nombre ]],2,0)</f>
        <v>P-1171</v>
      </c>
      <c r="C229" s="53">
        <f>VLOOKUP(Tabla4[[#This Row],[Codigo]],Tabla2[[Cod]:[Nombre ]],3,0)</f>
        <v>44887</v>
      </c>
      <c r="D229" s="6" t="str">
        <f>VLOOKUP(Tabla4[[#This Row],[Codigo]],Tabla2[[Cod]:[Nombre ]],4,0)</f>
        <v>TIS-1185</v>
      </c>
      <c r="E229" s="5" t="str">
        <f>VLOOKUP(Tabla4[[#This Row],[Codigo]],Tabla2[[Cod]:[Nombre ]],8,0)</f>
        <v>HIPRA COLOMBIA SAS</v>
      </c>
      <c r="F229" s="5" t="str">
        <f>VLOOKUP(Tabla4[[#This Row],[Codigo]],Tabla2[[Cod]:[Nombre ]],6,0)</f>
        <v>OK</v>
      </c>
      <c r="G229" s="7" t="s">
        <v>282</v>
      </c>
      <c r="H229" s="21" t="s">
        <v>16</v>
      </c>
      <c r="I229" s="21" t="s">
        <v>569</v>
      </c>
      <c r="J229" s="163">
        <v>20</v>
      </c>
      <c r="K229" s="294">
        <v>30000</v>
      </c>
      <c r="L229" s="298"/>
      <c r="M229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229" s="292">
        <f>IFERROR(Tabla4[[#This Row],[Sub Total]]*VLOOKUP(Tabla4[[#This Row],[No]],Parametros!A:C,3,0),0)</f>
        <v>114000</v>
      </c>
      <c r="O229" s="292">
        <f>+Tabla4[[#This Row],[IVA]]+Tabla4[[#This Row],[Sub Total]]</f>
        <v>714000</v>
      </c>
    </row>
    <row r="230" spans="1:15" ht="36" x14ac:dyDescent="0.2">
      <c r="A230" s="6">
        <v>184</v>
      </c>
      <c r="B230" s="6" t="str">
        <f>VLOOKUP(Tabla4[[#This Row],[Codigo]],Tabla2[[Cod]:[Nombre ]],2,0)</f>
        <v>P-1172</v>
      </c>
      <c r="C230" s="53">
        <f>VLOOKUP(Tabla4[[#This Row],[Codigo]],Tabla2[[Cod]:[Nombre ]],3,0)</f>
        <v>44656</v>
      </c>
      <c r="D230" s="6" t="str">
        <f>VLOOKUP(Tabla4[[#This Row],[Codigo]],Tabla2[[Cod]:[Nombre ]],4,0)</f>
        <v>TIS-1110</v>
      </c>
      <c r="E230" s="5" t="str">
        <f>VLOOKUP(Tabla4[[#This Row],[Codigo]],Tabla2[[Cod]:[Nombre ]],8,0)</f>
        <v>Maria del Pilar Alvarado Joya</v>
      </c>
      <c r="F230" s="5" t="str">
        <f>VLOOKUP(Tabla4[[#This Row],[Codigo]],Tabla2[[Cod]:[Nombre ]],6,0)</f>
        <v>OK</v>
      </c>
      <c r="G230" s="7" t="s">
        <v>417</v>
      </c>
      <c r="H230" s="21" t="s">
        <v>525</v>
      </c>
      <c r="I230" s="21" t="s">
        <v>570</v>
      </c>
      <c r="J230" s="163">
        <v>1</v>
      </c>
      <c r="K230" s="294">
        <v>900000</v>
      </c>
      <c r="L230" s="298"/>
      <c r="M230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230" s="292">
        <f>IFERROR(Tabla4[[#This Row],[Sub Total]]*VLOOKUP(Tabla4[[#This Row],[No]],Parametros!A:C,3,0),0)</f>
        <v>0</v>
      </c>
      <c r="O230" s="292">
        <f>+Tabla4[[#This Row],[IVA]]+Tabla4[[#This Row],[Sub Total]]</f>
        <v>900000</v>
      </c>
    </row>
    <row r="231" spans="1:15" ht="45" x14ac:dyDescent="0.2">
      <c r="A231" s="6">
        <v>185</v>
      </c>
      <c r="B231" s="6" t="str">
        <f>VLOOKUP(Tabla4[[#This Row],[Codigo]],Tabla2[[Cod]:[Nombre ]],2,0)</f>
        <v>P-1173</v>
      </c>
      <c r="C231" s="53">
        <f>VLOOKUP(Tabla4[[#This Row],[Codigo]],Tabla2[[Cod]:[Nombre ]],3,0)</f>
        <v>44652</v>
      </c>
      <c r="D231" s="6" t="str">
        <f>VLOOKUP(Tabla4[[#This Row],[Codigo]],Tabla2[[Cod]:[Nombre ]],4,0)</f>
        <v>TIS-1112</v>
      </c>
      <c r="E231" s="5" t="str">
        <f>VLOOKUP(Tabla4[[#This Row],[Codigo]],Tabla2[[Cod]:[Nombre ]],8,0)</f>
        <v>PRODUCTORA INTERAMERICANA DE PLASTICOS S.A.S.</v>
      </c>
      <c r="F231" s="5" t="str">
        <f>VLOOKUP(Tabla4[[#This Row],[Codigo]],Tabla2[[Cod]:[Nombre ]],6,0)</f>
        <v>OK</v>
      </c>
      <c r="G231" s="7" t="s">
        <v>416</v>
      </c>
      <c r="H231" s="21" t="s">
        <v>519</v>
      </c>
      <c r="I231" s="21" t="s">
        <v>570</v>
      </c>
      <c r="J231" s="163">
        <v>1</v>
      </c>
      <c r="K231" s="294">
        <v>200000</v>
      </c>
      <c r="L231" s="298"/>
      <c r="M231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231" s="292">
        <f>IFERROR(Tabla4[[#This Row],[Sub Total]]*VLOOKUP(Tabla4[[#This Row],[No]],Parametros!A:C,3,0),0)</f>
        <v>38000</v>
      </c>
      <c r="O231" s="292">
        <f>+Tabla4[[#This Row],[IVA]]+Tabla4[[#This Row],[Sub Total]]</f>
        <v>238000</v>
      </c>
    </row>
    <row r="232" spans="1:15" ht="45" x14ac:dyDescent="0.2">
      <c r="A232" s="6">
        <v>186</v>
      </c>
      <c r="B232" s="6" t="str">
        <f>VLOOKUP(Tabla4[[#This Row],[Codigo]],Tabla2[[Cod]:[Nombre ]],2,0)</f>
        <v>P-1174</v>
      </c>
      <c r="C232" s="53">
        <f>VLOOKUP(Tabla4[[#This Row],[Codigo]],Tabla2[[Cod]:[Nombre ]],3,0)</f>
        <v>44694</v>
      </c>
      <c r="D232" s="6" t="str">
        <f>VLOOKUP(Tabla4[[#This Row],[Codigo]],Tabla2[[Cod]:[Nombre ]],4,0)</f>
        <v>TIS-1123</v>
      </c>
      <c r="E232" s="5" t="str">
        <f>VLOOKUP(Tabla4[[#This Row],[Codigo]],Tabla2[[Cod]:[Nombre ]],8,0)</f>
        <v>PRODUCTORA INTERAMERICANA DE PLASTICOS S.A.S.</v>
      </c>
      <c r="F232" s="5" t="str">
        <f>VLOOKUP(Tabla4[[#This Row],[Codigo]],Tabla2[[Cod]:[Nombre ]],6,0)</f>
        <v>OK</v>
      </c>
      <c r="G232" s="7" t="s">
        <v>417</v>
      </c>
      <c r="H232" s="21" t="s">
        <v>525</v>
      </c>
      <c r="I232" s="21" t="s">
        <v>571</v>
      </c>
      <c r="J232" s="163">
        <v>1</v>
      </c>
      <c r="K232" s="294">
        <v>200000</v>
      </c>
      <c r="L232" s="298"/>
      <c r="M232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232" s="292">
        <f>IFERROR(Tabla4[[#This Row],[Sub Total]]*VLOOKUP(Tabla4[[#This Row],[No]],Parametros!A:C,3,0),0)</f>
        <v>0</v>
      </c>
      <c r="O232" s="292">
        <f>+Tabla4[[#This Row],[IVA]]+Tabla4[[#This Row],[Sub Total]]</f>
        <v>200000</v>
      </c>
    </row>
    <row r="233" spans="1:15" ht="30" x14ac:dyDescent="0.2">
      <c r="A233" s="6">
        <v>187</v>
      </c>
      <c r="B233" s="6" t="str">
        <f>VLOOKUP(Tabla4[[#This Row],[Codigo]],Tabla2[[Cod]:[Nombre ]],2,0)</f>
        <v>P-1175</v>
      </c>
      <c r="C233" s="53">
        <f>VLOOKUP(Tabla4[[#This Row],[Codigo]],Tabla2[[Cod]:[Nombre ]],3,0)</f>
        <v>44594</v>
      </c>
      <c r="D233" s="6" t="str">
        <f>VLOOKUP(Tabla4[[#This Row],[Codigo]],Tabla2[[Cod]:[Nombre ]],4,0)</f>
        <v>NC9</v>
      </c>
      <c r="E233" s="5" t="str">
        <f>VLOOKUP(Tabla4[[#This Row],[Codigo]],Tabla2[[Cod]:[Nombre ]],8,0)</f>
        <v>Colegio Integrado Nacional Oriente de Caldas</v>
      </c>
      <c r="F233" s="5" t="str">
        <f>VLOOKUP(Tabla4[[#This Row],[Codigo]],Tabla2[[Cod]:[Nombre ]],6,0)</f>
        <v>Anulado</v>
      </c>
      <c r="G233" s="7" t="s">
        <v>282</v>
      </c>
      <c r="H233" s="21" t="s">
        <v>16</v>
      </c>
      <c r="I233" s="21" t="s">
        <v>572</v>
      </c>
      <c r="J233" s="163">
        <v>50</v>
      </c>
      <c r="K233" s="294">
        <v>24000</v>
      </c>
      <c r="L233" s="298"/>
      <c r="M233" s="292">
        <f>IF(LEFT(Tabla4[[#This Row],[Electronica]],2)="NC",-Tabla4[[#This Row],[Cantidad]]*Tabla4[[#This Row],[Precio]]+Tabla4[[#This Row],[Dto]],Tabla4[[#This Row],[Cantidad]]*Tabla4[[#This Row],[Precio]]-Tabla4[[#This Row],[Dto]])</f>
        <v>-1200000</v>
      </c>
      <c r="N233" s="292">
        <f>IFERROR(Tabla4[[#This Row],[Sub Total]]*VLOOKUP(Tabla4[[#This Row],[No]],Parametros!A:C,3,0),0)</f>
        <v>-228000</v>
      </c>
      <c r="O233" s="292">
        <f>+Tabla4[[#This Row],[IVA]]+Tabla4[[#This Row],[Sub Total]]</f>
        <v>-1428000</v>
      </c>
    </row>
    <row r="234" spans="1:15" ht="30" x14ac:dyDescent="0.2">
      <c r="A234" s="6">
        <v>187</v>
      </c>
      <c r="B234" s="6" t="str">
        <f>VLOOKUP(Tabla4[[#This Row],[Codigo]],Tabla2[[Cod]:[Nombre ]],2,0)</f>
        <v>P-1175</v>
      </c>
      <c r="C234" s="53">
        <f>VLOOKUP(Tabla4[[#This Row],[Codigo]],Tabla2[[Cod]:[Nombre ]],3,0)</f>
        <v>44594</v>
      </c>
      <c r="D234" s="6" t="str">
        <f>VLOOKUP(Tabla4[[#This Row],[Codigo]],Tabla2[[Cod]:[Nombre ]],4,0)</f>
        <v>NC9</v>
      </c>
      <c r="E234" s="5" t="str">
        <f>VLOOKUP(Tabla4[[#This Row],[Codigo]],Tabla2[[Cod]:[Nombre ]],8,0)</f>
        <v>Colegio Integrado Nacional Oriente de Caldas</v>
      </c>
      <c r="F234" s="5" t="str">
        <f>VLOOKUP(Tabla4[[#This Row],[Codigo]],Tabla2[[Cod]:[Nombre ]],6,0)</f>
        <v>Anulado</v>
      </c>
      <c r="G234" s="7" t="s">
        <v>282</v>
      </c>
      <c r="H234" s="21" t="s">
        <v>16</v>
      </c>
      <c r="I234" s="21" t="s">
        <v>572</v>
      </c>
      <c r="J234" s="163">
        <v>1</v>
      </c>
      <c r="K234" s="294">
        <v>50000</v>
      </c>
      <c r="L234" s="298"/>
      <c r="M234" s="292">
        <f>IF(LEFT(Tabla4[[#This Row],[Electronica]],2)="NC",-Tabla4[[#This Row],[Cantidad]]*Tabla4[[#This Row],[Precio]]+Tabla4[[#This Row],[Dto]],Tabla4[[#This Row],[Cantidad]]*Tabla4[[#This Row],[Precio]]-Tabla4[[#This Row],[Dto]])</f>
        <v>-50000</v>
      </c>
      <c r="N234" s="292">
        <f>IFERROR(Tabla4[[#This Row],[Sub Total]]*VLOOKUP(Tabla4[[#This Row],[No]],Parametros!A:C,3,0),0)</f>
        <v>-9500</v>
      </c>
      <c r="O234" s="292">
        <f>+Tabla4[[#This Row],[IVA]]+Tabla4[[#This Row],[Sub Total]]</f>
        <v>-59500</v>
      </c>
    </row>
    <row r="235" spans="1:15" ht="30" x14ac:dyDescent="0.2">
      <c r="A235" s="6">
        <v>187</v>
      </c>
      <c r="B235" s="6" t="str">
        <f>VLOOKUP(Tabla4[[#This Row],[Codigo]],Tabla2[[Cod]:[Nombre ]],2,0)</f>
        <v>P-1175</v>
      </c>
      <c r="C235" s="53">
        <f>VLOOKUP(Tabla4[[#This Row],[Codigo]],Tabla2[[Cod]:[Nombre ]],3,0)</f>
        <v>44594</v>
      </c>
      <c r="D235" s="6" t="str">
        <f>VLOOKUP(Tabla4[[#This Row],[Codigo]],Tabla2[[Cod]:[Nombre ]],4,0)</f>
        <v>NC9</v>
      </c>
      <c r="E235" s="5" t="str">
        <f>VLOOKUP(Tabla4[[#This Row],[Codigo]],Tabla2[[Cod]:[Nombre ]],8,0)</f>
        <v>Colegio Integrado Nacional Oriente de Caldas</v>
      </c>
      <c r="F235" s="5" t="str">
        <f>VLOOKUP(Tabla4[[#This Row],[Codigo]],Tabla2[[Cod]:[Nombre ]],6,0)</f>
        <v>Anulado</v>
      </c>
      <c r="G235" s="7" t="s">
        <v>282</v>
      </c>
      <c r="H235" s="21" t="s">
        <v>16</v>
      </c>
      <c r="I235" s="21" t="s">
        <v>572</v>
      </c>
      <c r="J235" s="163">
        <v>1</v>
      </c>
      <c r="K235" s="294">
        <v>50000</v>
      </c>
      <c r="L235" s="298"/>
      <c r="M235" s="292">
        <f>IF(LEFT(Tabla4[[#This Row],[Electronica]],2)="NC",-Tabla4[[#This Row],[Cantidad]]*Tabla4[[#This Row],[Precio]]+Tabla4[[#This Row],[Dto]],Tabla4[[#This Row],[Cantidad]]*Tabla4[[#This Row],[Precio]]-Tabla4[[#This Row],[Dto]])</f>
        <v>-50000</v>
      </c>
      <c r="N235" s="292">
        <f>IFERROR(Tabla4[[#This Row],[Sub Total]]*VLOOKUP(Tabla4[[#This Row],[No]],Parametros!A:C,3,0),0)</f>
        <v>-9500</v>
      </c>
      <c r="O235" s="292">
        <f>+Tabla4[[#This Row],[IVA]]+Tabla4[[#This Row],[Sub Total]]</f>
        <v>-59500</v>
      </c>
    </row>
    <row r="236" spans="1:15" ht="30" x14ac:dyDescent="0.2">
      <c r="A236" s="6">
        <v>188</v>
      </c>
      <c r="B236" s="6" t="str">
        <f>VLOOKUP(Tabla4[[#This Row],[Codigo]],Tabla2[[Cod]:[Nombre ]],2,0)</f>
        <v>P-1176</v>
      </c>
      <c r="C236" s="53">
        <f>VLOOKUP(Tabla4[[#This Row],[Codigo]],Tabla2[[Cod]:[Nombre ]],3,0)</f>
        <v>44594</v>
      </c>
      <c r="D236" s="6" t="str">
        <f>VLOOKUP(Tabla4[[#This Row],[Codigo]],Tabla2[[Cod]:[Nombre ]],4,0)</f>
        <v>TIS-1088</v>
      </c>
      <c r="E236" s="5" t="str">
        <f>VLOOKUP(Tabla4[[#This Row],[Codigo]],Tabla2[[Cod]:[Nombre ]],8,0)</f>
        <v>Colegio Integrado Nacional Oriente de Caldas</v>
      </c>
      <c r="F236" s="5" t="str">
        <f>VLOOKUP(Tabla4[[#This Row],[Codigo]],Tabla2[[Cod]:[Nombre ]],6,0)</f>
        <v>Anulado</v>
      </c>
      <c r="G236" s="7" t="s">
        <v>282</v>
      </c>
      <c r="H236" s="21" t="s">
        <v>16</v>
      </c>
      <c r="I236" s="21" t="s">
        <v>573</v>
      </c>
      <c r="J236" s="163">
        <v>50</v>
      </c>
      <c r="K236" s="294">
        <v>24000</v>
      </c>
      <c r="L236" s="298"/>
      <c r="M236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236" s="292">
        <f>IFERROR(Tabla4[[#This Row],[Sub Total]]*VLOOKUP(Tabla4[[#This Row],[No]],Parametros!A:C,3,0),0)</f>
        <v>228000</v>
      </c>
      <c r="O236" s="292">
        <f>+Tabla4[[#This Row],[IVA]]+Tabla4[[#This Row],[Sub Total]]</f>
        <v>1428000</v>
      </c>
    </row>
    <row r="237" spans="1:15" ht="30" x14ac:dyDescent="0.2">
      <c r="A237" s="6">
        <v>188</v>
      </c>
      <c r="B237" s="6" t="str">
        <f>VLOOKUP(Tabla4[[#This Row],[Codigo]],Tabla2[[Cod]:[Nombre ]],2,0)</f>
        <v>P-1176</v>
      </c>
      <c r="C237" s="53">
        <f>VLOOKUP(Tabla4[[#This Row],[Codigo]],Tabla2[[Cod]:[Nombre ]],3,0)</f>
        <v>44594</v>
      </c>
      <c r="D237" s="6" t="str">
        <f>VLOOKUP(Tabla4[[#This Row],[Codigo]],Tabla2[[Cod]:[Nombre ]],4,0)</f>
        <v>TIS-1088</v>
      </c>
      <c r="E237" s="5" t="str">
        <f>VLOOKUP(Tabla4[[#This Row],[Codigo]],Tabla2[[Cod]:[Nombre ]],8,0)</f>
        <v>Colegio Integrado Nacional Oriente de Caldas</v>
      </c>
      <c r="F237" s="5" t="str">
        <f>VLOOKUP(Tabla4[[#This Row],[Codigo]],Tabla2[[Cod]:[Nombre ]],6,0)</f>
        <v>Anulado</v>
      </c>
      <c r="G237" s="7" t="s">
        <v>282</v>
      </c>
      <c r="H237" s="21" t="s">
        <v>16</v>
      </c>
      <c r="I237" s="21" t="s">
        <v>573</v>
      </c>
      <c r="J237" s="163">
        <v>1</v>
      </c>
      <c r="K237" s="294">
        <v>50000</v>
      </c>
      <c r="L237" s="298"/>
      <c r="M237" s="292">
        <f>IF(LEFT(Tabla4[[#This Row],[Electronica]],2)="NC",-Tabla4[[#This Row],[Cantidad]]*Tabla4[[#This Row],[Precio]]+Tabla4[[#This Row],[Dto]],Tabla4[[#This Row],[Cantidad]]*Tabla4[[#This Row],[Precio]]-Tabla4[[#This Row],[Dto]])</f>
        <v>50000</v>
      </c>
      <c r="N237" s="292">
        <f>IFERROR(Tabla4[[#This Row],[Sub Total]]*VLOOKUP(Tabla4[[#This Row],[No]],Parametros!A:C,3,0),0)</f>
        <v>9500</v>
      </c>
      <c r="O237" s="292">
        <f>+Tabla4[[#This Row],[IVA]]+Tabla4[[#This Row],[Sub Total]]</f>
        <v>59500</v>
      </c>
    </row>
    <row r="238" spans="1:15" ht="30" x14ac:dyDescent="0.2">
      <c r="A238" s="6">
        <v>188</v>
      </c>
      <c r="B238" s="6" t="str">
        <f>VLOOKUP(Tabla4[[#This Row],[Codigo]],Tabla2[[Cod]:[Nombre ]],2,0)</f>
        <v>P-1176</v>
      </c>
      <c r="C238" s="53">
        <f>VLOOKUP(Tabla4[[#This Row],[Codigo]],Tabla2[[Cod]:[Nombre ]],3,0)</f>
        <v>44594</v>
      </c>
      <c r="D238" s="6" t="str">
        <f>VLOOKUP(Tabla4[[#This Row],[Codigo]],Tabla2[[Cod]:[Nombre ]],4,0)</f>
        <v>TIS-1088</v>
      </c>
      <c r="E238" s="5" t="str">
        <f>VLOOKUP(Tabla4[[#This Row],[Codigo]],Tabla2[[Cod]:[Nombre ]],8,0)</f>
        <v>Colegio Integrado Nacional Oriente de Caldas</v>
      </c>
      <c r="F238" s="5" t="str">
        <f>VLOOKUP(Tabla4[[#This Row],[Codigo]],Tabla2[[Cod]:[Nombre ]],6,0)</f>
        <v>Anulado</v>
      </c>
      <c r="G238" s="7" t="s">
        <v>282</v>
      </c>
      <c r="H238" s="21" t="s">
        <v>16</v>
      </c>
      <c r="I238" s="21" t="s">
        <v>573</v>
      </c>
      <c r="J238" s="163">
        <v>1</v>
      </c>
      <c r="K238" s="294">
        <v>50000</v>
      </c>
      <c r="L238" s="298"/>
      <c r="M238" s="292">
        <f>IF(LEFT(Tabla4[[#This Row],[Electronica]],2)="NC",-Tabla4[[#This Row],[Cantidad]]*Tabla4[[#This Row],[Precio]]+Tabla4[[#This Row],[Dto]],Tabla4[[#This Row],[Cantidad]]*Tabla4[[#This Row],[Precio]]-Tabla4[[#This Row],[Dto]])</f>
        <v>50000</v>
      </c>
      <c r="N238" s="292">
        <f>IFERROR(Tabla4[[#This Row],[Sub Total]]*VLOOKUP(Tabla4[[#This Row],[No]],Parametros!A:C,3,0),0)</f>
        <v>9500</v>
      </c>
      <c r="O238" s="292">
        <f>+Tabla4[[#This Row],[IVA]]+Tabla4[[#This Row],[Sub Total]]</f>
        <v>59500</v>
      </c>
    </row>
    <row r="239" spans="1:15" ht="24" x14ac:dyDescent="0.2">
      <c r="A239" s="6">
        <v>189</v>
      </c>
      <c r="B239" s="6" t="str">
        <f>VLOOKUP(Tabla4[[#This Row],[Codigo]],Tabla2[[Cod]:[Nombre ]],2,0)</f>
        <v>P-1177</v>
      </c>
      <c r="C239" s="53">
        <f>VLOOKUP(Tabla4[[#This Row],[Codigo]],Tabla2[[Cod]:[Nombre ]],3,0)</f>
        <v>44890</v>
      </c>
      <c r="D239" s="6" t="str">
        <f>VLOOKUP(Tabla4[[#This Row],[Codigo]],Tabla2[[Cod]:[Nombre ]],4,0)</f>
        <v>TIS-1186</v>
      </c>
      <c r="E239" s="5" t="str">
        <f>VLOOKUP(Tabla4[[#This Row],[Codigo]],Tabla2[[Cod]:[Nombre ]],8,0)</f>
        <v>ATECNO S.A.S</v>
      </c>
      <c r="F239" s="5" t="str">
        <f>VLOOKUP(Tabla4[[#This Row],[Codigo]],Tabla2[[Cod]:[Nombre ]],6,0)</f>
        <v>Anulado</v>
      </c>
      <c r="G239" s="7" t="s">
        <v>574</v>
      </c>
      <c r="H239" s="21" t="s">
        <v>16</v>
      </c>
      <c r="I239" s="21" t="s">
        <v>575</v>
      </c>
      <c r="J239" s="163">
        <v>237</v>
      </c>
      <c r="K239" s="294">
        <v>26800</v>
      </c>
      <c r="L239" s="298"/>
      <c r="M239" s="292">
        <f>IF(LEFT(Tabla4[[#This Row],[Electronica]],2)="NC",-Tabla4[[#This Row],[Cantidad]]*Tabla4[[#This Row],[Precio]]+Tabla4[[#This Row],[Dto]],Tabla4[[#This Row],[Cantidad]]*Tabla4[[#This Row],[Precio]]-Tabla4[[#This Row],[Dto]])</f>
        <v>6351600</v>
      </c>
      <c r="N239" s="292">
        <f>IFERROR(Tabla4[[#This Row],[Sub Total]]*VLOOKUP(Tabla4[[#This Row],[No]],Parametros!A:C,3,0),0)</f>
        <v>0</v>
      </c>
      <c r="O239" s="292">
        <f>+Tabla4[[#This Row],[IVA]]+Tabla4[[#This Row],[Sub Total]]</f>
        <v>6351600</v>
      </c>
    </row>
    <row r="240" spans="1:15" x14ac:dyDescent="0.2">
      <c r="A240" s="6">
        <v>190</v>
      </c>
      <c r="B240" s="6" t="str">
        <f>VLOOKUP(Tabla4[[#This Row],[Codigo]],Tabla2[[Cod]:[Nombre ]],2,0)</f>
        <v>P-1218</v>
      </c>
      <c r="C240" s="53">
        <f>VLOOKUP(Tabla4[[#This Row],[Codigo]],Tabla2[[Cod]:[Nombre ]],3,0)</f>
        <v>44897</v>
      </c>
      <c r="D240" s="6" t="str">
        <f>VLOOKUP(Tabla4[[#This Row],[Codigo]],Tabla2[[Cod]:[Nombre ]],4,0)</f>
        <v>NC31</v>
      </c>
      <c r="E240" s="5" t="str">
        <f>VLOOKUP(Tabla4[[#This Row],[Codigo]],Tabla2[[Cod]:[Nombre ]],8,0)</f>
        <v>ATECNO S.A.S</v>
      </c>
      <c r="F240" s="5" t="str">
        <f>VLOOKUP(Tabla4[[#This Row],[Codigo]],Tabla2[[Cod]:[Nombre ]],6,0)</f>
        <v>anulado</v>
      </c>
      <c r="G240" s="7" t="s">
        <v>433</v>
      </c>
      <c r="H240" s="21" t="s">
        <v>517</v>
      </c>
      <c r="I240" s="21" t="s">
        <v>576</v>
      </c>
      <c r="J240" s="163">
        <v>1</v>
      </c>
      <c r="K240" s="294">
        <v>500000</v>
      </c>
      <c r="L240" s="298"/>
      <c r="M240" s="292">
        <f>IF(LEFT(Tabla4[[#This Row],[Electronica]],2)="NC",-Tabla4[[#This Row],[Cantidad]]*Tabla4[[#This Row],[Precio]]+Tabla4[[#This Row],[Dto]],Tabla4[[#This Row],[Cantidad]]*Tabla4[[#This Row],[Precio]]-Tabla4[[#This Row],[Dto]])</f>
        <v>-500000</v>
      </c>
      <c r="N240" s="292">
        <f>IFERROR(Tabla4[[#This Row],[Sub Total]]*VLOOKUP(Tabla4[[#This Row],[No]],Parametros!A:C,3,0),0)</f>
        <v>-95000</v>
      </c>
      <c r="O240" s="292">
        <f>+Tabla4[[#This Row],[IVA]]+Tabla4[[#This Row],[Sub Total]]</f>
        <v>-595000</v>
      </c>
    </row>
    <row r="241" spans="1:15" x14ac:dyDescent="0.2">
      <c r="A241" s="6">
        <v>191</v>
      </c>
      <c r="B241" s="6" t="str">
        <f>VLOOKUP(Tabla4[[#This Row],[Codigo]],Tabla2[[Cod]:[Nombre ]],2,0)</f>
        <v>P-1179</v>
      </c>
      <c r="C241" s="53">
        <f>VLOOKUP(Tabla4[[#This Row],[Codigo]],Tabla2[[Cod]:[Nombre ]],3,0)</f>
        <v>44698</v>
      </c>
      <c r="D241" s="6" t="str">
        <f>VLOOKUP(Tabla4[[#This Row],[Codigo]],Tabla2[[Cod]:[Nombre ]],4,0)</f>
        <v>TIS-1126</v>
      </c>
      <c r="E241" s="5" t="str">
        <f>VLOOKUP(Tabla4[[#This Row],[Codigo]],Tabla2[[Cod]:[Nombre ]],8,0)</f>
        <v>SEQ CONSULTORES LTDA</v>
      </c>
      <c r="F241" s="5" t="str">
        <f>VLOOKUP(Tabla4[[#This Row],[Codigo]],Tabla2[[Cod]:[Nombre ]],6,0)</f>
        <v>Anulado</v>
      </c>
      <c r="G241" s="7" t="s">
        <v>433</v>
      </c>
      <c r="H241" s="21" t="s">
        <v>517</v>
      </c>
      <c r="I241" s="21" t="s">
        <v>571</v>
      </c>
      <c r="J241" s="163">
        <v>11</v>
      </c>
      <c r="K241" s="294">
        <v>59000</v>
      </c>
      <c r="L241" s="298"/>
      <c r="M241" s="292">
        <f>IF(LEFT(Tabla4[[#This Row],[Electronica]],2)="NC",-Tabla4[[#This Row],[Cantidad]]*Tabla4[[#This Row],[Precio]]+Tabla4[[#This Row],[Dto]],Tabla4[[#This Row],[Cantidad]]*Tabla4[[#This Row],[Precio]]-Tabla4[[#This Row],[Dto]])</f>
        <v>649000</v>
      </c>
      <c r="N241" s="292">
        <f>IFERROR(Tabla4[[#This Row],[Sub Total]]*VLOOKUP(Tabla4[[#This Row],[No]],Parametros!A:C,3,0),0)</f>
        <v>123310</v>
      </c>
      <c r="O241" s="292">
        <f>+Tabla4[[#This Row],[IVA]]+Tabla4[[#This Row],[Sub Total]]</f>
        <v>772310</v>
      </c>
    </row>
    <row r="242" spans="1:15" x14ac:dyDescent="0.2">
      <c r="A242" s="6">
        <v>191</v>
      </c>
      <c r="B242" s="6" t="str">
        <f>VLOOKUP(Tabla4[[#This Row],[Codigo]],Tabla2[[Cod]:[Nombre ]],2,0)</f>
        <v>P-1179</v>
      </c>
      <c r="C242" s="53">
        <f>VLOOKUP(Tabla4[[#This Row],[Codigo]],Tabla2[[Cod]:[Nombre ]],3,0)</f>
        <v>44698</v>
      </c>
      <c r="D242" s="6" t="str">
        <f>VLOOKUP(Tabla4[[#This Row],[Codigo]],Tabla2[[Cod]:[Nombre ]],4,0)</f>
        <v>TIS-1126</v>
      </c>
      <c r="E242" s="5" t="str">
        <f>VLOOKUP(Tabla4[[#This Row],[Codigo]],Tabla2[[Cod]:[Nombre ]],8,0)</f>
        <v>SEQ CONSULTORES LTDA</v>
      </c>
      <c r="F242" s="5" t="str">
        <f>VLOOKUP(Tabla4[[#This Row],[Codigo]],Tabla2[[Cod]:[Nombre ]],6,0)</f>
        <v>Anulado</v>
      </c>
      <c r="G242" s="7" t="s">
        <v>433</v>
      </c>
      <c r="H242" s="21" t="s">
        <v>517</v>
      </c>
      <c r="I242" s="21" t="s">
        <v>571</v>
      </c>
      <c r="J242" s="163">
        <v>13</v>
      </c>
      <c r="K242" s="294">
        <v>59000</v>
      </c>
      <c r="L242" s="298"/>
      <c r="M242" s="292">
        <f>IF(LEFT(Tabla4[[#This Row],[Electronica]],2)="NC",-Tabla4[[#This Row],[Cantidad]]*Tabla4[[#This Row],[Precio]]+Tabla4[[#This Row],[Dto]],Tabla4[[#This Row],[Cantidad]]*Tabla4[[#This Row],[Precio]]-Tabla4[[#This Row],[Dto]])</f>
        <v>767000</v>
      </c>
      <c r="N242" s="292">
        <f>IFERROR(Tabla4[[#This Row],[Sub Total]]*VLOOKUP(Tabla4[[#This Row],[No]],Parametros!A:C,3,0),0)</f>
        <v>145730</v>
      </c>
      <c r="O242" s="292">
        <f>+Tabla4[[#This Row],[IVA]]+Tabla4[[#This Row],[Sub Total]]</f>
        <v>912730</v>
      </c>
    </row>
    <row r="243" spans="1:15" x14ac:dyDescent="0.2">
      <c r="A243" s="6">
        <v>191</v>
      </c>
      <c r="B243" s="6" t="str">
        <f>VLOOKUP(Tabla4[[#This Row],[Codigo]],Tabla2[[Cod]:[Nombre ]],2,0)</f>
        <v>P-1179</v>
      </c>
      <c r="C243" s="53">
        <f>VLOOKUP(Tabla4[[#This Row],[Codigo]],Tabla2[[Cod]:[Nombre ]],3,0)</f>
        <v>44698</v>
      </c>
      <c r="D243" s="6" t="str">
        <f>VLOOKUP(Tabla4[[#This Row],[Codigo]],Tabla2[[Cod]:[Nombre ]],4,0)</f>
        <v>TIS-1126</v>
      </c>
      <c r="E243" s="5" t="str">
        <f>VLOOKUP(Tabla4[[#This Row],[Codigo]],Tabla2[[Cod]:[Nombre ]],8,0)</f>
        <v>SEQ CONSULTORES LTDA</v>
      </c>
      <c r="F243" s="5" t="str">
        <f>VLOOKUP(Tabla4[[#This Row],[Codigo]],Tabla2[[Cod]:[Nombre ]],6,0)</f>
        <v>Anulado</v>
      </c>
      <c r="G243" s="7" t="s">
        <v>433</v>
      </c>
      <c r="H243" s="21" t="s">
        <v>517</v>
      </c>
      <c r="I243" s="21" t="s">
        <v>571</v>
      </c>
      <c r="J243" s="163">
        <v>5</v>
      </c>
      <c r="K243" s="294">
        <v>300000</v>
      </c>
      <c r="L243" s="298"/>
      <c r="M243" s="292">
        <f>IF(LEFT(Tabla4[[#This Row],[Electronica]],2)="NC",-Tabla4[[#This Row],[Cantidad]]*Tabla4[[#This Row],[Precio]]+Tabla4[[#This Row],[Dto]],Tabla4[[#This Row],[Cantidad]]*Tabla4[[#This Row],[Precio]]-Tabla4[[#This Row],[Dto]])</f>
        <v>1500000</v>
      </c>
      <c r="N243" s="292">
        <f>IFERROR(Tabla4[[#This Row],[Sub Total]]*VLOOKUP(Tabla4[[#This Row],[No]],Parametros!A:C,3,0),0)</f>
        <v>285000</v>
      </c>
      <c r="O243" s="292">
        <f>+Tabla4[[#This Row],[IVA]]+Tabla4[[#This Row],[Sub Total]]</f>
        <v>1785000</v>
      </c>
    </row>
    <row r="244" spans="1:15" x14ac:dyDescent="0.2">
      <c r="A244" s="6">
        <v>191</v>
      </c>
      <c r="B244" s="6" t="str">
        <f>VLOOKUP(Tabla4[[#This Row],[Codigo]],Tabla2[[Cod]:[Nombre ]],2,0)</f>
        <v>P-1179</v>
      </c>
      <c r="C244" s="53">
        <f>VLOOKUP(Tabla4[[#This Row],[Codigo]],Tabla2[[Cod]:[Nombre ]],3,0)</f>
        <v>44698</v>
      </c>
      <c r="D244" s="6" t="str">
        <f>VLOOKUP(Tabla4[[#This Row],[Codigo]],Tabla2[[Cod]:[Nombre ]],4,0)</f>
        <v>TIS-1126</v>
      </c>
      <c r="E244" s="5" t="str">
        <f>VLOOKUP(Tabla4[[#This Row],[Codigo]],Tabla2[[Cod]:[Nombre ]],8,0)</f>
        <v>SEQ CONSULTORES LTDA</v>
      </c>
      <c r="F244" s="5" t="str">
        <f>VLOOKUP(Tabla4[[#This Row],[Codigo]],Tabla2[[Cod]:[Nombre ]],6,0)</f>
        <v>Anulado</v>
      </c>
      <c r="G244" s="7" t="s">
        <v>433</v>
      </c>
      <c r="H244" s="21" t="s">
        <v>517</v>
      </c>
      <c r="I244" s="21" t="s">
        <v>571</v>
      </c>
      <c r="J244" s="163">
        <v>3</v>
      </c>
      <c r="K244" s="294">
        <v>900000</v>
      </c>
      <c r="L244" s="298"/>
      <c r="M244" s="292">
        <f>IF(LEFT(Tabla4[[#This Row],[Electronica]],2)="NC",-Tabla4[[#This Row],[Cantidad]]*Tabla4[[#This Row],[Precio]]+Tabla4[[#This Row],[Dto]],Tabla4[[#This Row],[Cantidad]]*Tabla4[[#This Row],[Precio]]-Tabla4[[#This Row],[Dto]])</f>
        <v>2700000</v>
      </c>
      <c r="N244" s="292">
        <f>IFERROR(Tabla4[[#This Row],[Sub Total]]*VLOOKUP(Tabla4[[#This Row],[No]],Parametros!A:C,3,0),0)</f>
        <v>513000</v>
      </c>
      <c r="O244" s="292">
        <f>+Tabla4[[#This Row],[IVA]]+Tabla4[[#This Row],[Sub Total]]</f>
        <v>3213000</v>
      </c>
    </row>
    <row r="245" spans="1:15" x14ac:dyDescent="0.2">
      <c r="A245" s="6">
        <v>192</v>
      </c>
      <c r="B245" s="6" t="str">
        <f>VLOOKUP(Tabla4[[#This Row],[Codigo]],Tabla2[[Cod]:[Nombre ]],2,0)</f>
        <v>P-1180</v>
      </c>
      <c r="C245" s="53">
        <f>VLOOKUP(Tabla4[[#This Row],[Codigo]],Tabla2[[Cod]:[Nombre ]],3,0)</f>
        <v>44699</v>
      </c>
      <c r="D245" s="6" t="str">
        <f>VLOOKUP(Tabla4[[#This Row],[Codigo]],Tabla2[[Cod]:[Nombre ]],4,0)</f>
        <v>NC15</v>
      </c>
      <c r="E245" s="5" t="str">
        <f>VLOOKUP(Tabla4[[#This Row],[Codigo]],Tabla2[[Cod]:[Nombre ]],8,0)</f>
        <v>SEQ CONSULTORES LTDA</v>
      </c>
      <c r="F245" s="5" t="str">
        <f>VLOOKUP(Tabla4[[#This Row],[Codigo]],Tabla2[[Cod]:[Nombre ]],6,0)</f>
        <v>Anulado</v>
      </c>
      <c r="G245" s="7" t="s">
        <v>433</v>
      </c>
      <c r="H245" s="21" t="s">
        <v>517</v>
      </c>
      <c r="I245" s="21" t="s">
        <v>577</v>
      </c>
      <c r="J245" s="163">
        <v>11</v>
      </c>
      <c r="K245" s="294">
        <v>59000</v>
      </c>
      <c r="L245" s="298"/>
      <c r="M245" s="292">
        <f>IF(LEFT(Tabla4[[#This Row],[Electronica]],2)="NC",-Tabla4[[#This Row],[Cantidad]]*Tabla4[[#This Row],[Precio]]+Tabla4[[#This Row],[Dto]],Tabla4[[#This Row],[Cantidad]]*Tabla4[[#This Row],[Precio]]-Tabla4[[#This Row],[Dto]])</f>
        <v>-649000</v>
      </c>
      <c r="N245" s="292">
        <f>IFERROR(Tabla4[[#This Row],[Sub Total]]*VLOOKUP(Tabla4[[#This Row],[No]],Parametros!A:C,3,0),0)</f>
        <v>-123310</v>
      </c>
      <c r="O245" s="292">
        <f>+Tabla4[[#This Row],[IVA]]+Tabla4[[#This Row],[Sub Total]]</f>
        <v>-772310</v>
      </c>
    </row>
    <row r="246" spans="1:15" x14ac:dyDescent="0.2">
      <c r="A246" s="6">
        <v>192</v>
      </c>
      <c r="B246" s="6" t="str">
        <f>VLOOKUP(Tabla4[[#This Row],[Codigo]],Tabla2[[Cod]:[Nombre ]],2,0)</f>
        <v>P-1180</v>
      </c>
      <c r="C246" s="53">
        <f>VLOOKUP(Tabla4[[#This Row],[Codigo]],Tabla2[[Cod]:[Nombre ]],3,0)</f>
        <v>44699</v>
      </c>
      <c r="D246" s="6" t="str">
        <f>VLOOKUP(Tabla4[[#This Row],[Codigo]],Tabla2[[Cod]:[Nombre ]],4,0)</f>
        <v>NC15</v>
      </c>
      <c r="E246" s="5" t="str">
        <f>VLOOKUP(Tabla4[[#This Row],[Codigo]],Tabla2[[Cod]:[Nombre ]],8,0)</f>
        <v>SEQ CONSULTORES LTDA</v>
      </c>
      <c r="F246" s="5" t="str">
        <f>VLOOKUP(Tabla4[[#This Row],[Codigo]],Tabla2[[Cod]:[Nombre ]],6,0)</f>
        <v>Anulado</v>
      </c>
      <c r="G246" s="7" t="s">
        <v>433</v>
      </c>
      <c r="H246" s="21" t="s">
        <v>517</v>
      </c>
      <c r="I246" s="21" t="s">
        <v>577</v>
      </c>
      <c r="J246" s="163">
        <v>13</v>
      </c>
      <c r="K246" s="294">
        <v>59000</v>
      </c>
      <c r="L246" s="298"/>
      <c r="M246" s="292">
        <f>IF(LEFT(Tabla4[[#This Row],[Electronica]],2)="NC",-Tabla4[[#This Row],[Cantidad]]*Tabla4[[#This Row],[Precio]]+Tabla4[[#This Row],[Dto]],Tabla4[[#This Row],[Cantidad]]*Tabla4[[#This Row],[Precio]]-Tabla4[[#This Row],[Dto]])</f>
        <v>-767000</v>
      </c>
      <c r="N246" s="292">
        <f>IFERROR(Tabla4[[#This Row],[Sub Total]]*VLOOKUP(Tabla4[[#This Row],[No]],Parametros!A:C,3,0),0)</f>
        <v>-145730</v>
      </c>
      <c r="O246" s="292">
        <f>+Tabla4[[#This Row],[IVA]]+Tabla4[[#This Row],[Sub Total]]</f>
        <v>-912730</v>
      </c>
    </row>
    <row r="247" spans="1:15" x14ac:dyDescent="0.2">
      <c r="A247" s="6">
        <v>192</v>
      </c>
      <c r="B247" s="6" t="str">
        <f>VLOOKUP(Tabla4[[#This Row],[Codigo]],Tabla2[[Cod]:[Nombre ]],2,0)</f>
        <v>P-1180</v>
      </c>
      <c r="C247" s="53">
        <f>VLOOKUP(Tabla4[[#This Row],[Codigo]],Tabla2[[Cod]:[Nombre ]],3,0)</f>
        <v>44699</v>
      </c>
      <c r="D247" s="6" t="str">
        <f>VLOOKUP(Tabla4[[#This Row],[Codigo]],Tabla2[[Cod]:[Nombre ]],4,0)</f>
        <v>NC15</v>
      </c>
      <c r="E247" s="5" t="str">
        <f>VLOOKUP(Tabla4[[#This Row],[Codigo]],Tabla2[[Cod]:[Nombre ]],8,0)</f>
        <v>SEQ CONSULTORES LTDA</v>
      </c>
      <c r="F247" s="5" t="str">
        <f>VLOOKUP(Tabla4[[#This Row],[Codigo]],Tabla2[[Cod]:[Nombre ]],6,0)</f>
        <v>Anulado</v>
      </c>
      <c r="G247" s="7" t="s">
        <v>433</v>
      </c>
      <c r="H247" s="21" t="s">
        <v>517</v>
      </c>
      <c r="I247" s="21" t="s">
        <v>577</v>
      </c>
      <c r="J247" s="163">
        <v>5</v>
      </c>
      <c r="K247" s="294">
        <v>300000</v>
      </c>
      <c r="L247" s="298"/>
      <c r="M247" s="292">
        <f>IF(LEFT(Tabla4[[#This Row],[Electronica]],2)="NC",-Tabla4[[#This Row],[Cantidad]]*Tabla4[[#This Row],[Precio]]+Tabla4[[#This Row],[Dto]],Tabla4[[#This Row],[Cantidad]]*Tabla4[[#This Row],[Precio]]-Tabla4[[#This Row],[Dto]])</f>
        <v>-1500000</v>
      </c>
      <c r="N247" s="292">
        <f>IFERROR(Tabla4[[#This Row],[Sub Total]]*VLOOKUP(Tabla4[[#This Row],[No]],Parametros!A:C,3,0),0)</f>
        <v>-285000</v>
      </c>
      <c r="O247" s="292">
        <f>+Tabla4[[#This Row],[IVA]]+Tabla4[[#This Row],[Sub Total]]</f>
        <v>-1785000</v>
      </c>
    </row>
    <row r="248" spans="1:15" x14ac:dyDescent="0.2">
      <c r="A248" s="6">
        <v>192</v>
      </c>
      <c r="B248" s="6" t="str">
        <f>VLOOKUP(Tabla4[[#This Row],[Codigo]],Tabla2[[Cod]:[Nombre ]],2,0)</f>
        <v>P-1180</v>
      </c>
      <c r="C248" s="53">
        <f>VLOOKUP(Tabla4[[#This Row],[Codigo]],Tabla2[[Cod]:[Nombre ]],3,0)</f>
        <v>44699</v>
      </c>
      <c r="D248" s="6" t="str">
        <f>VLOOKUP(Tabla4[[#This Row],[Codigo]],Tabla2[[Cod]:[Nombre ]],4,0)</f>
        <v>NC15</v>
      </c>
      <c r="E248" s="5" t="str">
        <f>VLOOKUP(Tabla4[[#This Row],[Codigo]],Tabla2[[Cod]:[Nombre ]],8,0)</f>
        <v>SEQ CONSULTORES LTDA</v>
      </c>
      <c r="F248" s="5" t="str">
        <f>VLOOKUP(Tabla4[[#This Row],[Codigo]],Tabla2[[Cod]:[Nombre ]],6,0)</f>
        <v>Anulado</v>
      </c>
      <c r="G248" s="7" t="s">
        <v>433</v>
      </c>
      <c r="H248" s="21" t="s">
        <v>517</v>
      </c>
      <c r="I248" s="21" t="s">
        <v>577</v>
      </c>
      <c r="J248" s="163">
        <v>3</v>
      </c>
      <c r="K248" s="294">
        <v>900000</v>
      </c>
      <c r="L248" s="298"/>
      <c r="M248" s="292">
        <f>IF(LEFT(Tabla4[[#This Row],[Electronica]],2)="NC",-Tabla4[[#This Row],[Cantidad]]*Tabla4[[#This Row],[Precio]]+Tabla4[[#This Row],[Dto]],Tabla4[[#This Row],[Cantidad]]*Tabla4[[#This Row],[Precio]]-Tabla4[[#This Row],[Dto]])</f>
        <v>-2700000</v>
      </c>
      <c r="N248" s="292">
        <f>IFERROR(Tabla4[[#This Row],[Sub Total]]*VLOOKUP(Tabla4[[#This Row],[No]],Parametros!A:C,3,0),0)</f>
        <v>-513000</v>
      </c>
      <c r="O248" s="292">
        <f>+Tabla4[[#This Row],[IVA]]+Tabla4[[#This Row],[Sub Total]]</f>
        <v>-3213000</v>
      </c>
    </row>
    <row r="249" spans="1:15" ht="24" x14ac:dyDescent="0.2">
      <c r="A249" s="6">
        <v>193</v>
      </c>
      <c r="B249" s="6" t="str">
        <f>VLOOKUP(Tabla4[[#This Row],[Codigo]],Tabla2[[Cod]:[Nombre ]],2,0)</f>
        <v>P-1181</v>
      </c>
      <c r="C249" s="53">
        <f>VLOOKUP(Tabla4[[#This Row],[Codigo]],Tabla2[[Cod]:[Nombre ]],3,0)</f>
        <v>44713</v>
      </c>
      <c r="D249" s="6" t="str">
        <f>VLOOKUP(Tabla4[[#This Row],[Codigo]],Tabla2[[Cod]:[Nombre ]],4,0)</f>
        <v>TIS-1128</v>
      </c>
      <c r="E249" s="5" t="str">
        <f>VLOOKUP(Tabla4[[#This Row],[Codigo]],Tabla2[[Cod]:[Nombre ]],8,0)</f>
        <v>Universidad Santo Tomas</v>
      </c>
      <c r="F249" s="5" t="str">
        <f>VLOOKUP(Tabla4[[#This Row],[Codigo]],Tabla2[[Cod]:[Nombre ]],6,0)</f>
        <v>Anulado</v>
      </c>
      <c r="G249" s="7" t="s">
        <v>282</v>
      </c>
      <c r="H249" s="21" t="s">
        <v>16</v>
      </c>
      <c r="I249" s="21" t="s">
        <v>578</v>
      </c>
      <c r="J249" s="163">
        <v>500</v>
      </c>
      <c r="K249" s="294">
        <v>29750</v>
      </c>
      <c r="L249" s="298"/>
      <c r="M249" s="292">
        <f>IF(LEFT(Tabla4[[#This Row],[Electronica]],2)="NC",-Tabla4[[#This Row],[Cantidad]]*Tabla4[[#This Row],[Precio]]+Tabla4[[#This Row],[Dto]],Tabla4[[#This Row],[Cantidad]]*Tabla4[[#This Row],[Precio]]-Tabla4[[#This Row],[Dto]])</f>
        <v>14875000</v>
      </c>
      <c r="N249" s="292">
        <f>IFERROR(Tabla4[[#This Row],[Sub Total]]*VLOOKUP(Tabla4[[#This Row],[No]],Parametros!A:C,3,0),0)</f>
        <v>2826250</v>
      </c>
      <c r="O249" s="292">
        <f>+Tabla4[[#This Row],[IVA]]+Tabla4[[#This Row],[Sub Total]]</f>
        <v>17701250</v>
      </c>
    </row>
    <row r="250" spans="1:15" ht="24" x14ac:dyDescent="0.2">
      <c r="A250" s="6">
        <v>194</v>
      </c>
      <c r="B250" s="6" t="str">
        <f>VLOOKUP(Tabla4[[#This Row],[Codigo]],Tabla2[[Cod]:[Nombre ]],2,0)</f>
        <v>P-1182</v>
      </c>
      <c r="C250" s="53">
        <f>VLOOKUP(Tabla4[[#This Row],[Codigo]],Tabla2[[Cod]:[Nombre ]],3,0)</f>
        <v>44714</v>
      </c>
      <c r="D250" s="6" t="str">
        <f>VLOOKUP(Tabla4[[#This Row],[Codigo]],Tabla2[[Cod]:[Nombre ]],4,0)</f>
        <v>NC16</v>
      </c>
      <c r="E250" s="5" t="str">
        <f>VLOOKUP(Tabla4[[#This Row],[Codigo]],Tabla2[[Cod]:[Nombre ]],8,0)</f>
        <v>Universidad Santo Tomas</v>
      </c>
      <c r="F250" s="5" t="str">
        <f>VLOOKUP(Tabla4[[#This Row],[Codigo]],Tabla2[[Cod]:[Nombre ]],6,0)</f>
        <v>Anulado</v>
      </c>
      <c r="G250" s="7" t="s">
        <v>282</v>
      </c>
      <c r="H250" s="21" t="s">
        <v>16</v>
      </c>
      <c r="I250" s="21" t="s">
        <v>579</v>
      </c>
      <c r="J250" s="163">
        <v>500</v>
      </c>
      <c r="K250" s="294">
        <v>29750</v>
      </c>
      <c r="L250" s="298"/>
      <c r="M250" s="292">
        <f>IF(LEFT(Tabla4[[#This Row],[Electronica]],2)="NC",-Tabla4[[#This Row],[Cantidad]]*Tabla4[[#This Row],[Precio]]+Tabla4[[#This Row],[Dto]],Tabla4[[#This Row],[Cantidad]]*Tabla4[[#This Row],[Precio]]-Tabla4[[#This Row],[Dto]])</f>
        <v>-14875000</v>
      </c>
      <c r="N250" s="292">
        <f>IFERROR(Tabla4[[#This Row],[Sub Total]]*VLOOKUP(Tabla4[[#This Row],[No]],Parametros!A:C,3,0),0)</f>
        <v>-2826250</v>
      </c>
      <c r="O250" s="292">
        <f>+Tabla4[[#This Row],[IVA]]+Tabla4[[#This Row],[Sub Total]]</f>
        <v>-17701250</v>
      </c>
    </row>
    <row r="251" spans="1:15" ht="24" x14ac:dyDescent="0.2">
      <c r="A251" s="6">
        <v>195</v>
      </c>
      <c r="B251" s="6" t="str">
        <f>VLOOKUP(Tabla4[[#This Row],[Codigo]],Tabla2[[Cod]:[Nombre ]],2,0)</f>
        <v>P-1183</v>
      </c>
      <c r="C251" s="53">
        <f>VLOOKUP(Tabla4[[#This Row],[Codigo]],Tabla2[[Cod]:[Nombre ]],3,0)</f>
        <v>44735</v>
      </c>
      <c r="D251" s="6" t="str">
        <f>VLOOKUP(Tabla4[[#This Row],[Codigo]],Tabla2[[Cod]:[Nombre ]],4,0)</f>
        <v>TIS-1141</v>
      </c>
      <c r="E251" s="5" t="str">
        <f>VLOOKUP(Tabla4[[#This Row],[Codigo]],Tabla2[[Cod]:[Nombre ]],8,0)</f>
        <v>Universidad Santo Tomas</v>
      </c>
      <c r="F251" s="5" t="str">
        <f>VLOOKUP(Tabla4[[#This Row],[Codigo]],Tabla2[[Cod]:[Nombre ]],6,0)</f>
        <v>Anulado</v>
      </c>
      <c r="G251" s="7" t="s">
        <v>282</v>
      </c>
      <c r="H251" s="21" t="s">
        <v>16</v>
      </c>
      <c r="I251" s="21" t="s">
        <v>578</v>
      </c>
      <c r="J251" s="163">
        <v>414</v>
      </c>
      <c r="K251" s="294">
        <v>25000</v>
      </c>
      <c r="L251" s="298"/>
      <c r="M251" s="292">
        <f>IF(LEFT(Tabla4[[#This Row],[Electronica]],2)="NC",-Tabla4[[#This Row],[Cantidad]]*Tabla4[[#This Row],[Precio]]+Tabla4[[#This Row],[Dto]],Tabla4[[#This Row],[Cantidad]]*Tabla4[[#This Row],[Precio]]-Tabla4[[#This Row],[Dto]])</f>
        <v>10350000</v>
      </c>
      <c r="N251" s="292">
        <f>IFERROR(Tabla4[[#This Row],[Sub Total]]*VLOOKUP(Tabla4[[#This Row],[No]],Parametros!A:C,3,0),0)</f>
        <v>1966500</v>
      </c>
      <c r="O251" s="292">
        <f>+Tabla4[[#This Row],[IVA]]+Tabla4[[#This Row],[Sub Total]]</f>
        <v>12316500</v>
      </c>
    </row>
    <row r="252" spans="1:15" ht="24" x14ac:dyDescent="0.2">
      <c r="A252" s="6">
        <v>196</v>
      </c>
      <c r="B252" s="6" t="str">
        <f>VLOOKUP(Tabla4[[#This Row],[Codigo]],Tabla2[[Cod]:[Nombre ]],2,0)</f>
        <v>P-1184</v>
      </c>
      <c r="C252" s="53">
        <f>VLOOKUP(Tabla4[[#This Row],[Codigo]],Tabla2[[Cod]:[Nombre ]],3,0)</f>
        <v>44735</v>
      </c>
      <c r="D252" s="6" t="str">
        <f>VLOOKUP(Tabla4[[#This Row],[Codigo]],Tabla2[[Cod]:[Nombre ]],4,0)</f>
        <v>NC18</v>
      </c>
      <c r="E252" s="5" t="str">
        <f>VLOOKUP(Tabla4[[#This Row],[Codigo]],Tabla2[[Cod]:[Nombre ]],8,0)</f>
        <v>Universidad Santo Tomas</v>
      </c>
      <c r="F252" s="5" t="str">
        <f>VLOOKUP(Tabla4[[#This Row],[Codigo]],Tabla2[[Cod]:[Nombre ]],6,0)</f>
        <v>Anulado</v>
      </c>
      <c r="G252" s="7" t="s">
        <v>282</v>
      </c>
      <c r="H252" s="21" t="s">
        <v>16</v>
      </c>
      <c r="I252" s="21" t="s">
        <v>579</v>
      </c>
      <c r="J252" s="163">
        <v>414</v>
      </c>
      <c r="K252" s="294">
        <v>25000</v>
      </c>
      <c r="L252" s="298"/>
      <c r="M252" s="292">
        <f>IF(LEFT(Tabla4[[#This Row],[Electronica]],2)="NC",-Tabla4[[#This Row],[Cantidad]]*Tabla4[[#This Row],[Precio]]+Tabla4[[#This Row],[Dto]],Tabla4[[#This Row],[Cantidad]]*Tabla4[[#This Row],[Precio]]-Tabla4[[#This Row],[Dto]])</f>
        <v>-10350000</v>
      </c>
      <c r="N252" s="292">
        <f>IFERROR(Tabla4[[#This Row],[Sub Total]]*VLOOKUP(Tabla4[[#This Row],[No]],Parametros!A:C,3,0),0)</f>
        <v>-1966500</v>
      </c>
      <c r="O252" s="292">
        <f>+Tabla4[[#This Row],[IVA]]+Tabla4[[#This Row],[Sub Total]]</f>
        <v>-12316500</v>
      </c>
    </row>
    <row r="253" spans="1:15" ht="24" x14ac:dyDescent="0.2">
      <c r="A253" s="6">
        <v>197</v>
      </c>
      <c r="B253" s="6" t="str">
        <f>VLOOKUP(Tabla4[[#This Row],[Codigo]],Tabla2[[Cod]:[Nombre ]],2,0)</f>
        <v>P-1185</v>
      </c>
      <c r="C253" s="53">
        <f>VLOOKUP(Tabla4[[#This Row],[Codigo]],Tabla2[[Cod]:[Nombre ]],3,0)</f>
        <v>44747</v>
      </c>
      <c r="D253" s="6" t="str">
        <f>VLOOKUP(Tabla4[[#This Row],[Codigo]],Tabla2[[Cod]:[Nombre ]],4,0)</f>
        <v>TIS-1143</v>
      </c>
      <c r="E253" s="5" t="str">
        <f>VLOOKUP(Tabla4[[#This Row],[Codigo]],Tabla2[[Cod]:[Nombre ]],8,0)</f>
        <v>Universidad Santo Tomas</v>
      </c>
      <c r="F253" s="5" t="str">
        <f>VLOOKUP(Tabla4[[#This Row],[Codigo]],Tabla2[[Cod]:[Nombre ]],6,0)</f>
        <v>Anulado</v>
      </c>
      <c r="G253" s="7" t="s">
        <v>282</v>
      </c>
      <c r="H253" s="21" t="s">
        <v>16</v>
      </c>
      <c r="I253" s="21" t="s">
        <v>580</v>
      </c>
      <c r="J253" s="163">
        <v>414</v>
      </c>
      <c r="K253" s="294">
        <v>25000</v>
      </c>
      <c r="L253" s="298"/>
      <c r="M253" s="292">
        <f>IF(LEFT(Tabla4[[#This Row],[Electronica]],2)="NC",-Tabla4[[#This Row],[Cantidad]]*Tabla4[[#This Row],[Precio]]+Tabla4[[#This Row],[Dto]],Tabla4[[#This Row],[Cantidad]]*Tabla4[[#This Row],[Precio]]-Tabla4[[#This Row],[Dto]])</f>
        <v>10350000</v>
      </c>
      <c r="N253" s="292">
        <f>IFERROR(Tabla4[[#This Row],[Sub Total]]*VLOOKUP(Tabla4[[#This Row],[No]],Parametros!A:C,3,0),0)</f>
        <v>1966500</v>
      </c>
      <c r="O253" s="292">
        <f>+Tabla4[[#This Row],[IVA]]+Tabla4[[#This Row],[Sub Total]]</f>
        <v>12316500</v>
      </c>
    </row>
    <row r="254" spans="1:15" ht="24" x14ac:dyDescent="0.2">
      <c r="A254" s="6">
        <v>198</v>
      </c>
      <c r="B254" s="6" t="str">
        <f>VLOOKUP(Tabla4[[#This Row],[Codigo]],Tabla2[[Cod]:[Nombre ]],2,0)</f>
        <v>P-1186</v>
      </c>
      <c r="C254" s="53">
        <f>VLOOKUP(Tabla4[[#This Row],[Codigo]],Tabla2[[Cod]:[Nombre ]],3,0)</f>
        <v>44747</v>
      </c>
      <c r="D254" s="6" t="str">
        <f>VLOOKUP(Tabla4[[#This Row],[Codigo]],Tabla2[[Cod]:[Nombre ]],4,0)</f>
        <v>NC19</v>
      </c>
      <c r="E254" s="5" t="str">
        <f>VLOOKUP(Tabla4[[#This Row],[Codigo]],Tabla2[[Cod]:[Nombre ]],8,0)</f>
        <v>Universidad Santo Tomas</v>
      </c>
      <c r="F254" s="5" t="str">
        <f>VLOOKUP(Tabla4[[#This Row],[Codigo]],Tabla2[[Cod]:[Nombre ]],6,0)</f>
        <v>Anulado</v>
      </c>
      <c r="G254" s="7" t="s">
        <v>282</v>
      </c>
      <c r="H254" s="21" t="s">
        <v>16</v>
      </c>
      <c r="I254" s="21" t="s">
        <v>581</v>
      </c>
      <c r="J254" s="163">
        <v>414</v>
      </c>
      <c r="K254" s="294">
        <v>25000</v>
      </c>
      <c r="L254" s="298"/>
      <c r="M254" s="292">
        <f>IF(LEFT(Tabla4[[#This Row],[Electronica]],2)="NC",-Tabla4[[#This Row],[Cantidad]]*Tabla4[[#This Row],[Precio]]+Tabla4[[#This Row],[Dto]],Tabla4[[#This Row],[Cantidad]]*Tabla4[[#This Row],[Precio]]-Tabla4[[#This Row],[Dto]])</f>
        <v>-10350000</v>
      </c>
      <c r="N254" s="292">
        <f>IFERROR(Tabla4[[#This Row],[Sub Total]]*VLOOKUP(Tabla4[[#This Row],[No]],Parametros!A:C,3,0),0)</f>
        <v>-1966500</v>
      </c>
      <c r="O254" s="292">
        <f>+Tabla4[[#This Row],[IVA]]+Tabla4[[#This Row],[Sub Total]]</f>
        <v>-12316500</v>
      </c>
    </row>
    <row r="255" spans="1:15" ht="24" x14ac:dyDescent="0.2">
      <c r="A255" s="6">
        <v>199</v>
      </c>
      <c r="B255" s="6" t="str">
        <f>VLOOKUP(Tabla4[[#This Row],[Codigo]],Tabla2[[Cod]:[Nombre ]],2,0)</f>
        <v>P-1187</v>
      </c>
      <c r="C255" s="53">
        <f>VLOOKUP(Tabla4[[#This Row],[Codigo]],Tabla2[[Cod]:[Nombre ]],3,0)</f>
        <v>44774</v>
      </c>
      <c r="D255" s="6" t="str">
        <f>VLOOKUP(Tabla4[[#This Row],[Codigo]],Tabla2[[Cod]:[Nombre ]],4,0)</f>
        <v>TIS-1151</v>
      </c>
      <c r="E255" s="5" t="str">
        <f>VLOOKUP(Tabla4[[#This Row],[Codigo]],Tabla2[[Cod]:[Nombre ]],8,0)</f>
        <v>Banco de Bogota S.A.</v>
      </c>
      <c r="F255" s="5" t="str">
        <f>VLOOKUP(Tabla4[[#This Row],[Codigo]],Tabla2[[Cod]:[Nombre ]],6,0)</f>
        <v>Anulado</v>
      </c>
      <c r="G255" s="7" t="s">
        <v>282</v>
      </c>
      <c r="H255" s="21" t="s">
        <v>16</v>
      </c>
      <c r="I255" s="21" t="s">
        <v>559</v>
      </c>
      <c r="J255" s="163">
        <v>1</v>
      </c>
      <c r="K255" s="294">
        <v>22800000</v>
      </c>
      <c r="L255" s="298"/>
      <c r="M255" s="292">
        <f>IF(LEFT(Tabla4[[#This Row],[Electronica]],2)="NC",-Tabla4[[#This Row],[Cantidad]]*Tabla4[[#This Row],[Precio]]+Tabla4[[#This Row],[Dto]],Tabla4[[#This Row],[Cantidad]]*Tabla4[[#This Row],[Precio]]-Tabla4[[#This Row],[Dto]])</f>
        <v>22800000</v>
      </c>
      <c r="N255" s="292">
        <f>IFERROR(Tabla4[[#This Row],[Sub Total]]*VLOOKUP(Tabla4[[#This Row],[No]],Parametros!A:C,3,0),0)</f>
        <v>4332000</v>
      </c>
      <c r="O255" s="292">
        <f>+Tabla4[[#This Row],[IVA]]+Tabla4[[#This Row],[Sub Total]]</f>
        <v>27132000</v>
      </c>
    </row>
    <row r="256" spans="1:15" ht="24" x14ac:dyDescent="0.2">
      <c r="A256" s="6">
        <v>200</v>
      </c>
      <c r="B256" s="6" t="str">
        <f>VLOOKUP(Tabla4[[#This Row],[Codigo]],Tabla2[[Cod]:[Nombre ]],2,0)</f>
        <v>P-1188</v>
      </c>
      <c r="C256" s="53">
        <f>VLOOKUP(Tabla4[[#This Row],[Codigo]],Tabla2[[Cod]:[Nombre ]],3,0)</f>
        <v>44792</v>
      </c>
      <c r="D256" s="6" t="str">
        <f>VLOOKUP(Tabla4[[#This Row],[Codigo]],Tabla2[[Cod]:[Nombre ]],4,0)</f>
        <v>NC22</v>
      </c>
      <c r="E256" s="5" t="str">
        <f>VLOOKUP(Tabla4[[#This Row],[Codigo]],Tabla2[[Cod]:[Nombre ]],8,0)</f>
        <v>Banco de Bogota S.A.</v>
      </c>
      <c r="F256" s="5" t="str">
        <f>VLOOKUP(Tabla4[[#This Row],[Codigo]],Tabla2[[Cod]:[Nombre ]],6,0)</f>
        <v>Anulado</v>
      </c>
      <c r="G256" s="7" t="s">
        <v>282</v>
      </c>
      <c r="H256" s="21" t="s">
        <v>16</v>
      </c>
      <c r="I256" s="21" t="s">
        <v>582</v>
      </c>
      <c r="J256" s="163">
        <v>1</v>
      </c>
      <c r="K256" s="294">
        <v>22800000</v>
      </c>
      <c r="L256" s="298"/>
      <c r="M256" s="292">
        <f>IF(LEFT(Tabla4[[#This Row],[Electronica]],2)="NC",-Tabla4[[#This Row],[Cantidad]]*Tabla4[[#This Row],[Precio]]+Tabla4[[#This Row],[Dto]],Tabla4[[#This Row],[Cantidad]]*Tabla4[[#This Row],[Precio]]-Tabla4[[#This Row],[Dto]])</f>
        <v>-22800000</v>
      </c>
      <c r="N256" s="292">
        <f>IFERROR(Tabla4[[#This Row],[Sub Total]]*VLOOKUP(Tabla4[[#This Row],[No]],Parametros!A:C,3,0),0)</f>
        <v>-4332000</v>
      </c>
      <c r="O256" s="292">
        <f>+Tabla4[[#This Row],[IVA]]+Tabla4[[#This Row],[Sub Total]]</f>
        <v>-27132000</v>
      </c>
    </row>
    <row r="257" spans="1:15" ht="30" x14ac:dyDescent="0.2">
      <c r="A257" s="6">
        <v>201</v>
      </c>
      <c r="B257" s="6" t="str">
        <f>VLOOKUP(Tabla4[[#This Row],[Codigo]],Tabla2[[Cod]:[Nombre ]],2,0)</f>
        <v>P-1189</v>
      </c>
      <c r="C257" s="53">
        <f>VLOOKUP(Tabla4[[#This Row],[Codigo]],Tabla2[[Cod]:[Nombre ]],3,0)</f>
        <v>44775</v>
      </c>
      <c r="D257" s="6" t="str">
        <f>VLOOKUP(Tabla4[[#This Row],[Codigo]],Tabla2[[Cod]:[Nombre ]],4,0)</f>
        <v>TIS-1152</v>
      </c>
      <c r="E257" s="5" t="str">
        <f>VLOOKUP(Tabla4[[#This Row],[Codigo]],Tabla2[[Cod]:[Nombre ]],8,0)</f>
        <v>BETA SERVICIOS TEMPORALES S A S</v>
      </c>
      <c r="F257" s="5" t="str">
        <f>VLOOKUP(Tabla4[[#This Row],[Codigo]],Tabla2[[Cod]:[Nombre ]],6,0)</f>
        <v>Anulado</v>
      </c>
      <c r="G257" s="7" t="s">
        <v>413</v>
      </c>
      <c r="H257" s="21" t="s">
        <v>583</v>
      </c>
      <c r="I257" s="21" t="s">
        <v>559</v>
      </c>
      <c r="J257" s="163">
        <v>9</v>
      </c>
      <c r="K257" s="294">
        <v>25000</v>
      </c>
      <c r="L257" s="298"/>
      <c r="M257" s="292">
        <f>IF(LEFT(Tabla4[[#This Row],[Electronica]],2)="NC",-Tabla4[[#This Row],[Cantidad]]*Tabla4[[#This Row],[Precio]]+Tabla4[[#This Row],[Dto]],Tabla4[[#This Row],[Cantidad]]*Tabla4[[#This Row],[Precio]]-Tabla4[[#This Row],[Dto]])</f>
        <v>225000</v>
      </c>
      <c r="N257" s="292">
        <f>IFERROR(Tabla4[[#This Row],[Sub Total]]*VLOOKUP(Tabla4[[#This Row],[No]],Parametros!A:C,3,0),0)</f>
        <v>42750</v>
      </c>
      <c r="O257" s="292">
        <f>+Tabla4[[#This Row],[IVA]]+Tabla4[[#This Row],[Sub Total]]</f>
        <v>267750</v>
      </c>
    </row>
    <row r="258" spans="1:15" ht="30" x14ac:dyDescent="0.2">
      <c r="A258" s="6">
        <v>202</v>
      </c>
      <c r="B258" s="6" t="str">
        <f>VLOOKUP(Tabla4[[#This Row],[Codigo]],Tabla2[[Cod]:[Nombre ]],2,0)</f>
        <v>P-1190</v>
      </c>
      <c r="C258" s="53">
        <f>VLOOKUP(Tabla4[[#This Row],[Codigo]],Tabla2[[Cod]:[Nombre ]],3,0)</f>
        <v>44775</v>
      </c>
      <c r="D258" s="6" t="str">
        <f>VLOOKUP(Tabla4[[#This Row],[Codigo]],Tabla2[[Cod]:[Nombre ]],4,0)</f>
        <v>NC20</v>
      </c>
      <c r="E258" s="5" t="str">
        <f>VLOOKUP(Tabla4[[#This Row],[Codigo]],Tabla2[[Cod]:[Nombre ]],8,0)</f>
        <v>BETA SERVICIOS TEMPORALES S A S</v>
      </c>
      <c r="F258" s="5" t="str">
        <f>VLOOKUP(Tabla4[[#This Row],[Codigo]],Tabla2[[Cod]:[Nombre ]],6,0)</f>
        <v>Anulado</v>
      </c>
      <c r="G258" s="7" t="s">
        <v>282</v>
      </c>
      <c r="H258" s="21" t="s">
        <v>16</v>
      </c>
      <c r="I258" s="21" t="s">
        <v>584</v>
      </c>
      <c r="J258" s="163">
        <v>9</v>
      </c>
      <c r="K258" s="294">
        <v>25000</v>
      </c>
      <c r="L258" s="298"/>
      <c r="M258" s="292">
        <f>IF(LEFT(Tabla4[[#This Row],[Electronica]],2)="NC",-Tabla4[[#This Row],[Cantidad]]*Tabla4[[#This Row],[Precio]]+Tabla4[[#This Row],[Dto]],Tabla4[[#This Row],[Cantidad]]*Tabla4[[#This Row],[Precio]]-Tabla4[[#This Row],[Dto]])</f>
        <v>-225000</v>
      </c>
      <c r="N258" s="292">
        <f>IFERROR(Tabla4[[#This Row],[Sub Total]]*VLOOKUP(Tabla4[[#This Row],[No]],Parametros!A:C,3,0),0)</f>
        <v>-42750</v>
      </c>
      <c r="O258" s="292">
        <f>+Tabla4[[#This Row],[IVA]]+Tabla4[[#This Row],[Sub Total]]</f>
        <v>-267750</v>
      </c>
    </row>
    <row r="259" spans="1:15" ht="30" x14ac:dyDescent="0.2">
      <c r="A259" s="6">
        <v>203</v>
      </c>
      <c r="B259" s="6" t="str">
        <f>VLOOKUP(Tabla4[[#This Row],[Codigo]],Tabla2[[Cod]:[Nombre ]],2,0)</f>
        <v>P-1191</v>
      </c>
      <c r="C259" s="53">
        <f>VLOOKUP(Tabla4[[#This Row],[Codigo]],Tabla2[[Cod]:[Nombre ]],3,0)</f>
        <v>44775</v>
      </c>
      <c r="D259" s="6" t="str">
        <f>VLOOKUP(Tabla4[[#This Row],[Codigo]],Tabla2[[Cod]:[Nombre ]],4,0)</f>
        <v>TIS-1154</v>
      </c>
      <c r="E259" s="5" t="str">
        <f>VLOOKUP(Tabla4[[#This Row],[Codigo]],Tabla2[[Cod]:[Nombre ]],8,0)</f>
        <v>BETA SERVICIOS TEMPORALES S A S</v>
      </c>
      <c r="F259" s="5" t="str">
        <f>VLOOKUP(Tabla4[[#This Row],[Codigo]],Tabla2[[Cod]:[Nombre ]],6,0)</f>
        <v>Anulado</v>
      </c>
      <c r="G259" s="7" t="s">
        <v>282</v>
      </c>
      <c r="H259" s="21" t="s">
        <v>16</v>
      </c>
      <c r="I259" s="21" t="s">
        <v>585</v>
      </c>
      <c r="J259" s="163">
        <v>9</v>
      </c>
      <c r="K259" s="294">
        <v>25000</v>
      </c>
      <c r="L259" s="298"/>
      <c r="M259" s="292">
        <f>IF(LEFT(Tabla4[[#This Row],[Electronica]],2)="NC",-Tabla4[[#This Row],[Cantidad]]*Tabla4[[#This Row],[Precio]]+Tabla4[[#This Row],[Dto]],Tabla4[[#This Row],[Cantidad]]*Tabla4[[#This Row],[Precio]]-Tabla4[[#This Row],[Dto]])</f>
        <v>225000</v>
      </c>
      <c r="N259" s="292">
        <f>IFERROR(Tabla4[[#This Row],[Sub Total]]*VLOOKUP(Tabla4[[#This Row],[No]],Parametros!A:C,3,0),0)</f>
        <v>42750</v>
      </c>
      <c r="O259" s="292">
        <f>+Tabla4[[#This Row],[IVA]]+Tabla4[[#This Row],[Sub Total]]</f>
        <v>267750</v>
      </c>
    </row>
    <row r="260" spans="1:15" ht="30" x14ac:dyDescent="0.2">
      <c r="A260" s="6">
        <v>204</v>
      </c>
      <c r="B260" s="6" t="str">
        <f>VLOOKUP(Tabla4[[#This Row],[Codigo]],Tabla2[[Cod]:[Nombre ]],2,0)</f>
        <v>P-1192</v>
      </c>
      <c r="C260" s="53">
        <f>VLOOKUP(Tabla4[[#This Row],[Codigo]],Tabla2[[Cod]:[Nombre ]],3,0)</f>
        <v>44838</v>
      </c>
      <c r="D260" s="6" t="str">
        <f>VLOOKUP(Tabla4[[#This Row],[Codigo]],Tabla2[[Cod]:[Nombre ]],4,0)</f>
        <v>TIS-1179</v>
      </c>
      <c r="E260" s="5" t="str">
        <f>VLOOKUP(Tabla4[[#This Row],[Codigo]],Tabla2[[Cod]:[Nombre ]],8,0)</f>
        <v>BETA SERVICIOS TEMPORALES S A S</v>
      </c>
      <c r="F260" s="5" t="str">
        <f>VLOOKUP(Tabla4[[#This Row],[Codigo]],Tabla2[[Cod]:[Nombre ]],6,0)</f>
        <v>OK</v>
      </c>
      <c r="G260" s="7" t="s">
        <v>282</v>
      </c>
      <c r="H260" s="21" t="s">
        <v>16</v>
      </c>
      <c r="I260" s="21" t="s">
        <v>568</v>
      </c>
      <c r="J260" s="163">
        <v>9</v>
      </c>
      <c r="K260" s="294">
        <v>25000</v>
      </c>
      <c r="L260" s="298"/>
      <c r="M260" s="292">
        <f>IF(LEFT(Tabla4[[#This Row],[Electronica]],2)="NC",-Tabla4[[#This Row],[Cantidad]]*Tabla4[[#This Row],[Precio]]+Tabla4[[#This Row],[Dto]],Tabla4[[#This Row],[Cantidad]]*Tabla4[[#This Row],[Precio]]-Tabla4[[#This Row],[Dto]])</f>
        <v>225000</v>
      </c>
      <c r="N260" s="292">
        <f>IFERROR(Tabla4[[#This Row],[Sub Total]]*VLOOKUP(Tabla4[[#This Row],[No]],Parametros!A:C,3,0),0)</f>
        <v>42750</v>
      </c>
      <c r="O260" s="292">
        <f>+Tabla4[[#This Row],[IVA]]+Tabla4[[#This Row],[Sub Total]]</f>
        <v>267750</v>
      </c>
    </row>
    <row r="261" spans="1:15" ht="30" x14ac:dyDescent="0.2">
      <c r="A261" s="6">
        <v>205</v>
      </c>
      <c r="B261" s="6" t="str">
        <f>VLOOKUP(Tabla4[[#This Row],[Codigo]],Tabla2[[Cod]:[Nombre ]],2,0)</f>
        <v>P-1193</v>
      </c>
      <c r="C261" s="53">
        <f>VLOOKUP(Tabla4[[#This Row],[Codigo]],Tabla2[[Cod]:[Nombre ]],3,0)</f>
        <v>44838</v>
      </c>
      <c r="D261" s="6" t="str">
        <f>VLOOKUP(Tabla4[[#This Row],[Codigo]],Tabla2[[Cod]:[Nombre ]],4,0)</f>
        <v>NC25</v>
      </c>
      <c r="E261" s="5" t="str">
        <f>VLOOKUP(Tabla4[[#This Row],[Codigo]],Tabla2[[Cod]:[Nombre ]],8,0)</f>
        <v>BETA SERVICIOS TEMPORALES S A S</v>
      </c>
      <c r="F261" s="5" t="str">
        <f>VLOOKUP(Tabla4[[#This Row],[Codigo]],Tabla2[[Cod]:[Nombre ]],6,0)</f>
        <v>Anulado</v>
      </c>
      <c r="G261" s="7" t="s">
        <v>282</v>
      </c>
      <c r="H261" s="21" t="s">
        <v>16</v>
      </c>
      <c r="I261" s="21" t="s">
        <v>586</v>
      </c>
      <c r="J261" s="163">
        <v>9</v>
      </c>
      <c r="K261" s="294">
        <v>25000</v>
      </c>
      <c r="L261" s="298"/>
      <c r="M261" s="292">
        <f>IF(LEFT(Tabla4[[#This Row],[Electronica]],2)="NC",-Tabla4[[#This Row],[Cantidad]]*Tabla4[[#This Row],[Precio]]+Tabla4[[#This Row],[Dto]],Tabla4[[#This Row],[Cantidad]]*Tabla4[[#This Row],[Precio]]-Tabla4[[#This Row],[Dto]])</f>
        <v>-225000</v>
      </c>
      <c r="N261" s="292">
        <f>IFERROR(Tabla4[[#This Row],[Sub Total]]*VLOOKUP(Tabla4[[#This Row],[No]],Parametros!A:C,3,0),0)</f>
        <v>-42750</v>
      </c>
      <c r="O261" s="292">
        <f>+Tabla4[[#This Row],[IVA]]+Tabla4[[#This Row],[Sub Total]]</f>
        <v>-267750</v>
      </c>
    </row>
    <row r="262" spans="1:15" ht="30" x14ac:dyDescent="0.2">
      <c r="A262" s="6">
        <v>206</v>
      </c>
      <c r="B262" s="6" t="str">
        <f>VLOOKUP(Tabla4[[#This Row],[Codigo]],Tabla2[[Cod]:[Nombre ]],2,0)</f>
        <v>P-1194</v>
      </c>
      <c r="C262" s="53">
        <f>VLOOKUP(Tabla4[[#This Row],[Codigo]],Tabla2[[Cod]:[Nombre ]],3,0)</f>
        <v>44834</v>
      </c>
      <c r="D262" s="6" t="str">
        <f>VLOOKUP(Tabla4[[#This Row],[Codigo]],Tabla2[[Cod]:[Nombre ]],4,0)</f>
        <v>TIS-1177</v>
      </c>
      <c r="E262" s="5" t="str">
        <f>VLOOKUP(Tabla4[[#This Row],[Codigo]],Tabla2[[Cod]:[Nombre ]],8,0)</f>
        <v>LILIANA MERCEDES ANDRADE SERRANO</v>
      </c>
      <c r="F262" s="5" t="str">
        <f>VLOOKUP(Tabla4[[#This Row],[Codigo]],Tabla2[[Cod]:[Nombre ]],6,0)</f>
        <v>OK</v>
      </c>
      <c r="G262" s="7" t="s">
        <v>566</v>
      </c>
      <c r="H262" s="21" t="s">
        <v>567</v>
      </c>
      <c r="I262" s="21" t="s">
        <v>564</v>
      </c>
      <c r="J262" s="163">
        <v>1</v>
      </c>
      <c r="K262" s="294">
        <v>200000</v>
      </c>
      <c r="L262" s="298"/>
      <c r="M262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262" s="292">
        <f>IFERROR(Tabla4[[#This Row],[Sub Total]]*VLOOKUP(Tabla4[[#This Row],[No]],Parametros!A:C,3,0),0)</f>
        <v>0</v>
      </c>
      <c r="O262" s="292">
        <f>+Tabla4[[#This Row],[IVA]]+Tabla4[[#This Row],[Sub Total]]</f>
        <v>200000</v>
      </c>
    </row>
    <row r="263" spans="1:15" ht="36" x14ac:dyDescent="0.2">
      <c r="A263" s="6">
        <v>207</v>
      </c>
      <c r="B263" s="6" t="str">
        <f>VLOOKUP(Tabla4[[#This Row],[Codigo]],Tabla2[[Cod]:[Nombre ]],2,0)</f>
        <v>P-1195</v>
      </c>
      <c r="C263" s="53">
        <f>VLOOKUP(Tabla4[[#This Row],[Codigo]],Tabla2[[Cod]:[Nombre ]],3,0)</f>
        <v>44806</v>
      </c>
      <c r="D263" s="6" t="str">
        <f>VLOOKUP(Tabla4[[#This Row],[Codigo]],Tabla2[[Cod]:[Nombre ]],4,0)</f>
        <v>TIS-1167</v>
      </c>
      <c r="E263" s="5" t="str">
        <f>VLOOKUP(Tabla4[[#This Row],[Codigo]],Tabla2[[Cod]:[Nombre ]],8,0)</f>
        <v>RENAL MEDICAL MARKETING LIMITADA</v>
      </c>
      <c r="F263" s="5" t="str">
        <f>VLOOKUP(Tabla4[[#This Row],[Codigo]],Tabla2[[Cod]:[Nombre ]],6,0)</f>
        <v>OK</v>
      </c>
      <c r="G263" s="7" t="s">
        <v>416</v>
      </c>
      <c r="H263" s="21" t="s">
        <v>519</v>
      </c>
      <c r="I263" s="21" t="s">
        <v>587</v>
      </c>
      <c r="J263" s="163">
        <v>1</v>
      </c>
      <c r="K263" s="294">
        <v>450000</v>
      </c>
      <c r="L263" s="298"/>
      <c r="M263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263" s="292">
        <f>IFERROR(Tabla4[[#This Row],[Sub Total]]*VLOOKUP(Tabla4[[#This Row],[No]],Parametros!A:C,3,0),0)</f>
        <v>85500</v>
      </c>
      <c r="O263" s="292">
        <f>+Tabla4[[#This Row],[IVA]]+Tabla4[[#This Row],[Sub Total]]</f>
        <v>535500</v>
      </c>
    </row>
    <row r="264" spans="1:15" ht="36" x14ac:dyDescent="0.2">
      <c r="A264" s="6">
        <v>208</v>
      </c>
      <c r="B264" s="6" t="str">
        <f>VLOOKUP(Tabla4[[#This Row],[Codigo]],Tabla2[[Cod]:[Nombre ]],2,0)</f>
        <v>P-1196</v>
      </c>
      <c r="C264" s="53">
        <f>VLOOKUP(Tabla4[[#This Row],[Codigo]],Tabla2[[Cod]:[Nombre ]],3,0)</f>
        <v>44897</v>
      </c>
      <c r="D264" s="6" t="str">
        <f>VLOOKUP(Tabla4[[#This Row],[Codigo]],Tabla2[[Cod]:[Nombre ]],4,0)</f>
        <v>Tis-1189</v>
      </c>
      <c r="E264" s="5" t="str">
        <f>VLOOKUP(Tabla4[[#This Row],[Codigo]],Tabla2[[Cod]:[Nombre ]],8,0)</f>
        <v>PASTRY CHEF PASTELERIA Y COCINA GOURMET SAS</v>
      </c>
      <c r="F264" s="5" t="str">
        <f>VLOOKUP(Tabla4[[#This Row],[Codigo]],Tabla2[[Cod]:[Nombre ]],6,0)</f>
        <v>OK</v>
      </c>
      <c r="G264" s="7" t="s">
        <v>416</v>
      </c>
      <c r="H264" s="21" t="s">
        <v>519</v>
      </c>
      <c r="I264" s="21" t="s">
        <v>588</v>
      </c>
      <c r="J264" s="163">
        <v>2</v>
      </c>
      <c r="K264" s="294">
        <v>723333</v>
      </c>
      <c r="L264" s="298"/>
      <c r="M264" s="292">
        <f>IF(LEFT(Tabla4[[#This Row],[Electronica]],2)="NC",-Tabla4[[#This Row],[Cantidad]]*Tabla4[[#This Row],[Precio]]+Tabla4[[#This Row],[Dto]],Tabla4[[#This Row],[Cantidad]]*Tabla4[[#This Row],[Precio]]-Tabla4[[#This Row],[Dto]])</f>
        <v>1446666</v>
      </c>
      <c r="N264" s="292">
        <f>IFERROR(Tabla4[[#This Row],[Sub Total]]*VLOOKUP(Tabla4[[#This Row],[No]],Parametros!A:C,3,0),0)</f>
        <v>274866.53999999998</v>
      </c>
      <c r="O264" s="292">
        <f>+Tabla4[[#This Row],[IVA]]+Tabla4[[#This Row],[Sub Total]]</f>
        <v>1721532.54</v>
      </c>
    </row>
    <row r="265" spans="1:15" ht="36" x14ac:dyDescent="0.2">
      <c r="A265" s="6">
        <v>209</v>
      </c>
      <c r="B265" s="6" t="str">
        <f>VLOOKUP(Tabla4[[#This Row],[Codigo]],Tabla2[[Cod]:[Nombre ]],2,0)</f>
        <v>P-1197</v>
      </c>
      <c r="C265" s="53">
        <f>VLOOKUP(Tabla4[[#This Row],[Codigo]],Tabla2[[Cod]:[Nombre ]],3,0)</f>
        <v>44897</v>
      </c>
      <c r="D265" s="6" t="str">
        <f>VLOOKUP(Tabla4[[#This Row],[Codigo]],Tabla2[[Cod]:[Nombre ]],4,0)</f>
        <v>Tis-1188</v>
      </c>
      <c r="E265" s="5" t="str">
        <f>VLOOKUP(Tabla4[[#This Row],[Codigo]],Tabla2[[Cod]:[Nombre ]],8,0)</f>
        <v>Inversiones Sajamib SAS</v>
      </c>
      <c r="F265" s="5" t="str">
        <f>VLOOKUP(Tabla4[[#This Row],[Codigo]],Tabla2[[Cod]:[Nombre ]],6,0)</f>
        <v>OK</v>
      </c>
      <c r="G265" s="7" t="s">
        <v>417</v>
      </c>
      <c r="H265" s="21" t="s">
        <v>525</v>
      </c>
      <c r="I265" s="21" t="s">
        <v>589</v>
      </c>
      <c r="J265" s="163">
        <v>3</v>
      </c>
      <c r="K265" s="294">
        <v>322000</v>
      </c>
      <c r="L265" s="298"/>
      <c r="M265" s="292">
        <f>IF(LEFT(Tabla4[[#This Row],[Electronica]],2)="NC",-Tabla4[[#This Row],[Cantidad]]*Tabla4[[#This Row],[Precio]]+Tabla4[[#This Row],[Dto]],Tabla4[[#This Row],[Cantidad]]*Tabla4[[#This Row],[Precio]]-Tabla4[[#This Row],[Dto]])</f>
        <v>966000</v>
      </c>
      <c r="N265" s="292">
        <f>IFERROR(Tabla4[[#This Row],[Sub Total]]*VLOOKUP(Tabla4[[#This Row],[No]],Parametros!A:C,3,0),0)</f>
        <v>0</v>
      </c>
      <c r="O265" s="292">
        <f>+Tabla4[[#This Row],[IVA]]+Tabla4[[#This Row],[Sub Total]]</f>
        <v>966000</v>
      </c>
    </row>
    <row r="266" spans="1:15" ht="45" x14ac:dyDescent="0.2">
      <c r="A266" s="6">
        <v>210</v>
      </c>
      <c r="B266" s="6" t="str">
        <f>VLOOKUP(Tabla4[[#This Row],[Codigo]],Tabla2[[Cod]:[Nombre ]],2,0)</f>
        <v>P-1198</v>
      </c>
      <c r="C266" s="53">
        <f>VLOOKUP(Tabla4[[#This Row],[Codigo]],Tabla2[[Cod]:[Nombre ]],3,0)</f>
        <v>44897</v>
      </c>
      <c r="D266" s="6" t="str">
        <f>VLOOKUP(Tabla4[[#This Row],[Codigo]],Tabla2[[Cod]:[Nombre ]],4,0)</f>
        <v>Tis-1190</v>
      </c>
      <c r="E266" s="5" t="str">
        <f>VLOOKUP(Tabla4[[#This Row],[Codigo]],Tabla2[[Cod]:[Nombre ]],8,0)</f>
        <v>PRODUCTORA INTERAMERICANA DE PLASTICOS S.A.S.</v>
      </c>
      <c r="F266" s="5" t="str">
        <f>VLOOKUP(Tabla4[[#This Row],[Codigo]],Tabla2[[Cod]:[Nombre ]],6,0)</f>
        <v>anulado</v>
      </c>
      <c r="G266" s="7" t="s">
        <v>417</v>
      </c>
      <c r="H266" s="21" t="s">
        <v>525</v>
      </c>
      <c r="I266" s="21" t="s">
        <v>590</v>
      </c>
      <c r="J266" s="163">
        <v>4</v>
      </c>
      <c r="K266" s="294">
        <v>200000</v>
      </c>
      <c r="L266" s="298"/>
      <c r="M266" s="292">
        <f>IF(LEFT(Tabla4[[#This Row],[Electronica]],2)="NC",-Tabla4[[#This Row],[Cantidad]]*Tabla4[[#This Row],[Precio]]+Tabla4[[#This Row],[Dto]],Tabla4[[#This Row],[Cantidad]]*Tabla4[[#This Row],[Precio]]-Tabla4[[#This Row],[Dto]])</f>
        <v>800000</v>
      </c>
      <c r="N266" s="292">
        <f>IFERROR(Tabla4[[#This Row],[Sub Total]]*VLOOKUP(Tabla4[[#This Row],[No]],Parametros!A:C,3,0),0)</f>
        <v>0</v>
      </c>
      <c r="O266" s="292">
        <f>+Tabla4[[#This Row],[IVA]]+Tabla4[[#This Row],[Sub Total]]</f>
        <v>800000</v>
      </c>
    </row>
    <row r="267" spans="1:15" ht="45" x14ac:dyDescent="0.2">
      <c r="A267" s="6">
        <v>211</v>
      </c>
      <c r="B267" s="6" t="str">
        <f>VLOOKUP(Tabla4[[#This Row],[Codigo]],Tabla2[[Cod]:[Nombre ]],2,0)</f>
        <v>P-1199</v>
      </c>
      <c r="C267" s="53">
        <f>VLOOKUP(Tabla4[[#This Row],[Codigo]],Tabla2[[Cod]:[Nombre ]],3,0)</f>
        <v>44901</v>
      </c>
      <c r="D267" s="6" t="str">
        <f>VLOOKUP(Tabla4[[#This Row],[Codigo]],Tabla2[[Cod]:[Nombre ]],4,0)</f>
        <v>Tis-1187</v>
      </c>
      <c r="E267" s="5" t="str">
        <f>VLOOKUP(Tabla4[[#This Row],[Codigo]],Tabla2[[Cod]:[Nombre ]],8,0)</f>
        <v>INSTITUTO DISTRITAL DE CIENCIA, BIOTECNOLOGIA E INNOVACION EN SALUD</v>
      </c>
      <c r="F267" s="5" t="str">
        <f>VLOOKUP(Tabla4[[#This Row],[Codigo]],Tabla2[[Cod]:[Nombre ]],6,0)</f>
        <v>Anulado</v>
      </c>
      <c r="G267" s="7" t="s">
        <v>282</v>
      </c>
      <c r="H267" s="21" t="s">
        <v>16</v>
      </c>
      <c r="I267" s="21" t="s">
        <v>591</v>
      </c>
      <c r="J267" s="163">
        <v>229</v>
      </c>
      <c r="K267" s="294">
        <v>27254</v>
      </c>
      <c r="L267" s="298"/>
      <c r="M267" s="292">
        <f>IF(LEFT(Tabla4[[#This Row],[Electronica]],2)="NC",-Tabla4[[#This Row],[Cantidad]]*Tabla4[[#This Row],[Precio]]+Tabla4[[#This Row],[Dto]],Tabla4[[#This Row],[Cantidad]]*Tabla4[[#This Row],[Precio]]-Tabla4[[#This Row],[Dto]])</f>
        <v>6241166</v>
      </c>
      <c r="N267" s="292">
        <f>IFERROR(Tabla4[[#This Row],[Sub Total]]*VLOOKUP(Tabla4[[#This Row],[No]],Parametros!A:C,3,0),0)</f>
        <v>1185821.54</v>
      </c>
      <c r="O267" s="292">
        <f>+Tabla4[[#This Row],[IVA]]+Tabla4[[#This Row],[Sub Total]]</f>
        <v>7426987.54</v>
      </c>
    </row>
    <row r="268" spans="1:15" ht="60" x14ac:dyDescent="0.2">
      <c r="A268" s="6">
        <v>212</v>
      </c>
      <c r="B268" s="6" t="str">
        <f>VLOOKUP(Tabla4[[#This Row],[Codigo]],Tabla2[[Cod]:[Nombre ]],2,0)</f>
        <v>P-1200</v>
      </c>
      <c r="C268" s="53">
        <f>VLOOKUP(Tabla4[[#This Row],[Codigo]],Tabla2[[Cod]:[Nombre ]],3,0)</f>
        <v>44901</v>
      </c>
      <c r="D268" s="6" t="str">
        <f>VLOOKUP(Tabla4[[#This Row],[Codigo]],Tabla2[[Cod]:[Nombre ]],4,0)</f>
        <v>Tis-1192</v>
      </c>
      <c r="E268" s="5" t="str">
        <f>VLOOKUP(Tabla4[[#This Row],[Codigo]],Tabla2[[Cod]:[Nombre ]],8,0)</f>
        <v>FEDERACION NACIONAL DE COMERCIANTES FENALCO SECCIONAL BOGOTA CUNDINAMARCA</v>
      </c>
      <c r="F268" s="5" t="str">
        <f>VLOOKUP(Tabla4[[#This Row],[Codigo]],Tabla2[[Cod]:[Nombre ]],6,0)</f>
        <v>OK</v>
      </c>
      <c r="G268" s="7" t="s">
        <v>282</v>
      </c>
      <c r="H268" s="21" t="s">
        <v>16</v>
      </c>
      <c r="I268" s="21"/>
      <c r="J268" s="163">
        <v>58</v>
      </c>
      <c r="K268" s="294">
        <v>27000</v>
      </c>
      <c r="L268" s="298"/>
      <c r="M268" s="292">
        <f>IF(LEFT(Tabla4[[#This Row],[Electronica]],2)="NC",-Tabla4[[#This Row],[Cantidad]]*Tabla4[[#This Row],[Precio]]+Tabla4[[#This Row],[Dto]],Tabla4[[#This Row],[Cantidad]]*Tabla4[[#This Row],[Precio]]-Tabla4[[#This Row],[Dto]])</f>
        <v>1566000</v>
      </c>
      <c r="N268" s="292">
        <f>IFERROR(Tabla4[[#This Row],[Sub Total]]*VLOOKUP(Tabla4[[#This Row],[No]],Parametros!A:C,3,0),0)</f>
        <v>297540</v>
      </c>
      <c r="O268" s="292">
        <f>+Tabla4[[#This Row],[IVA]]+Tabla4[[#This Row],[Sub Total]]</f>
        <v>1863540</v>
      </c>
    </row>
    <row r="269" spans="1:15" ht="24" x14ac:dyDescent="0.2">
      <c r="A269" s="6">
        <v>213</v>
      </c>
      <c r="B269" s="6" t="str">
        <f>VLOOKUP(Tabla4[[#This Row],[Codigo]],Tabla2[[Cod]:[Nombre ]],2,0)</f>
        <v>P-1201</v>
      </c>
      <c r="C269" s="53">
        <f>VLOOKUP(Tabla4[[#This Row],[Codigo]],Tabla2[[Cod]:[Nombre ]],3,0)</f>
        <v>44900</v>
      </c>
      <c r="D269" s="6" t="str">
        <f>VLOOKUP(Tabla4[[#This Row],[Codigo]],Tabla2[[Cod]:[Nombre ]],4,0)</f>
        <v>Tis-1191</v>
      </c>
      <c r="E269" s="5" t="str">
        <f>VLOOKUP(Tabla4[[#This Row],[Codigo]],Tabla2[[Cod]:[Nombre ]],8,0)</f>
        <v>Banco de Bogota S.A.</v>
      </c>
      <c r="F269" s="5" t="str">
        <f>VLOOKUP(Tabla4[[#This Row],[Codigo]],Tabla2[[Cod]:[Nombre ]],6,0)</f>
        <v>Anulado</v>
      </c>
      <c r="G269" s="7" t="s">
        <v>282</v>
      </c>
      <c r="H269" s="21" t="str">
        <f>VLOOKUP(Tabla4[[#This Row],[No]],Parametros!A:C,2,0)</f>
        <v>Batería de Riesgo Psicosocial</v>
      </c>
      <c r="I269" s="21" t="s">
        <v>592</v>
      </c>
      <c r="J269" s="163">
        <v>1</v>
      </c>
      <c r="K269" s="294">
        <v>22800000</v>
      </c>
      <c r="L269" s="298"/>
      <c r="M269" s="292">
        <f>IF(LEFT(Tabla4[[#This Row],[Electronica]],2)="NC",-Tabla4[[#This Row],[Cantidad]]*Tabla4[[#This Row],[Precio]]+Tabla4[[#This Row],[Dto]],Tabla4[[#This Row],[Cantidad]]*Tabla4[[#This Row],[Precio]]-Tabla4[[#This Row],[Dto]])</f>
        <v>22800000</v>
      </c>
      <c r="N269" s="292">
        <f>IFERROR(Tabla4[[#This Row],[Sub Total]]*VLOOKUP(Tabla4[[#This Row],[No]],Parametros!A:C,3,0),0)</f>
        <v>4332000</v>
      </c>
      <c r="O269" s="292">
        <f>+Tabla4[[#This Row],[IVA]]+Tabla4[[#This Row],[Sub Total]]</f>
        <v>27132000</v>
      </c>
    </row>
    <row r="270" spans="1:15" ht="24" x14ac:dyDescent="0.2">
      <c r="A270" s="6">
        <v>214</v>
      </c>
      <c r="B270" s="6" t="str">
        <f>VLOOKUP(Tabla4[[#This Row],[Codigo]],Tabla2[[Cod]:[Nombre ]],2,0)</f>
        <v>P-1202</v>
      </c>
      <c r="C270" s="53">
        <f>VLOOKUP(Tabla4[[#This Row],[Codigo]],Tabla2[[Cod]:[Nombre ]],3,0)</f>
        <v>44907</v>
      </c>
      <c r="D270" s="6" t="str">
        <f>VLOOKUP(Tabla4[[#This Row],[Codigo]],Tabla2[[Cod]:[Nombre ]],4,0)</f>
        <v>NC27</v>
      </c>
      <c r="E270" s="5" t="str">
        <f>VLOOKUP(Tabla4[[#This Row],[Codigo]],Tabla2[[Cod]:[Nombre ]],8,0)</f>
        <v>Banco de Bogota S.A.</v>
      </c>
      <c r="F270" s="5" t="str">
        <f>VLOOKUP(Tabla4[[#This Row],[Codigo]],Tabla2[[Cod]:[Nombre ]],6,0)</f>
        <v>Anulado</v>
      </c>
      <c r="G270" s="7" t="s">
        <v>282</v>
      </c>
      <c r="H270" s="21" t="str">
        <f>VLOOKUP(Tabla4[[#This Row],[No]],Parametros!A:C,2,0)</f>
        <v>Batería de Riesgo Psicosocial</v>
      </c>
      <c r="I270" s="21" t="s">
        <v>592</v>
      </c>
      <c r="J270" s="163">
        <v>1</v>
      </c>
      <c r="K270" s="294">
        <v>22800000</v>
      </c>
      <c r="L270" s="298"/>
      <c r="M270" s="292">
        <f>IF(LEFT(Tabla4[[#This Row],[Electronica]],2)="NC",-Tabla4[[#This Row],[Cantidad]]*Tabla4[[#This Row],[Precio]]+Tabla4[[#This Row],[Dto]],Tabla4[[#This Row],[Cantidad]]*Tabla4[[#This Row],[Precio]]-Tabla4[[#This Row],[Dto]])</f>
        <v>-22800000</v>
      </c>
      <c r="N270" s="292">
        <f>IFERROR(Tabla4[[#This Row],[Sub Total]]*VLOOKUP(Tabla4[[#This Row],[No]],Parametros!A:C,3,0),0)</f>
        <v>-4332000</v>
      </c>
      <c r="O270" s="292">
        <f>+Tabla4[[#This Row],[IVA]]+Tabla4[[#This Row],[Sub Total]]</f>
        <v>-27132000</v>
      </c>
    </row>
    <row r="271" spans="1:15" ht="24" x14ac:dyDescent="0.2">
      <c r="A271" s="6">
        <v>215</v>
      </c>
      <c r="B271" s="6" t="str">
        <f>VLOOKUP(Tabla4[[#This Row],[Codigo]],Tabla2[[Cod]:[Nombre ]],2,0)</f>
        <v>P-1203</v>
      </c>
      <c r="C271" s="53">
        <f>VLOOKUP(Tabla4[[#This Row],[Codigo]],Tabla2[[Cod]:[Nombre ]],3,0)</f>
        <v>44907</v>
      </c>
      <c r="D271" s="6" t="str">
        <f>VLOOKUP(Tabla4[[#This Row],[Codigo]],Tabla2[[Cod]:[Nombre ]],4,0)</f>
        <v>Tis-1196</v>
      </c>
      <c r="E271" s="5" t="str">
        <f>VLOOKUP(Tabla4[[#This Row],[Codigo]],Tabla2[[Cod]:[Nombre ]],8,0)</f>
        <v>Banco de Bogota S.A.</v>
      </c>
      <c r="F271" s="5" t="str">
        <f>VLOOKUP(Tabla4[[#This Row],[Codigo]],Tabla2[[Cod]:[Nombre ]],6,0)</f>
        <v>OK</v>
      </c>
      <c r="G271" s="7" t="s">
        <v>282</v>
      </c>
      <c r="H271" s="21" t="str">
        <f>VLOOKUP(Tabla4[[#This Row],[No]],Parametros!A:C,2,0)</f>
        <v>Batería de Riesgo Psicosocial</v>
      </c>
      <c r="I271" s="21" t="s">
        <v>592</v>
      </c>
      <c r="J271" s="163">
        <v>1</v>
      </c>
      <c r="K271" s="294">
        <v>21640800</v>
      </c>
      <c r="L271" s="298"/>
      <c r="M271" s="292">
        <f>IF(LEFT(Tabla4[[#This Row],[Electronica]],2)="NC",-Tabla4[[#This Row],[Cantidad]]*Tabla4[[#This Row],[Precio]]+Tabla4[[#This Row],[Dto]],Tabla4[[#This Row],[Cantidad]]*Tabla4[[#This Row],[Precio]]-Tabla4[[#This Row],[Dto]])</f>
        <v>21640800</v>
      </c>
      <c r="N271" s="292">
        <f>IFERROR(Tabla4[[#This Row],[Sub Total]]*VLOOKUP(Tabla4[[#This Row],[No]],Parametros!A:C,3,0),0)</f>
        <v>4111752</v>
      </c>
      <c r="O271" s="292">
        <f>+Tabla4[[#This Row],[IVA]]+Tabla4[[#This Row],[Sub Total]]</f>
        <v>25752552</v>
      </c>
    </row>
    <row r="272" spans="1:15" ht="45" x14ac:dyDescent="0.2">
      <c r="A272" s="6">
        <v>216</v>
      </c>
      <c r="B272" s="6" t="str">
        <f>VLOOKUP(Tabla4[[#This Row],[Codigo]],Tabla2[[Cod]:[Nombre ]],2,0)</f>
        <v>P-1204</v>
      </c>
      <c r="C272" s="53">
        <f>VLOOKUP(Tabla4[[#This Row],[Codigo]],Tabla2[[Cod]:[Nombre ]],3,0)</f>
        <v>44954</v>
      </c>
      <c r="D272" s="6" t="str">
        <f>VLOOKUP(Tabla4[[#This Row],[Codigo]],Tabla2[[Cod]:[Nombre ]],4,0)</f>
        <v>TIS-1193</v>
      </c>
      <c r="E272" s="5" t="str">
        <f>VLOOKUP(Tabla4[[#This Row],[Codigo]],Tabla2[[Cod]:[Nombre ]],8,0)</f>
        <v>INSUMOS VETERINARIOS Y FARMACEUTICOS DE COLOMBIA SAS</v>
      </c>
      <c r="F272" s="5" t="str">
        <f>VLOOKUP(Tabla4[[#This Row],[Codigo]],Tabla2[[Cod]:[Nombre ]],6,0)</f>
        <v>OK</v>
      </c>
      <c r="G272" s="7" t="s">
        <v>433</v>
      </c>
      <c r="H272" s="21" t="s">
        <v>517</v>
      </c>
      <c r="I272" s="21" t="s">
        <v>495</v>
      </c>
      <c r="J272" s="163">
        <v>1</v>
      </c>
      <c r="K272" s="294">
        <v>700000</v>
      </c>
      <c r="L272" s="298"/>
      <c r="M272" s="292">
        <f>IF(LEFT(Tabla4[[#This Row],[Electronica]],2)="NC",-Tabla4[[#This Row],[Cantidad]]*Tabla4[[#This Row],[Precio]]+Tabla4[[#This Row],[Dto]],Tabla4[[#This Row],[Cantidad]]*Tabla4[[#This Row],[Precio]]-Tabla4[[#This Row],[Dto]])</f>
        <v>700000</v>
      </c>
      <c r="N272" s="292">
        <f>IFERROR(Tabla4[[#This Row],[Sub Total]]*VLOOKUP(Tabla4[[#This Row],[No]],Parametros!A:C,3,0),0)</f>
        <v>133000</v>
      </c>
      <c r="O272" s="292">
        <f>+Tabla4[[#This Row],[IVA]]+Tabla4[[#This Row],[Sub Total]]</f>
        <v>833000</v>
      </c>
    </row>
    <row r="273" spans="1:15" ht="45" x14ac:dyDescent="0.2">
      <c r="A273" s="6">
        <v>216</v>
      </c>
      <c r="B273" s="6" t="str">
        <f>VLOOKUP(Tabla4[[#This Row],[Codigo]],Tabla2[[Cod]:[Nombre ]],2,0)</f>
        <v>P-1204</v>
      </c>
      <c r="C273" s="53">
        <f>VLOOKUP(Tabla4[[#This Row],[Codigo]],Tabla2[[Cod]:[Nombre ]],3,0)</f>
        <v>44954</v>
      </c>
      <c r="D273" s="6" t="str">
        <f>VLOOKUP(Tabla4[[#This Row],[Codigo]],Tabla2[[Cod]:[Nombre ]],4,0)</f>
        <v>TIS-1193</v>
      </c>
      <c r="E273" s="5" t="str">
        <f>VLOOKUP(Tabla4[[#This Row],[Codigo]],Tabla2[[Cod]:[Nombre ]],8,0)</f>
        <v>INSUMOS VETERINARIOS Y FARMACEUTICOS DE COLOMBIA SAS</v>
      </c>
      <c r="F273" s="5" t="str">
        <f>VLOOKUP(Tabla4[[#This Row],[Codigo]],Tabla2[[Cod]:[Nombre ]],6,0)</f>
        <v>OK</v>
      </c>
      <c r="G273" s="7" t="s">
        <v>433</v>
      </c>
      <c r="H273" s="21" t="s">
        <v>517</v>
      </c>
      <c r="I273" s="21" t="s">
        <v>593</v>
      </c>
      <c r="J273" s="163">
        <v>1</v>
      </c>
      <c r="K273" s="294">
        <v>1580000</v>
      </c>
      <c r="L273" s="298"/>
      <c r="M273" s="292">
        <f>IF(LEFT(Tabla4[[#This Row],[Electronica]],2)="NC",-Tabla4[[#This Row],[Cantidad]]*Tabla4[[#This Row],[Precio]]+Tabla4[[#This Row],[Dto]],Tabla4[[#This Row],[Cantidad]]*Tabla4[[#This Row],[Precio]]-Tabla4[[#This Row],[Dto]])</f>
        <v>1580000</v>
      </c>
      <c r="N273" s="292">
        <f>IFERROR(Tabla4[[#This Row],[Sub Total]]*VLOOKUP(Tabla4[[#This Row],[No]],Parametros!A:C,3,0),0)</f>
        <v>300200</v>
      </c>
      <c r="O273" s="292">
        <f>+Tabla4[[#This Row],[IVA]]+Tabla4[[#This Row],[Sub Total]]</f>
        <v>1880200</v>
      </c>
    </row>
    <row r="274" spans="1:15" ht="45" x14ac:dyDescent="0.2">
      <c r="A274" s="6">
        <v>217</v>
      </c>
      <c r="B274" s="6" t="str">
        <f>VLOOKUP(Tabla4[[#This Row],[Codigo]],Tabla2[[Cod]:[Nombre ]],2,0)</f>
        <v>P-1205</v>
      </c>
      <c r="C274" s="53">
        <f>VLOOKUP(Tabla4[[#This Row],[Codigo]],Tabla2[[Cod]:[Nombre ]],3,0)</f>
        <v>44954</v>
      </c>
      <c r="D274" s="6" t="str">
        <f>VLOOKUP(Tabla4[[#This Row],[Codigo]],Tabla2[[Cod]:[Nombre ]],4,0)</f>
        <v>TIS-1194</v>
      </c>
      <c r="E274" s="5" t="str">
        <f>VLOOKUP(Tabla4[[#This Row],[Codigo]],Tabla2[[Cod]:[Nombre ]],8,0)</f>
        <v>CONSTRUCCIONES Y AMBIENTE - CONAMBIENTE - S.A.S</v>
      </c>
      <c r="F274" s="5" t="str">
        <f>VLOOKUP(Tabla4[[#This Row],[Codigo]],Tabla2[[Cod]:[Nombre ]],6,0)</f>
        <v>OK</v>
      </c>
      <c r="G274" s="7" t="s">
        <v>412</v>
      </c>
      <c r="H274" s="21" t="s">
        <v>594</v>
      </c>
      <c r="I274" s="21"/>
      <c r="J274" s="163">
        <v>1</v>
      </c>
      <c r="K274" s="294">
        <v>650000</v>
      </c>
      <c r="L274" s="298"/>
      <c r="M274" s="292">
        <f>IF(LEFT(Tabla4[[#This Row],[Electronica]],2)="NC",-Tabla4[[#This Row],[Cantidad]]*Tabla4[[#This Row],[Precio]]+Tabla4[[#This Row],[Dto]],Tabla4[[#This Row],[Cantidad]]*Tabla4[[#This Row],[Precio]]-Tabla4[[#This Row],[Dto]])</f>
        <v>650000</v>
      </c>
      <c r="N274" s="292">
        <f>IFERROR(Tabla4[[#This Row],[Sub Total]]*VLOOKUP(Tabla4[[#This Row],[No]],Parametros!A:C,3,0),0)</f>
        <v>123500</v>
      </c>
      <c r="O274" s="292">
        <f>+Tabla4[[#This Row],[IVA]]+Tabla4[[#This Row],[Sub Total]]</f>
        <v>773500</v>
      </c>
    </row>
    <row r="275" spans="1:15" ht="45" x14ac:dyDescent="0.2">
      <c r="A275" s="6">
        <v>218</v>
      </c>
      <c r="B275" s="6" t="str">
        <f>VLOOKUP(Tabla4[[#This Row],[Codigo]],Tabla2[[Cod]:[Nombre ]],2,0)</f>
        <v>P-1206</v>
      </c>
      <c r="C275" s="53">
        <f>VLOOKUP(Tabla4[[#This Row],[Codigo]],Tabla2[[Cod]:[Nombre ]],3,0)</f>
        <v>44954</v>
      </c>
      <c r="D275" s="6" t="str">
        <f>VLOOKUP(Tabla4[[#This Row],[Codigo]],Tabla2[[Cod]:[Nombre ]],4,0)</f>
        <v>TIS-1195</v>
      </c>
      <c r="E275" s="5" t="str">
        <f>VLOOKUP(Tabla4[[#This Row],[Codigo]],Tabla2[[Cod]:[Nombre ]],8,0)</f>
        <v>CONCESIONARIA DEL DESARROLLO VIAL DE LA SABANA</v>
      </c>
      <c r="F275" s="5" t="str">
        <f>VLOOKUP(Tabla4[[#This Row],[Codigo]],Tabla2[[Cod]:[Nombre ]],6,0)</f>
        <v>OK</v>
      </c>
      <c r="G275" s="7" t="s">
        <v>282</v>
      </c>
      <c r="H275" s="21" t="s">
        <v>16</v>
      </c>
      <c r="I275" s="21" t="s">
        <v>499</v>
      </c>
      <c r="J275" s="163">
        <v>205</v>
      </c>
      <c r="K275" s="294">
        <v>40000</v>
      </c>
      <c r="L275" s="298"/>
      <c r="M275" s="292">
        <f>IF(LEFT(Tabla4[[#This Row],[Electronica]],2)="NC",-Tabla4[[#This Row],[Cantidad]]*Tabla4[[#This Row],[Precio]]+Tabla4[[#This Row],[Dto]],Tabla4[[#This Row],[Cantidad]]*Tabla4[[#This Row],[Precio]]-Tabla4[[#This Row],[Dto]])</f>
        <v>8200000</v>
      </c>
      <c r="N275" s="292">
        <f>IFERROR(Tabla4[[#This Row],[Sub Total]]*VLOOKUP(Tabla4[[#This Row],[No]],Parametros!A:C,3,0),0)</f>
        <v>1558000</v>
      </c>
      <c r="O275" s="292">
        <f>+Tabla4[[#This Row],[IVA]]+Tabla4[[#This Row],[Sub Total]]</f>
        <v>9758000</v>
      </c>
    </row>
    <row r="276" spans="1:15" ht="30" x14ac:dyDescent="0.2">
      <c r="A276" s="6">
        <v>219</v>
      </c>
      <c r="B276" s="6" t="str">
        <f>VLOOKUP(Tabla4[[#This Row],[Codigo]],Tabla2[[Cod]:[Nombre ]],2,0)</f>
        <v>P-1207</v>
      </c>
      <c r="C276" s="53">
        <f>VLOOKUP(Tabla4[[#This Row],[Codigo]],Tabla2[[Cod]:[Nombre ]],3,0)</f>
        <v>44954</v>
      </c>
      <c r="D276" s="6" t="str">
        <f>VLOOKUP(Tabla4[[#This Row],[Codigo]],Tabla2[[Cod]:[Nombre ]],4,0)</f>
        <v>TIS-1197</v>
      </c>
      <c r="E276" s="5" t="str">
        <f>VLOOKUP(Tabla4[[#This Row],[Codigo]],Tabla2[[Cod]:[Nombre ]],8,0)</f>
        <v>FORMADERAS Y CASETONES WP SAS</v>
      </c>
      <c r="F276" s="5" t="str">
        <f>VLOOKUP(Tabla4[[#This Row],[Codigo]],Tabla2[[Cod]:[Nombre ]],6,0)</f>
        <v>OK</v>
      </c>
      <c r="G276" s="7" t="s">
        <v>433</v>
      </c>
      <c r="H276" s="21" t="s">
        <v>517</v>
      </c>
      <c r="I276" s="21" t="s">
        <v>595</v>
      </c>
      <c r="J276" s="163">
        <v>1</v>
      </c>
      <c r="K276" s="294">
        <v>620000</v>
      </c>
      <c r="L276" s="298"/>
      <c r="M276" s="292">
        <f>IF(LEFT(Tabla4[[#This Row],[Electronica]],2)="NC",-Tabla4[[#This Row],[Cantidad]]*Tabla4[[#This Row],[Precio]]+Tabla4[[#This Row],[Dto]],Tabla4[[#This Row],[Cantidad]]*Tabla4[[#This Row],[Precio]]-Tabla4[[#This Row],[Dto]])</f>
        <v>620000</v>
      </c>
      <c r="N276" s="292">
        <f>IFERROR(Tabla4[[#This Row],[Sub Total]]*VLOOKUP(Tabla4[[#This Row],[No]],Parametros!A:C,3,0),0)</f>
        <v>117800</v>
      </c>
      <c r="O276" s="292">
        <f>+Tabla4[[#This Row],[IVA]]+Tabla4[[#This Row],[Sub Total]]</f>
        <v>737800</v>
      </c>
    </row>
    <row r="277" spans="1:15" ht="24" x14ac:dyDescent="0.2">
      <c r="A277" s="6">
        <v>220</v>
      </c>
      <c r="B277" s="6" t="str">
        <f>VLOOKUP(Tabla4[[#This Row],[Codigo]],Tabla2[[Cod]:[Nombre ]],2,0)</f>
        <v>P-1208</v>
      </c>
      <c r="C277" s="53">
        <f>VLOOKUP(Tabla4[[#This Row],[Codigo]],Tabla2[[Cod]:[Nombre ]],3,0)</f>
        <v>44954</v>
      </c>
      <c r="D277" s="6" t="str">
        <f>VLOOKUP(Tabla4[[#This Row],[Codigo]],Tabla2[[Cod]:[Nombre ]],4,0)</f>
        <v>TIS-1198</v>
      </c>
      <c r="E277" s="5" t="str">
        <f>VLOOKUP(Tabla4[[#This Row],[Codigo]],Tabla2[[Cod]:[Nombre ]],8,0)</f>
        <v>V2S COLOMBIA SAS</v>
      </c>
      <c r="F277" s="5" t="str">
        <f>VLOOKUP(Tabla4[[#This Row],[Codigo]],Tabla2[[Cod]:[Nombre ]],6,0)</f>
        <v>OK</v>
      </c>
      <c r="G277" s="7">
        <v>13</v>
      </c>
      <c r="H277" s="21" t="s">
        <v>596</v>
      </c>
      <c r="I277" s="21" t="s">
        <v>597</v>
      </c>
      <c r="J277" s="163">
        <v>1</v>
      </c>
      <c r="K277" s="294">
        <v>1200000</v>
      </c>
      <c r="L277" s="298"/>
      <c r="M277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277" s="292">
        <f>IFERROR(Tabla4[[#This Row],[Sub Total]]*VLOOKUP(Tabla4[[#This Row],[No]],Parametros!A:C,3,0),0)</f>
        <v>228000</v>
      </c>
      <c r="O277" s="292">
        <f>+Tabla4[[#This Row],[IVA]]+Tabla4[[#This Row],[Sub Total]]</f>
        <v>1428000</v>
      </c>
    </row>
    <row r="278" spans="1:15" ht="30" x14ac:dyDescent="0.2">
      <c r="A278" s="6">
        <v>221</v>
      </c>
      <c r="B278" s="6" t="str">
        <f>VLOOKUP(Tabla4[[#This Row],[Codigo]],Tabla2[[Cod]:[Nombre ]],2,0)</f>
        <v>P-1209</v>
      </c>
      <c r="C278" s="53">
        <f>VLOOKUP(Tabla4[[#This Row],[Codigo]],Tabla2[[Cod]:[Nombre ]],3,0)</f>
        <v>44954</v>
      </c>
      <c r="D278" s="6" t="str">
        <f>VLOOKUP(Tabla4[[#This Row],[Codigo]],Tabla2[[Cod]:[Nombre ]],4,0)</f>
        <v>TIS-1199</v>
      </c>
      <c r="E278" s="5" t="str">
        <f>VLOOKUP(Tabla4[[#This Row],[Codigo]],Tabla2[[Cod]:[Nombre ]],8,0)</f>
        <v>INVERSIONES FRANQUIHER S A S</v>
      </c>
      <c r="F278" s="5" t="str">
        <f>VLOOKUP(Tabla4[[#This Row],[Codigo]],Tabla2[[Cod]:[Nombre ]],6,0)</f>
        <v>OK</v>
      </c>
      <c r="G278" s="7" t="s">
        <v>282</v>
      </c>
      <c r="H278" s="21" t="s">
        <v>16</v>
      </c>
      <c r="I278" s="21"/>
      <c r="J278" s="163">
        <v>130</v>
      </c>
      <c r="K278" s="294">
        <v>25000</v>
      </c>
      <c r="L278" s="298"/>
      <c r="M278" s="292">
        <f>IF(LEFT(Tabla4[[#This Row],[Electronica]],2)="NC",-Tabla4[[#This Row],[Cantidad]]*Tabla4[[#This Row],[Precio]]+Tabla4[[#This Row],[Dto]],Tabla4[[#This Row],[Cantidad]]*Tabla4[[#This Row],[Precio]]-Tabla4[[#This Row],[Dto]])</f>
        <v>3250000</v>
      </c>
      <c r="N278" s="292">
        <f>IFERROR(Tabla4[[#This Row],[Sub Total]]*VLOOKUP(Tabla4[[#This Row],[No]],Parametros!A:C,3,0),0)</f>
        <v>617500</v>
      </c>
      <c r="O278" s="292">
        <f>+Tabla4[[#This Row],[IVA]]+Tabla4[[#This Row],[Sub Total]]</f>
        <v>3867500</v>
      </c>
    </row>
    <row r="279" spans="1:15" ht="24" x14ac:dyDescent="0.2">
      <c r="A279" s="6">
        <v>222</v>
      </c>
      <c r="B279" s="6" t="str">
        <f>VLOOKUP(Tabla4[[#This Row],[Codigo]],Tabla2[[Cod]:[Nombre ]],2,0)</f>
        <v>P-1210</v>
      </c>
      <c r="C279" s="53">
        <f>VLOOKUP(Tabla4[[#This Row],[Codigo]],Tabla2[[Cod]:[Nombre ]],3,0)</f>
        <v>44954</v>
      </c>
      <c r="D279" s="6" t="str">
        <f>VLOOKUP(Tabla4[[#This Row],[Codigo]],Tabla2[[Cod]:[Nombre ]],4,0)</f>
        <v>TIS-1204</v>
      </c>
      <c r="E279" s="5" t="str">
        <f>VLOOKUP(Tabla4[[#This Row],[Codigo]],Tabla2[[Cod]:[Nombre ]],8,0)</f>
        <v>SUPPLYTEC SAS</v>
      </c>
      <c r="F279" s="5" t="str">
        <f>VLOOKUP(Tabla4[[#This Row],[Codigo]],Tabla2[[Cod]:[Nombre ]],6,0)</f>
        <v>OK</v>
      </c>
      <c r="G279" s="7" t="s">
        <v>282</v>
      </c>
      <c r="H279" s="21" t="s">
        <v>16</v>
      </c>
      <c r="I279" s="21"/>
      <c r="J279" s="163">
        <v>29</v>
      </c>
      <c r="K279" s="294">
        <v>24000</v>
      </c>
      <c r="L279" s="298"/>
      <c r="M279" s="292">
        <f>IF(LEFT(Tabla4[[#This Row],[Electronica]],2)="NC",-Tabla4[[#This Row],[Cantidad]]*Tabla4[[#This Row],[Precio]]+Tabla4[[#This Row],[Dto]],Tabla4[[#This Row],[Cantidad]]*Tabla4[[#This Row],[Precio]]-Tabla4[[#This Row],[Dto]])</f>
        <v>696000</v>
      </c>
      <c r="N279" s="292">
        <f>IFERROR(Tabla4[[#This Row],[Sub Total]]*VLOOKUP(Tabla4[[#This Row],[No]],Parametros!A:C,3,0),0)</f>
        <v>132240</v>
      </c>
      <c r="O279" s="292">
        <f>+Tabla4[[#This Row],[IVA]]+Tabla4[[#This Row],[Sub Total]]</f>
        <v>828240</v>
      </c>
    </row>
    <row r="280" spans="1:15" ht="24" x14ac:dyDescent="0.2">
      <c r="A280" s="6">
        <v>223</v>
      </c>
      <c r="B280" s="6" t="str">
        <f>VLOOKUP(Tabla4[[#This Row],[Codigo]],Tabla2[[Cod]:[Nombre ]],2,0)</f>
        <v>P-1211</v>
      </c>
      <c r="C280" s="53">
        <f>VLOOKUP(Tabla4[[#This Row],[Codigo]],Tabla2[[Cod]:[Nombre ]],3,0)</f>
        <v>44954</v>
      </c>
      <c r="D280" s="6" t="str">
        <f>VLOOKUP(Tabla4[[#This Row],[Codigo]],Tabla2[[Cod]:[Nombre ]],4,0)</f>
        <v>TIS-1200</v>
      </c>
      <c r="E280" s="5" t="str">
        <f>VLOOKUP(Tabla4[[#This Row],[Codigo]],Tabla2[[Cod]:[Nombre ]],8,0)</f>
        <v>H &amp; S FRANQUICIAS SAS</v>
      </c>
      <c r="F280" s="5" t="str">
        <f>VLOOKUP(Tabla4[[#This Row],[Codigo]],Tabla2[[Cod]:[Nombre ]],6,0)</f>
        <v>OK</v>
      </c>
      <c r="G280" s="7" t="s">
        <v>282</v>
      </c>
      <c r="H280" s="21" t="s">
        <v>16</v>
      </c>
      <c r="I280" s="21"/>
      <c r="J280" s="163">
        <v>130</v>
      </c>
      <c r="K280" s="294">
        <v>25000</v>
      </c>
      <c r="L280" s="298"/>
      <c r="M280" s="292">
        <f>IF(LEFT(Tabla4[[#This Row],[Electronica]],2)="NC",-Tabla4[[#This Row],[Cantidad]]*Tabla4[[#This Row],[Precio]]+Tabla4[[#This Row],[Dto]],Tabla4[[#This Row],[Cantidad]]*Tabla4[[#This Row],[Precio]]-Tabla4[[#This Row],[Dto]])</f>
        <v>3250000</v>
      </c>
      <c r="N280" s="292">
        <f>IFERROR(Tabla4[[#This Row],[Sub Total]]*VLOOKUP(Tabla4[[#This Row],[No]],Parametros!A:C,3,0),0)</f>
        <v>617500</v>
      </c>
      <c r="O280" s="292">
        <f>+Tabla4[[#This Row],[IVA]]+Tabla4[[#This Row],[Sub Total]]</f>
        <v>3867500</v>
      </c>
    </row>
    <row r="281" spans="1:15" ht="30" x14ac:dyDescent="0.2">
      <c r="A281" s="6">
        <v>224</v>
      </c>
      <c r="B281" s="6" t="str">
        <f>VLOOKUP(Tabla4[[#This Row],[Codigo]],Tabla2[[Cod]:[Nombre ]],2,0)</f>
        <v>P-1212</v>
      </c>
      <c r="C281" s="53">
        <f>VLOOKUP(Tabla4[[#This Row],[Codigo]],Tabla2[[Cod]:[Nombre ]],3,0)</f>
        <v>44954</v>
      </c>
      <c r="D281" s="6" t="str">
        <f>VLOOKUP(Tabla4[[#This Row],[Codigo]],Tabla2[[Cod]:[Nombre ]],4,0)</f>
        <v>TIS-1201</v>
      </c>
      <c r="E281" s="5" t="str">
        <f>VLOOKUP(Tabla4[[#This Row],[Codigo]],Tabla2[[Cod]:[Nombre ]],8,0)</f>
        <v>MCCANN ERICKSON CORPORATION S A</v>
      </c>
      <c r="F281" s="5" t="str">
        <f>VLOOKUP(Tabla4[[#This Row],[Codigo]],Tabla2[[Cod]:[Nombre ]],6,0)</f>
        <v>Anulado</v>
      </c>
      <c r="G281" s="7" t="s">
        <v>282</v>
      </c>
      <c r="H281" s="21" t="s">
        <v>16</v>
      </c>
      <c r="I281" s="21"/>
      <c r="J281" s="163">
        <v>1</v>
      </c>
      <c r="K281" s="294">
        <v>9000000</v>
      </c>
      <c r="L281" s="298"/>
      <c r="M281" s="292">
        <f>IF(LEFT(Tabla4[[#This Row],[Electronica]],2)="NC",-Tabla4[[#This Row],[Cantidad]]*Tabla4[[#This Row],[Precio]]+Tabla4[[#This Row],[Dto]],Tabla4[[#This Row],[Cantidad]]*Tabla4[[#This Row],[Precio]]-Tabla4[[#This Row],[Dto]])</f>
        <v>9000000</v>
      </c>
      <c r="N281" s="292">
        <f>IFERROR(Tabla4[[#This Row],[Sub Total]]*VLOOKUP(Tabla4[[#This Row],[No]],Parametros!A:C,3,0),0)</f>
        <v>1710000</v>
      </c>
      <c r="O281" s="292">
        <f>+Tabla4[[#This Row],[IVA]]+Tabla4[[#This Row],[Sub Total]]</f>
        <v>10710000</v>
      </c>
    </row>
    <row r="282" spans="1:15" ht="30" x14ac:dyDescent="0.2">
      <c r="A282" s="6">
        <v>225</v>
      </c>
      <c r="B282" s="6" t="str">
        <f>VLOOKUP(Tabla4[[#This Row],[Codigo]],Tabla2[[Cod]:[Nombre ]],2,0)</f>
        <v>P-1213</v>
      </c>
      <c r="C282" s="53">
        <f>VLOOKUP(Tabla4[[#This Row],[Codigo]],Tabla2[[Cod]:[Nombre ]],3,0)</f>
        <v>44954</v>
      </c>
      <c r="D282" s="6" t="str">
        <f>VLOOKUP(Tabla4[[#This Row],[Codigo]],Tabla2[[Cod]:[Nombre ]],4,0)</f>
        <v>NC32</v>
      </c>
      <c r="E282" s="5" t="str">
        <f>VLOOKUP(Tabla4[[#This Row],[Codigo]],Tabla2[[Cod]:[Nombre ]],8,0)</f>
        <v>MCCANN ERICKSON CORPORATION S A</v>
      </c>
      <c r="F282" s="5" t="str">
        <f>VLOOKUP(Tabla4[[#This Row],[Codigo]],Tabla2[[Cod]:[Nombre ]],6,0)</f>
        <v>Anulado</v>
      </c>
      <c r="G282" s="7" t="s">
        <v>282</v>
      </c>
      <c r="H282" s="21" t="s">
        <v>16</v>
      </c>
      <c r="I282" s="21"/>
      <c r="J282" s="163">
        <v>300</v>
      </c>
      <c r="K282" s="294">
        <v>30000</v>
      </c>
      <c r="L282" s="298"/>
      <c r="M282" s="292">
        <f>IF(LEFT(Tabla4[[#This Row],[Electronica]],2)="NC",-Tabla4[[#This Row],[Cantidad]]*Tabla4[[#This Row],[Precio]]+Tabla4[[#This Row],[Dto]],Tabla4[[#This Row],[Cantidad]]*Tabla4[[#This Row],[Precio]]-Tabla4[[#This Row],[Dto]])</f>
        <v>-9000000</v>
      </c>
      <c r="N282" s="292">
        <f>IFERROR(Tabla4[[#This Row],[Sub Total]]*VLOOKUP(Tabla4[[#This Row],[No]],Parametros!A:C,3,0),0)</f>
        <v>-1710000</v>
      </c>
      <c r="O282" s="292">
        <f>+Tabla4[[#This Row],[IVA]]+Tabla4[[#This Row],[Sub Total]]</f>
        <v>-10710000</v>
      </c>
    </row>
    <row r="283" spans="1:15" ht="30" x14ac:dyDescent="0.2">
      <c r="A283" s="6">
        <v>226</v>
      </c>
      <c r="B283" s="6" t="str">
        <f>VLOOKUP(Tabla4[[#This Row],[Codigo]],Tabla2[[Cod]:[Nombre ]],2,0)</f>
        <v>P-1214</v>
      </c>
      <c r="C283" s="53">
        <f>VLOOKUP(Tabla4[[#This Row],[Codigo]],Tabla2[[Cod]:[Nombre ]],3,0)</f>
        <v>44954</v>
      </c>
      <c r="D283" s="6" t="str">
        <f>VLOOKUP(Tabla4[[#This Row],[Codigo]],Tabla2[[Cod]:[Nombre ]],4,0)</f>
        <v>TIS-1205</v>
      </c>
      <c r="E283" s="5" t="str">
        <f>VLOOKUP(Tabla4[[#This Row],[Codigo]],Tabla2[[Cod]:[Nombre ]],8,0)</f>
        <v>MCCANN ERICKSON CORPORATION S A</v>
      </c>
      <c r="F283" s="5" t="str">
        <f>VLOOKUP(Tabla4[[#This Row],[Codigo]],Tabla2[[Cod]:[Nombre ]],6,0)</f>
        <v>ok</v>
      </c>
      <c r="G283" s="7" t="s">
        <v>282</v>
      </c>
      <c r="H283" s="21" t="s">
        <v>16</v>
      </c>
      <c r="I283" s="21"/>
      <c r="J283" s="163">
        <v>300</v>
      </c>
      <c r="K283" s="294">
        <v>30000</v>
      </c>
      <c r="L283" s="298"/>
      <c r="M283" s="292">
        <f>IF(LEFT(Tabla4[[#This Row],[Electronica]],2)="NC",-Tabla4[[#This Row],[Cantidad]]*Tabla4[[#This Row],[Precio]]+Tabla4[[#This Row],[Dto]],Tabla4[[#This Row],[Cantidad]]*Tabla4[[#This Row],[Precio]]-Tabla4[[#This Row],[Dto]])</f>
        <v>9000000</v>
      </c>
      <c r="N283" s="292">
        <f>IFERROR(Tabla4[[#This Row],[Sub Total]]*VLOOKUP(Tabla4[[#This Row],[No]],Parametros!A:C,3,0),0)</f>
        <v>1710000</v>
      </c>
      <c r="O283" s="292">
        <f>+Tabla4[[#This Row],[IVA]]+Tabla4[[#This Row],[Sub Total]]</f>
        <v>10710000</v>
      </c>
    </row>
    <row r="284" spans="1:15" ht="45" x14ac:dyDescent="0.2">
      <c r="A284" s="6">
        <v>227</v>
      </c>
      <c r="B284" s="6" t="str">
        <f>VLOOKUP(Tabla4[[#This Row],[Codigo]],Tabla2[[Cod]:[Nombre ]],2,0)</f>
        <v>P-1215</v>
      </c>
      <c r="C284" s="53">
        <f>VLOOKUP(Tabla4[[#This Row],[Codigo]],Tabla2[[Cod]:[Nombre ]],3,0)</f>
        <v>44954</v>
      </c>
      <c r="D284" s="6" t="str">
        <f>VLOOKUP(Tabla4[[#This Row],[Codigo]],Tabla2[[Cod]:[Nombre ]],4,0)</f>
        <v>TIS-1202</v>
      </c>
      <c r="E284" s="5" t="str">
        <f>VLOOKUP(Tabla4[[#This Row],[Codigo]],Tabla2[[Cod]:[Nombre ]],8,0)</f>
        <v>PRODUCTORA INTERAMERICANA DE PLASTICOS S.A.S.</v>
      </c>
      <c r="F284" s="5" t="str">
        <f>VLOOKUP(Tabla4[[#This Row],[Codigo]],Tabla2[[Cod]:[Nombre ]],6,0)</f>
        <v>OK</v>
      </c>
      <c r="G284" s="7" t="s">
        <v>417</v>
      </c>
      <c r="H284" s="21" t="s">
        <v>525</v>
      </c>
      <c r="I284" s="21"/>
      <c r="J284" s="163">
        <v>1</v>
      </c>
      <c r="K284" s="294">
        <v>800000</v>
      </c>
      <c r="L284" s="298"/>
      <c r="M284" s="292">
        <f>IF(LEFT(Tabla4[[#This Row],[Electronica]],2)="NC",-Tabla4[[#This Row],[Cantidad]]*Tabla4[[#This Row],[Precio]]+Tabla4[[#This Row],[Dto]],Tabla4[[#This Row],[Cantidad]]*Tabla4[[#This Row],[Precio]]-Tabla4[[#This Row],[Dto]])</f>
        <v>800000</v>
      </c>
      <c r="N284" s="292">
        <f>IFERROR(Tabla4[[#This Row],[Sub Total]]*VLOOKUP(Tabla4[[#This Row],[No]],Parametros!A:C,3,0),0)</f>
        <v>0</v>
      </c>
      <c r="O284" s="292">
        <f>+Tabla4[[#This Row],[IVA]]+Tabla4[[#This Row],[Sub Total]]</f>
        <v>800000</v>
      </c>
    </row>
    <row r="285" spans="1:15" ht="60" x14ac:dyDescent="0.2">
      <c r="A285" s="6">
        <v>228</v>
      </c>
      <c r="B285" s="6" t="str">
        <f>VLOOKUP(Tabla4[[#This Row],[Codigo]],Tabla2[[Cod]:[Nombre ]],2,0)</f>
        <v>P-1216</v>
      </c>
      <c r="C285" s="53">
        <f>VLOOKUP(Tabla4[[#This Row],[Codigo]],Tabla2[[Cod]:[Nombre ]],3,0)</f>
        <v>44954</v>
      </c>
      <c r="D285" s="6" t="str">
        <f>VLOOKUP(Tabla4[[#This Row],[Codigo]],Tabla2[[Cod]:[Nombre ]],4,0)</f>
        <v>TIS-1203</v>
      </c>
      <c r="E285" s="5" t="str">
        <f>VLOOKUP(Tabla4[[#This Row],[Codigo]],Tabla2[[Cod]:[Nombre ]],8,0)</f>
        <v>COMERCIALIZADORA INTERNACIONAL DYNAMIC TRADING CORPORATION S.A.S</v>
      </c>
      <c r="F285" s="5" t="str">
        <f>VLOOKUP(Tabla4[[#This Row],[Codigo]],Tabla2[[Cod]:[Nombre ]],6,0)</f>
        <v>OK</v>
      </c>
      <c r="G285" s="7" t="s">
        <v>282</v>
      </c>
      <c r="H285" s="21" t="s">
        <v>16</v>
      </c>
      <c r="I285" s="21"/>
      <c r="J285" s="163">
        <v>8</v>
      </c>
      <c r="K285" s="294">
        <v>57000</v>
      </c>
      <c r="L285" s="298"/>
      <c r="M285" s="292">
        <f>IF(LEFT(Tabla4[[#This Row],[Electronica]],2)="NC",-Tabla4[[#This Row],[Cantidad]]*Tabla4[[#This Row],[Precio]]+Tabla4[[#This Row],[Dto]],Tabla4[[#This Row],[Cantidad]]*Tabla4[[#This Row],[Precio]]-Tabla4[[#This Row],[Dto]])</f>
        <v>456000</v>
      </c>
      <c r="N285" s="292">
        <f>IFERROR(Tabla4[[#This Row],[Sub Total]]*VLOOKUP(Tabla4[[#This Row],[No]],Parametros!A:C,3,0),0)</f>
        <v>86640</v>
      </c>
      <c r="O285" s="292">
        <f>+Tabla4[[#This Row],[IVA]]+Tabla4[[#This Row],[Sub Total]]</f>
        <v>542640</v>
      </c>
    </row>
    <row r="286" spans="1:15" ht="24" x14ac:dyDescent="0.2">
      <c r="A286" s="6">
        <v>229</v>
      </c>
      <c r="B286" s="6" t="str">
        <f>VLOOKUP(Tabla4[[#This Row],[Codigo]],Tabla2[[Cod]:[Nombre ]],2,0)</f>
        <v>P-1217</v>
      </c>
      <c r="C286" s="53">
        <f>VLOOKUP(Tabla4[[#This Row],[Codigo]],Tabla2[[Cod]:[Nombre ]],3,0)</f>
        <v>44954</v>
      </c>
      <c r="D286" s="6" t="str">
        <f>VLOOKUP(Tabla4[[#This Row],[Codigo]],Tabla2[[Cod]:[Nombre ]],4,0)</f>
        <v>TIS-1206</v>
      </c>
      <c r="E286" s="5" t="str">
        <f>VLOOKUP(Tabla4[[#This Row],[Codigo]],Tabla2[[Cod]:[Nombre ]],8,0)</f>
        <v>SOLDMANT LTDA</v>
      </c>
      <c r="F286" s="5" t="str">
        <f>VLOOKUP(Tabla4[[#This Row],[Codigo]],Tabla2[[Cod]:[Nombre ]],6,0)</f>
        <v>OK</v>
      </c>
      <c r="G286" s="7" t="s">
        <v>282</v>
      </c>
      <c r="H286" s="21" t="s">
        <v>16</v>
      </c>
      <c r="I286" s="21"/>
      <c r="J286" s="163">
        <v>9</v>
      </c>
      <c r="K286" s="294">
        <v>50000</v>
      </c>
      <c r="L286" s="298"/>
      <c r="M286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286" s="292">
        <f>IFERROR(Tabla4[[#This Row],[Sub Total]]*VLOOKUP(Tabla4[[#This Row],[No]],Parametros!A:C,3,0),0)</f>
        <v>85500</v>
      </c>
      <c r="O286" s="292">
        <f>+Tabla4[[#This Row],[IVA]]+Tabla4[[#This Row],[Sub Total]]</f>
        <v>535500</v>
      </c>
    </row>
    <row r="287" spans="1:15" ht="30" x14ac:dyDescent="0.2">
      <c r="A287" s="6">
        <v>231</v>
      </c>
      <c r="B287" s="6" t="str">
        <f>VLOOKUP(Tabla4[[#This Row],[Codigo]],Tabla2[[Cod]:[Nombre ]],2,0)</f>
        <v>P-1219</v>
      </c>
      <c r="C287" s="53">
        <f>VLOOKUP(Tabla4[[#This Row],[Codigo]],Tabla2[[Cod]:[Nombre ]],3,0)</f>
        <v>44958</v>
      </c>
      <c r="D287" s="6" t="str">
        <f>VLOOKUP(Tabla4[[#This Row],[Codigo]],Tabla2[[Cod]:[Nombre ]],4,0)</f>
        <v>TIS-1207</v>
      </c>
      <c r="E287" s="5" t="str">
        <f>VLOOKUP(Tabla4[[#This Row],[Codigo]],Tabla2[[Cod]:[Nombre ]],8,0)</f>
        <v>LABORATORIOS VIDA STEVIA SA</v>
      </c>
      <c r="F287" s="5" t="str">
        <f>VLOOKUP(Tabla4[[#This Row],[Codigo]],Tabla2[[Cod]:[Nombre ]],6,0)</f>
        <v>OK</v>
      </c>
      <c r="G287" s="7" t="s">
        <v>598</v>
      </c>
      <c r="H287" s="21" t="s">
        <v>599</v>
      </c>
      <c r="I287" s="21" t="s">
        <v>600</v>
      </c>
      <c r="J287" s="163">
        <v>5</v>
      </c>
      <c r="K287" s="294">
        <v>50000</v>
      </c>
      <c r="L287" s="298"/>
      <c r="M287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287" s="292">
        <f>IFERROR(Tabla4[[#This Row],[Sub Total]]*VLOOKUP(Tabla4[[#This Row],[No]],Parametros!A:C,3,0),0)</f>
        <v>0</v>
      </c>
      <c r="O287" s="292">
        <f>+Tabla4[[#This Row],[IVA]]+Tabla4[[#This Row],[Sub Total]]</f>
        <v>250000</v>
      </c>
    </row>
    <row r="288" spans="1:15" ht="30" x14ac:dyDescent="0.2">
      <c r="A288" s="6">
        <v>231</v>
      </c>
      <c r="B288" s="6" t="str">
        <f>VLOOKUP(Tabla4[[#This Row],[Codigo]],Tabla2[[Cod]:[Nombre ]],2,0)</f>
        <v>P-1219</v>
      </c>
      <c r="C288" s="53">
        <f>VLOOKUP(Tabla4[[#This Row],[Codigo]],Tabla2[[Cod]:[Nombre ]],3,0)</f>
        <v>44958</v>
      </c>
      <c r="D288" s="6" t="str">
        <f>VLOOKUP(Tabla4[[#This Row],[Codigo]],Tabla2[[Cod]:[Nombre ]],4,0)</f>
        <v>TIS-1207</v>
      </c>
      <c r="E288" s="5" t="str">
        <f>VLOOKUP(Tabla4[[#This Row],[Codigo]],Tabla2[[Cod]:[Nombre ]],8,0)</f>
        <v>LABORATORIOS VIDA STEVIA SA</v>
      </c>
      <c r="F288" s="5" t="str">
        <f>VLOOKUP(Tabla4[[#This Row],[Codigo]],Tabla2[[Cod]:[Nombre ]],6,0)</f>
        <v>OK</v>
      </c>
      <c r="G288" s="7" t="s">
        <v>433</v>
      </c>
      <c r="H288" s="21" t="s">
        <v>517</v>
      </c>
      <c r="I288" s="21" t="s">
        <v>518</v>
      </c>
      <c r="J288" s="163">
        <v>5</v>
      </c>
      <c r="K288" s="294">
        <v>55000</v>
      </c>
      <c r="L288" s="298"/>
      <c r="M288" s="292">
        <f>IF(LEFT(Tabla4[[#This Row],[Electronica]],2)="NC",-Tabla4[[#This Row],[Cantidad]]*Tabla4[[#This Row],[Precio]]+Tabla4[[#This Row],[Dto]],Tabla4[[#This Row],[Cantidad]]*Tabla4[[#This Row],[Precio]]-Tabla4[[#This Row],[Dto]])</f>
        <v>275000</v>
      </c>
      <c r="N288" s="292">
        <f>IFERROR(Tabla4[[#This Row],[Sub Total]]*VLOOKUP(Tabla4[[#This Row],[No]],Parametros!A:C,3,0),0)</f>
        <v>52250</v>
      </c>
      <c r="O288" s="292">
        <f>+Tabla4[[#This Row],[IVA]]+Tabla4[[#This Row],[Sub Total]]</f>
        <v>327250</v>
      </c>
    </row>
    <row r="289" spans="1:15" ht="30" x14ac:dyDescent="0.2">
      <c r="A289" s="6">
        <v>231</v>
      </c>
      <c r="B289" s="6" t="str">
        <f>VLOOKUP(Tabla4[[#This Row],[Codigo]],Tabla2[[Cod]:[Nombre ]],2,0)</f>
        <v>P-1219</v>
      </c>
      <c r="C289" s="53">
        <f>VLOOKUP(Tabla4[[#This Row],[Codigo]],Tabla2[[Cod]:[Nombre ]],3,0)</f>
        <v>44958</v>
      </c>
      <c r="D289" s="6" t="str">
        <f>VLOOKUP(Tabla4[[#This Row],[Codigo]],Tabla2[[Cod]:[Nombre ]],4,0)</f>
        <v>TIS-1207</v>
      </c>
      <c r="E289" s="5" t="str">
        <f>VLOOKUP(Tabla4[[#This Row],[Codigo]],Tabla2[[Cod]:[Nombre ]],8,0)</f>
        <v>LABORATORIOS VIDA STEVIA SA</v>
      </c>
      <c r="F289" s="5" t="str">
        <f>VLOOKUP(Tabla4[[#This Row],[Codigo]],Tabla2[[Cod]:[Nombre ]],6,0)</f>
        <v>OK</v>
      </c>
      <c r="G289" s="7" t="s">
        <v>433</v>
      </c>
      <c r="H289" s="21" t="s">
        <v>517</v>
      </c>
      <c r="I289" s="21" t="s">
        <v>601</v>
      </c>
      <c r="J289" s="163">
        <v>1</v>
      </c>
      <c r="K289" s="294">
        <v>450000</v>
      </c>
      <c r="L289" s="298"/>
      <c r="M289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289" s="292">
        <f>IFERROR(Tabla4[[#This Row],[Sub Total]]*VLOOKUP(Tabla4[[#This Row],[No]],Parametros!A:C,3,0),0)</f>
        <v>85500</v>
      </c>
      <c r="O289" s="292">
        <f>+Tabla4[[#This Row],[IVA]]+Tabla4[[#This Row],[Sub Total]]</f>
        <v>535500</v>
      </c>
    </row>
    <row r="290" spans="1:15" ht="24" x14ac:dyDescent="0.2">
      <c r="A290" s="6">
        <v>232</v>
      </c>
      <c r="B290" s="6" t="str">
        <f>VLOOKUP(Tabla4[[#This Row],[Codigo]],Tabla2[[Cod]:[Nombre ]],2,0)</f>
        <v>P-1220</v>
      </c>
      <c r="C290" s="53">
        <f>VLOOKUP(Tabla4[[#This Row],[Codigo]],Tabla2[[Cod]:[Nombre ]],3,0)</f>
        <v>44958</v>
      </c>
      <c r="D290" s="6" t="str">
        <f>VLOOKUP(Tabla4[[#This Row],[Codigo]],Tabla2[[Cod]:[Nombre ]],4,0)</f>
        <v>TIS-1213</v>
      </c>
      <c r="E290" s="5" t="str">
        <f>VLOOKUP(Tabla4[[#This Row],[Codigo]],Tabla2[[Cod]:[Nombre ]],8,0)</f>
        <v>Megalinea S.A.</v>
      </c>
      <c r="F290" s="5" t="str">
        <f>VLOOKUP(Tabla4[[#This Row],[Codigo]],Tabla2[[Cod]:[Nombre ]],6,0)</f>
        <v>OK</v>
      </c>
      <c r="G290" s="7" t="s">
        <v>282</v>
      </c>
      <c r="H290" s="21" t="s">
        <v>16</v>
      </c>
      <c r="I290" s="21"/>
      <c r="J290" s="163">
        <v>1354</v>
      </c>
      <c r="K290" s="294">
        <v>28000</v>
      </c>
      <c r="L290" s="298"/>
      <c r="M290" s="292">
        <f>IF(LEFT(Tabla4[[#This Row],[Electronica]],2)="NC",-Tabla4[[#This Row],[Cantidad]]*Tabla4[[#This Row],[Precio]]+Tabla4[[#This Row],[Dto]],Tabla4[[#This Row],[Cantidad]]*Tabla4[[#This Row],[Precio]]-Tabla4[[#This Row],[Dto]])</f>
        <v>37912000</v>
      </c>
      <c r="N290" s="292">
        <f>IFERROR(Tabla4[[#This Row],[Sub Total]]*VLOOKUP(Tabla4[[#This Row],[No]],Parametros!A:C,3,0),0)</f>
        <v>7203280</v>
      </c>
      <c r="O290" s="292">
        <f>+Tabla4[[#This Row],[IVA]]+Tabla4[[#This Row],[Sub Total]]</f>
        <v>45115280</v>
      </c>
    </row>
    <row r="291" spans="1:15" ht="36" x14ac:dyDescent="0.2">
      <c r="A291" s="6">
        <v>233</v>
      </c>
      <c r="B291" s="6" t="str">
        <f>VLOOKUP(Tabla4[[#This Row],[Codigo]],Tabla2[[Cod]:[Nombre ]],2,0)</f>
        <v>P-1221</v>
      </c>
      <c r="C291" s="53">
        <f>VLOOKUP(Tabla4[[#This Row],[Codigo]],Tabla2[[Cod]:[Nombre ]],3,0)</f>
        <v>44964</v>
      </c>
      <c r="D291" s="6" t="str">
        <f>VLOOKUP(Tabla4[[#This Row],[Codigo]],Tabla2[[Cod]:[Nombre ]],4,0)</f>
        <v>TIS-1209</v>
      </c>
      <c r="E291" s="5" t="str">
        <f>VLOOKUP(Tabla4[[#This Row],[Codigo]],Tabla2[[Cod]:[Nombre ]],8,0)</f>
        <v>CONPORTUARIO LTDA</v>
      </c>
      <c r="F291" s="5" t="str">
        <f>VLOOKUP(Tabla4[[#This Row],[Codigo]],Tabla2[[Cod]:[Nombre ]],6,0)</f>
        <v>OK</v>
      </c>
      <c r="G291" s="7" t="s">
        <v>416</v>
      </c>
      <c r="H291" s="21" t="s">
        <v>519</v>
      </c>
      <c r="I291" s="21"/>
      <c r="J291" s="163">
        <v>2</v>
      </c>
      <c r="K291" s="294">
        <v>300000</v>
      </c>
      <c r="L291" s="298"/>
      <c r="M291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291" s="292">
        <f>IFERROR(Tabla4[[#This Row],[Sub Total]]*VLOOKUP(Tabla4[[#This Row],[No]],Parametros!A:C,3,0),0)</f>
        <v>114000</v>
      </c>
      <c r="O291" s="292">
        <f>+Tabla4[[#This Row],[IVA]]+Tabla4[[#This Row],[Sub Total]]</f>
        <v>714000</v>
      </c>
    </row>
    <row r="292" spans="1:15" ht="45" x14ac:dyDescent="0.2">
      <c r="A292" s="6">
        <v>234</v>
      </c>
      <c r="B292" s="6" t="str">
        <f>VLOOKUP(Tabla4[[#This Row],[Codigo]],Tabla2[[Cod]:[Nombre ]],2,0)</f>
        <v>P-1222</v>
      </c>
      <c r="C292" s="53">
        <f>VLOOKUP(Tabla4[[#This Row],[Codigo]],Tabla2[[Cod]:[Nombre ]],3,0)</f>
        <v>44970</v>
      </c>
      <c r="D292" s="6" t="str">
        <f>VLOOKUP(Tabla4[[#This Row],[Codigo]],Tabla2[[Cod]:[Nombre ]],4,0)</f>
        <v>TIS-1210</v>
      </c>
      <c r="E292" s="5" t="str">
        <f>VLOOKUP(Tabla4[[#This Row],[Codigo]],Tabla2[[Cod]:[Nombre ]],8,0)</f>
        <v>INSTITUTO DISTRITAL DE CIENCIA, BIOTECNOLOGIA E INNOVACION EN SALUD</v>
      </c>
      <c r="F292" s="5" t="str">
        <f>VLOOKUP(Tabla4[[#This Row],[Codigo]],Tabla2[[Cod]:[Nombre ]],6,0)</f>
        <v>OK</v>
      </c>
      <c r="G292" s="7" t="s">
        <v>282</v>
      </c>
      <c r="H292" s="21" t="s">
        <v>16</v>
      </c>
      <c r="I292" s="21"/>
      <c r="J292" s="163">
        <v>229</v>
      </c>
      <c r="K292" s="294">
        <v>27254</v>
      </c>
      <c r="L292" s="298"/>
      <c r="M292" s="292">
        <f>IF(LEFT(Tabla4[[#This Row],[Electronica]],2)="NC",-Tabla4[[#This Row],[Cantidad]]*Tabla4[[#This Row],[Precio]]+Tabla4[[#This Row],[Dto]],Tabla4[[#This Row],[Cantidad]]*Tabla4[[#This Row],[Precio]]-Tabla4[[#This Row],[Dto]])</f>
        <v>6241166</v>
      </c>
      <c r="N292" s="292">
        <f>IFERROR(Tabla4[[#This Row],[Sub Total]]*VLOOKUP(Tabla4[[#This Row],[No]],Parametros!A:C,3,0),0)</f>
        <v>1185821.54</v>
      </c>
      <c r="O292" s="292">
        <f>+Tabla4[[#This Row],[IVA]]+Tabla4[[#This Row],[Sub Total]]</f>
        <v>7426987.54</v>
      </c>
    </row>
    <row r="293" spans="1:15" ht="45" x14ac:dyDescent="0.2">
      <c r="A293" s="6">
        <v>235</v>
      </c>
      <c r="B293" s="6" t="str">
        <f>VLOOKUP(Tabla4[[#This Row],[Codigo]],Tabla2[[Cod]:[Nombre ]],2,0)</f>
        <v>P-1223</v>
      </c>
      <c r="C293" s="53">
        <f>VLOOKUP(Tabla4[[#This Row],[Codigo]],Tabla2[[Cod]:[Nombre ]],3,0)</f>
        <v>44972</v>
      </c>
      <c r="D293" s="6" t="str">
        <f>VLOOKUP(Tabla4[[#This Row],[Codigo]],Tabla2[[Cod]:[Nombre ]],4,0)</f>
        <v>TIS-1211</v>
      </c>
      <c r="E293" s="5" t="str">
        <f>VLOOKUP(Tabla4[[#This Row],[Codigo]],Tabla2[[Cod]:[Nombre ]],8,0)</f>
        <v>PRODUCTORA INTERAMERICANA DE PLASTICOS S.A.S.</v>
      </c>
      <c r="F293" s="5" t="str">
        <f>VLOOKUP(Tabla4[[#This Row],[Codigo]],Tabla2[[Cod]:[Nombre ]],6,0)</f>
        <v>OK</v>
      </c>
      <c r="G293" s="7">
        <v>13</v>
      </c>
      <c r="H293" s="21" t="s">
        <v>596</v>
      </c>
      <c r="I293" s="21"/>
      <c r="J293" s="163">
        <v>2</v>
      </c>
      <c r="K293" s="294">
        <v>300000</v>
      </c>
      <c r="L293" s="298"/>
      <c r="M293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293" s="292">
        <f>IFERROR(Tabla4[[#This Row],[Sub Total]]*VLOOKUP(Tabla4[[#This Row],[No]],Parametros!A:C,3,0),0)</f>
        <v>114000</v>
      </c>
      <c r="O293" s="292">
        <f>+Tabla4[[#This Row],[IVA]]+Tabla4[[#This Row],[Sub Total]]</f>
        <v>714000</v>
      </c>
    </row>
    <row r="294" spans="1:15" ht="24" x14ac:dyDescent="0.2">
      <c r="A294" s="6">
        <v>236</v>
      </c>
      <c r="B294" s="6" t="str">
        <f>VLOOKUP(Tabla4[[#This Row],[Codigo]],Tabla2[[Cod]:[Nombre ]],2,0)</f>
        <v>P-1224</v>
      </c>
      <c r="C294" s="53">
        <f>VLOOKUP(Tabla4[[#This Row],[Codigo]],Tabla2[[Cod]:[Nombre ]],3,0)</f>
        <v>44972</v>
      </c>
      <c r="D294" s="6" t="str">
        <f>VLOOKUP(Tabla4[[#This Row],[Codigo]],Tabla2[[Cod]:[Nombre ]],4,0)</f>
        <v>TIS-1212</v>
      </c>
      <c r="E294" s="5" t="str">
        <f>VLOOKUP(Tabla4[[#This Row],[Codigo]],Tabla2[[Cod]:[Nombre ]],8,0)</f>
        <v>Comercializadora ERZ SAS</v>
      </c>
      <c r="F294" s="5" t="str">
        <f>VLOOKUP(Tabla4[[#This Row],[Codigo]],Tabla2[[Cod]:[Nombre ]],6,0)</f>
        <v>OK</v>
      </c>
      <c r="G294" s="7">
        <v>19</v>
      </c>
      <c r="H294" s="21" t="s">
        <v>602</v>
      </c>
      <c r="I294" s="21"/>
      <c r="J294" s="163">
        <v>2</v>
      </c>
      <c r="K294" s="294">
        <v>260000</v>
      </c>
      <c r="L294" s="298"/>
      <c r="M294" s="292">
        <f>IF(LEFT(Tabla4[[#This Row],[Electronica]],2)="NC",-Tabla4[[#This Row],[Cantidad]]*Tabla4[[#This Row],[Precio]]+Tabla4[[#This Row],[Dto]],Tabla4[[#This Row],[Cantidad]]*Tabla4[[#This Row],[Precio]]-Tabla4[[#This Row],[Dto]])</f>
        <v>520000</v>
      </c>
      <c r="N294" s="292">
        <f>IFERROR(Tabla4[[#This Row],[Sub Total]]*VLOOKUP(Tabla4[[#This Row],[No]],Parametros!A:C,3,0),0)</f>
        <v>0</v>
      </c>
      <c r="O294" s="292">
        <f>+Tabla4[[#This Row],[IVA]]+Tabla4[[#This Row],[Sub Total]]</f>
        <v>520000</v>
      </c>
    </row>
    <row r="295" spans="1:15" ht="24" x14ac:dyDescent="0.2">
      <c r="A295" s="6">
        <v>237</v>
      </c>
      <c r="B295" s="6" t="str">
        <f>VLOOKUP(Tabla4[[#This Row],[Codigo]],Tabla2[[Cod]:[Nombre ]],2,0)</f>
        <v>P-1225</v>
      </c>
      <c r="C295" s="53">
        <f>VLOOKUP(Tabla4[[#This Row],[Codigo]],Tabla2[[Cod]:[Nombre ]],3,0)</f>
        <v>44981</v>
      </c>
      <c r="D295" s="6" t="str">
        <f>VLOOKUP(Tabla4[[#This Row],[Codigo]],Tabla2[[Cod]:[Nombre ]],4,0)</f>
        <v>TIS-1214</v>
      </c>
      <c r="E295" s="5" t="str">
        <f>VLOOKUP(Tabla4[[#This Row],[Codigo]],Tabla2[[Cod]:[Nombre ]],8,0)</f>
        <v>ATECNO S.A.S</v>
      </c>
      <c r="F295" s="5" t="str">
        <f>VLOOKUP(Tabla4[[#This Row],[Codigo]],Tabla2[[Cod]:[Nombre ]],6,0)</f>
        <v>OK</v>
      </c>
      <c r="G295" s="7" t="s">
        <v>574</v>
      </c>
      <c r="H295" s="21" t="s">
        <v>603</v>
      </c>
      <c r="I295" s="21"/>
      <c r="J295" s="163">
        <v>237</v>
      </c>
      <c r="K295" s="294">
        <v>26800</v>
      </c>
      <c r="L295" s="298"/>
      <c r="M295" s="292">
        <f>IF(LEFT(Tabla4[[#This Row],[Electronica]],2)="NC",-Tabla4[[#This Row],[Cantidad]]*Tabla4[[#This Row],[Precio]]+Tabla4[[#This Row],[Dto]],Tabla4[[#This Row],[Cantidad]]*Tabla4[[#This Row],[Precio]]-Tabla4[[#This Row],[Dto]])</f>
        <v>6351600</v>
      </c>
      <c r="N295" s="292">
        <f>IFERROR(Tabla4[[#This Row],[Sub Total]]*VLOOKUP(Tabla4[[#This Row],[No]],Parametros!A:C,3,0),0)</f>
        <v>0</v>
      </c>
      <c r="O295" s="292">
        <f>+Tabla4[[#This Row],[IVA]]+Tabla4[[#This Row],[Sub Total]]</f>
        <v>6351600</v>
      </c>
    </row>
    <row r="296" spans="1:15" ht="45" x14ac:dyDescent="0.2">
      <c r="A296" s="6">
        <v>238</v>
      </c>
      <c r="B296" s="6" t="str">
        <f>VLOOKUP(Tabla4[[#This Row],[Codigo]],Tabla2[[Cod]:[Nombre ]],2,0)</f>
        <v>P-1226</v>
      </c>
      <c r="C296" s="53">
        <f>VLOOKUP(Tabla4[[#This Row],[Codigo]],Tabla2[[Cod]:[Nombre ]],3,0)</f>
        <v>44981</v>
      </c>
      <c r="D296" s="6" t="str">
        <f>VLOOKUP(Tabla4[[#This Row],[Codigo]],Tabla2[[Cod]:[Nombre ]],4,0)</f>
        <v>TIS-1215</v>
      </c>
      <c r="E296" s="5" t="str">
        <f>VLOOKUP(Tabla4[[#This Row],[Codigo]],Tabla2[[Cod]:[Nombre ]],8,0)</f>
        <v>PRODUCTORA INTERAMERICANA DE PLASTICOS S.A.S.</v>
      </c>
      <c r="F296" s="5" t="str">
        <f>VLOOKUP(Tabla4[[#This Row],[Codigo]],Tabla2[[Cod]:[Nombre ]],6,0)</f>
        <v>OK</v>
      </c>
      <c r="G296" s="7">
        <v>15</v>
      </c>
      <c r="H296" s="21" t="s">
        <v>553</v>
      </c>
      <c r="I296" s="21"/>
      <c r="J296" s="163">
        <v>1</v>
      </c>
      <c r="K296" s="294">
        <v>300000</v>
      </c>
      <c r="L296" s="298"/>
      <c r="M29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296" s="292">
        <f>IFERROR(Tabla4[[#This Row],[Sub Total]]*VLOOKUP(Tabla4[[#This Row],[No]],Parametros!A:C,3,0),0)</f>
        <v>57000</v>
      </c>
      <c r="O296" s="292">
        <f>+Tabla4[[#This Row],[IVA]]+Tabla4[[#This Row],[Sub Total]]</f>
        <v>357000</v>
      </c>
    </row>
    <row r="297" spans="1:15" ht="36" x14ac:dyDescent="0.2">
      <c r="A297" s="6">
        <v>239</v>
      </c>
      <c r="B297" s="6" t="str">
        <f>VLOOKUP(Tabla4[[#This Row],[Codigo]],Tabla2[[Cod]:[Nombre ]],2,0)</f>
        <v>P-1227</v>
      </c>
      <c r="C297" s="53">
        <f>VLOOKUP(Tabla4[[#This Row],[Codigo]],Tabla2[[Cod]:[Nombre ]],3,0)</f>
        <v>44981</v>
      </c>
      <c r="D297" s="6" t="str">
        <f>VLOOKUP(Tabla4[[#This Row],[Codigo]],Tabla2[[Cod]:[Nombre ]],4,0)</f>
        <v>TIS-1216</v>
      </c>
      <c r="E297" s="5" t="str">
        <f>VLOOKUP(Tabla4[[#This Row],[Codigo]],Tabla2[[Cod]:[Nombre ]],8,0)</f>
        <v>Inversiones Sajamib SAS</v>
      </c>
      <c r="F297" s="5" t="str">
        <f>VLOOKUP(Tabla4[[#This Row],[Codigo]],Tabla2[[Cod]:[Nombre ]],6,0)</f>
        <v>OK</v>
      </c>
      <c r="G297" s="7" t="s">
        <v>417</v>
      </c>
      <c r="H297" s="21" t="s">
        <v>525</v>
      </c>
      <c r="I297" s="21"/>
      <c r="J297" s="163">
        <v>2</v>
      </c>
      <c r="K297" s="294">
        <v>322000</v>
      </c>
      <c r="L297" s="298"/>
      <c r="M297" s="292">
        <f>IF(LEFT(Tabla4[[#This Row],[Electronica]],2)="NC",-Tabla4[[#This Row],[Cantidad]]*Tabla4[[#This Row],[Precio]]+Tabla4[[#This Row],[Dto]],Tabla4[[#This Row],[Cantidad]]*Tabla4[[#This Row],[Precio]]-Tabla4[[#This Row],[Dto]])</f>
        <v>644000</v>
      </c>
      <c r="N297" s="292">
        <f>IFERROR(Tabla4[[#This Row],[Sub Total]]*VLOOKUP(Tabla4[[#This Row],[No]],Parametros!A:C,3,0),0)</f>
        <v>0</v>
      </c>
      <c r="O297" s="292">
        <f>+Tabla4[[#This Row],[IVA]]+Tabla4[[#This Row],[Sub Total]]</f>
        <v>644000</v>
      </c>
    </row>
    <row r="298" spans="1:15" ht="30" x14ac:dyDescent="0.2">
      <c r="A298" s="6">
        <v>240</v>
      </c>
      <c r="B298" s="6" t="str">
        <f>VLOOKUP(Tabla4[[#This Row],[Codigo]],Tabla2[[Cod]:[Nombre ]],2,0)</f>
        <v>P-1228</v>
      </c>
      <c r="C298" s="53">
        <f>VLOOKUP(Tabla4[[#This Row],[Codigo]],Tabla2[[Cod]:[Nombre ]],3,0)</f>
        <v>44981</v>
      </c>
      <c r="D298" s="6" t="str">
        <f>VLOOKUP(Tabla4[[#This Row],[Codigo]],Tabla2[[Cod]:[Nombre ]],4,0)</f>
        <v>TIS-1218</v>
      </c>
      <c r="E298" s="5" t="str">
        <f>VLOOKUP(Tabla4[[#This Row],[Codigo]],Tabla2[[Cod]:[Nombre ]],8,0)</f>
        <v>PASTRY CHEF PASTELERIA Y COCINA GOURMET SAS</v>
      </c>
      <c r="F298" s="5" t="str">
        <f>VLOOKUP(Tabla4[[#This Row],[Codigo]],Tabla2[[Cod]:[Nombre ]],6,0)</f>
        <v>OK</v>
      </c>
      <c r="G298" s="7">
        <v>19</v>
      </c>
      <c r="H298" s="21" t="s">
        <v>602</v>
      </c>
      <c r="I298" s="21"/>
      <c r="J298" s="163">
        <v>2</v>
      </c>
      <c r="K298" s="294">
        <v>723333</v>
      </c>
      <c r="L298" s="298"/>
      <c r="M298" s="292">
        <f>IF(LEFT(Tabla4[[#This Row],[Electronica]],2)="NC",-Tabla4[[#This Row],[Cantidad]]*Tabla4[[#This Row],[Precio]]+Tabla4[[#This Row],[Dto]],Tabla4[[#This Row],[Cantidad]]*Tabla4[[#This Row],[Precio]]-Tabla4[[#This Row],[Dto]])</f>
        <v>1446666</v>
      </c>
      <c r="N298" s="292">
        <f>IFERROR(Tabla4[[#This Row],[Sub Total]]*VLOOKUP(Tabla4[[#This Row],[No]],Parametros!A:C,3,0),0)</f>
        <v>0</v>
      </c>
      <c r="O298" s="292">
        <f>+Tabla4[[#This Row],[IVA]]+Tabla4[[#This Row],[Sub Total]]</f>
        <v>1446666</v>
      </c>
    </row>
    <row r="299" spans="1:15" ht="36" x14ac:dyDescent="0.2">
      <c r="A299" s="6">
        <v>241</v>
      </c>
      <c r="B299" s="6" t="str">
        <f>VLOOKUP(Tabla4[[#This Row],[Codigo]],Tabla2[[Cod]:[Nombre ]],2,0)</f>
        <v>P-1229</v>
      </c>
      <c r="C299" s="53">
        <f>VLOOKUP(Tabla4[[#This Row],[Codigo]],Tabla2[[Cod]:[Nombre ]],3,0)</f>
        <v>44987</v>
      </c>
      <c r="D299" s="6" t="str">
        <f>VLOOKUP(Tabla4[[#This Row],[Codigo]],Tabla2[[Cod]:[Nombre ]],4,0)</f>
        <v>TIS-1219</v>
      </c>
      <c r="E299" s="5" t="str">
        <f>VLOOKUP(Tabla4[[#This Row],[Codigo]],Tabla2[[Cod]:[Nombre ]],8,0)</f>
        <v>TECNOLOGIA DE OFICINA S.A.S.</v>
      </c>
      <c r="F299" s="5" t="str">
        <f>VLOOKUP(Tabla4[[#This Row],[Codigo]],Tabla2[[Cod]:[Nombre ]],6,0)</f>
        <v>OK</v>
      </c>
      <c r="G299" s="7" t="s">
        <v>417</v>
      </c>
      <c r="H299" s="21" t="s">
        <v>525</v>
      </c>
      <c r="I299" s="21"/>
      <c r="J299" s="163">
        <v>1</v>
      </c>
      <c r="K299" s="294">
        <v>503000</v>
      </c>
      <c r="L299" s="298"/>
      <c r="M299" s="292">
        <f>IF(LEFT(Tabla4[[#This Row],[Electronica]],2)="NC",-Tabla4[[#This Row],[Cantidad]]*Tabla4[[#This Row],[Precio]]+Tabla4[[#This Row],[Dto]],Tabla4[[#This Row],[Cantidad]]*Tabla4[[#This Row],[Precio]]-Tabla4[[#This Row],[Dto]])</f>
        <v>503000</v>
      </c>
      <c r="N299" s="292">
        <f>IFERROR(Tabla4[[#This Row],[Sub Total]]*VLOOKUP(Tabla4[[#This Row],[No]],Parametros!A:C,3,0),0)</f>
        <v>0</v>
      </c>
      <c r="O299" s="292">
        <f>+Tabla4[[#This Row],[IVA]]+Tabla4[[#This Row],[Sub Total]]</f>
        <v>503000</v>
      </c>
    </row>
    <row r="300" spans="1:15" ht="45" x14ac:dyDescent="0.2">
      <c r="A300" s="6">
        <v>242</v>
      </c>
      <c r="B300" s="6" t="str">
        <f>VLOOKUP(Tabla4[[#This Row],[Codigo]],Tabla2[[Cod]:[Nombre ]],2,0)</f>
        <v>P-1230</v>
      </c>
      <c r="C300" s="53">
        <f>VLOOKUP(Tabla4[[#This Row],[Codigo]],Tabla2[[Cod]:[Nombre ]],3,0)</f>
        <v>44992</v>
      </c>
      <c r="D300" s="6" t="str">
        <f>VLOOKUP(Tabla4[[#This Row],[Codigo]],Tabla2[[Cod]:[Nombre ]],4,0)</f>
        <v>TIS-1220</v>
      </c>
      <c r="E300" s="5" t="str">
        <f>VLOOKUP(Tabla4[[#This Row],[Codigo]],Tabla2[[Cod]:[Nombre ]],8,0)</f>
        <v>PRODUCTORA INTERAMERICANA DE PLASTICOS S.A.S.</v>
      </c>
      <c r="F300" s="5" t="str">
        <f>VLOOKUP(Tabla4[[#This Row],[Codigo]],Tabla2[[Cod]:[Nombre ]],6,0)</f>
        <v>OK</v>
      </c>
      <c r="G300" s="7">
        <v>20</v>
      </c>
      <c r="H300" s="21" t="s">
        <v>604</v>
      </c>
      <c r="I300" s="21"/>
      <c r="J300" s="163">
        <v>14</v>
      </c>
      <c r="K300" s="294">
        <v>280000</v>
      </c>
      <c r="L300" s="298"/>
      <c r="M300" s="292">
        <f>IF(LEFT(Tabla4[[#This Row],[Electronica]],2)="NC",-Tabla4[[#This Row],[Cantidad]]*Tabla4[[#This Row],[Precio]]+Tabla4[[#This Row],[Dto]],Tabla4[[#This Row],[Cantidad]]*Tabla4[[#This Row],[Precio]]-Tabla4[[#This Row],[Dto]])</f>
        <v>3920000</v>
      </c>
      <c r="N300" s="292">
        <f>IFERROR(Tabla4[[#This Row],[Sub Total]]*VLOOKUP(Tabla4[[#This Row],[No]],Parametros!A:C,3,0),0)</f>
        <v>0</v>
      </c>
      <c r="O300" s="292">
        <f>+Tabla4[[#This Row],[IVA]]+Tabla4[[#This Row],[Sub Total]]</f>
        <v>3920000</v>
      </c>
    </row>
    <row r="301" spans="1:15" ht="24" x14ac:dyDescent="0.2">
      <c r="A301" s="6">
        <v>243</v>
      </c>
      <c r="B301" s="6" t="str">
        <f>VLOOKUP(Tabla4[[#This Row],[Codigo]],Tabla2[[Cod]:[Nombre ]],2,0)</f>
        <v>P-1231</v>
      </c>
      <c r="C301" s="53">
        <f>VLOOKUP(Tabla4[[#This Row],[Codigo]],Tabla2[[Cod]:[Nombre ]],3,0)</f>
        <v>44995</v>
      </c>
      <c r="D301" s="6" t="str">
        <f>VLOOKUP(Tabla4[[#This Row],[Codigo]],Tabla2[[Cod]:[Nombre ]],4,0)</f>
        <v>TIS-1221</v>
      </c>
      <c r="E301" s="5" t="str">
        <f>VLOOKUP(Tabla4[[#This Row],[Codigo]],Tabla2[[Cod]:[Nombre ]],8,0)</f>
        <v>CLEAN MAX SAS</v>
      </c>
      <c r="F301" s="5" t="str">
        <f>VLOOKUP(Tabla4[[#This Row],[Codigo]],Tabla2[[Cod]:[Nombre ]],6,0)</f>
        <v>OK</v>
      </c>
      <c r="G301" s="7" t="s">
        <v>574</v>
      </c>
      <c r="H301" s="21" t="s">
        <v>603</v>
      </c>
      <c r="I301" s="21"/>
      <c r="J301" s="163">
        <v>10</v>
      </c>
      <c r="K301" s="294">
        <v>36000</v>
      </c>
      <c r="L301" s="298"/>
      <c r="M301" s="292">
        <f>IF(LEFT(Tabla4[[#This Row],[Electronica]],2)="NC",-Tabla4[[#This Row],[Cantidad]]*Tabla4[[#This Row],[Precio]]+Tabla4[[#This Row],[Dto]],Tabla4[[#This Row],[Cantidad]]*Tabla4[[#This Row],[Precio]]-Tabla4[[#This Row],[Dto]])</f>
        <v>360000</v>
      </c>
      <c r="N301" s="292">
        <f>IFERROR(Tabla4[[#This Row],[Sub Total]]*VLOOKUP(Tabla4[[#This Row],[No]],Parametros!A:C,3,0),0)</f>
        <v>0</v>
      </c>
      <c r="O301" s="292">
        <f>+Tabla4[[#This Row],[IVA]]+Tabla4[[#This Row],[Sub Total]]</f>
        <v>360000</v>
      </c>
    </row>
    <row r="302" spans="1:15" ht="30" x14ac:dyDescent="0.2">
      <c r="A302" s="6">
        <v>244</v>
      </c>
      <c r="B302" s="6" t="str">
        <f>VLOOKUP(Tabla4[[#This Row],[Codigo]],Tabla2[[Cod]:[Nombre ]],2,0)</f>
        <v>P-1232</v>
      </c>
      <c r="C302" s="53">
        <f>VLOOKUP(Tabla4[[#This Row],[Codigo]],Tabla2[[Cod]:[Nombre ]],3,0)</f>
        <v>44995</v>
      </c>
      <c r="D302" s="6" t="str">
        <f>VLOOKUP(Tabla4[[#This Row],[Codigo]],Tabla2[[Cod]:[Nombre ]],4,0)</f>
        <v>TIS-1222</v>
      </c>
      <c r="E302" s="5" t="str">
        <f>VLOOKUP(Tabla4[[#This Row],[Codigo]],Tabla2[[Cod]:[Nombre ]],8,0)</f>
        <v>SOLUCIONES INDUSTRIALES MONTERREY SAS</v>
      </c>
      <c r="F302" s="5" t="str">
        <f>VLOOKUP(Tabla4[[#This Row],[Codigo]],Tabla2[[Cod]:[Nombre ]],6,0)</f>
        <v>OK</v>
      </c>
      <c r="G302" s="7" t="s">
        <v>574</v>
      </c>
      <c r="H302" s="21" t="s">
        <v>603</v>
      </c>
      <c r="I302" s="21"/>
      <c r="J302" s="163">
        <v>9</v>
      </c>
      <c r="K302" s="294">
        <v>58000</v>
      </c>
      <c r="L302" s="298"/>
      <c r="M302" s="292">
        <f>IF(LEFT(Tabla4[[#This Row],[Electronica]],2)="NC",-Tabla4[[#This Row],[Cantidad]]*Tabla4[[#This Row],[Precio]]+Tabla4[[#This Row],[Dto]],Tabla4[[#This Row],[Cantidad]]*Tabla4[[#This Row],[Precio]]-Tabla4[[#This Row],[Dto]])</f>
        <v>522000</v>
      </c>
      <c r="N302" s="292">
        <f>IFERROR(Tabla4[[#This Row],[Sub Total]]*VLOOKUP(Tabla4[[#This Row],[No]],Parametros!A:C,3,0),0)</f>
        <v>0</v>
      </c>
      <c r="O302" s="292">
        <f>+Tabla4[[#This Row],[IVA]]+Tabla4[[#This Row],[Sub Total]]</f>
        <v>522000</v>
      </c>
    </row>
    <row r="303" spans="1:15" ht="30" x14ac:dyDescent="0.2">
      <c r="A303" s="6">
        <v>245</v>
      </c>
      <c r="B303" s="6" t="str">
        <f>VLOOKUP(Tabla4[[#This Row],[Codigo]],Tabla2[[Cod]:[Nombre ]],2,0)</f>
        <v>P-1233</v>
      </c>
      <c r="C303" s="53">
        <f>VLOOKUP(Tabla4[[#This Row],[Codigo]],Tabla2[[Cod]:[Nombre ]],3,0)</f>
        <v>45058</v>
      </c>
      <c r="D303" s="6" t="str">
        <f>VLOOKUP(Tabla4[[#This Row],[Codigo]],Tabla2[[Cod]:[Nombre ]],4,0)</f>
        <v>TIS-1223</v>
      </c>
      <c r="E303" s="5" t="str">
        <f>VLOOKUP(Tabla4[[#This Row],[Codigo]],Tabla2[[Cod]:[Nombre ]],8,0)</f>
        <v>EXPRESS CLEAN LAVANDERIA</v>
      </c>
      <c r="F303" s="5" t="str">
        <f>VLOOKUP(Tabla4[[#This Row],[Codigo]],Tabla2[[Cod]:[Nombre ]],6,0)</f>
        <v>OK</v>
      </c>
      <c r="G303" s="7" t="s">
        <v>574</v>
      </c>
      <c r="H303" s="21" t="s">
        <v>603</v>
      </c>
      <c r="I303" s="21"/>
      <c r="J303" s="163">
        <v>38</v>
      </c>
      <c r="K303" s="294">
        <v>30000</v>
      </c>
      <c r="L303" s="298"/>
      <c r="M303" s="292">
        <f>IF(LEFT(Tabla4[[#This Row],[Electronica]],2)="NC",-Tabla4[[#This Row],[Cantidad]]*Tabla4[[#This Row],[Precio]]+Tabla4[[#This Row],[Dto]],Tabla4[[#This Row],[Cantidad]]*Tabla4[[#This Row],[Precio]]-Tabla4[[#This Row],[Dto]])</f>
        <v>1140000</v>
      </c>
      <c r="N303" s="292">
        <f>IFERROR(Tabla4[[#This Row],[Sub Total]]*VLOOKUP(Tabla4[[#This Row],[No]],Parametros!A:C,3,0),0)</f>
        <v>0</v>
      </c>
      <c r="O303" s="292">
        <f>+Tabla4[[#This Row],[IVA]]+Tabla4[[#This Row],[Sub Total]]</f>
        <v>1140000</v>
      </c>
    </row>
    <row r="304" spans="1:15" ht="36" x14ac:dyDescent="0.2">
      <c r="A304" s="6">
        <v>246</v>
      </c>
      <c r="B304" s="6" t="str">
        <f>VLOOKUP(Tabla4[[#This Row],[Codigo]],Tabla2[[Cod]:[Nombre ]],2,0)</f>
        <v>P-1234</v>
      </c>
      <c r="C304" s="53">
        <f>VLOOKUP(Tabla4[[#This Row],[Codigo]],Tabla2[[Cod]:[Nombre ]],3,0)</f>
        <v>45001</v>
      </c>
      <c r="D304" s="6" t="str">
        <f>VLOOKUP(Tabla4[[#This Row],[Codigo]],Tabla2[[Cod]:[Nombre ]],4,0)</f>
        <v xml:space="preserve">TIS-1224 </v>
      </c>
      <c r="E304" s="5" t="str">
        <f>VLOOKUP(Tabla4[[#This Row],[Codigo]],Tabla2[[Cod]:[Nombre ]],8,0)</f>
        <v>HUTERCOL S.A.S.</v>
      </c>
      <c r="F304" s="5" t="str">
        <f>VLOOKUP(Tabla4[[#This Row],[Codigo]],Tabla2[[Cod]:[Nombre ]],6,0)</f>
        <v>OK</v>
      </c>
      <c r="G304" s="7" t="s">
        <v>416</v>
      </c>
      <c r="H304" s="21" t="s">
        <v>519</v>
      </c>
      <c r="I304" s="21"/>
      <c r="J304" s="163">
        <v>1</v>
      </c>
      <c r="K304" s="294">
        <v>1200000</v>
      </c>
      <c r="L304" s="298"/>
      <c r="M304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304" s="292">
        <f>IFERROR(Tabla4[[#This Row],[Sub Total]]*VLOOKUP(Tabla4[[#This Row],[No]],Parametros!A:C,3,0),0)</f>
        <v>228000</v>
      </c>
      <c r="O304" s="292">
        <f>+Tabla4[[#This Row],[IVA]]+Tabla4[[#This Row],[Sub Total]]</f>
        <v>1428000</v>
      </c>
    </row>
    <row r="305" spans="1:15" ht="30" x14ac:dyDescent="0.2">
      <c r="A305" s="6">
        <v>247</v>
      </c>
      <c r="B305" s="6" t="str">
        <f>VLOOKUP(Tabla4[[#This Row],[Codigo]],Tabla2[[Cod]:[Nombre ]],2,0)</f>
        <v>P-1235</v>
      </c>
      <c r="C305" s="53">
        <f>VLOOKUP(Tabla4[[#This Row],[Codigo]],Tabla2[[Cod]:[Nombre ]],3,0)</f>
        <v>45010</v>
      </c>
      <c r="D305" s="6" t="str">
        <f>VLOOKUP(Tabla4[[#This Row],[Codigo]],Tabla2[[Cod]:[Nombre ]],4,0)</f>
        <v>TIS-1225</v>
      </c>
      <c r="E305" s="5" t="str">
        <f>VLOOKUP(Tabla4[[#This Row],[Codigo]],Tabla2[[Cod]:[Nombre ]],8,0)</f>
        <v>CHILLER PLANT SERVICES SAS</v>
      </c>
      <c r="F305" s="5" t="str">
        <f>VLOOKUP(Tabla4[[#This Row],[Codigo]],Tabla2[[Cod]:[Nombre ]],6,0)</f>
        <v>OK</v>
      </c>
      <c r="G305" s="7" t="s">
        <v>282</v>
      </c>
      <c r="H305" s="21" t="s">
        <v>16</v>
      </c>
      <c r="I305" s="21"/>
      <c r="J305" s="163">
        <v>6</v>
      </c>
      <c r="K305" s="294">
        <v>95000</v>
      </c>
      <c r="L305" s="298"/>
      <c r="M305" s="292">
        <f>IF(LEFT(Tabla4[[#This Row],[Electronica]],2)="NC",-Tabla4[[#This Row],[Cantidad]]*Tabla4[[#This Row],[Precio]]+Tabla4[[#This Row],[Dto]],Tabla4[[#This Row],[Cantidad]]*Tabla4[[#This Row],[Precio]]-Tabla4[[#This Row],[Dto]])</f>
        <v>570000</v>
      </c>
      <c r="N305" s="292">
        <f>IFERROR(Tabla4[[#This Row],[Sub Total]]*VLOOKUP(Tabla4[[#This Row],[No]],Parametros!A:C,3,0),0)</f>
        <v>108300</v>
      </c>
      <c r="O305" s="292">
        <f>+Tabla4[[#This Row],[IVA]]+Tabla4[[#This Row],[Sub Total]]</f>
        <v>678300</v>
      </c>
    </row>
    <row r="306" spans="1:15" ht="30" x14ac:dyDescent="0.2">
      <c r="A306" s="6">
        <v>248</v>
      </c>
      <c r="B306" s="6" t="str">
        <f>VLOOKUP(Tabla4[[#This Row],[Codigo]],Tabla2[[Cod]:[Nombre ]],2,0)</f>
        <v>P-1236</v>
      </c>
      <c r="C306" s="53">
        <f>VLOOKUP(Tabla4[[#This Row],[Codigo]],Tabla2[[Cod]:[Nombre ]],3,0)</f>
        <v>45020</v>
      </c>
      <c r="D306" s="6" t="str">
        <f>VLOOKUP(Tabla4[[#This Row],[Codigo]],Tabla2[[Cod]:[Nombre ]],4,0)</f>
        <v xml:space="preserve">TIS-1226 </v>
      </c>
      <c r="E306" s="5" t="str">
        <f>VLOOKUP(Tabla4[[#This Row],[Codigo]],Tabla2[[Cod]:[Nombre ]],8,0)</f>
        <v>PASTRY CHEF PASTELERIA Y COCINA GOURMET SAS</v>
      </c>
      <c r="F306" s="5" t="str">
        <f>VLOOKUP(Tabla4[[#This Row],[Codigo]],Tabla2[[Cod]:[Nombre ]],6,0)</f>
        <v>OK</v>
      </c>
      <c r="G306" s="7">
        <v>13</v>
      </c>
      <c r="H306" s="21" t="s">
        <v>596</v>
      </c>
      <c r="I306" s="21"/>
      <c r="J306" s="163">
        <v>1</v>
      </c>
      <c r="K306" s="294">
        <v>723333</v>
      </c>
      <c r="L306" s="298"/>
      <c r="M306" s="292">
        <f>IF(LEFT(Tabla4[[#This Row],[Electronica]],2)="NC",-Tabla4[[#This Row],[Cantidad]]*Tabla4[[#This Row],[Precio]]+Tabla4[[#This Row],[Dto]],Tabla4[[#This Row],[Cantidad]]*Tabla4[[#This Row],[Precio]]-Tabla4[[#This Row],[Dto]])</f>
        <v>723333</v>
      </c>
      <c r="N306" s="292">
        <f>IFERROR(Tabla4[[#This Row],[Sub Total]]*VLOOKUP(Tabla4[[#This Row],[No]],Parametros!A:C,3,0),0)</f>
        <v>137433.26999999999</v>
      </c>
      <c r="O306" s="292">
        <f>+Tabla4[[#This Row],[IVA]]+Tabla4[[#This Row],[Sub Total]]</f>
        <v>860766.27</v>
      </c>
    </row>
    <row r="307" spans="1:15" ht="45" x14ac:dyDescent="0.2">
      <c r="A307" s="6">
        <v>249</v>
      </c>
      <c r="B307" s="6" t="str">
        <f>VLOOKUP(Tabla4[[#This Row],[Codigo]],Tabla2[[Cod]:[Nombre ]],2,0)</f>
        <v>P-1237</v>
      </c>
      <c r="C307" s="53">
        <f>VLOOKUP(Tabla4[[#This Row],[Codigo]],Tabla2[[Cod]:[Nombre ]],3,0)</f>
        <v>45020</v>
      </c>
      <c r="D307" s="6" t="str">
        <f>VLOOKUP(Tabla4[[#This Row],[Codigo]],Tabla2[[Cod]:[Nombre ]],4,0)</f>
        <v>TIS-1227</v>
      </c>
      <c r="E307" s="5" t="str">
        <f>VLOOKUP(Tabla4[[#This Row],[Codigo]],Tabla2[[Cod]:[Nombre ]],8,0)</f>
        <v>PRODUCTORA INTERAMERICANA DE PLASTICOS S.A.S.</v>
      </c>
      <c r="F307" s="5" t="str">
        <f>VLOOKUP(Tabla4[[#This Row],[Codigo]],Tabla2[[Cod]:[Nombre ]],6,0)</f>
        <v>OK</v>
      </c>
      <c r="G307" s="7">
        <v>13</v>
      </c>
      <c r="H307" s="21" t="s">
        <v>596</v>
      </c>
      <c r="I307" s="21"/>
      <c r="J307" s="163">
        <v>1</v>
      </c>
      <c r="K307" s="294">
        <v>300000</v>
      </c>
      <c r="L307" s="298"/>
      <c r="M307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07" s="292">
        <f>IFERROR(Tabla4[[#This Row],[Sub Total]]*VLOOKUP(Tabla4[[#This Row],[No]],Parametros!A:C,3,0),0)</f>
        <v>57000</v>
      </c>
      <c r="O307" s="292">
        <f>+Tabla4[[#This Row],[IVA]]+Tabla4[[#This Row],[Sub Total]]</f>
        <v>357000</v>
      </c>
    </row>
    <row r="308" spans="1:15" ht="24" x14ac:dyDescent="0.2">
      <c r="A308" s="6">
        <v>250</v>
      </c>
      <c r="B308" s="6" t="str">
        <f>VLOOKUP(Tabla4[[#This Row],[Codigo]],Tabla2[[Cod]:[Nombre ]],2,0)</f>
        <v>P-1238</v>
      </c>
      <c r="C308" s="53">
        <f>VLOOKUP(Tabla4[[#This Row],[Codigo]],Tabla2[[Cod]:[Nombre ]],3,0)</f>
        <v>45020</v>
      </c>
      <c r="D308" s="6" t="str">
        <f>VLOOKUP(Tabla4[[#This Row],[Codigo]],Tabla2[[Cod]:[Nombre ]],4,0)</f>
        <v>TIS-1228</v>
      </c>
      <c r="E308" s="5" t="str">
        <f>VLOOKUP(Tabla4[[#This Row],[Codigo]],Tabla2[[Cod]:[Nombre ]],8,0)</f>
        <v>Comercializadora ERZ SAS</v>
      </c>
      <c r="F308" s="5" t="str">
        <f>VLOOKUP(Tabla4[[#This Row],[Codigo]],Tabla2[[Cod]:[Nombre ]],6,0)</f>
        <v>OK</v>
      </c>
      <c r="G308" s="7">
        <v>13</v>
      </c>
      <c r="H308" s="21" t="s">
        <v>596</v>
      </c>
      <c r="I308" s="21"/>
      <c r="J308" s="163">
        <v>1</v>
      </c>
      <c r="K308" s="294">
        <v>260000</v>
      </c>
      <c r="L308" s="298"/>
      <c r="M308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308" s="292">
        <f>IFERROR(Tabla4[[#This Row],[Sub Total]]*VLOOKUP(Tabla4[[#This Row],[No]],Parametros!A:C,3,0),0)</f>
        <v>49400</v>
      </c>
      <c r="O308" s="292">
        <f>+Tabla4[[#This Row],[IVA]]+Tabla4[[#This Row],[Sub Total]]</f>
        <v>309400</v>
      </c>
    </row>
    <row r="309" spans="1:15" ht="36" x14ac:dyDescent="0.2">
      <c r="A309" s="6">
        <v>251</v>
      </c>
      <c r="B309" s="6" t="str">
        <f>VLOOKUP(Tabla4[[#This Row],[Codigo]],Tabla2[[Cod]:[Nombre ]],2,0)</f>
        <v>P-1239</v>
      </c>
      <c r="C309" s="53">
        <f>VLOOKUP(Tabla4[[#This Row],[Codigo]],Tabla2[[Cod]:[Nombre ]],3,0)</f>
        <v>45020</v>
      </c>
      <c r="D309" s="6" t="str">
        <f>VLOOKUP(Tabla4[[#This Row],[Codigo]],Tabla2[[Cod]:[Nombre ]],4,0)</f>
        <v>TIS-1229</v>
      </c>
      <c r="E309" s="5" t="str">
        <f>VLOOKUP(Tabla4[[#This Row],[Codigo]],Tabla2[[Cod]:[Nombre ]],8,0)</f>
        <v>Inversiones Sajamib SAS</v>
      </c>
      <c r="F309" s="5" t="str">
        <f>VLOOKUP(Tabla4[[#This Row],[Codigo]],Tabla2[[Cod]:[Nombre ]],6,0)</f>
        <v>OK</v>
      </c>
      <c r="G309" s="7" t="s">
        <v>417</v>
      </c>
      <c r="H309" s="21" t="s">
        <v>525</v>
      </c>
      <c r="I309" s="21"/>
      <c r="J309" s="163">
        <v>1</v>
      </c>
      <c r="K309" s="294">
        <v>400000</v>
      </c>
      <c r="L309" s="298"/>
      <c r="M309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309" s="292">
        <f>IFERROR(Tabla4[[#This Row],[Sub Total]]*VLOOKUP(Tabla4[[#This Row],[No]],Parametros!A:C,3,0),0)</f>
        <v>0</v>
      </c>
      <c r="O309" s="292">
        <f>+Tabla4[[#This Row],[IVA]]+Tabla4[[#This Row],[Sub Total]]</f>
        <v>400000</v>
      </c>
    </row>
    <row r="310" spans="1:15" ht="24" x14ac:dyDescent="0.2">
      <c r="A310" s="6">
        <v>252</v>
      </c>
      <c r="B310" s="6" t="str">
        <f>VLOOKUP(Tabla4[[#This Row],[Codigo]],Tabla2[[Cod]:[Nombre ]],2,0)</f>
        <v>P-1240</v>
      </c>
      <c r="C310" s="53">
        <f>VLOOKUP(Tabla4[[#This Row],[Codigo]],Tabla2[[Cod]:[Nombre ]],3,0)</f>
        <v>45020</v>
      </c>
      <c r="D310" s="6" t="str">
        <f>VLOOKUP(Tabla4[[#This Row],[Codigo]],Tabla2[[Cod]:[Nombre ]],4,0)</f>
        <v>TIS-1230</v>
      </c>
      <c r="E310" s="5" t="str">
        <f>VLOOKUP(Tabla4[[#This Row],[Codigo]],Tabla2[[Cod]:[Nombre ]],8,0)</f>
        <v>MEMCO SAS</v>
      </c>
      <c r="F310" s="5" t="str">
        <f>VLOOKUP(Tabla4[[#This Row],[Codigo]],Tabla2[[Cod]:[Nombre ]],6,0)</f>
        <v>OK</v>
      </c>
      <c r="G310" s="7" t="s">
        <v>420</v>
      </c>
      <c r="H310" s="21" t="s">
        <v>551</v>
      </c>
      <c r="I310" s="21"/>
      <c r="J310" s="163">
        <v>1</v>
      </c>
      <c r="K310" s="294">
        <v>480000</v>
      </c>
      <c r="L310" s="298"/>
      <c r="M310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310" s="292">
        <f>IFERROR(Tabla4[[#This Row],[Sub Total]]*VLOOKUP(Tabla4[[#This Row],[No]],Parametros!A:C,3,0),0)</f>
        <v>91200</v>
      </c>
      <c r="O310" s="292">
        <f>+Tabla4[[#This Row],[IVA]]+Tabla4[[#This Row],[Sub Total]]</f>
        <v>571200</v>
      </c>
    </row>
    <row r="311" spans="1:15" ht="30" x14ac:dyDescent="0.2">
      <c r="A311" s="6">
        <v>253</v>
      </c>
      <c r="B311" s="6" t="str">
        <f>VLOOKUP(Tabla4[[#This Row],[Codigo]],Tabla2[[Cod]:[Nombre ]],2,0)</f>
        <v>P-1241</v>
      </c>
      <c r="C311" s="53">
        <f>VLOOKUP(Tabla4[[#This Row],[Codigo]],Tabla2[[Cod]:[Nombre ]],3,0)</f>
        <v>45021</v>
      </c>
      <c r="D311" s="6" t="str">
        <f>VLOOKUP(Tabla4[[#This Row],[Codigo]],Tabla2[[Cod]:[Nombre ]],4,0)</f>
        <v>TIS-1231</v>
      </c>
      <c r="E311" s="5" t="str">
        <f>VLOOKUP(Tabla4[[#This Row],[Codigo]],Tabla2[[Cod]:[Nombre ]],8,0)</f>
        <v>LUCTA GRANCOLOMBIA SAS</v>
      </c>
      <c r="F311" s="5" t="str">
        <f>VLOOKUP(Tabla4[[#This Row],[Codigo]],Tabla2[[Cod]:[Nombre ]],6,0)</f>
        <v>Anulado</v>
      </c>
      <c r="G311" s="7" t="s">
        <v>433</v>
      </c>
      <c r="H311" s="21" t="s">
        <v>517</v>
      </c>
      <c r="I311" s="21"/>
      <c r="J311" s="163">
        <v>1</v>
      </c>
      <c r="K311" s="294">
        <v>12000000</v>
      </c>
      <c r="L311" s="298"/>
      <c r="M311" s="292">
        <f>IF(LEFT(Tabla4[[#This Row],[Electronica]],2)="NC",-Tabla4[[#This Row],[Cantidad]]*Tabla4[[#This Row],[Precio]]+Tabla4[[#This Row],[Dto]],Tabla4[[#This Row],[Cantidad]]*Tabla4[[#This Row],[Precio]]-Tabla4[[#This Row],[Dto]])</f>
        <v>12000000</v>
      </c>
      <c r="N311" s="292">
        <f>IFERROR(Tabla4[[#This Row],[Sub Total]]*VLOOKUP(Tabla4[[#This Row],[No]],Parametros!A:C,3,0),0)</f>
        <v>2280000</v>
      </c>
      <c r="O311" s="292">
        <f>+Tabla4[[#This Row],[IVA]]+Tabla4[[#This Row],[Sub Total]]</f>
        <v>14280000</v>
      </c>
    </row>
    <row r="312" spans="1:15" ht="36" x14ac:dyDescent="0.2">
      <c r="A312" s="6">
        <v>254</v>
      </c>
      <c r="B312" s="6" t="str">
        <f>VLOOKUP(Tabla4[[#This Row],[Codigo]],Tabla2[[Cod]:[Nombre ]],2,0)</f>
        <v>P-1242</v>
      </c>
      <c r="C312" s="53">
        <f>VLOOKUP(Tabla4[[#This Row],[Codigo]],Tabla2[[Cod]:[Nombre ]],3,0)</f>
        <v>45028</v>
      </c>
      <c r="D312" s="6" t="str">
        <f>VLOOKUP(Tabla4[[#This Row],[Codigo]],Tabla2[[Cod]:[Nombre ]],4,0)</f>
        <v>TIS-1232</v>
      </c>
      <c r="E312" s="5" t="str">
        <f>VLOOKUP(Tabla4[[#This Row],[Codigo]],Tabla2[[Cod]:[Nombre ]],8,0)</f>
        <v>Maria del Pilar Alvarado Joya</v>
      </c>
      <c r="F312" s="5" t="str">
        <f>VLOOKUP(Tabla4[[#This Row],[Codigo]],Tabla2[[Cod]:[Nombre ]],6,0)</f>
        <v>OK</v>
      </c>
      <c r="G312" s="7" t="s">
        <v>417</v>
      </c>
      <c r="H312" s="21" t="s">
        <v>525</v>
      </c>
      <c r="I312" s="21"/>
      <c r="J312" s="163">
        <v>1</v>
      </c>
      <c r="K312" s="294">
        <v>900000</v>
      </c>
      <c r="L312" s="298"/>
      <c r="M312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312" s="292">
        <f>IFERROR(Tabla4[[#This Row],[Sub Total]]*VLOOKUP(Tabla4[[#This Row],[No]],Parametros!A:C,3,0),0)</f>
        <v>0</v>
      </c>
      <c r="O312" s="292">
        <f>+Tabla4[[#This Row],[IVA]]+Tabla4[[#This Row],[Sub Total]]</f>
        <v>900000</v>
      </c>
    </row>
    <row r="313" spans="1:15" ht="30" x14ac:dyDescent="0.2">
      <c r="A313" s="6">
        <v>255</v>
      </c>
      <c r="B313" s="6" t="str">
        <f>VLOOKUP(Tabla4[[#This Row],[Codigo]],Tabla2[[Cod]:[Nombre ]],2,0)</f>
        <v>P-1243</v>
      </c>
      <c r="C313" s="53">
        <f>VLOOKUP(Tabla4[[#This Row],[Codigo]],Tabla2[[Cod]:[Nombre ]],3,0)</f>
        <v>45041</v>
      </c>
      <c r="D313" s="6" t="str">
        <f>VLOOKUP(Tabla4[[#This Row],[Codigo]],Tabla2[[Cod]:[Nombre ]],4,0)</f>
        <v>TIS-1234</v>
      </c>
      <c r="E313" s="5" t="str">
        <f>VLOOKUP(Tabla4[[#This Row],[Codigo]],Tabla2[[Cod]:[Nombre ]],8,0)</f>
        <v>STT Group sucursal colombia SA</v>
      </c>
      <c r="F313" s="5" t="str">
        <f>VLOOKUP(Tabla4[[#This Row],[Codigo]],Tabla2[[Cod]:[Nombre ]],6,0)</f>
        <v>OK</v>
      </c>
      <c r="G313" s="7" t="s">
        <v>282</v>
      </c>
      <c r="H313" s="21" t="s">
        <v>16</v>
      </c>
      <c r="I313" s="21"/>
      <c r="J313" s="163">
        <v>18</v>
      </c>
      <c r="K313" s="294">
        <v>62000</v>
      </c>
      <c r="L313" s="298"/>
      <c r="M313" s="292">
        <f>IF(LEFT(Tabla4[[#This Row],[Electronica]],2)="NC",-Tabla4[[#This Row],[Cantidad]]*Tabla4[[#This Row],[Precio]]+Tabla4[[#This Row],[Dto]],Tabla4[[#This Row],[Cantidad]]*Tabla4[[#This Row],[Precio]]-Tabla4[[#This Row],[Dto]])</f>
        <v>1116000</v>
      </c>
      <c r="N313" s="292">
        <f>IFERROR(Tabla4[[#This Row],[Sub Total]]*VLOOKUP(Tabla4[[#This Row],[No]],Parametros!A:C,3,0),0)</f>
        <v>212040</v>
      </c>
      <c r="O313" s="292">
        <f>+Tabla4[[#This Row],[IVA]]+Tabla4[[#This Row],[Sub Total]]</f>
        <v>1328040</v>
      </c>
    </row>
    <row r="314" spans="1:15" ht="45" x14ac:dyDescent="0.2">
      <c r="A314" s="6">
        <v>256</v>
      </c>
      <c r="B314" s="6" t="str">
        <f>VLOOKUP(Tabla4[[#This Row],[Codigo]],Tabla2[[Cod]:[Nombre ]],2,0)</f>
        <v>P-1244</v>
      </c>
      <c r="C314" s="53">
        <f>VLOOKUP(Tabla4[[#This Row],[Codigo]],Tabla2[[Cod]:[Nombre ]],3,0)</f>
        <v>45043</v>
      </c>
      <c r="D314" s="6" t="str">
        <f>VLOOKUP(Tabla4[[#This Row],[Codigo]],Tabla2[[Cod]:[Nombre ]],4,0)</f>
        <v>TIS-1235</v>
      </c>
      <c r="E314" s="5" t="str">
        <f>VLOOKUP(Tabla4[[#This Row],[Codigo]],Tabla2[[Cod]:[Nombre ]],8,0)</f>
        <v>DIGITAL MEDIA TECHNOLOGIES COLOMBIA SAS</v>
      </c>
      <c r="F314" s="5" t="str">
        <f>VLOOKUP(Tabla4[[#This Row],[Codigo]],Tabla2[[Cod]:[Nombre ]],6,0)</f>
        <v>OK</v>
      </c>
      <c r="G314" s="7" t="s">
        <v>416</v>
      </c>
      <c r="H314" s="21" t="s">
        <v>519</v>
      </c>
      <c r="I314" s="21"/>
      <c r="J314" s="163">
        <v>1</v>
      </c>
      <c r="K314" s="294">
        <v>250000</v>
      </c>
      <c r="L314" s="298"/>
      <c r="M314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314" s="292">
        <f>IFERROR(Tabla4[[#This Row],[Sub Total]]*VLOOKUP(Tabla4[[#This Row],[No]],Parametros!A:C,3,0),0)</f>
        <v>47500</v>
      </c>
      <c r="O314" s="292">
        <f>+Tabla4[[#This Row],[IVA]]+Tabla4[[#This Row],[Sub Total]]</f>
        <v>297500</v>
      </c>
    </row>
    <row r="315" spans="1:15" x14ac:dyDescent="0.2">
      <c r="A315" s="6">
        <v>257</v>
      </c>
      <c r="B315" s="6" t="str">
        <f>VLOOKUP(Tabla4[[#This Row],[Codigo]],Tabla2[[Cod]:[Nombre ]],2,0)</f>
        <v>P-1245</v>
      </c>
      <c r="C315" s="53">
        <f>VLOOKUP(Tabla4[[#This Row],[Codigo]],Tabla2[[Cod]:[Nombre ]],3,0)</f>
        <v>45050</v>
      </c>
      <c r="D315" s="6" t="str">
        <f>VLOOKUP(Tabla4[[#This Row],[Codigo]],Tabla2[[Cod]:[Nombre ]],4,0)</f>
        <v>TIS-1236</v>
      </c>
      <c r="E315" s="5" t="str">
        <f>VLOOKUP(Tabla4[[#This Row],[Codigo]],Tabla2[[Cod]:[Nombre ]],8,0)</f>
        <v>ETRA INTERANDINA SA</v>
      </c>
      <c r="F315" s="5" t="str">
        <f>VLOOKUP(Tabla4[[#This Row],[Codigo]],Tabla2[[Cod]:[Nombre ]],6,0)</f>
        <v>OK</v>
      </c>
      <c r="G315" s="7" t="s">
        <v>433</v>
      </c>
      <c r="H315" s="21" t="s">
        <v>517</v>
      </c>
      <c r="I315" s="21"/>
      <c r="J315" s="163">
        <v>1</v>
      </c>
      <c r="K315" s="294">
        <v>750000</v>
      </c>
      <c r="L315" s="298"/>
      <c r="M315" s="292">
        <f>IF(LEFT(Tabla4[[#This Row],[Electronica]],2)="NC",-Tabla4[[#This Row],[Cantidad]]*Tabla4[[#This Row],[Precio]]+Tabla4[[#This Row],[Dto]],Tabla4[[#This Row],[Cantidad]]*Tabla4[[#This Row],[Precio]]-Tabla4[[#This Row],[Dto]])</f>
        <v>750000</v>
      </c>
      <c r="N315" s="292">
        <f>IFERROR(Tabla4[[#This Row],[Sub Total]]*VLOOKUP(Tabla4[[#This Row],[No]],Parametros!A:C,3,0),0)</f>
        <v>142500</v>
      </c>
      <c r="O315" s="292">
        <f>+Tabla4[[#This Row],[IVA]]+Tabla4[[#This Row],[Sub Total]]</f>
        <v>892500</v>
      </c>
    </row>
    <row r="316" spans="1:15" x14ac:dyDescent="0.2">
      <c r="A316" s="6">
        <v>257</v>
      </c>
      <c r="B316" s="6" t="str">
        <f>VLOOKUP(Tabla4[[#This Row],[Codigo]],Tabla2[[Cod]:[Nombre ]],2,0)</f>
        <v>P-1245</v>
      </c>
      <c r="C316" s="53">
        <f>VLOOKUP(Tabla4[[#This Row],[Codigo]],Tabla2[[Cod]:[Nombre ]],3,0)</f>
        <v>45050</v>
      </c>
      <c r="D316" s="6" t="str">
        <f>VLOOKUP(Tabla4[[#This Row],[Codigo]],Tabla2[[Cod]:[Nombre ]],4,0)</f>
        <v>TIS-1236</v>
      </c>
      <c r="E316" s="5" t="str">
        <f>VLOOKUP(Tabla4[[#This Row],[Codigo]],Tabla2[[Cod]:[Nombre ]],8,0)</f>
        <v>ETRA INTERANDINA SA</v>
      </c>
      <c r="F316" s="5" t="str">
        <f>VLOOKUP(Tabla4[[#This Row],[Codigo]],Tabla2[[Cod]:[Nombre ]],6,0)</f>
        <v>OK</v>
      </c>
      <c r="G316" s="7" t="s">
        <v>433</v>
      </c>
      <c r="H316" s="21" t="s">
        <v>517</v>
      </c>
      <c r="I316" s="21"/>
      <c r="J316" s="163">
        <v>1</v>
      </c>
      <c r="K316" s="294">
        <v>1830000</v>
      </c>
      <c r="L316" s="298"/>
      <c r="M316" s="292">
        <f>IF(LEFT(Tabla4[[#This Row],[Electronica]],2)="NC",-Tabla4[[#This Row],[Cantidad]]*Tabla4[[#This Row],[Precio]]+Tabla4[[#This Row],[Dto]],Tabla4[[#This Row],[Cantidad]]*Tabla4[[#This Row],[Precio]]-Tabla4[[#This Row],[Dto]])</f>
        <v>1830000</v>
      </c>
      <c r="N316" s="292">
        <f>IFERROR(Tabla4[[#This Row],[Sub Total]]*VLOOKUP(Tabla4[[#This Row],[No]],Parametros!A:C,3,0),0)</f>
        <v>347700</v>
      </c>
      <c r="O316" s="292">
        <f>+Tabla4[[#This Row],[IVA]]+Tabla4[[#This Row],[Sub Total]]</f>
        <v>2177700</v>
      </c>
    </row>
    <row r="317" spans="1:15" ht="36" x14ac:dyDescent="0.2">
      <c r="A317" s="6">
        <v>258</v>
      </c>
      <c r="B317" s="6" t="str">
        <f>VLOOKUP(Tabla4[[#This Row],[Codigo]],Tabla2[[Cod]:[Nombre ]],2,0)</f>
        <v>P-1246</v>
      </c>
      <c r="C317" s="53">
        <f>VLOOKUP(Tabla4[[#This Row],[Codigo]],Tabla2[[Cod]:[Nombre ]],3,0)</f>
        <v>45055</v>
      </c>
      <c r="D317" s="6" t="str">
        <f>VLOOKUP(Tabla4[[#This Row],[Codigo]],Tabla2[[Cod]:[Nombre ]],4,0)</f>
        <v>TIS-1237</v>
      </c>
      <c r="E317" s="5" t="str">
        <f>VLOOKUP(Tabla4[[#This Row],[Codigo]],Tabla2[[Cod]:[Nombre ]],8,0)</f>
        <v>Comercializadora ERZ SAS</v>
      </c>
      <c r="F317" s="5" t="str">
        <f>VLOOKUP(Tabla4[[#This Row],[Codigo]],Tabla2[[Cod]:[Nombre ]],6,0)</f>
        <v>OK</v>
      </c>
      <c r="G317" s="7" t="s">
        <v>416</v>
      </c>
      <c r="H317" s="21" t="s">
        <v>519</v>
      </c>
      <c r="I317" s="21"/>
      <c r="J317" s="163">
        <v>1</v>
      </c>
      <c r="K317" s="294">
        <v>260000</v>
      </c>
      <c r="L317" s="298"/>
      <c r="M317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317" s="292">
        <f>IFERROR(Tabla4[[#This Row],[Sub Total]]*VLOOKUP(Tabla4[[#This Row],[No]],Parametros!A:C,3,0),0)</f>
        <v>49400</v>
      </c>
      <c r="O317" s="292">
        <f>+Tabla4[[#This Row],[IVA]]+Tabla4[[#This Row],[Sub Total]]</f>
        <v>309400</v>
      </c>
    </row>
    <row r="318" spans="1:15" ht="36" x14ac:dyDescent="0.2">
      <c r="A318" s="6">
        <v>259</v>
      </c>
      <c r="B318" s="6" t="str">
        <f>VLOOKUP(Tabla4[[#This Row],[Codigo]],Tabla2[[Cod]:[Nombre ]],2,0)</f>
        <v>P-1247</v>
      </c>
      <c r="C318" s="53">
        <f>VLOOKUP(Tabla4[[#This Row],[Codigo]],Tabla2[[Cod]:[Nombre ]],3,0)</f>
        <v>45055</v>
      </c>
      <c r="D318" s="6" t="str">
        <f>VLOOKUP(Tabla4[[#This Row],[Codigo]],Tabla2[[Cod]:[Nombre ]],4,0)</f>
        <v>TIS-1238</v>
      </c>
      <c r="E318" s="5" t="str">
        <f>VLOOKUP(Tabla4[[#This Row],[Codigo]],Tabla2[[Cod]:[Nombre ]],8,0)</f>
        <v>Inversiones Sajamib SAS</v>
      </c>
      <c r="F318" s="5" t="str">
        <f>VLOOKUP(Tabla4[[#This Row],[Codigo]],Tabla2[[Cod]:[Nombre ]],6,0)</f>
        <v>OK</v>
      </c>
      <c r="G318" s="7" t="s">
        <v>417</v>
      </c>
      <c r="H318" s="21" t="s">
        <v>525</v>
      </c>
      <c r="I318" s="21"/>
      <c r="J318" s="163">
        <v>1</v>
      </c>
      <c r="K318" s="294">
        <v>400000</v>
      </c>
      <c r="L318" s="298"/>
      <c r="M318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318" s="292">
        <f>IFERROR(Tabla4[[#This Row],[Sub Total]]*VLOOKUP(Tabla4[[#This Row],[No]],Parametros!A:C,3,0),0)</f>
        <v>0</v>
      </c>
      <c r="O318" s="292">
        <f>+Tabla4[[#This Row],[IVA]]+Tabla4[[#This Row],[Sub Total]]</f>
        <v>400000</v>
      </c>
    </row>
    <row r="319" spans="1:15" ht="45" x14ac:dyDescent="0.2">
      <c r="A319" s="6">
        <v>260</v>
      </c>
      <c r="B319" s="6" t="str">
        <f>VLOOKUP(Tabla4[[#This Row],[Codigo]],Tabla2[[Cod]:[Nombre ]],2,0)</f>
        <v>P-1248</v>
      </c>
      <c r="C319" s="53">
        <f>VLOOKUP(Tabla4[[#This Row],[Codigo]],Tabla2[[Cod]:[Nombre ]],3,0)</f>
        <v>45055</v>
      </c>
      <c r="D319" s="6" t="str">
        <f>VLOOKUP(Tabla4[[#This Row],[Codigo]],Tabla2[[Cod]:[Nombre ]],4,0)</f>
        <v>TIS-1239</v>
      </c>
      <c r="E319" s="5" t="str">
        <f>VLOOKUP(Tabla4[[#This Row],[Codigo]],Tabla2[[Cod]:[Nombre ]],8,0)</f>
        <v>PRODUCTORA INTERAMERICANA DE PLASTICOS S.A.S.</v>
      </c>
      <c r="F319" s="5" t="str">
        <f>VLOOKUP(Tabla4[[#This Row],[Codigo]],Tabla2[[Cod]:[Nombre ]],6,0)</f>
        <v>OK</v>
      </c>
      <c r="G319" s="7" t="s">
        <v>416</v>
      </c>
      <c r="H319" s="21" t="s">
        <v>519</v>
      </c>
      <c r="I319" s="21"/>
      <c r="J319" s="163">
        <v>1</v>
      </c>
      <c r="K319" s="294">
        <v>300000</v>
      </c>
      <c r="L319" s="298"/>
      <c r="M319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19" s="292">
        <f>IFERROR(Tabla4[[#This Row],[Sub Total]]*VLOOKUP(Tabla4[[#This Row],[No]],Parametros!A:C,3,0),0)</f>
        <v>57000</v>
      </c>
      <c r="O319" s="292">
        <f>+Tabla4[[#This Row],[IVA]]+Tabla4[[#This Row],[Sub Total]]</f>
        <v>357000</v>
      </c>
    </row>
    <row r="320" spans="1:15" ht="36" x14ac:dyDescent="0.2">
      <c r="A320" s="6">
        <v>261</v>
      </c>
      <c r="B320" s="6" t="str">
        <f>VLOOKUP(Tabla4[[#This Row],[Codigo]],Tabla2[[Cod]:[Nombre ]],2,0)</f>
        <v>P-1249</v>
      </c>
      <c r="C320" s="53">
        <f>VLOOKUP(Tabla4[[#This Row],[Codigo]],Tabla2[[Cod]:[Nombre ]],3,0)</f>
        <v>45055</v>
      </c>
      <c r="D320" s="6" t="str">
        <f>VLOOKUP(Tabla4[[#This Row],[Codigo]],Tabla2[[Cod]:[Nombre ]],4,0)</f>
        <v>TIS-1240</v>
      </c>
      <c r="E320" s="5" t="str">
        <f>VLOOKUP(Tabla4[[#This Row],[Codigo]],Tabla2[[Cod]:[Nombre ]],8,0)</f>
        <v>ROYCO SOLUCIONES SAS</v>
      </c>
      <c r="F320" s="5" t="str">
        <f>VLOOKUP(Tabla4[[#This Row],[Codigo]],Tabla2[[Cod]:[Nombre ]],6,0)</f>
        <v>OK</v>
      </c>
      <c r="G320" s="7" t="s">
        <v>416</v>
      </c>
      <c r="H320" s="21" t="s">
        <v>519</v>
      </c>
      <c r="I320" s="21"/>
      <c r="J320" s="163">
        <v>1</v>
      </c>
      <c r="K320" s="294">
        <v>175000</v>
      </c>
      <c r="L320" s="298"/>
      <c r="M320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320" s="292">
        <f>IFERROR(Tabla4[[#This Row],[Sub Total]]*VLOOKUP(Tabla4[[#This Row],[No]],Parametros!A:C,3,0),0)</f>
        <v>33250</v>
      </c>
      <c r="O320" s="292">
        <f>+Tabla4[[#This Row],[IVA]]+Tabla4[[#This Row],[Sub Total]]</f>
        <v>208250</v>
      </c>
    </row>
    <row r="321" spans="1:15" ht="24" x14ac:dyDescent="0.2">
      <c r="A321" s="6">
        <v>262</v>
      </c>
      <c r="B321" s="6" t="str">
        <f>VLOOKUP(Tabla4[[#This Row],[Codigo]],Tabla2[[Cod]:[Nombre ]],2,0)</f>
        <v>P-1250</v>
      </c>
      <c r="C321" s="53">
        <f>VLOOKUP(Tabla4[[#This Row],[Codigo]],Tabla2[[Cod]:[Nombre ]],3,0)</f>
        <v>45055</v>
      </c>
      <c r="D321" s="6" t="str">
        <f>VLOOKUP(Tabla4[[#This Row],[Codigo]],Tabla2[[Cod]:[Nombre ]],4,0)</f>
        <v>TIS-1241</v>
      </c>
      <c r="E321" s="5" t="e">
        <f>VLOOKUP(Tabla4[[#This Row],[Codigo]],Tabla2[[Cod]:[Nombre ]],8,0)</f>
        <v>#N/A</v>
      </c>
      <c r="F321" s="5" t="str">
        <f>VLOOKUP(Tabla4[[#This Row],[Codigo]],Tabla2[[Cod]:[Nombre ]],6,0)</f>
        <v>OK</v>
      </c>
      <c r="G321" s="7" t="s">
        <v>282</v>
      </c>
      <c r="H321" s="21" t="s">
        <v>16</v>
      </c>
      <c r="I321" s="21"/>
      <c r="J321" s="163">
        <v>676</v>
      </c>
      <c r="K321" s="294">
        <v>26800</v>
      </c>
      <c r="L321" s="298"/>
      <c r="M321" s="292">
        <f>IF(LEFT(Tabla4[[#This Row],[Electronica]],2)="NC",-Tabla4[[#This Row],[Cantidad]]*Tabla4[[#This Row],[Precio]]+Tabla4[[#This Row],[Dto]],Tabla4[[#This Row],[Cantidad]]*Tabla4[[#This Row],[Precio]]-Tabla4[[#This Row],[Dto]])</f>
        <v>18116800</v>
      </c>
      <c r="N321" s="292">
        <f>IFERROR(Tabla4[[#This Row],[Sub Total]]*VLOOKUP(Tabla4[[#This Row],[No]],Parametros!A:C,3,0),0)</f>
        <v>3442192</v>
      </c>
      <c r="O321" s="292">
        <f>+Tabla4[[#This Row],[IVA]]+Tabla4[[#This Row],[Sub Total]]</f>
        <v>21558992</v>
      </c>
    </row>
    <row r="322" spans="1:15" ht="24" x14ac:dyDescent="0.2">
      <c r="A322" s="6">
        <v>263</v>
      </c>
      <c r="B322" s="6" t="str">
        <f>VLOOKUP(Tabla4[[#This Row],[Codigo]],Tabla2[[Cod]:[Nombre ]],2,0)</f>
        <v>P-1251</v>
      </c>
      <c r="C322" s="53">
        <f>VLOOKUP(Tabla4[[#This Row],[Codigo]],Tabla2[[Cod]:[Nombre ]],3,0)</f>
        <v>45062</v>
      </c>
      <c r="D322" s="6" t="str">
        <f>VLOOKUP(Tabla4[[#This Row],[Codigo]],Tabla2[[Cod]:[Nombre ]],4,0)</f>
        <v>TIS-1243</v>
      </c>
      <c r="E322" s="5" t="str">
        <f>VLOOKUP(Tabla4[[#This Row],[Codigo]],Tabla2[[Cod]:[Nombre ]],8,0)</f>
        <v xml:space="preserve">JALO RENT SAS </v>
      </c>
      <c r="F322" s="5" t="str">
        <f>VLOOKUP(Tabla4[[#This Row],[Codigo]],Tabla2[[Cod]:[Nombre ]],6,0)</f>
        <v>OK</v>
      </c>
      <c r="G322" s="7" t="s">
        <v>282</v>
      </c>
      <c r="H322" s="21" t="s">
        <v>16</v>
      </c>
      <c r="I322" s="21"/>
      <c r="J322" s="163">
        <v>25</v>
      </c>
      <c r="K322" s="294">
        <v>45000</v>
      </c>
      <c r="L322" s="298"/>
      <c r="M322" s="292">
        <f>IF(LEFT(Tabla4[[#This Row],[Electronica]],2)="NC",-Tabla4[[#This Row],[Cantidad]]*Tabla4[[#This Row],[Precio]]+Tabla4[[#This Row],[Dto]],Tabla4[[#This Row],[Cantidad]]*Tabla4[[#This Row],[Precio]]-Tabla4[[#This Row],[Dto]])</f>
        <v>1125000</v>
      </c>
      <c r="N322" s="292">
        <f>IFERROR(Tabla4[[#This Row],[Sub Total]]*VLOOKUP(Tabla4[[#This Row],[No]],Parametros!A:C,3,0),0)</f>
        <v>213750</v>
      </c>
      <c r="O322" s="292">
        <f>+Tabla4[[#This Row],[IVA]]+Tabla4[[#This Row],[Sub Total]]</f>
        <v>1338750</v>
      </c>
    </row>
    <row r="323" spans="1:15" ht="24" x14ac:dyDescent="0.2">
      <c r="A323" s="6">
        <v>264</v>
      </c>
      <c r="B323" s="6" t="str">
        <f>VLOOKUP(Tabla4[[#This Row],[Codigo]],Tabla2[[Cod]:[Nombre ]],2,0)</f>
        <v>P-1252</v>
      </c>
      <c r="C323" s="53">
        <f>VLOOKUP(Tabla4[[#This Row],[Codigo]],Tabla2[[Cod]:[Nombre ]],3,0)</f>
        <v>45062</v>
      </c>
      <c r="D323" s="6" t="str">
        <f>VLOOKUP(Tabla4[[#This Row],[Codigo]],Tabla2[[Cod]:[Nombre ]],4,0)</f>
        <v>TIS-1217</v>
      </c>
      <c r="E323" s="5" t="str">
        <f>VLOOKUP(Tabla4[[#This Row],[Codigo]],Tabla2[[Cod]:[Nombre ]],8,0)</f>
        <v>ROYCO SOLUCIONES SAS</v>
      </c>
      <c r="F323" s="5" t="str">
        <f>VLOOKUP(Tabla4[[#This Row],[Codigo]],Tabla2[[Cod]:[Nombre ]],6,0)</f>
        <v>OK</v>
      </c>
      <c r="G323" s="7">
        <v>19</v>
      </c>
      <c r="H323" s="21" t="s">
        <v>602</v>
      </c>
      <c r="I323" s="21"/>
      <c r="J323" s="163">
        <v>1</v>
      </c>
      <c r="K323" s="294">
        <v>750000</v>
      </c>
      <c r="L323" s="298"/>
      <c r="M323" s="292">
        <f>IF(LEFT(Tabla4[[#This Row],[Electronica]],2)="NC",-Tabla4[[#This Row],[Cantidad]]*Tabla4[[#This Row],[Precio]]+Tabla4[[#This Row],[Dto]],Tabla4[[#This Row],[Cantidad]]*Tabla4[[#This Row],[Precio]]-Tabla4[[#This Row],[Dto]])</f>
        <v>750000</v>
      </c>
      <c r="N323" s="292">
        <f>IFERROR(Tabla4[[#This Row],[Sub Total]]*VLOOKUP(Tabla4[[#This Row],[No]],Parametros!A:C,3,0),0)</f>
        <v>0</v>
      </c>
      <c r="O323" s="292">
        <f>+Tabla4[[#This Row],[IVA]]+Tabla4[[#This Row],[Sub Total]]</f>
        <v>750000</v>
      </c>
    </row>
    <row r="324" spans="1:15" x14ac:dyDescent="0.2">
      <c r="A324" s="6">
        <v>265</v>
      </c>
      <c r="B324" s="6" t="str">
        <f>VLOOKUP(Tabla4[[#This Row],[Codigo]],Tabla2[[Cod]:[Nombre ]],2,0)</f>
        <v>P-1253</v>
      </c>
      <c r="C324" s="53">
        <f>VLOOKUP(Tabla4[[#This Row],[Codigo]],Tabla2[[Cod]:[Nombre ]],3,0)</f>
        <v>45062</v>
      </c>
      <c r="D324" s="6" t="str">
        <f>VLOOKUP(Tabla4[[#This Row],[Codigo]],Tabla2[[Cod]:[Nombre ]],4,0)</f>
        <v>TIS-1233</v>
      </c>
      <c r="E324" s="5" t="str">
        <f>VLOOKUP(Tabla4[[#This Row],[Codigo]],Tabla2[[Cod]:[Nombre ]],8,0)</f>
        <v>BBC HOLDING SAS</v>
      </c>
      <c r="F324" s="5" t="str">
        <f>VLOOKUP(Tabla4[[#This Row],[Codigo]],Tabla2[[Cod]:[Nombre ]],6,0)</f>
        <v>OK</v>
      </c>
      <c r="G324" s="7" t="s">
        <v>433</v>
      </c>
      <c r="H324" s="21" t="s">
        <v>517</v>
      </c>
      <c r="I324" s="21"/>
      <c r="J324" s="163">
        <v>1</v>
      </c>
      <c r="K324" s="294">
        <v>750000</v>
      </c>
      <c r="L324" s="298"/>
      <c r="M324" s="292">
        <f>IF(LEFT(Tabla4[[#This Row],[Electronica]],2)="NC",-Tabla4[[#This Row],[Cantidad]]*Tabla4[[#This Row],[Precio]]+Tabla4[[#This Row],[Dto]],Tabla4[[#This Row],[Cantidad]]*Tabla4[[#This Row],[Precio]]-Tabla4[[#This Row],[Dto]])</f>
        <v>750000</v>
      </c>
      <c r="N324" s="292">
        <f>IFERROR(Tabla4[[#This Row],[Sub Total]]*VLOOKUP(Tabla4[[#This Row],[No]],Parametros!A:C,3,0),0)</f>
        <v>142500</v>
      </c>
      <c r="O324" s="292">
        <f>+Tabla4[[#This Row],[IVA]]+Tabla4[[#This Row],[Sub Total]]</f>
        <v>892500</v>
      </c>
    </row>
    <row r="325" spans="1:15" ht="45" x14ac:dyDescent="0.2">
      <c r="A325" s="6">
        <v>266</v>
      </c>
      <c r="B325" s="6" t="str">
        <f>VLOOKUP(Tabla4[[#This Row],[Codigo]],Tabla2[[Cod]:[Nombre ]],2,0)</f>
        <v>P-1254</v>
      </c>
      <c r="C325" s="53">
        <f>VLOOKUP(Tabla4[[#This Row],[Codigo]],Tabla2[[Cod]:[Nombre ]],3,0)</f>
        <v>45062</v>
      </c>
      <c r="D325" s="6" t="str">
        <f>VLOOKUP(Tabla4[[#This Row],[Codigo]],Tabla2[[Cod]:[Nombre ]],4,0)</f>
        <v>TIS-1245</v>
      </c>
      <c r="E325" s="5" t="str">
        <f>VLOOKUP(Tabla4[[#This Row],[Codigo]],Tabla2[[Cod]:[Nombre ]],8,0)</f>
        <v>FIDEICOMISOS SOCIEDAD FIDUCIARIA DE OCCIDENTE SA</v>
      </c>
      <c r="F325" s="5" t="str">
        <f>VLOOKUP(Tabla4[[#This Row],[Codigo]],Tabla2[[Cod]:[Nombre ]],6,0)</f>
        <v>OK</v>
      </c>
      <c r="G325" s="7" t="s">
        <v>282</v>
      </c>
      <c r="H325" s="21" t="s">
        <v>16</v>
      </c>
      <c r="I325" s="21"/>
      <c r="J325" s="163">
        <v>200</v>
      </c>
      <c r="K325" s="294">
        <v>34784</v>
      </c>
      <c r="L325" s="298"/>
      <c r="M325" s="292">
        <f>IF(LEFT(Tabla4[[#This Row],[Electronica]],2)="NC",-Tabla4[[#This Row],[Cantidad]]*Tabla4[[#This Row],[Precio]]+Tabla4[[#This Row],[Dto]],Tabla4[[#This Row],[Cantidad]]*Tabla4[[#This Row],[Precio]]-Tabla4[[#This Row],[Dto]])</f>
        <v>6956800</v>
      </c>
      <c r="N325" s="292">
        <f>IFERROR(Tabla4[[#This Row],[Sub Total]]*VLOOKUP(Tabla4[[#This Row],[No]],Parametros!A:C,3,0),0)</f>
        <v>1321792</v>
      </c>
      <c r="O325" s="292">
        <f>+Tabla4[[#This Row],[IVA]]+Tabla4[[#This Row],[Sub Total]]</f>
        <v>8278592</v>
      </c>
    </row>
    <row r="326" spans="1:15" ht="24" x14ac:dyDescent="0.2">
      <c r="A326" s="6">
        <v>267</v>
      </c>
      <c r="B326" s="6" t="str">
        <f>VLOOKUP(Tabla4[[#This Row],[Codigo]],Tabla2[[Cod]:[Nombre ]],2,0)</f>
        <v>P-1255</v>
      </c>
      <c r="C326" s="53">
        <f>VLOOKUP(Tabla4[[#This Row],[Codigo]],Tabla2[[Cod]:[Nombre ]],3,0)</f>
        <v>45062</v>
      </c>
      <c r="D326" s="6" t="str">
        <f>VLOOKUP(Tabla4[[#This Row],[Codigo]],Tabla2[[Cod]:[Nombre ]],4,0)</f>
        <v>TIS-1242</v>
      </c>
      <c r="E326" s="5" t="str">
        <f>VLOOKUP(Tabla4[[#This Row],[Codigo]],Tabla2[[Cod]:[Nombre ]],8,0)</f>
        <v>ATECNO S.A.S</v>
      </c>
      <c r="F326" s="5" t="str">
        <f>VLOOKUP(Tabla4[[#This Row],[Codigo]],Tabla2[[Cod]:[Nombre ]],6,0)</f>
        <v>OK</v>
      </c>
      <c r="G326" s="7" t="s">
        <v>282</v>
      </c>
      <c r="H326" s="21" t="s">
        <v>16</v>
      </c>
      <c r="I326" s="21"/>
      <c r="J326" s="163">
        <v>37</v>
      </c>
      <c r="K326" s="294">
        <v>30000</v>
      </c>
      <c r="L326" s="298"/>
      <c r="M326" s="292">
        <f>IF(LEFT(Tabla4[[#This Row],[Electronica]],2)="NC",-Tabla4[[#This Row],[Cantidad]]*Tabla4[[#This Row],[Precio]]+Tabla4[[#This Row],[Dto]],Tabla4[[#This Row],[Cantidad]]*Tabla4[[#This Row],[Precio]]-Tabla4[[#This Row],[Dto]])</f>
        <v>1110000</v>
      </c>
      <c r="N326" s="292">
        <f>IFERROR(Tabla4[[#This Row],[Sub Total]]*VLOOKUP(Tabla4[[#This Row],[No]],Parametros!A:C,3,0),0)</f>
        <v>210900</v>
      </c>
      <c r="O326" s="292">
        <f>+Tabla4[[#This Row],[IVA]]+Tabla4[[#This Row],[Sub Total]]</f>
        <v>1320900</v>
      </c>
    </row>
    <row r="327" spans="1:15" ht="45" x14ac:dyDescent="0.2">
      <c r="A327" s="6">
        <v>268</v>
      </c>
      <c r="B327" s="6" t="str">
        <f>VLOOKUP(Tabla4[[#This Row],[Codigo]],Tabla2[[Cod]:[Nombre ]],2,0)</f>
        <v>P-1256</v>
      </c>
      <c r="C327" s="53">
        <f>VLOOKUP(Tabla4[[#This Row],[Codigo]],Tabla2[[Cod]:[Nombre ]],3,0)</f>
        <v>45062</v>
      </c>
      <c r="D327" s="6" t="str">
        <f>VLOOKUP(Tabla4[[#This Row],[Codigo]],Tabla2[[Cod]:[Nombre ]],4,0)</f>
        <v>TIS-1244</v>
      </c>
      <c r="E327" s="5" t="str">
        <f>VLOOKUP(Tabla4[[#This Row],[Codigo]],Tabla2[[Cod]:[Nombre ]],8,0)</f>
        <v>FIDEICOMISOS SOCIEDAD FIDUCIARIA DE OCCIDENTE SA</v>
      </c>
      <c r="F327" s="5" t="str">
        <f>VLOOKUP(Tabla4[[#This Row],[Codigo]],Tabla2[[Cod]:[Nombre ]],6,0)</f>
        <v>Anulado</v>
      </c>
      <c r="G327" s="7" t="s">
        <v>574</v>
      </c>
      <c r="H327" s="21" t="s">
        <v>603</v>
      </c>
      <c r="I327" s="21"/>
      <c r="J327" s="163">
        <v>200</v>
      </c>
      <c r="K327" s="294">
        <v>34784</v>
      </c>
      <c r="L327" s="298"/>
      <c r="M327" s="292">
        <f>IF(LEFT(Tabla4[[#This Row],[Electronica]],2)="NC",-Tabla4[[#This Row],[Cantidad]]*Tabla4[[#This Row],[Precio]]+Tabla4[[#This Row],[Dto]],Tabla4[[#This Row],[Cantidad]]*Tabla4[[#This Row],[Precio]]-Tabla4[[#This Row],[Dto]])</f>
        <v>6956800</v>
      </c>
      <c r="N327" s="292">
        <f>IFERROR(Tabla4[[#This Row],[Sub Total]]*VLOOKUP(Tabla4[[#This Row],[No]],Parametros!A:C,3,0),0)</f>
        <v>0</v>
      </c>
      <c r="O327" s="292">
        <f>+Tabla4[[#This Row],[IVA]]+Tabla4[[#This Row],[Sub Total]]</f>
        <v>6956800</v>
      </c>
    </row>
    <row r="328" spans="1:15" ht="24" x14ac:dyDescent="0.2">
      <c r="A328" s="6">
        <v>269</v>
      </c>
      <c r="B328" s="6" t="str">
        <f>VLOOKUP(Tabla4[[#This Row],[Codigo]],Tabla2[[Cod]:[Nombre ]],2,0)</f>
        <v>P-1257</v>
      </c>
      <c r="C328" s="53">
        <f>VLOOKUP(Tabla4[[#This Row],[Codigo]],Tabla2[[Cod]:[Nombre ]],3,0)</f>
        <v>45063</v>
      </c>
      <c r="D328" s="6">
        <f>VLOOKUP(Tabla4[[#This Row],[Codigo]],Tabla2[[Cod]:[Nombre ]],4,0)</f>
        <v>0</v>
      </c>
      <c r="E328" s="5" t="str">
        <f>VLOOKUP(Tabla4[[#This Row],[Codigo]],Tabla2[[Cod]:[Nombre ]],8,0)</f>
        <v>ALFONSO URIBE S &amp; CIA SA</v>
      </c>
      <c r="F328" s="5" t="str">
        <f>VLOOKUP(Tabla4[[#This Row],[Codigo]],Tabla2[[Cod]:[Nombre ]],6,0)</f>
        <v>Anulado</v>
      </c>
      <c r="G328" s="7" t="s">
        <v>282</v>
      </c>
      <c r="H328" s="21" t="s">
        <v>16</v>
      </c>
      <c r="I328" s="21"/>
      <c r="J328" s="163">
        <v>121</v>
      </c>
      <c r="K328" s="294">
        <v>26000</v>
      </c>
      <c r="L328" s="298"/>
      <c r="M328" s="292">
        <f>IF(LEFT(Tabla4[[#This Row],[Electronica]],2)="NC",-Tabla4[[#This Row],[Cantidad]]*Tabla4[[#This Row],[Precio]]+Tabla4[[#This Row],[Dto]],Tabla4[[#This Row],[Cantidad]]*Tabla4[[#This Row],[Precio]]-Tabla4[[#This Row],[Dto]])</f>
        <v>3146000</v>
      </c>
      <c r="N328" s="292">
        <f>IFERROR(Tabla4[[#This Row],[Sub Total]]*VLOOKUP(Tabla4[[#This Row],[No]],Parametros!A:C,3,0),0)</f>
        <v>597740</v>
      </c>
      <c r="O328" s="292">
        <f>+Tabla4[[#This Row],[IVA]]+Tabla4[[#This Row],[Sub Total]]</f>
        <v>3743740</v>
      </c>
    </row>
    <row r="329" spans="1:15" ht="24" x14ac:dyDescent="0.2">
      <c r="A329" s="6">
        <v>270</v>
      </c>
      <c r="B329" s="6" t="str">
        <f>VLOOKUP(Tabla4[[#This Row],[Codigo]],Tabla2[[Cod]:[Nombre ]],2,0)</f>
        <v>P-1258</v>
      </c>
      <c r="C329" s="53">
        <f>VLOOKUP(Tabla4[[#This Row],[Codigo]],Tabla2[[Cod]:[Nombre ]],3,0)</f>
        <v>45063</v>
      </c>
      <c r="D329" s="6">
        <f>VLOOKUP(Tabla4[[#This Row],[Codigo]],Tabla2[[Cod]:[Nombre ]],4,0)</f>
        <v>0</v>
      </c>
      <c r="E329" s="5" t="str">
        <f>VLOOKUP(Tabla4[[#This Row],[Codigo]],Tabla2[[Cod]:[Nombre ]],8,0)</f>
        <v xml:space="preserve">VENTAS Y MARCAS SAS </v>
      </c>
      <c r="F329" s="5" t="str">
        <f>VLOOKUP(Tabla4[[#This Row],[Codigo]],Tabla2[[Cod]:[Nombre ]],6,0)</f>
        <v>Anulado</v>
      </c>
      <c r="G329" s="7" t="s">
        <v>420</v>
      </c>
      <c r="H329" s="21" t="s">
        <v>551</v>
      </c>
      <c r="I329" s="21"/>
      <c r="J329" s="163">
        <v>1</v>
      </c>
      <c r="K329" s="294">
        <v>950000</v>
      </c>
      <c r="L329" s="298"/>
      <c r="M329" s="292">
        <f>IF(LEFT(Tabla4[[#This Row],[Electronica]],2)="NC",-Tabla4[[#This Row],[Cantidad]]*Tabla4[[#This Row],[Precio]]+Tabla4[[#This Row],[Dto]],Tabla4[[#This Row],[Cantidad]]*Tabla4[[#This Row],[Precio]]-Tabla4[[#This Row],[Dto]])</f>
        <v>950000</v>
      </c>
      <c r="N329" s="292">
        <f>IFERROR(Tabla4[[#This Row],[Sub Total]]*VLOOKUP(Tabla4[[#This Row],[No]],Parametros!A:C,3,0),0)</f>
        <v>180500</v>
      </c>
      <c r="O329" s="292">
        <f>+Tabla4[[#This Row],[IVA]]+Tabla4[[#This Row],[Sub Total]]</f>
        <v>1130500</v>
      </c>
    </row>
    <row r="330" spans="1:15" ht="45" x14ac:dyDescent="0.2">
      <c r="A330" s="6">
        <v>271</v>
      </c>
      <c r="B330" s="6" t="str">
        <f>VLOOKUP(Tabla4[[#This Row],[Codigo]],Tabla2[[Cod]:[Nombre ]],2,0)</f>
        <v>P-1259</v>
      </c>
      <c r="C330" s="53">
        <f>VLOOKUP(Tabla4[[#This Row],[Codigo]],Tabla2[[Cod]:[Nombre ]],3,0)</f>
        <v>45065</v>
      </c>
      <c r="D330" s="6" t="str">
        <f>VLOOKUP(Tabla4[[#This Row],[Codigo]],Tabla2[[Cod]:[Nombre ]],4,0)</f>
        <v>NC-28</v>
      </c>
      <c r="E330" s="5" t="str">
        <f>VLOOKUP(Tabla4[[#This Row],[Codigo]],Tabla2[[Cod]:[Nombre ]],8,0)</f>
        <v>PRODUCTORA INTERAMERICANA DE PLASTICOS S.A.S.</v>
      </c>
      <c r="F330" s="5" t="str">
        <f>VLOOKUP(Tabla4[[#This Row],[Codigo]],Tabla2[[Cod]:[Nombre ]],6,0)</f>
        <v>Anulado</v>
      </c>
      <c r="G330" s="7" t="s">
        <v>417</v>
      </c>
      <c r="H330" s="21" t="s">
        <v>525</v>
      </c>
      <c r="I330" s="21"/>
      <c r="J330" s="163">
        <v>1</v>
      </c>
      <c r="K330" s="294">
        <v>800000</v>
      </c>
      <c r="L330" s="298"/>
      <c r="M330" s="292">
        <f>IF(LEFT(Tabla4[[#This Row],[Electronica]],2)="NC",-Tabla4[[#This Row],[Cantidad]]*Tabla4[[#This Row],[Precio]]+Tabla4[[#This Row],[Dto]],Tabla4[[#This Row],[Cantidad]]*Tabla4[[#This Row],[Precio]]-Tabla4[[#This Row],[Dto]])</f>
        <v>-800000</v>
      </c>
      <c r="N330" s="292">
        <f>IFERROR(Tabla4[[#This Row],[Sub Total]]*VLOOKUP(Tabla4[[#This Row],[No]],Parametros!A:C,3,0),0)</f>
        <v>0</v>
      </c>
      <c r="O330" s="292">
        <f>+Tabla4[[#This Row],[IVA]]+Tabla4[[#This Row],[Sub Total]]</f>
        <v>-800000</v>
      </c>
    </row>
    <row r="331" spans="1:15" ht="45" x14ac:dyDescent="0.2">
      <c r="A331" s="6">
        <v>272</v>
      </c>
      <c r="B331" s="6" t="str">
        <f>VLOOKUP(Tabla4[[#This Row],[Codigo]],Tabla2[[Cod]:[Nombre ]],2,0)</f>
        <v>P-1260</v>
      </c>
      <c r="C331" s="53">
        <f>VLOOKUP(Tabla4[[#This Row],[Codigo]],Tabla2[[Cod]:[Nombre ]],3,0)</f>
        <v>45065</v>
      </c>
      <c r="D331" s="6" t="str">
        <f>VLOOKUP(Tabla4[[#This Row],[Codigo]],Tabla2[[Cod]:[Nombre ]],4,0)</f>
        <v>NC-29</v>
      </c>
      <c r="E331" s="5" t="str">
        <f>VLOOKUP(Tabla4[[#This Row],[Codigo]],Tabla2[[Cod]:[Nombre ]],8,0)</f>
        <v>INSTITUTO DISTRITAL DE CIENCIA, BIOTECNOLOGIA E INNOVACION EN SALUD</v>
      </c>
      <c r="F331" s="5" t="str">
        <f>VLOOKUP(Tabla4[[#This Row],[Codigo]],Tabla2[[Cod]:[Nombre ]],6,0)</f>
        <v>Anulado</v>
      </c>
      <c r="G331" s="7" t="s">
        <v>282</v>
      </c>
      <c r="H331" s="21" t="s">
        <v>16</v>
      </c>
      <c r="I331" s="21"/>
      <c r="J331" s="163">
        <v>229</v>
      </c>
      <c r="K331" s="294">
        <v>24000</v>
      </c>
      <c r="L331" s="298"/>
      <c r="M331" s="292">
        <f>IF(LEFT(Tabla4[[#This Row],[Electronica]],2)="NC",-Tabla4[[#This Row],[Cantidad]]*Tabla4[[#This Row],[Precio]]+Tabla4[[#This Row],[Dto]],Tabla4[[#This Row],[Cantidad]]*Tabla4[[#This Row],[Precio]]-Tabla4[[#This Row],[Dto]])</f>
        <v>-5496000</v>
      </c>
      <c r="N331" s="292">
        <f>IFERROR(Tabla4[[#This Row],[Sub Total]]*VLOOKUP(Tabla4[[#This Row],[No]],Parametros!A:C,3,0),0)</f>
        <v>-1044240</v>
      </c>
      <c r="O331" s="292">
        <f>+Tabla4[[#This Row],[IVA]]+Tabla4[[#This Row],[Sub Total]]</f>
        <v>-6540240</v>
      </c>
    </row>
    <row r="332" spans="1:15" ht="45" x14ac:dyDescent="0.2">
      <c r="A332" s="6">
        <v>273</v>
      </c>
      <c r="B332" s="6" t="str">
        <f>VLOOKUP(Tabla4[[#This Row],[Codigo]],Tabla2[[Cod]:[Nombre ]],2,0)</f>
        <v>P-1261</v>
      </c>
      <c r="C332" s="53">
        <f>VLOOKUP(Tabla4[[#This Row],[Codigo]],Tabla2[[Cod]:[Nombre ]],3,0)</f>
        <v>45065</v>
      </c>
      <c r="D332" s="6" t="str">
        <f>VLOOKUP(Tabla4[[#This Row],[Codigo]],Tabla2[[Cod]:[Nombre ]],4,0)</f>
        <v>NC-30</v>
      </c>
      <c r="E332" s="5" t="str">
        <f>VLOOKUP(Tabla4[[#This Row],[Codigo]],Tabla2[[Cod]:[Nombre ]],8,0)</f>
        <v>INSTITUTO DISTRITAL DE CIENCIA, BIOTECNOLOGIA E INNOVACION EN SALUD</v>
      </c>
      <c r="F332" s="5" t="str">
        <f>VLOOKUP(Tabla4[[#This Row],[Codigo]],Tabla2[[Cod]:[Nombre ]],6,0)</f>
        <v>OK</v>
      </c>
      <c r="G332" s="7" t="s">
        <v>282</v>
      </c>
      <c r="H332" s="21" t="s">
        <v>16</v>
      </c>
      <c r="I332" s="21"/>
      <c r="J332" s="163">
        <v>229</v>
      </c>
      <c r="K332" s="294">
        <v>3254</v>
      </c>
      <c r="L332" s="298"/>
      <c r="M332" s="292">
        <f>IF(LEFT(Tabla4[[#This Row],[Electronica]],2)="NC",-Tabla4[[#This Row],[Cantidad]]*Tabla4[[#This Row],[Precio]]+Tabla4[[#This Row],[Dto]],Tabla4[[#This Row],[Cantidad]]*Tabla4[[#This Row],[Precio]]-Tabla4[[#This Row],[Dto]])</f>
        <v>-745166</v>
      </c>
      <c r="N332" s="292">
        <f>IFERROR(Tabla4[[#This Row],[Sub Total]]*VLOOKUP(Tabla4[[#This Row],[No]],Parametros!A:C,3,0),0)</f>
        <v>-141581.54</v>
      </c>
      <c r="O332" s="292">
        <f>+Tabla4[[#This Row],[IVA]]+Tabla4[[#This Row],[Sub Total]]</f>
        <v>-886747.54</v>
      </c>
    </row>
    <row r="333" spans="1:15" ht="45" x14ac:dyDescent="0.2">
      <c r="A333" s="6">
        <v>274</v>
      </c>
      <c r="B333" s="6" t="str">
        <f>VLOOKUP(Tabla4[[#This Row],[Codigo]],Tabla2[[Cod]:[Nombre ]],2,0)</f>
        <v>P-1262</v>
      </c>
      <c r="C333" s="53">
        <f>VLOOKUP(Tabla4[[#This Row],[Codigo]],Tabla2[[Cod]:[Nombre ]],3,0)</f>
        <v>45065</v>
      </c>
      <c r="D333" s="6" t="str">
        <f>VLOOKUP(Tabla4[[#This Row],[Codigo]],Tabla2[[Cod]:[Nombre ]],4,0)</f>
        <v>NC-33</v>
      </c>
      <c r="E333" s="5" t="str">
        <f>VLOOKUP(Tabla4[[#This Row],[Codigo]],Tabla2[[Cod]:[Nombre ]],8,0)</f>
        <v>FIDEICOMISOS SOCIEDAD FIDUCIARIA DE OCCIDENTE SA</v>
      </c>
      <c r="F333" s="5" t="str">
        <f>VLOOKUP(Tabla4[[#This Row],[Codigo]],Tabla2[[Cod]:[Nombre ]],6,0)</f>
        <v>Anulado</v>
      </c>
      <c r="G333" s="7" t="s">
        <v>282</v>
      </c>
      <c r="H333" s="21" t="s">
        <v>16</v>
      </c>
      <c r="I333" s="21"/>
      <c r="J333" s="163">
        <v>200</v>
      </c>
      <c r="K333" s="294">
        <v>34784</v>
      </c>
      <c r="L333" s="298"/>
      <c r="M333" s="292">
        <f>IF(LEFT(Tabla4[[#This Row],[Electronica]],2)="NC",-Tabla4[[#This Row],[Cantidad]]*Tabla4[[#This Row],[Precio]]+Tabla4[[#This Row],[Dto]],Tabla4[[#This Row],[Cantidad]]*Tabla4[[#This Row],[Precio]]-Tabla4[[#This Row],[Dto]])</f>
        <v>-6956800</v>
      </c>
      <c r="N333" s="292">
        <f>IFERROR(Tabla4[[#This Row],[Sub Total]]*VLOOKUP(Tabla4[[#This Row],[No]],Parametros!A:C,3,0),0)</f>
        <v>-1321792</v>
      </c>
      <c r="O333" s="292">
        <f>+Tabla4[[#This Row],[IVA]]+Tabla4[[#This Row],[Sub Total]]</f>
        <v>-8278592</v>
      </c>
    </row>
    <row r="334" spans="1:15" ht="30" x14ac:dyDescent="0.2">
      <c r="A334" s="6">
        <v>275</v>
      </c>
      <c r="B334" s="6" t="str">
        <f>VLOOKUP(Tabla4[[#This Row],[Codigo]],Tabla2[[Cod]:[Nombre ]],2,0)</f>
        <v>P-1263</v>
      </c>
      <c r="C334" s="53">
        <f>VLOOKUP(Tabla4[[#This Row],[Codigo]],Tabla2[[Cod]:[Nombre ]],3,0)</f>
        <v>45072</v>
      </c>
      <c r="D334" s="6" t="str">
        <f>VLOOKUP(Tabla4[[#This Row],[Codigo]],Tabla2[[Cod]:[Nombre ]],4,0)</f>
        <v>TIS-1246</v>
      </c>
      <c r="E334" s="5" t="str">
        <f>VLOOKUP(Tabla4[[#This Row],[Codigo]],Tabla2[[Cod]:[Nombre ]],8,0)</f>
        <v>RADIOLOGICAL PROTECTION SERVICES SAS</v>
      </c>
      <c r="F334" s="5" t="str">
        <f>VLOOKUP(Tabla4[[#This Row],[Codigo]],Tabla2[[Cod]:[Nombre ]],6,0)</f>
        <v>OK</v>
      </c>
      <c r="G334" s="7" t="s">
        <v>433</v>
      </c>
      <c r="H334" s="21" t="s">
        <v>517</v>
      </c>
      <c r="I334" s="21"/>
      <c r="J334" s="163">
        <v>1</v>
      </c>
      <c r="K334" s="294">
        <v>900000</v>
      </c>
      <c r="L334" s="298"/>
      <c r="M334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334" s="292">
        <f>IFERROR(Tabla4[[#This Row],[Sub Total]]*VLOOKUP(Tabla4[[#This Row],[No]],Parametros!A:C,3,0),0)</f>
        <v>171000</v>
      </c>
      <c r="O334" s="292">
        <f>+Tabla4[[#This Row],[IVA]]+Tabla4[[#This Row],[Sub Total]]</f>
        <v>1071000</v>
      </c>
    </row>
    <row r="335" spans="1:15" ht="36" x14ac:dyDescent="0.2">
      <c r="A335" s="6">
        <v>276</v>
      </c>
      <c r="B335" s="6" t="str">
        <f>VLOOKUP(Tabla4[[#This Row],[Codigo]],Tabla2[[Cod]:[Nombre ]],2,0)</f>
        <v>P-1264</v>
      </c>
      <c r="C335" s="53">
        <f>VLOOKUP(Tabla4[[#This Row],[Codigo]],Tabla2[[Cod]:[Nombre ]],3,0)</f>
        <v>45083</v>
      </c>
      <c r="D335" s="6" t="str">
        <f>VLOOKUP(Tabla4[[#This Row],[Codigo]],Tabla2[[Cod]:[Nombre ]],4,0)</f>
        <v>TIS-1247</v>
      </c>
      <c r="E335" s="5" t="str">
        <f>VLOOKUP(Tabla4[[#This Row],[Codigo]],Tabla2[[Cod]:[Nombre ]],8,0)</f>
        <v>Comercializadora ERZ SAS</v>
      </c>
      <c r="F335" s="5" t="str">
        <f>VLOOKUP(Tabla4[[#This Row],[Codigo]],Tabla2[[Cod]:[Nombre ]],6,0)</f>
        <v>OK</v>
      </c>
      <c r="G335" s="7" t="s">
        <v>416</v>
      </c>
      <c r="H335" s="21" t="s">
        <v>519</v>
      </c>
      <c r="I335" s="21"/>
      <c r="J335" s="163">
        <v>1</v>
      </c>
      <c r="K335" s="294">
        <v>260000</v>
      </c>
      <c r="L335" s="298"/>
      <c r="M335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335" s="292">
        <f>IFERROR(Tabla4[[#This Row],[Sub Total]]*VLOOKUP(Tabla4[[#This Row],[No]],Parametros!A:C,3,0),0)</f>
        <v>49400</v>
      </c>
      <c r="O335" s="292">
        <f>+Tabla4[[#This Row],[IVA]]+Tabla4[[#This Row],[Sub Total]]</f>
        <v>309400</v>
      </c>
    </row>
    <row r="336" spans="1:15" ht="45" x14ac:dyDescent="0.2">
      <c r="A336" s="6">
        <v>277</v>
      </c>
      <c r="B336" s="6" t="str">
        <f>VLOOKUP(Tabla4[[#This Row],[Codigo]],Tabla2[[Cod]:[Nombre ]],2,0)</f>
        <v>P-1265</v>
      </c>
      <c r="C336" s="53">
        <f>VLOOKUP(Tabla4[[#This Row],[Codigo]],Tabla2[[Cod]:[Nombre ]],3,0)</f>
        <v>45083</v>
      </c>
      <c r="D336" s="6" t="str">
        <f>VLOOKUP(Tabla4[[#This Row],[Codigo]],Tabla2[[Cod]:[Nombre ]],4,0)</f>
        <v>TIS-1248</v>
      </c>
      <c r="E336" s="5" t="str">
        <f>VLOOKUP(Tabla4[[#This Row],[Codigo]],Tabla2[[Cod]:[Nombre ]],8,0)</f>
        <v>PRODUCTORA INTERAMERICANA DE PLASTICOS S.A.S.</v>
      </c>
      <c r="F336" s="5" t="str">
        <f>VLOOKUP(Tabla4[[#This Row],[Codigo]],Tabla2[[Cod]:[Nombre ]],6,0)</f>
        <v>OK</v>
      </c>
      <c r="G336" s="7" t="s">
        <v>416</v>
      </c>
      <c r="H336" s="21" t="s">
        <v>519</v>
      </c>
      <c r="I336" s="21"/>
      <c r="J336" s="163">
        <v>1</v>
      </c>
      <c r="K336" s="294">
        <v>300000</v>
      </c>
      <c r="L336" s="298"/>
      <c r="M33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36" s="292">
        <f>IFERROR(Tabla4[[#This Row],[Sub Total]]*VLOOKUP(Tabla4[[#This Row],[No]],Parametros!A:C,3,0),0)</f>
        <v>57000</v>
      </c>
      <c r="O336" s="292">
        <f>+Tabla4[[#This Row],[IVA]]+Tabla4[[#This Row],[Sub Total]]</f>
        <v>357000</v>
      </c>
    </row>
    <row r="337" spans="1:15" ht="36" x14ac:dyDescent="0.2">
      <c r="A337" s="6">
        <v>278</v>
      </c>
      <c r="B337" s="6" t="str">
        <f>VLOOKUP(Tabla4[[#This Row],[Codigo]],Tabla2[[Cod]:[Nombre ]],2,0)</f>
        <v>P-1266</v>
      </c>
      <c r="C337" s="53">
        <f>VLOOKUP(Tabla4[[#This Row],[Codigo]],Tabla2[[Cod]:[Nombre ]],3,0)</f>
        <v>45083</v>
      </c>
      <c r="D337" s="6" t="str">
        <f>VLOOKUP(Tabla4[[#This Row],[Codigo]],Tabla2[[Cod]:[Nombre ]],4,0)</f>
        <v>TIS-1249</v>
      </c>
      <c r="E337" s="5" t="str">
        <f>VLOOKUP(Tabla4[[#This Row],[Codigo]],Tabla2[[Cod]:[Nombre ]],8,0)</f>
        <v>ROYCO SOLUCIONES SAS</v>
      </c>
      <c r="F337" s="5" t="str">
        <f>VLOOKUP(Tabla4[[#This Row],[Codigo]],Tabla2[[Cod]:[Nombre ]],6,0)</f>
        <v>OK</v>
      </c>
      <c r="G337" s="7" t="s">
        <v>416</v>
      </c>
      <c r="H337" s="21" t="s">
        <v>519</v>
      </c>
      <c r="I337" s="21"/>
      <c r="J337" s="163">
        <v>1</v>
      </c>
      <c r="K337" s="294">
        <v>175000</v>
      </c>
      <c r="L337" s="298"/>
      <c r="M337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337" s="292">
        <f>IFERROR(Tabla4[[#This Row],[Sub Total]]*VLOOKUP(Tabla4[[#This Row],[No]],Parametros!A:C,3,0),0)</f>
        <v>33250</v>
      </c>
      <c r="O337" s="292">
        <f>+Tabla4[[#This Row],[IVA]]+Tabla4[[#This Row],[Sub Total]]</f>
        <v>208250</v>
      </c>
    </row>
    <row r="338" spans="1:15" ht="30" x14ac:dyDescent="0.2">
      <c r="A338" s="6">
        <v>279</v>
      </c>
      <c r="B338" s="6" t="str">
        <f>VLOOKUP(Tabla4[[#This Row],[Codigo]],Tabla2[[Cod]:[Nombre ]],2,0)</f>
        <v>P-1267</v>
      </c>
      <c r="C338" s="53">
        <f>VLOOKUP(Tabla4[[#This Row],[Codigo]],Tabla2[[Cod]:[Nombre ]],3,0)</f>
        <v>45083</v>
      </c>
      <c r="D338" s="6" t="str">
        <f>VLOOKUP(Tabla4[[#This Row],[Codigo]],Tabla2[[Cod]:[Nombre ]],4,0)</f>
        <v>TIS-1250</v>
      </c>
      <c r="E338" s="5" t="str">
        <f>VLOOKUP(Tabla4[[#This Row],[Codigo]],Tabla2[[Cod]:[Nombre ]],8,0)</f>
        <v>CONSTRUCCIONES CIVILES JMR S.A.S</v>
      </c>
      <c r="F338" s="5" t="str">
        <f>VLOOKUP(Tabla4[[#This Row],[Codigo]],Tabla2[[Cod]:[Nombre ]],6,0)</f>
        <v>OK</v>
      </c>
      <c r="G338" s="7" t="s">
        <v>415</v>
      </c>
      <c r="H338" s="21" t="s">
        <v>605</v>
      </c>
      <c r="I338" s="21"/>
      <c r="J338" s="163">
        <v>1</v>
      </c>
      <c r="K338" s="294">
        <v>1000000</v>
      </c>
      <c r="L338" s="298"/>
      <c r="M338" s="292">
        <f>IF(LEFT(Tabla4[[#This Row],[Electronica]],2)="NC",-Tabla4[[#This Row],[Cantidad]]*Tabla4[[#This Row],[Precio]]+Tabla4[[#This Row],[Dto]],Tabla4[[#This Row],[Cantidad]]*Tabla4[[#This Row],[Precio]]-Tabla4[[#This Row],[Dto]])</f>
        <v>1000000</v>
      </c>
      <c r="N338" s="292">
        <f>IFERROR(Tabla4[[#This Row],[Sub Total]]*VLOOKUP(Tabla4[[#This Row],[No]],Parametros!A:C,3,0),0)</f>
        <v>190000</v>
      </c>
      <c r="O338" s="292">
        <f>+Tabla4[[#This Row],[IVA]]+Tabla4[[#This Row],[Sub Total]]</f>
        <v>1190000</v>
      </c>
    </row>
    <row r="339" spans="1:15" ht="36" x14ac:dyDescent="0.2">
      <c r="A339" s="6">
        <v>280</v>
      </c>
      <c r="B339" s="6" t="str">
        <f>VLOOKUP(Tabla4[[#This Row],[Codigo]],Tabla2[[Cod]:[Nombre ]],2,0)</f>
        <v>P-1268</v>
      </c>
      <c r="C339" s="53">
        <f>VLOOKUP(Tabla4[[#This Row],[Codigo]],Tabla2[[Cod]:[Nombre ]],3,0)</f>
        <v>45083</v>
      </c>
      <c r="D339" s="6" t="str">
        <f>VLOOKUP(Tabla4[[#This Row],[Codigo]],Tabla2[[Cod]:[Nombre ]],4,0)</f>
        <v>TIS-1251</v>
      </c>
      <c r="E339" s="5" t="str">
        <f>VLOOKUP(Tabla4[[#This Row],[Codigo]],Tabla2[[Cod]:[Nombre ]],8,0)</f>
        <v>Inversiones Sajamib SAS</v>
      </c>
      <c r="F339" s="5" t="str">
        <f>VLOOKUP(Tabla4[[#This Row],[Codigo]],Tabla2[[Cod]:[Nombre ]],6,0)</f>
        <v>OK</v>
      </c>
      <c r="G339" s="7" t="s">
        <v>417</v>
      </c>
      <c r="H339" s="21" t="s">
        <v>525</v>
      </c>
      <c r="I339" s="21"/>
      <c r="J339" s="163">
        <v>1</v>
      </c>
      <c r="K339" s="294">
        <v>400000</v>
      </c>
      <c r="L339" s="298"/>
      <c r="M339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339" s="292">
        <f>IFERROR(Tabla4[[#This Row],[Sub Total]]*VLOOKUP(Tabla4[[#This Row],[No]],Parametros!A:C,3,0),0)</f>
        <v>0</v>
      </c>
      <c r="O339" s="292">
        <f>+Tabla4[[#This Row],[IVA]]+Tabla4[[#This Row],[Sub Total]]</f>
        <v>400000</v>
      </c>
    </row>
    <row r="340" spans="1:15" ht="45" x14ac:dyDescent="0.2">
      <c r="A340" s="6">
        <v>281</v>
      </c>
      <c r="B340" s="6" t="str">
        <f>VLOOKUP(Tabla4[[#This Row],[Codigo]],Tabla2[[Cod]:[Nombre ]],2,0)</f>
        <v>P-1269</v>
      </c>
      <c r="C340" s="53">
        <f>VLOOKUP(Tabla4[[#This Row],[Codigo]],Tabla2[[Cod]:[Nombre ]],3,0)</f>
        <v>45083</v>
      </c>
      <c r="D340" s="6" t="str">
        <f>VLOOKUP(Tabla4[[#This Row],[Codigo]],Tabla2[[Cod]:[Nombre ]],4,0)</f>
        <v>TIS-1252</v>
      </c>
      <c r="E340" s="5" t="str">
        <f>VLOOKUP(Tabla4[[#This Row],[Codigo]],Tabla2[[Cod]:[Nombre ]],8,0)</f>
        <v>DIGITAL MEDIA TECHNOLOGIES COLOMBIA SAS</v>
      </c>
      <c r="F340" s="5" t="str">
        <f>VLOOKUP(Tabla4[[#This Row],[Codigo]],Tabla2[[Cod]:[Nombre ]],6,0)</f>
        <v>OK</v>
      </c>
      <c r="G340" s="7" t="s">
        <v>416</v>
      </c>
      <c r="H340" s="21" t="s">
        <v>519</v>
      </c>
      <c r="I340" s="21"/>
      <c r="J340" s="163">
        <v>1</v>
      </c>
      <c r="K340" s="294">
        <v>250000</v>
      </c>
      <c r="L340" s="298"/>
      <c r="M340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340" s="292">
        <f>IFERROR(Tabla4[[#This Row],[Sub Total]]*VLOOKUP(Tabla4[[#This Row],[No]],Parametros!A:C,3,0),0)</f>
        <v>47500</v>
      </c>
      <c r="O340" s="292">
        <f>+Tabla4[[#This Row],[IVA]]+Tabla4[[#This Row],[Sub Total]]</f>
        <v>297500</v>
      </c>
    </row>
    <row r="341" spans="1:15" ht="36" x14ac:dyDescent="0.2">
      <c r="A341" s="6">
        <v>282</v>
      </c>
      <c r="B341" s="6" t="str">
        <f>VLOOKUP(Tabla4[[#This Row],[Codigo]],Tabla2[[Cod]:[Nombre ]],2,0)</f>
        <v>P-1270</v>
      </c>
      <c r="C341" s="53">
        <f>VLOOKUP(Tabla4[[#This Row],[Codigo]],Tabla2[[Cod]:[Nombre ]],3,0)</f>
        <v>45083</v>
      </c>
      <c r="D341" s="6" t="str">
        <f>VLOOKUP(Tabla4[[#This Row],[Codigo]],Tabla2[[Cod]:[Nombre ]],4,0)</f>
        <v>TIS-1253</v>
      </c>
      <c r="E341" s="5" t="str">
        <f>VLOOKUP(Tabla4[[#This Row],[Codigo]],Tabla2[[Cod]:[Nombre ]],8,0)</f>
        <v>Maria del Pilar Alvarado Joya</v>
      </c>
      <c r="F341" s="5" t="str">
        <f>VLOOKUP(Tabla4[[#This Row],[Codigo]],Tabla2[[Cod]:[Nombre ]],6,0)</f>
        <v>OK</v>
      </c>
      <c r="G341" s="7" t="s">
        <v>417</v>
      </c>
      <c r="H341" s="21" t="s">
        <v>525</v>
      </c>
      <c r="I341" s="21"/>
      <c r="J341" s="163">
        <v>1</v>
      </c>
      <c r="K341" s="294">
        <v>400000</v>
      </c>
      <c r="L341" s="298"/>
      <c r="M341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341" s="292">
        <f>IFERROR(Tabla4[[#This Row],[Sub Total]]*VLOOKUP(Tabla4[[#This Row],[No]],Parametros!A:C,3,0),0)</f>
        <v>0</v>
      </c>
      <c r="O341" s="292">
        <f>+Tabla4[[#This Row],[IVA]]+Tabla4[[#This Row],[Sub Total]]</f>
        <v>400000</v>
      </c>
    </row>
    <row r="342" spans="1:15" ht="24" x14ac:dyDescent="0.2">
      <c r="A342" s="6">
        <v>283</v>
      </c>
      <c r="B342" s="6" t="str">
        <f>VLOOKUP(Tabla4[[#This Row],[Codigo]],Tabla2[[Cod]:[Nombre ]],2,0)</f>
        <v>P-1271</v>
      </c>
      <c r="C342" s="53">
        <f>VLOOKUP(Tabla4[[#This Row],[Codigo]],Tabla2[[Cod]:[Nombre ]],3,0)</f>
        <v>45083</v>
      </c>
      <c r="D342" s="6" t="str">
        <f>VLOOKUP(Tabla4[[#This Row],[Codigo]],Tabla2[[Cod]:[Nombre ]],4,0)</f>
        <v>TIS-1254</v>
      </c>
      <c r="E342" s="5" t="str">
        <f>VLOOKUP(Tabla4[[#This Row],[Codigo]],Tabla2[[Cod]:[Nombre ]],8,0)</f>
        <v>JALO HASHTAG 98 SAS</v>
      </c>
      <c r="F342" s="5" t="str">
        <f>VLOOKUP(Tabla4[[#This Row],[Codigo]],Tabla2[[Cod]:[Nombre ]],6,0)</f>
        <v>OK</v>
      </c>
      <c r="G342" s="7" t="s">
        <v>282</v>
      </c>
      <c r="H342" s="21" t="s">
        <v>16</v>
      </c>
      <c r="I342" s="21"/>
      <c r="J342" s="163">
        <v>13</v>
      </c>
      <c r="K342" s="294">
        <v>45000</v>
      </c>
      <c r="L342" s="298"/>
      <c r="M342" s="292">
        <f>IF(LEFT(Tabla4[[#This Row],[Electronica]],2)="NC",-Tabla4[[#This Row],[Cantidad]]*Tabla4[[#This Row],[Precio]]+Tabla4[[#This Row],[Dto]],Tabla4[[#This Row],[Cantidad]]*Tabla4[[#This Row],[Precio]]-Tabla4[[#This Row],[Dto]])</f>
        <v>585000</v>
      </c>
      <c r="N342" s="292">
        <f>IFERROR(Tabla4[[#This Row],[Sub Total]]*VLOOKUP(Tabla4[[#This Row],[No]],Parametros!A:C,3,0),0)</f>
        <v>111150</v>
      </c>
      <c r="O342" s="292">
        <f>+Tabla4[[#This Row],[IVA]]+Tabla4[[#This Row],[Sub Total]]</f>
        <v>696150</v>
      </c>
    </row>
    <row r="343" spans="1:15" ht="24" x14ac:dyDescent="0.2">
      <c r="A343" s="6">
        <v>284</v>
      </c>
      <c r="B343" s="6" t="str">
        <f>VLOOKUP(Tabla4[[#This Row],[Codigo]],Tabla2[[Cod]:[Nombre ]],2,0)</f>
        <v>P-1272</v>
      </c>
      <c r="C343" s="53">
        <f>VLOOKUP(Tabla4[[#This Row],[Codigo]],Tabla2[[Cod]:[Nombre ]],3,0)</f>
        <v>45085</v>
      </c>
      <c r="D343" s="6" t="str">
        <f>VLOOKUP(Tabla4[[#This Row],[Codigo]],Tabla2[[Cod]:[Nombre ]],4,0)</f>
        <v>TIS-1255</v>
      </c>
      <c r="E343" s="5" t="str">
        <f>VLOOKUP(Tabla4[[#This Row],[Codigo]],Tabla2[[Cod]:[Nombre ]],8,0)</f>
        <v>ALFONSO URIBE S &amp; CIA SA</v>
      </c>
      <c r="F343" s="5" t="str">
        <f>VLOOKUP(Tabla4[[#This Row],[Codigo]],Tabla2[[Cod]:[Nombre ]],6,0)</f>
        <v>OK</v>
      </c>
      <c r="G343" s="7" t="s">
        <v>282</v>
      </c>
      <c r="H343" s="21" t="s">
        <v>16</v>
      </c>
      <c r="I343" s="21"/>
      <c r="J343" s="163">
        <v>116</v>
      </c>
      <c r="K343" s="294">
        <v>26000</v>
      </c>
      <c r="L343" s="298"/>
      <c r="M343" s="292">
        <f>IF(LEFT(Tabla4[[#This Row],[Electronica]],2)="NC",-Tabla4[[#This Row],[Cantidad]]*Tabla4[[#This Row],[Precio]]+Tabla4[[#This Row],[Dto]],Tabla4[[#This Row],[Cantidad]]*Tabla4[[#This Row],[Precio]]-Tabla4[[#This Row],[Dto]])</f>
        <v>3016000</v>
      </c>
      <c r="N343" s="292">
        <f>IFERROR(Tabla4[[#This Row],[Sub Total]]*VLOOKUP(Tabla4[[#This Row],[No]],Parametros!A:C,3,0),0)</f>
        <v>573040</v>
      </c>
      <c r="O343" s="292">
        <f>+Tabla4[[#This Row],[IVA]]+Tabla4[[#This Row],[Sub Total]]</f>
        <v>3589040</v>
      </c>
    </row>
    <row r="344" spans="1:15" ht="30" x14ac:dyDescent="0.2">
      <c r="A344" s="6">
        <v>285</v>
      </c>
      <c r="B344" s="6" t="str">
        <f>VLOOKUP(Tabla4[[#This Row],[Codigo]],Tabla2[[Cod]:[Nombre ]],2,0)</f>
        <v>P-1273</v>
      </c>
      <c r="C344" s="53">
        <f>VLOOKUP(Tabla4[[#This Row],[Codigo]],Tabla2[[Cod]:[Nombre ]],3,0)</f>
        <v>45093</v>
      </c>
      <c r="D344" s="6" t="str">
        <f>VLOOKUP(Tabla4[[#This Row],[Codigo]],Tabla2[[Cod]:[Nombre ]],4,0)</f>
        <v>TIS-1257</v>
      </c>
      <c r="E344" s="5" t="str">
        <f>VLOOKUP(Tabla4[[#This Row],[Codigo]],Tabla2[[Cod]:[Nombre ]],8,0)</f>
        <v xml:space="preserve">GENERAL RIKS SERVICES SAS </v>
      </c>
      <c r="F344" s="5" t="str">
        <f>VLOOKUP(Tabla4[[#This Row],[Codigo]],Tabla2[[Cod]:[Nombre ]],6,0)</f>
        <v>OK</v>
      </c>
      <c r="G344" s="7" t="s">
        <v>282</v>
      </c>
      <c r="H344" s="21" t="s">
        <v>16</v>
      </c>
      <c r="I344" s="21"/>
      <c r="J344" s="163">
        <v>43</v>
      </c>
      <c r="K344" s="294">
        <v>30000</v>
      </c>
      <c r="L344" s="298"/>
      <c r="M344" s="292">
        <f>IF(LEFT(Tabla4[[#This Row],[Electronica]],2)="NC",-Tabla4[[#This Row],[Cantidad]]*Tabla4[[#This Row],[Precio]]+Tabla4[[#This Row],[Dto]],Tabla4[[#This Row],[Cantidad]]*Tabla4[[#This Row],[Precio]]-Tabla4[[#This Row],[Dto]])</f>
        <v>1290000</v>
      </c>
      <c r="N344" s="292">
        <f>IFERROR(Tabla4[[#This Row],[Sub Total]]*VLOOKUP(Tabla4[[#This Row],[No]],Parametros!A:C,3,0),0)</f>
        <v>245100</v>
      </c>
      <c r="O344" s="292">
        <f>+Tabla4[[#This Row],[IVA]]+Tabla4[[#This Row],[Sub Total]]</f>
        <v>1535100</v>
      </c>
    </row>
    <row r="345" spans="1:15" ht="30" x14ac:dyDescent="0.2">
      <c r="A345" s="6">
        <v>286</v>
      </c>
      <c r="B345" s="6" t="str">
        <f>VLOOKUP(Tabla4[[#This Row],[Codigo]],Tabla2[[Cod]:[Nombre ]],2,0)</f>
        <v>P-1274</v>
      </c>
      <c r="C345" s="53">
        <f>VLOOKUP(Tabla4[[#This Row],[Codigo]],Tabla2[[Cod]:[Nombre ]],3,0)</f>
        <v>45099</v>
      </c>
      <c r="D345" s="6" t="str">
        <f>VLOOKUP(Tabla4[[#This Row],[Codigo]],Tabla2[[Cod]:[Nombre ]],4,0)</f>
        <v>TIS-1258</v>
      </c>
      <c r="E345" s="5" t="str">
        <f>VLOOKUP(Tabla4[[#This Row],[Codigo]],Tabla2[[Cod]:[Nombre ]],8,0)</f>
        <v>CHILLER PLANT SERVICES SAS</v>
      </c>
      <c r="F345" s="5" t="str">
        <f>VLOOKUP(Tabla4[[#This Row],[Codigo]],Tabla2[[Cod]:[Nombre ]],6,0)</f>
        <v>OK</v>
      </c>
      <c r="G345" s="7" t="s">
        <v>282</v>
      </c>
      <c r="H345" s="21" t="s">
        <v>16</v>
      </c>
      <c r="I345" s="21"/>
      <c r="J345" s="163">
        <v>1</v>
      </c>
      <c r="K345" s="294">
        <v>95000</v>
      </c>
      <c r="L345" s="298"/>
      <c r="M345" s="292">
        <f>IF(LEFT(Tabla4[[#This Row],[Electronica]],2)="NC",-Tabla4[[#This Row],[Cantidad]]*Tabla4[[#This Row],[Precio]]+Tabla4[[#This Row],[Dto]],Tabla4[[#This Row],[Cantidad]]*Tabla4[[#This Row],[Precio]]-Tabla4[[#This Row],[Dto]])</f>
        <v>95000</v>
      </c>
      <c r="N345" s="292">
        <f>IFERROR(Tabla4[[#This Row],[Sub Total]]*VLOOKUP(Tabla4[[#This Row],[No]],Parametros!A:C,3,0),0)</f>
        <v>18050</v>
      </c>
      <c r="O345" s="292">
        <f>+Tabla4[[#This Row],[IVA]]+Tabla4[[#This Row],[Sub Total]]</f>
        <v>113050</v>
      </c>
    </row>
    <row r="346" spans="1:15" ht="30" x14ac:dyDescent="0.2">
      <c r="A346" s="6">
        <v>287</v>
      </c>
      <c r="B346" s="6" t="str">
        <f>VLOOKUP(Tabla4[[#This Row],[Codigo]],Tabla2[[Cod]:[Nombre ]],2,0)</f>
        <v>P-1275</v>
      </c>
      <c r="C346" s="53">
        <f>VLOOKUP(Tabla4[[#This Row],[Codigo]],Tabla2[[Cod]:[Nombre ]],3,0)</f>
        <v>45117</v>
      </c>
      <c r="D346" s="6" t="str">
        <f>VLOOKUP(Tabla4[[#This Row],[Codigo]],Tabla2[[Cod]:[Nombre ]],4,0)</f>
        <v>TIS-1256</v>
      </c>
      <c r="E346" s="5" t="str">
        <f>VLOOKUP(Tabla4[[#This Row],[Codigo]],Tabla2[[Cod]:[Nombre ]],8,0)</f>
        <v>LUCTA GRANCOLOMBIA SAS</v>
      </c>
      <c r="F346" s="5" t="str">
        <f>VLOOKUP(Tabla4[[#This Row],[Codigo]],Tabla2[[Cod]:[Nombre ]],6,0)</f>
        <v>OK</v>
      </c>
      <c r="G346" s="7" t="s">
        <v>433</v>
      </c>
      <c r="H346" s="21" t="s">
        <v>517</v>
      </c>
      <c r="I346" s="21"/>
      <c r="J346" s="163">
        <v>1</v>
      </c>
      <c r="K346" s="294">
        <v>12000000</v>
      </c>
      <c r="L346" s="298"/>
      <c r="M346" s="292">
        <f>IF(LEFT(Tabla4[[#This Row],[Electronica]],2)="NC",-Tabla4[[#This Row],[Cantidad]]*Tabla4[[#This Row],[Precio]]+Tabla4[[#This Row],[Dto]],Tabla4[[#This Row],[Cantidad]]*Tabla4[[#This Row],[Precio]]-Tabla4[[#This Row],[Dto]])</f>
        <v>12000000</v>
      </c>
      <c r="N346" s="292">
        <f>IFERROR(Tabla4[[#This Row],[Sub Total]]*VLOOKUP(Tabla4[[#This Row],[No]],Parametros!A:C,3,0),0)</f>
        <v>2280000</v>
      </c>
      <c r="O346" s="292">
        <f>+Tabla4[[#This Row],[IVA]]+Tabla4[[#This Row],[Sub Total]]</f>
        <v>14280000</v>
      </c>
    </row>
    <row r="347" spans="1:15" ht="30" x14ac:dyDescent="0.2">
      <c r="A347" s="6">
        <v>288</v>
      </c>
      <c r="B347" s="6" t="str">
        <f>VLOOKUP(Tabla4[[#This Row],[Codigo]],Tabla2[[Cod]:[Nombre ]],2,0)</f>
        <v>P-1276</v>
      </c>
      <c r="C347" s="53">
        <f>VLOOKUP(Tabla4[[#This Row],[Codigo]],Tabla2[[Cod]:[Nombre ]],3,0)</f>
        <v>45117</v>
      </c>
      <c r="D347" s="6" t="str">
        <f>VLOOKUP(Tabla4[[#This Row],[Codigo]],Tabla2[[Cod]:[Nombre ]],4,0)</f>
        <v>NC-34</v>
      </c>
      <c r="E347" s="5" t="str">
        <f>VLOOKUP(Tabla4[[#This Row],[Codigo]],Tabla2[[Cod]:[Nombre ]],8,0)</f>
        <v>LUCTA GRANCOLOMBIA SAS</v>
      </c>
      <c r="F347" s="5" t="str">
        <f>VLOOKUP(Tabla4[[#This Row],[Codigo]],Tabla2[[Cod]:[Nombre ]],6,0)</f>
        <v>Anulado</v>
      </c>
      <c r="G347" s="7" t="s">
        <v>433</v>
      </c>
      <c r="H347" s="21" t="s">
        <v>517</v>
      </c>
      <c r="I347" s="21"/>
      <c r="J347" s="163">
        <v>1</v>
      </c>
      <c r="K347" s="294">
        <v>12000000</v>
      </c>
      <c r="L347" s="298"/>
      <c r="M347" s="292">
        <f>IF(LEFT(Tabla4[[#This Row],[Electronica]],2)="NC",-Tabla4[[#This Row],[Cantidad]]*Tabla4[[#This Row],[Precio]]+Tabla4[[#This Row],[Dto]],Tabla4[[#This Row],[Cantidad]]*Tabla4[[#This Row],[Precio]]-Tabla4[[#This Row],[Dto]])</f>
        <v>-12000000</v>
      </c>
      <c r="N347" s="292">
        <f>IFERROR(Tabla4[[#This Row],[Sub Total]]*VLOOKUP(Tabla4[[#This Row],[No]],Parametros!A:C,3,0),0)</f>
        <v>-2280000</v>
      </c>
      <c r="O347" s="292">
        <f>+Tabla4[[#This Row],[IVA]]+Tabla4[[#This Row],[Sub Total]]</f>
        <v>-14280000</v>
      </c>
    </row>
    <row r="348" spans="1:15" ht="24" x14ac:dyDescent="0.2">
      <c r="A348" s="6">
        <v>289</v>
      </c>
      <c r="B348" s="6" t="str">
        <f>VLOOKUP(Tabla4[[#This Row],[Codigo]],Tabla2[[Cod]:[Nombre ]],2,0)</f>
        <v>P-1277</v>
      </c>
      <c r="C348" s="53">
        <f>VLOOKUP(Tabla4[[#This Row],[Codigo]],Tabla2[[Cod]:[Nombre ]],3,0)</f>
        <v>45131</v>
      </c>
      <c r="D348" s="6">
        <f>VLOOKUP(Tabla4[[#This Row],[Codigo]],Tabla2[[Cod]:[Nombre ]],4,0)</f>
        <v>0</v>
      </c>
      <c r="E348" s="5" t="str">
        <f>VLOOKUP(Tabla4[[#This Row],[Codigo]],Tabla2[[Cod]:[Nombre ]],8,0)</f>
        <v>Walsom SAS</v>
      </c>
      <c r="F348" s="5" t="str">
        <f>VLOOKUP(Tabla4[[#This Row],[Codigo]],Tabla2[[Cod]:[Nombre ]],6,0)</f>
        <v>Anulado</v>
      </c>
      <c r="G348" s="7" t="s">
        <v>282</v>
      </c>
      <c r="H348" s="21" t="s">
        <v>16</v>
      </c>
      <c r="I348" s="21" t="s">
        <v>606</v>
      </c>
      <c r="J348" s="163">
        <v>20</v>
      </c>
      <c r="K348" s="294">
        <v>35000</v>
      </c>
      <c r="L348" s="298"/>
      <c r="M348" s="292">
        <f>IF(LEFT(Tabla4[[#This Row],[Electronica]],2)="NC",-Tabla4[[#This Row],[Cantidad]]*Tabla4[[#This Row],[Precio]]+Tabla4[[#This Row],[Dto]],Tabla4[[#This Row],[Cantidad]]*Tabla4[[#This Row],[Precio]]-Tabla4[[#This Row],[Dto]])</f>
        <v>700000</v>
      </c>
      <c r="N348" s="292">
        <f>IFERROR(Tabla4[[#This Row],[Sub Total]]*VLOOKUP(Tabla4[[#This Row],[No]],Parametros!A:C,3,0),0)</f>
        <v>133000</v>
      </c>
      <c r="O348" s="292">
        <f>+Tabla4[[#This Row],[IVA]]+Tabla4[[#This Row],[Sub Total]]</f>
        <v>833000</v>
      </c>
    </row>
    <row r="349" spans="1:15" ht="36" x14ac:dyDescent="0.2">
      <c r="A349" s="6">
        <v>290</v>
      </c>
      <c r="B349" s="6" t="str">
        <f>VLOOKUP(Tabla4[[#This Row],[Codigo]],Tabla2[[Cod]:[Nombre ]],2,0)</f>
        <v>P-1278</v>
      </c>
      <c r="C349" s="53">
        <f>VLOOKUP(Tabla4[[#This Row],[Codigo]],Tabla2[[Cod]:[Nombre ]],3,0)</f>
        <v>45127</v>
      </c>
      <c r="D349" s="6" t="str">
        <f>VLOOKUP(Tabla4[[#This Row],[Codigo]],Tabla2[[Cod]:[Nombre ]],4,0)</f>
        <v>TIS-1259</v>
      </c>
      <c r="E349" s="5" t="str">
        <f>VLOOKUP(Tabla4[[#This Row],[Codigo]],Tabla2[[Cod]:[Nombre ]],8,0)</f>
        <v>Comercializadora ERZ SAS</v>
      </c>
      <c r="F349" s="5" t="str">
        <f>VLOOKUP(Tabla4[[#This Row],[Codigo]],Tabla2[[Cod]:[Nombre ]],6,0)</f>
        <v>OK</v>
      </c>
      <c r="G349" s="7" t="s">
        <v>416</v>
      </c>
      <c r="H349" s="21" t="s">
        <v>519</v>
      </c>
      <c r="I349" s="21"/>
      <c r="J349" s="163">
        <v>1</v>
      </c>
      <c r="K349" s="294">
        <v>260000</v>
      </c>
      <c r="L349" s="298"/>
      <c r="M349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349" s="292">
        <f>IFERROR(Tabla4[[#This Row],[Sub Total]]*VLOOKUP(Tabla4[[#This Row],[No]],Parametros!A:C,3,0),0)</f>
        <v>49400</v>
      </c>
      <c r="O349" s="292">
        <f>+Tabla4[[#This Row],[IVA]]+Tabla4[[#This Row],[Sub Total]]</f>
        <v>309400</v>
      </c>
    </row>
    <row r="350" spans="1:15" ht="45" x14ac:dyDescent="0.2">
      <c r="A350" s="6">
        <v>291</v>
      </c>
      <c r="B350" s="6" t="str">
        <f>VLOOKUP(Tabla4[[#This Row],[Codigo]],Tabla2[[Cod]:[Nombre ]],2,0)</f>
        <v>P-1279</v>
      </c>
      <c r="C350" s="53">
        <f>VLOOKUP(Tabla4[[#This Row],[Codigo]],Tabla2[[Cod]:[Nombre ]],3,0)</f>
        <v>45127</v>
      </c>
      <c r="D350" s="6" t="str">
        <f>VLOOKUP(Tabla4[[#This Row],[Codigo]],Tabla2[[Cod]:[Nombre ]],4,0)</f>
        <v>TIS-1260</v>
      </c>
      <c r="E350" s="5" t="str">
        <f>VLOOKUP(Tabla4[[#This Row],[Codigo]],Tabla2[[Cod]:[Nombre ]],8,0)</f>
        <v>PRODUCTORA INTERAMERICANA DE PLASTICOS S.A.S.</v>
      </c>
      <c r="F350" s="5" t="str">
        <f>VLOOKUP(Tabla4[[#This Row],[Codigo]],Tabla2[[Cod]:[Nombre ]],6,0)</f>
        <v>OK</v>
      </c>
      <c r="G350" s="7" t="s">
        <v>416</v>
      </c>
      <c r="H350" s="21" t="s">
        <v>519</v>
      </c>
      <c r="I350" s="21"/>
      <c r="J350" s="163">
        <v>1</v>
      </c>
      <c r="K350" s="294">
        <v>300000</v>
      </c>
      <c r="L350" s="298"/>
      <c r="M350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50" s="292">
        <f>IFERROR(Tabla4[[#This Row],[Sub Total]]*VLOOKUP(Tabla4[[#This Row],[No]],Parametros!A:C,3,0),0)</f>
        <v>57000</v>
      </c>
      <c r="O350" s="292">
        <f>+Tabla4[[#This Row],[IVA]]+Tabla4[[#This Row],[Sub Total]]</f>
        <v>357000</v>
      </c>
    </row>
    <row r="351" spans="1:15" ht="36" x14ac:dyDescent="0.2">
      <c r="A351" s="6">
        <v>292</v>
      </c>
      <c r="B351" s="6" t="str">
        <f>VLOOKUP(Tabla4[[#This Row],[Codigo]],Tabla2[[Cod]:[Nombre ]],2,0)</f>
        <v>P-1280</v>
      </c>
      <c r="C351" s="53">
        <f>VLOOKUP(Tabla4[[#This Row],[Codigo]],Tabla2[[Cod]:[Nombre ]],3,0)</f>
        <v>45127</v>
      </c>
      <c r="D351" s="6" t="str">
        <f>VLOOKUP(Tabla4[[#This Row],[Codigo]],Tabla2[[Cod]:[Nombre ]],4,0)</f>
        <v>TIS-1261</v>
      </c>
      <c r="E351" s="5" t="str">
        <f>VLOOKUP(Tabla4[[#This Row],[Codigo]],Tabla2[[Cod]:[Nombre ]],8,0)</f>
        <v>ROYCO SOLUCIONES SAS</v>
      </c>
      <c r="F351" s="5" t="str">
        <f>VLOOKUP(Tabla4[[#This Row],[Codigo]],Tabla2[[Cod]:[Nombre ]],6,0)</f>
        <v>OK</v>
      </c>
      <c r="G351" s="7" t="s">
        <v>416</v>
      </c>
      <c r="H351" s="21" t="s">
        <v>519</v>
      </c>
      <c r="I351" s="21"/>
      <c r="J351" s="163">
        <v>1</v>
      </c>
      <c r="K351" s="294">
        <v>175000</v>
      </c>
      <c r="L351" s="298"/>
      <c r="M351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351" s="292">
        <f>IFERROR(Tabla4[[#This Row],[Sub Total]]*VLOOKUP(Tabla4[[#This Row],[No]],Parametros!A:C,3,0),0)</f>
        <v>33250</v>
      </c>
      <c r="O351" s="292">
        <f>+Tabla4[[#This Row],[IVA]]+Tabla4[[#This Row],[Sub Total]]</f>
        <v>208250</v>
      </c>
    </row>
    <row r="352" spans="1:15" ht="45" x14ac:dyDescent="0.2">
      <c r="A352" s="6">
        <v>293</v>
      </c>
      <c r="B352" s="6" t="str">
        <f>VLOOKUP(Tabla4[[#This Row],[Codigo]],Tabla2[[Cod]:[Nombre ]],2,0)</f>
        <v>P-1281</v>
      </c>
      <c r="C352" s="53">
        <f>VLOOKUP(Tabla4[[#This Row],[Codigo]],Tabla2[[Cod]:[Nombre ]],3,0)</f>
        <v>45127</v>
      </c>
      <c r="D352" s="6" t="str">
        <f>VLOOKUP(Tabla4[[#This Row],[Codigo]],Tabla2[[Cod]:[Nombre ]],4,0)</f>
        <v>TIS-1262</v>
      </c>
      <c r="E352" s="5" t="str">
        <f>VLOOKUP(Tabla4[[#This Row],[Codigo]],Tabla2[[Cod]:[Nombre ]],8,0)</f>
        <v>DIGITAL MEDIA TECHNOLOGIES COLOMBIA SAS</v>
      </c>
      <c r="F352" s="5" t="str">
        <f>VLOOKUP(Tabla4[[#This Row],[Codigo]],Tabla2[[Cod]:[Nombre ]],6,0)</f>
        <v>OK</v>
      </c>
      <c r="G352" s="7" t="s">
        <v>416</v>
      </c>
      <c r="H352" s="21" t="s">
        <v>519</v>
      </c>
      <c r="I352" s="21"/>
      <c r="J352" s="163">
        <v>1</v>
      </c>
      <c r="K352" s="294">
        <v>250000</v>
      </c>
      <c r="L352" s="298"/>
      <c r="M352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352" s="292">
        <f>IFERROR(Tabla4[[#This Row],[Sub Total]]*VLOOKUP(Tabla4[[#This Row],[No]],Parametros!A:C,3,0),0)</f>
        <v>47500</v>
      </c>
      <c r="O352" s="292">
        <f>+Tabla4[[#This Row],[IVA]]+Tabla4[[#This Row],[Sub Total]]</f>
        <v>297500</v>
      </c>
    </row>
    <row r="353" spans="1:15" ht="36" x14ac:dyDescent="0.2">
      <c r="A353" s="6">
        <v>294</v>
      </c>
      <c r="B353" s="6" t="str">
        <f>VLOOKUP(Tabla4[[#This Row],[Codigo]],Tabla2[[Cod]:[Nombre ]],2,0)</f>
        <v>P-1282</v>
      </c>
      <c r="C353" s="53">
        <f>VLOOKUP(Tabla4[[#This Row],[Codigo]],Tabla2[[Cod]:[Nombre ]],3,0)</f>
        <v>45127</v>
      </c>
      <c r="D353" s="6" t="str">
        <f>VLOOKUP(Tabla4[[#This Row],[Codigo]],Tabla2[[Cod]:[Nombre ]],4,0)</f>
        <v>TIS-1263</v>
      </c>
      <c r="E353" s="5" t="str">
        <f>VLOOKUP(Tabla4[[#This Row],[Codigo]],Tabla2[[Cod]:[Nombre ]],8,0)</f>
        <v>Inversiones Sajamib SAS</v>
      </c>
      <c r="F353" s="5" t="str">
        <f>VLOOKUP(Tabla4[[#This Row],[Codigo]],Tabla2[[Cod]:[Nombre ]],6,0)</f>
        <v>OK</v>
      </c>
      <c r="G353" s="7" t="s">
        <v>417</v>
      </c>
      <c r="H353" s="21" t="s">
        <v>525</v>
      </c>
      <c r="I353" s="21"/>
      <c r="J353" s="163">
        <v>1</v>
      </c>
      <c r="K353" s="294">
        <v>400000</v>
      </c>
      <c r="L353" s="298"/>
      <c r="M353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353" s="292">
        <f>IFERROR(Tabla4[[#This Row],[Sub Total]]*VLOOKUP(Tabla4[[#This Row],[No]],Parametros!A:C,3,0),0)</f>
        <v>0</v>
      </c>
      <c r="O353" s="292">
        <f>+Tabla4[[#This Row],[IVA]]+Tabla4[[#This Row],[Sub Total]]</f>
        <v>400000</v>
      </c>
    </row>
    <row r="354" spans="1:15" ht="30" x14ac:dyDescent="0.2">
      <c r="A354" s="6">
        <v>295</v>
      </c>
      <c r="B354" s="6" t="str">
        <f>VLOOKUP(Tabla4[[#This Row],[Codigo]],Tabla2[[Cod]:[Nombre ]],2,0)</f>
        <v>P-1283</v>
      </c>
      <c r="C354" s="53">
        <f>VLOOKUP(Tabla4[[#This Row],[Codigo]],Tabla2[[Cod]:[Nombre ]],3,0)</f>
        <v>45127</v>
      </c>
      <c r="D354" s="6" t="str">
        <f>VLOOKUP(Tabla4[[#This Row],[Codigo]],Tabla2[[Cod]:[Nombre ]],4,0)</f>
        <v>TIS-1264</v>
      </c>
      <c r="E354" s="5" t="str">
        <f>VLOOKUP(Tabla4[[#This Row],[Codigo]],Tabla2[[Cod]:[Nombre ]],8,0)</f>
        <v>Maria del Pilar Alvarado Joya</v>
      </c>
      <c r="F354" s="5" t="str">
        <f>VLOOKUP(Tabla4[[#This Row],[Codigo]],Tabla2[[Cod]:[Nombre ]],6,0)</f>
        <v>OK</v>
      </c>
      <c r="G354" s="7" t="s">
        <v>414</v>
      </c>
      <c r="H354" s="21" t="s">
        <v>607</v>
      </c>
      <c r="I354" s="21"/>
      <c r="J354" s="163">
        <v>1</v>
      </c>
      <c r="K354" s="294">
        <v>900000</v>
      </c>
      <c r="L354" s="298"/>
      <c r="M354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354" s="292">
        <f>IFERROR(Tabla4[[#This Row],[Sub Total]]*VLOOKUP(Tabla4[[#This Row],[No]],Parametros!A:C,3,0),0)</f>
        <v>0</v>
      </c>
      <c r="O354" s="292">
        <f>+Tabla4[[#This Row],[IVA]]+Tabla4[[#This Row],[Sub Total]]</f>
        <v>900000</v>
      </c>
    </row>
    <row r="355" spans="1:15" ht="30" x14ac:dyDescent="0.2">
      <c r="A355" s="6">
        <v>296</v>
      </c>
      <c r="B355" s="6" t="str">
        <f>VLOOKUP(Tabla4[[#This Row],[Codigo]],Tabla2[[Cod]:[Nombre ]],2,0)</f>
        <v>P-1284</v>
      </c>
      <c r="C355" s="53">
        <f>VLOOKUP(Tabla4[[#This Row],[Codigo]],Tabla2[[Cod]:[Nombre ]],3,0)</f>
        <v>45137</v>
      </c>
      <c r="D355" s="6" t="str">
        <f>VLOOKUP(Tabla4[[#This Row],[Codigo]],Tabla2[[Cod]:[Nombre ]],4,0)</f>
        <v>TIS-1265</v>
      </c>
      <c r="E355" s="5" t="str">
        <f>VLOOKUP(Tabla4[[#This Row],[Codigo]],Tabla2[[Cod]:[Nombre ]],8,0)</f>
        <v>Maria del Pilar Alvarado Joya</v>
      </c>
      <c r="F355" s="5" t="str">
        <f>VLOOKUP(Tabla4[[#This Row],[Codigo]],Tabla2[[Cod]:[Nombre ]],6,0)</f>
        <v>OK</v>
      </c>
      <c r="G355" s="7">
        <v>12</v>
      </c>
      <c r="H355" s="21" t="s">
        <v>608</v>
      </c>
      <c r="I355" s="21"/>
      <c r="J355" s="163">
        <v>1</v>
      </c>
      <c r="K355" s="294">
        <v>300000</v>
      </c>
      <c r="L355" s="298"/>
      <c r="M355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55" s="292">
        <f>IFERROR(Tabla4[[#This Row],[Sub Total]]*VLOOKUP(Tabla4[[#This Row],[No]],Parametros!A:C,3,0),0)</f>
        <v>0</v>
      </c>
      <c r="O355" s="292">
        <f>+Tabla4[[#This Row],[IVA]]+Tabla4[[#This Row],[Sub Total]]</f>
        <v>300000</v>
      </c>
    </row>
    <row r="356" spans="1:15" ht="36" x14ac:dyDescent="0.2">
      <c r="A356" s="6">
        <v>297</v>
      </c>
      <c r="B356" s="6" t="str">
        <f>VLOOKUP(Tabla4[[#This Row],[Codigo]],Tabla2[[Cod]:[Nombre ]],2,0)</f>
        <v>P-1285</v>
      </c>
      <c r="C356" s="53">
        <f>VLOOKUP(Tabla4[[#This Row],[Codigo]],Tabla2[[Cod]:[Nombre ]],3,0)</f>
        <v>45137</v>
      </c>
      <c r="D356" s="6" t="str">
        <f>VLOOKUP(Tabla4[[#This Row],[Codigo]],Tabla2[[Cod]:[Nombre ]],4,0)</f>
        <v>TIS-1266</v>
      </c>
      <c r="E356" s="5" t="str">
        <f>VLOOKUP(Tabla4[[#This Row],[Codigo]],Tabla2[[Cod]:[Nombre ]],8,0)</f>
        <v>TECNOLOGIA DE OFICINA S.A.S.</v>
      </c>
      <c r="F356" s="5" t="str">
        <f>VLOOKUP(Tabla4[[#This Row],[Codigo]],Tabla2[[Cod]:[Nombre ]],6,0)</f>
        <v>OK</v>
      </c>
      <c r="G356" s="7" t="s">
        <v>416</v>
      </c>
      <c r="H356" s="21" t="s">
        <v>519</v>
      </c>
      <c r="I356" s="21"/>
      <c r="J356" s="163">
        <v>1</v>
      </c>
      <c r="K356" s="294">
        <v>648000</v>
      </c>
      <c r="L356" s="298"/>
      <c r="M356" s="292">
        <f>IF(LEFT(Tabla4[[#This Row],[Electronica]],2)="NC",-Tabla4[[#This Row],[Cantidad]]*Tabla4[[#This Row],[Precio]]+Tabla4[[#This Row],[Dto]],Tabla4[[#This Row],[Cantidad]]*Tabla4[[#This Row],[Precio]]-Tabla4[[#This Row],[Dto]])</f>
        <v>648000</v>
      </c>
      <c r="N356" s="292">
        <f>IFERROR(Tabla4[[#This Row],[Sub Total]]*VLOOKUP(Tabla4[[#This Row],[No]],Parametros!A:C,3,0),0)</f>
        <v>123120</v>
      </c>
      <c r="O356" s="292">
        <f>+Tabla4[[#This Row],[IVA]]+Tabla4[[#This Row],[Sub Total]]</f>
        <v>771120</v>
      </c>
    </row>
    <row r="357" spans="1:15" ht="24" x14ac:dyDescent="0.2">
      <c r="A357" s="6">
        <v>298</v>
      </c>
      <c r="B357" s="6" t="str">
        <f>VLOOKUP(Tabla4[[#This Row],[Codigo]],Tabla2[[Cod]:[Nombre ]],2,0)</f>
        <v>P-1286</v>
      </c>
      <c r="C357" s="53">
        <f>VLOOKUP(Tabla4[[#This Row],[Codigo]],Tabla2[[Cod]:[Nombre ]],3,0)</f>
        <v>45140</v>
      </c>
      <c r="D357" s="6" t="str">
        <f>VLOOKUP(Tabla4[[#This Row],[Codigo]],Tabla2[[Cod]:[Nombre ]],4,0)</f>
        <v>TIS-1267</v>
      </c>
      <c r="E357" s="5" t="str">
        <f>VLOOKUP(Tabla4[[#This Row],[Codigo]],Tabla2[[Cod]:[Nombre ]],8,0)</f>
        <v xml:space="preserve">VENTAS Y MARCAS SAS </v>
      </c>
      <c r="F357" s="5" t="str">
        <f>VLOOKUP(Tabla4[[#This Row],[Codigo]],Tabla2[[Cod]:[Nombre ]],6,0)</f>
        <v>OK</v>
      </c>
      <c r="G357" s="7" t="s">
        <v>420</v>
      </c>
      <c r="H357" s="21" t="s">
        <v>551</v>
      </c>
      <c r="I357" s="21"/>
      <c r="J357" s="163">
        <v>1</v>
      </c>
      <c r="K357" s="294">
        <v>950000</v>
      </c>
      <c r="L357" s="298"/>
      <c r="M357" s="292">
        <f>IF(LEFT(Tabla4[[#This Row],[Electronica]],2)="NC",-Tabla4[[#This Row],[Cantidad]]*Tabla4[[#This Row],[Precio]]+Tabla4[[#This Row],[Dto]],Tabla4[[#This Row],[Cantidad]]*Tabla4[[#This Row],[Precio]]-Tabla4[[#This Row],[Dto]])</f>
        <v>950000</v>
      </c>
      <c r="N357" s="292">
        <f>IFERROR(Tabla4[[#This Row],[Sub Total]]*VLOOKUP(Tabla4[[#This Row],[No]],Parametros!A:C,3,0),0)</f>
        <v>180500</v>
      </c>
      <c r="O357" s="292">
        <f>+Tabla4[[#This Row],[IVA]]+Tabla4[[#This Row],[Sub Total]]</f>
        <v>1130500</v>
      </c>
    </row>
    <row r="358" spans="1:15" ht="30" x14ac:dyDescent="0.2">
      <c r="A358" s="6">
        <v>299</v>
      </c>
      <c r="B358" s="6" t="str">
        <f>VLOOKUP(Tabla4[[#This Row],[Codigo]],Tabla2[[Cod]:[Nombre ]],2,0)</f>
        <v>P-1287</v>
      </c>
      <c r="C358" s="53">
        <f>VLOOKUP(Tabla4[[#This Row],[Codigo]],Tabla2[[Cod]:[Nombre ]],3,0)</f>
        <v>45140</v>
      </c>
      <c r="D358" s="6" t="str">
        <f>VLOOKUP(Tabla4[[#This Row],[Codigo]],Tabla2[[Cod]:[Nombre ]],4,0)</f>
        <v>TIS-1268</v>
      </c>
      <c r="E358" s="5" t="str">
        <f>VLOOKUP(Tabla4[[#This Row],[Codigo]],Tabla2[[Cod]:[Nombre ]],8,0)</f>
        <v>INVERSIONES FRANQUIHER S A S</v>
      </c>
      <c r="F358" s="5" t="str">
        <f>VLOOKUP(Tabla4[[#This Row],[Codigo]],Tabla2[[Cod]:[Nombre ]],6,0)</f>
        <v>OK</v>
      </c>
      <c r="G358" s="7" t="s">
        <v>420</v>
      </c>
      <c r="H358" s="21" t="s">
        <v>551</v>
      </c>
      <c r="I358" s="21"/>
      <c r="J358" s="163">
        <v>1</v>
      </c>
      <c r="K358" s="294">
        <v>450000</v>
      </c>
      <c r="L358" s="298"/>
      <c r="M358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358" s="292">
        <f>IFERROR(Tabla4[[#This Row],[Sub Total]]*VLOOKUP(Tabla4[[#This Row],[No]],Parametros!A:C,3,0),0)</f>
        <v>85500</v>
      </c>
      <c r="O358" s="292">
        <f>+Tabla4[[#This Row],[IVA]]+Tabla4[[#This Row],[Sub Total]]</f>
        <v>535500</v>
      </c>
    </row>
    <row r="359" spans="1:15" ht="24" x14ac:dyDescent="0.2">
      <c r="A359" s="6">
        <v>300</v>
      </c>
      <c r="B359" s="6" t="str">
        <f>VLOOKUP(Tabla4[[#This Row],[Codigo]],Tabla2[[Cod]:[Nombre ]],2,0)</f>
        <v>P-1288</v>
      </c>
      <c r="C359" s="53">
        <f>VLOOKUP(Tabla4[[#This Row],[Codigo]],Tabla2[[Cod]:[Nombre ]],3,0)</f>
        <v>45140</v>
      </c>
      <c r="D359" s="6" t="str">
        <f>VLOOKUP(Tabla4[[#This Row],[Codigo]],Tabla2[[Cod]:[Nombre ]],4,0)</f>
        <v>TIS-1269</v>
      </c>
      <c r="E359" s="5" t="str">
        <f>VLOOKUP(Tabla4[[#This Row],[Codigo]],Tabla2[[Cod]:[Nombre ]],8,0)</f>
        <v>H &amp; S FRANQUICIAS SAS</v>
      </c>
      <c r="F359" s="5" t="str">
        <f>VLOOKUP(Tabla4[[#This Row],[Codigo]],Tabla2[[Cod]:[Nombre ]],6,0)</f>
        <v>OK</v>
      </c>
      <c r="G359" s="7" t="s">
        <v>420</v>
      </c>
      <c r="H359" s="21" t="s">
        <v>551</v>
      </c>
      <c r="I359" s="21"/>
      <c r="J359" s="163">
        <v>1</v>
      </c>
      <c r="K359" s="294">
        <v>450000</v>
      </c>
      <c r="L359" s="298"/>
      <c r="M359" s="292">
        <f>IF(LEFT(Tabla4[[#This Row],[Electronica]],2)="NC",-Tabla4[[#This Row],[Cantidad]]*Tabla4[[#This Row],[Precio]]+Tabla4[[#This Row],[Dto]],Tabla4[[#This Row],[Cantidad]]*Tabla4[[#This Row],[Precio]]-Tabla4[[#This Row],[Dto]])</f>
        <v>450000</v>
      </c>
      <c r="N359" s="292">
        <f>IFERROR(Tabla4[[#This Row],[Sub Total]]*VLOOKUP(Tabla4[[#This Row],[No]],Parametros!A:C,3,0),0)</f>
        <v>85500</v>
      </c>
      <c r="O359" s="292">
        <f>+Tabla4[[#This Row],[IVA]]+Tabla4[[#This Row],[Sub Total]]</f>
        <v>535500</v>
      </c>
    </row>
    <row r="360" spans="1:15" ht="24" x14ac:dyDescent="0.2">
      <c r="A360" s="6">
        <v>301</v>
      </c>
      <c r="B360" s="6" t="str">
        <f>VLOOKUP(Tabla4[[#This Row],[Codigo]],Tabla2[[Cod]:[Nombre ]],2,0)</f>
        <v>P-1289</v>
      </c>
      <c r="C360" s="53">
        <f>VLOOKUP(Tabla4[[#This Row],[Codigo]],Tabla2[[Cod]:[Nombre ]],3,0)</f>
        <v>45156</v>
      </c>
      <c r="D360" s="6" t="str">
        <f>VLOOKUP(Tabla4[[#This Row],[Codigo]],Tabla2[[Cod]:[Nombre ]],4,0)</f>
        <v>TIS-1330</v>
      </c>
      <c r="E360" s="5" t="str">
        <f>VLOOKUP(Tabla4[[#This Row],[Codigo]],Tabla2[[Cod]:[Nombre ]],8,0)</f>
        <v>INDU B SAS</v>
      </c>
      <c r="F360" s="5" t="str">
        <f>VLOOKUP(Tabla4[[#This Row],[Codigo]],Tabla2[[Cod]:[Nombre ]],6,0)</f>
        <v>anulado</v>
      </c>
      <c r="G360" s="7" t="s">
        <v>574</v>
      </c>
      <c r="H360" s="21" t="s">
        <v>16</v>
      </c>
      <c r="I360" s="21" t="s">
        <v>609</v>
      </c>
      <c r="J360" s="163">
        <v>147</v>
      </c>
      <c r="K360" s="294">
        <v>23000</v>
      </c>
      <c r="L360" s="298"/>
      <c r="M360" s="292">
        <f>IF(LEFT(Tabla4[[#This Row],[Electronica]],2)="NC",-Tabla4[[#This Row],[Cantidad]]*Tabla4[[#This Row],[Precio]]+Tabla4[[#This Row],[Dto]],Tabla4[[#This Row],[Cantidad]]*Tabla4[[#This Row],[Precio]]-Tabla4[[#This Row],[Dto]])</f>
        <v>3381000</v>
      </c>
      <c r="N360" s="292">
        <f>IFERROR(Tabla4[[#This Row],[Sub Total]]*VLOOKUP(Tabla4[[#This Row],[No]],Parametros!A:C,3,0),0)</f>
        <v>0</v>
      </c>
      <c r="O360" s="292">
        <f>+Tabla4[[#This Row],[IVA]]+Tabla4[[#This Row],[Sub Total]]</f>
        <v>3381000</v>
      </c>
    </row>
    <row r="361" spans="1:15" ht="36" x14ac:dyDescent="0.2">
      <c r="A361" s="6">
        <v>302</v>
      </c>
      <c r="B361" s="6" t="str">
        <f>VLOOKUP(Tabla4[[#This Row],[Codigo]],Tabla2[[Cod]:[Nombre ]],2,0)</f>
        <v>P-1290</v>
      </c>
      <c r="C361" s="53">
        <f>VLOOKUP(Tabla4[[#This Row],[Codigo]],Tabla2[[Cod]:[Nombre ]],3,0)</f>
        <v>45160</v>
      </c>
      <c r="D361" s="6" t="str">
        <f>VLOOKUP(Tabla4[[#This Row],[Codigo]],Tabla2[[Cod]:[Nombre ]],4,0)</f>
        <v>TIS-1270</v>
      </c>
      <c r="E361" s="5" t="str">
        <f>VLOOKUP(Tabla4[[#This Row],[Codigo]],Tabla2[[Cod]:[Nombre ]],8,0)</f>
        <v>Comercializadora ERZ SAS</v>
      </c>
      <c r="F361" s="5" t="str">
        <f>VLOOKUP(Tabla4[[#This Row],[Codigo]],Tabla2[[Cod]:[Nombre ]],6,0)</f>
        <v>OK</v>
      </c>
      <c r="G361" s="7" t="s">
        <v>416</v>
      </c>
      <c r="H361" s="21" t="s">
        <v>519</v>
      </c>
      <c r="I361" s="21"/>
      <c r="J361" s="163">
        <v>1</v>
      </c>
      <c r="K361" s="294">
        <v>260000</v>
      </c>
      <c r="L361" s="298"/>
      <c r="M361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361" s="292">
        <f>IFERROR(Tabla4[[#This Row],[Sub Total]]*VLOOKUP(Tabla4[[#This Row],[No]],Parametros!A:C,3,0),0)</f>
        <v>49400</v>
      </c>
      <c r="O361" s="292">
        <f>+Tabla4[[#This Row],[IVA]]+Tabla4[[#This Row],[Sub Total]]</f>
        <v>309400</v>
      </c>
    </row>
    <row r="362" spans="1:15" ht="36" x14ac:dyDescent="0.2">
      <c r="A362" s="6">
        <v>303</v>
      </c>
      <c r="B362" s="6" t="str">
        <f>VLOOKUP(Tabla4[[#This Row],[Codigo]],Tabla2[[Cod]:[Nombre ]],2,0)</f>
        <v>P-1291</v>
      </c>
      <c r="C362" s="53">
        <f>VLOOKUP(Tabla4[[#This Row],[Codigo]],Tabla2[[Cod]:[Nombre ]],3,0)</f>
        <v>45160</v>
      </c>
      <c r="D362" s="6" t="str">
        <f>VLOOKUP(Tabla4[[#This Row],[Codigo]],Tabla2[[Cod]:[Nombre ]],4,0)</f>
        <v>TIS-1271</v>
      </c>
      <c r="E362" s="5" t="str">
        <f>VLOOKUP(Tabla4[[#This Row],[Codigo]],Tabla2[[Cod]:[Nombre ]],8,0)</f>
        <v>ROYCO SOLUCIONES SAS</v>
      </c>
      <c r="F362" s="5" t="str">
        <f>VLOOKUP(Tabla4[[#This Row],[Codigo]],Tabla2[[Cod]:[Nombre ]],6,0)</f>
        <v>OK</v>
      </c>
      <c r="G362" s="7" t="s">
        <v>416</v>
      </c>
      <c r="H362" s="21" t="s">
        <v>519</v>
      </c>
      <c r="I362" s="21"/>
      <c r="J362" s="163">
        <v>1</v>
      </c>
      <c r="K362" s="294">
        <v>175000</v>
      </c>
      <c r="L362" s="298"/>
      <c r="M362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362" s="292">
        <f>IFERROR(Tabla4[[#This Row],[Sub Total]]*VLOOKUP(Tabla4[[#This Row],[No]],Parametros!A:C,3,0),0)</f>
        <v>33250</v>
      </c>
      <c r="O362" s="292">
        <f>+Tabla4[[#This Row],[IVA]]+Tabla4[[#This Row],[Sub Total]]</f>
        <v>208250</v>
      </c>
    </row>
    <row r="363" spans="1:15" ht="45" x14ac:dyDescent="0.2">
      <c r="A363" s="6">
        <v>304</v>
      </c>
      <c r="B363" s="6" t="str">
        <f>VLOOKUP(Tabla4[[#This Row],[Codigo]],Tabla2[[Cod]:[Nombre ]],2,0)</f>
        <v>P-1292</v>
      </c>
      <c r="C363" s="53">
        <f>VLOOKUP(Tabla4[[#This Row],[Codigo]],Tabla2[[Cod]:[Nombre ]],3,0)</f>
        <v>45160</v>
      </c>
      <c r="D363" s="6" t="str">
        <f>VLOOKUP(Tabla4[[#This Row],[Codigo]],Tabla2[[Cod]:[Nombre ]],4,0)</f>
        <v>TIS-1272</v>
      </c>
      <c r="E363" s="5" t="str">
        <f>VLOOKUP(Tabla4[[#This Row],[Codigo]],Tabla2[[Cod]:[Nombre ]],8,0)</f>
        <v>DIGITAL MEDIA TECHNOLOGIES COLOMBIA SAS</v>
      </c>
      <c r="F363" s="5" t="str">
        <f>VLOOKUP(Tabla4[[#This Row],[Codigo]],Tabla2[[Cod]:[Nombre ]],6,0)</f>
        <v>OK</v>
      </c>
      <c r="G363" s="7" t="s">
        <v>416</v>
      </c>
      <c r="H363" s="21" t="s">
        <v>519</v>
      </c>
      <c r="I363" s="21"/>
      <c r="J363" s="163">
        <v>1</v>
      </c>
      <c r="K363" s="294">
        <v>250000</v>
      </c>
      <c r="L363" s="298"/>
      <c r="M363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363" s="292">
        <f>IFERROR(Tabla4[[#This Row],[Sub Total]]*VLOOKUP(Tabla4[[#This Row],[No]],Parametros!A:C,3,0),0)</f>
        <v>47500</v>
      </c>
      <c r="O363" s="292">
        <f>+Tabla4[[#This Row],[IVA]]+Tabla4[[#This Row],[Sub Total]]</f>
        <v>297500</v>
      </c>
    </row>
    <row r="364" spans="1:15" ht="36" x14ac:dyDescent="0.2">
      <c r="A364" s="6">
        <v>305</v>
      </c>
      <c r="B364" s="6" t="str">
        <f>VLOOKUP(Tabla4[[#This Row],[Codigo]],Tabla2[[Cod]:[Nombre ]],2,0)</f>
        <v>P-1293</v>
      </c>
      <c r="C364" s="53">
        <f>VLOOKUP(Tabla4[[#This Row],[Codigo]],Tabla2[[Cod]:[Nombre ]],3,0)</f>
        <v>45160</v>
      </c>
      <c r="D364" s="6" t="str">
        <f>VLOOKUP(Tabla4[[#This Row],[Codigo]],Tabla2[[Cod]:[Nombre ]],4,0)</f>
        <v>TIS-1273</v>
      </c>
      <c r="E364" s="5" t="str">
        <f>VLOOKUP(Tabla4[[#This Row],[Codigo]],Tabla2[[Cod]:[Nombre ]],8,0)</f>
        <v>Inversiones Sajamib SAS</v>
      </c>
      <c r="F364" s="5" t="str">
        <f>VLOOKUP(Tabla4[[#This Row],[Codigo]],Tabla2[[Cod]:[Nombre ]],6,0)</f>
        <v>OK</v>
      </c>
      <c r="G364" s="7" t="s">
        <v>417</v>
      </c>
      <c r="H364" s="21" t="s">
        <v>525</v>
      </c>
      <c r="I364" s="21"/>
      <c r="J364" s="163">
        <v>1</v>
      </c>
      <c r="K364" s="294">
        <v>400000</v>
      </c>
      <c r="L364" s="298"/>
      <c r="M364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364" s="292">
        <f>IFERROR(Tabla4[[#This Row],[Sub Total]]*VLOOKUP(Tabla4[[#This Row],[No]],Parametros!A:C,3,0),0)</f>
        <v>0</v>
      </c>
      <c r="O364" s="292">
        <f>+Tabla4[[#This Row],[IVA]]+Tabla4[[#This Row],[Sub Total]]</f>
        <v>400000</v>
      </c>
    </row>
    <row r="365" spans="1:15" ht="36" x14ac:dyDescent="0.2">
      <c r="A365" s="6">
        <v>306</v>
      </c>
      <c r="B365" s="6" t="str">
        <f>VLOOKUP(Tabla4[[#This Row],[Codigo]],Tabla2[[Cod]:[Nombre ]],2,0)</f>
        <v>P-1294</v>
      </c>
      <c r="C365" s="53">
        <f>VLOOKUP(Tabla4[[#This Row],[Codigo]],Tabla2[[Cod]:[Nombre ]],3,0)</f>
        <v>45160</v>
      </c>
      <c r="D365" s="6" t="str">
        <f>VLOOKUP(Tabla4[[#This Row],[Codigo]],Tabla2[[Cod]:[Nombre ]],4,0)</f>
        <v>TIS-1274</v>
      </c>
      <c r="E365" s="5" t="str">
        <f>VLOOKUP(Tabla4[[#This Row],[Codigo]],Tabla2[[Cod]:[Nombre ]],8,0)</f>
        <v>Maria del Pilar Alvarado Joya</v>
      </c>
      <c r="F365" s="5" t="str">
        <f>VLOOKUP(Tabla4[[#This Row],[Codigo]],Tabla2[[Cod]:[Nombre ]],6,0)</f>
        <v>OK</v>
      </c>
      <c r="G365" s="7" t="s">
        <v>417</v>
      </c>
      <c r="H365" s="21" t="s">
        <v>525</v>
      </c>
      <c r="I365" s="21"/>
      <c r="J365" s="163">
        <v>1</v>
      </c>
      <c r="K365" s="294">
        <v>300000</v>
      </c>
      <c r="L365" s="298"/>
      <c r="M365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65" s="292">
        <f>IFERROR(Tabla4[[#This Row],[Sub Total]]*VLOOKUP(Tabla4[[#This Row],[No]],Parametros!A:C,3,0),0)</f>
        <v>0</v>
      </c>
      <c r="O365" s="292">
        <f>+Tabla4[[#This Row],[IVA]]+Tabla4[[#This Row],[Sub Total]]</f>
        <v>300000</v>
      </c>
    </row>
    <row r="366" spans="1:15" ht="45" x14ac:dyDescent="0.2">
      <c r="A366" s="6">
        <v>307</v>
      </c>
      <c r="B366" s="6" t="str">
        <f>VLOOKUP(Tabla4[[#This Row],[Codigo]],Tabla2[[Cod]:[Nombre ]],2,0)</f>
        <v>P-1295</v>
      </c>
      <c r="C366" s="53">
        <f>VLOOKUP(Tabla4[[#This Row],[Codigo]],Tabla2[[Cod]:[Nombre ]],3,0)</f>
        <v>45160</v>
      </c>
      <c r="D366" s="6" t="str">
        <f>VLOOKUP(Tabla4[[#This Row],[Codigo]],Tabla2[[Cod]:[Nombre ]],4,0)</f>
        <v>TIS-1275</v>
      </c>
      <c r="E366" s="5" t="str">
        <f>VLOOKUP(Tabla4[[#This Row],[Codigo]],Tabla2[[Cod]:[Nombre ]],8,0)</f>
        <v>PRODUCTORA INTERAMERICANA DE PLASTICOS S.A.S.</v>
      </c>
      <c r="F366" s="5" t="str">
        <f>VLOOKUP(Tabla4[[#This Row],[Codigo]],Tabla2[[Cod]:[Nombre ]],6,0)</f>
        <v>OK</v>
      </c>
      <c r="G366" s="7" t="s">
        <v>416</v>
      </c>
      <c r="H366" s="21" t="s">
        <v>519</v>
      </c>
      <c r="I366" s="21"/>
      <c r="J366" s="163">
        <v>1</v>
      </c>
      <c r="K366" s="294">
        <v>300000</v>
      </c>
      <c r="L366" s="298"/>
      <c r="M36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66" s="292">
        <f>IFERROR(Tabla4[[#This Row],[Sub Total]]*VLOOKUP(Tabla4[[#This Row],[No]],Parametros!A:C,3,0),0)</f>
        <v>57000</v>
      </c>
      <c r="O366" s="292">
        <f>+Tabla4[[#This Row],[IVA]]+Tabla4[[#This Row],[Sub Total]]</f>
        <v>357000</v>
      </c>
    </row>
    <row r="367" spans="1:15" ht="45" x14ac:dyDescent="0.2">
      <c r="A367" s="6">
        <v>308</v>
      </c>
      <c r="B367" s="6" t="str">
        <f>VLOOKUP(Tabla4[[#This Row],[Codigo]],Tabla2[[Cod]:[Nombre ]],2,0)</f>
        <v>P-1296</v>
      </c>
      <c r="C367" s="53">
        <f>VLOOKUP(Tabla4[[#This Row],[Codigo]],Tabla2[[Cod]:[Nombre ]],3,0)</f>
        <v>45160</v>
      </c>
      <c r="D367" s="6" t="str">
        <f>VLOOKUP(Tabla4[[#This Row],[Codigo]],Tabla2[[Cod]:[Nombre ]],4,0)</f>
        <v>TIS-1276</v>
      </c>
      <c r="E367" s="5" t="str">
        <f>VLOOKUP(Tabla4[[#This Row],[Codigo]],Tabla2[[Cod]:[Nombre ]],8,0)</f>
        <v>PRODUCTORA INTERAMERICANA DE PLASTICOS S.A.S.</v>
      </c>
      <c r="F367" s="5" t="str">
        <f>VLOOKUP(Tabla4[[#This Row],[Codigo]],Tabla2[[Cod]:[Nombre ]],6,0)</f>
        <v>OK</v>
      </c>
      <c r="G367" s="7" t="s">
        <v>282</v>
      </c>
      <c r="H367" s="21" t="s">
        <v>16</v>
      </c>
      <c r="I367" s="21"/>
      <c r="J367" s="163">
        <v>62</v>
      </c>
      <c r="K367" s="294">
        <v>28000</v>
      </c>
      <c r="L367" s="298"/>
      <c r="M367" s="292">
        <f>IF(LEFT(Tabla4[[#This Row],[Electronica]],2)="NC",-Tabla4[[#This Row],[Cantidad]]*Tabla4[[#This Row],[Precio]]+Tabla4[[#This Row],[Dto]],Tabla4[[#This Row],[Cantidad]]*Tabla4[[#This Row],[Precio]]-Tabla4[[#This Row],[Dto]])</f>
        <v>1736000</v>
      </c>
      <c r="N367" s="292">
        <f>IFERROR(Tabla4[[#This Row],[Sub Total]]*VLOOKUP(Tabla4[[#This Row],[No]],Parametros!A:C,3,0),0)</f>
        <v>329840</v>
      </c>
      <c r="O367" s="292">
        <f>+Tabla4[[#This Row],[IVA]]+Tabla4[[#This Row],[Sub Total]]</f>
        <v>2065840</v>
      </c>
    </row>
    <row r="368" spans="1:15" ht="24" x14ac:dyDescent="0.2">
      <c r="A368" s="6">
        <v>309</v>
      </c>
      <c r="B368" s="6" t="str">
        <f>VLOOKUP(Tabla4[[#This Row],[Codigo]],Tabla2[[Cod]:[Nombre ]],2,0)</f>
        <v>P-1297</v>
      </c>
      <c r="C368" s="53">
        <f>VLOOKUP(Tabla4[[#This Row],[Codigo]],Tabla2[[Cod]:[Nombre ]],3,0)</f>
        <v>45167</v>
      </c>
      <c r="D368" s="6" t="str">
        <f>VLOOKUP(Tabla4[[#This Row],[Codigo]],Tabla2[[Cod]:[Nombre ]],4,0)</f>
        <v>TIS-1278</v>
      </c>
      <c r="E368" s="5" t="str">
        <f>VLOOKUP(Tabla4[[#This Row],[Codigo]],Tabla2[[Cod]:[Nombre ]],8,0)</f>
        <v>SUPPLYTEC SAS</v>
      </c>
      <c r="F368" s="5" t="str">
        <f>VLOOKUP(Tabla4[[#This Row],[Codigo]],Tabla2[[Cod]:[Nombre ]],6,0)</f>
        <v>OK</v>
      </c>
      <c r="G368" s="7" t="s">
        <v>415</v>
      </c>
      <c r="H368" s="21" t="s">
        <v>605</v>
      </c>
      <c r="I368" s="21"/>
      <c r="J368" s="163">
        <v>1</v>
      </c>
      <c r="K368" s="294">
        <v>3168000</v>
      </c>
      <c r="L368" s="298"/>
      <c r="M368" s="292">
        <f>IF(LEFT(Tabla4[[#This Row],[Electronica]],2)="NC",-Tabla4[[#This Row],[Cantidad]]*Tabla4[[#This Row],[Precio]]+Tabla4[[#This Row],[Dto]],Tabla4[[#This Row],[Cantidad]]*Tabla4[[#This Row],[Precio]]-Tabla4[[#This Row],[Dto]])</f>
        <v>3168000</v>
      </c>
      <c r="N368" s="292">
        <f>IFERROR(Tabla4[[#This Row],[Sub Total]]*VLOOKUP(Tabla4[[#This Row],[No]],Parametros!A:C,3,0),0)</f>
        <v>601920</v>
      </c>
      <c r="O368" s="292">
        <f>+Tabla4[[#This Row],[IVA]]+Tabla4[[#This Row],[Sub Total]]</f>
        <v>3769920</v>
      </c>
    </row>
    <row r="369" spans="1:15" ht="30" x14ac:dyDescent="0.2">
      <c r="A369" s="6">
        <v>310</v>
      </c>
      <c r="B369" s="6" t="str">
        <f>VLOOKUP(Tabla4[[#This Row],[Codigo]],Tabla2[[Cod]:[Nombre ]],2,0)</f>
        <v>P-1298</v>
      </c>
      <c r="C369" s="53">
        <f>VLOOKUP(Tabla4[[#This Row],[Codigo]],Tabla2[[Cod]:[Nombre ]],3,0)</f>
        <v>45170</v>
      </c>
      <c r="D369" s="6" t="str">
        <f>VLOOKUP(Tabla4[[#This Row],[Codigo]],Tabla2[[Cod]:[Nombre ]],4,0)</f>
        <v>TIS-1279</v>
      </c>
      <c r="E369" s="5" t="str">
        <f>VLOOKUP(Tabla4[[#This Row],[Codigo]],Tabla2[[Cod]:[Nombre ]],8,0)</f>
        <v>EXPRESS CLEAN LAVANDERIA</v>
      </c>
      <c r="F369" s="5" t="str">
        <f>VLOOKUP(Tabla4[[#This Row],[Codigo]],Tabla2[[Cod]:[Nombre ]],6,0)</f>
        <v>OK</v>
      </c>
      <c r="G369" s="7" t="s">
        <v>420</v>
      </c>
      <c r="H369" s="21" t="s">
        <v>551</v>
      </c>
      <c r="I369" s="21"/>
      <c r="J369" s="163">
        <v>1</v>
      </c>
      <c r="K369" s="294">
        <v>950000</v>
      </c>
      <c r="L369" s="298"/>
      <c r="M369" s="292">
        <f>IF(LEFT(Tabla4[[#This Row],[Electronica]],2)="NC",-Tabla4[[#This Row],[Cantidad]]*Tabla4[[#This Row],[Precio]]+Tabla4[[#This Row],[Dto]],Tabla4[[#This Row],[Cantidad]]*Tabla4[[#This Row],[Precio]]-Tabla4[[#This Row],[Dto]])</f>
        <v>950000</v>
      </c>
      <c r="N369" s="292">
        <f>IFERROR(Tabla4[[#This Row],[Sub Total]]*VLOOKUP(Tabla4[[#This Row],[No]],Parametros!A:C,3,0),0)</f>
        <v>180500</v>
      </c>
      <c r="O369" s="292">
        <f>+Tabla4[[#This Row],[IVA]]+Tabla4[[#This Row],[Sub Total]]</f>
        <v>1130500</v>
      </c>
    </row>
    <row r="370" spans="1:15" ht="24" x14ac:dyDescent="0.2">
      <c r="A370" s="6">
        <v>311</v>
      </c>
      <c r="B370" s="6" t="str">
        <f>VLOOKUP(Tabla4[[#This Row],[Codigo]],Tabla2[[Cod]:[Nombre ]],2,0)</f>
        <v>P-1299</v>
      </c>
      <c r="C370" s="53">
        <f>VLOOKUP(Tabla4[[#This Row],[Codigo]],Tabla2[[Cod]:[Nombre ]],3,0)</f>
        <v>45175</v>
      </c>
      <c r="D370" s="6" t="str">
        <f>VLOOKUP(Tabla4[[#This Row],[Codigo]],Tabla2[[Cod]:[Nombre ]],4,0)</f>
        <v>TIS-1280</v>
      </c>
      <c r="E370" s="5" t="str">
        <f>VLOOKUP(Tabla4[[#This Row],[Codigo]],Tabla2[[Cod]:[Nombre ]],8,0)</f>
        <v>Walsom SAS</v>
      </c>
      <c r="F370" s="5" t="str">
        <f>VLOOKUP(Tabla4[[#This Row],[Codigo]],Tabla2[[Cod]:[Nombre ]],6,0)</f>
        <v>OK</v>
      </c>
      <c r="G370" s="7" t="s">
        <v>282</v>
      </c>
      <c r="H370" s="21" t="s">
        <v>16</v>
      </c>
      <c r="I370" s="21"/>
      <c r="J370" s="163">
        <v>20</v>
      </c>
      <c r="K370" s="294">
        <v>35000</v>
      </c>
      <c r="L370" s="298"/>
      <c r="M370" s="292">
        <f>IF(LEFT(Tabla4[[#This Row],[Electronica]],2)="NC",-Tabla4[[#This Row],[Cantidad]]*Tabla4[[#This Row],[Precio]]+Tabla4[[#This Row],[Dto]],Tabla4[[#This Row],[Cantidad]]*Tabla4[[#This Row],[Precio]]-Tabla4[[#This Row],[Dto]])</f>
        <v>700000</v>
      </c>
      <c r="N370" s="292">
        <f>IFERROR(Tabla4[[#This Row],[Sub Total]]*VLOOKUP(Tabla4[[#This Row],[No]],Parametros!A:C,3,0),0)</f>
        <v>133000</v>
      </c>
      <c r="O370" s="292">
        <f>+Tabla4[[#This Row],[IVA]]+Tabla4[[#This Row],[Sub Total]]</f>
        <v>833000</v>
      </c>
    </row>
    <row r="371" spans="1:15" ht="36" x14ac:dyDescent="0.2">
      <c r="A371" s="6">
        <v>312</v>
      </c>
      <c r="B371" s="6" t="str">
        <f>VLOOKUP(Tabla4[[#This Row],[Codigo]],Tabla2[[Cod]:[Nombre ]],2,0)</f>
        <v>P-1300</v>
      </c>
      <c r="C371" s="53">
        <f>VLOOKUP(Tabla4[[#This Row],[Codigo]],Tabla2[[Cod]:[Nombre ]],3,0)</f>
        <v>45177</v>
      </c>
      <c r="D371" s="6" t="str">
        <f>VLOOKUP(Tabla4[[#This Row],[Codigo]],Tabla2[[Cod]:[Nombre ]],4,0)</f>
        <v>TIS-1281</v>
      </c>
      <c r="E371" s="5" t="str">
        <f>VLOOKUP(Tabla4[[#This Row],[Codigo]],Tabla2[[Cod]:[Nombre ]],8,0)</f>
        <v>Comercializadora ERZ SAS</v>
      </c>
      <c r="F371" s="5" t="str">
        <f>VLOOKUP(Tabla4[[#This Row],[Codigo]],Tabla2[[Cod]:[Nombre ]],6,0)</f>
        <v>OK</v>
      </c>
      <c r="G371" s="7" t="s">
        <v>416</v>
      </c>
      <c r="H371" s="21" t="s">
        <v>519</v>
      </c>
      <c r="I371" s="21"/>
      <c r="J371" s="163">
        <v>1</v>
      </c>
      <c r="K371" s="294">
        <v>260000</v>
      </c>
      <c r="L371" s="298"/>
      <c r="M371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371" s="292">
        <f>IFERROR(Tabla4[[#This Row],[Sub Total]]*VLOOKUP(Tabla4[[#This Row],[No]],Parametros!A:C,3,0),0)</f>
        <v>49400</v>
      </c>
      <c r="O371" s="292">
        <f>+Tabla4[[#This Row],[IVA]]+Tabla4[[#This Row],[Sub Total]]</f>
        <v>309400</v>
      </c>
    </row>
    <row r="372" spans="1:15" ht="45" x14ac:dyDescent="0.2">
      <c r="A372" s="6">
        <v>313</v>
      </c>
      <c r="B372" s="6" t="str">
        <f>VLOOKUP(Tabla4[[#This Row],[Codigo]],Tabla2[[Cod]:[Nombre ]],2,0)</f>
        <v>P-1301</v>
      </c>
      <c r="C372" s="53">
        <f>VLOOKUP(Tabla4[[#This Row],[Codigo]],Tabla2[[Cod]:[Nombre ]],3,0)</f>
        <v>45177</v>
      </c>
      <c r="D372" s="6" t="str">
        <f>VLOOKUP(Tabla4[[#This Row],[Codigo]],Tabla2[[Cod]:[Nombre ]],4,0)</f>
        <v>TIS-1282</v>
      </c>
      <c r="E372" s="5" t="str">
        <f>VLOOKUP(Tabla4[[#This Row],[Codigo]],Tabla2[[Cod]:[Nombre ]],8,0)</f>
        <v>PRODUCTORA INTERAMERICANA DE PLASTICOS S.A.S.</v>
      </c>
      <c r="F372" s="5" t="str">
        <f>VLOOKUP(Tabla4[[#This Row],[Codigo]],Tabla2[[Cod]:[Nombre ]],6,0)</f>
        <v>OK</v>
      </c>
      <c r="G372" s="7" t="s">
        <v>416</v>
      </c>
      <c r="H372" s="21" t="s">
        <v>519</v>
      </c>
      <c r="I372" s="21"/>
      <c r="J372" s="163">
        <v>1</v>
      </c>
      <c r="K372" s="294">
        <v>300000</v>
      </c>
      <c r="L372" s="298"/>
      <c r="M372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72" s="292">
        <f>IFERROR(Tabla4[[#This Row],[Sub Total]]*VLOOKUP(Tabla4[[#This Row],[No]],Parametros!A:C,3,0),0)</f>
        <v>57000</v>
      </c>
      <c r="O372" s="292">
        <f>+Tabla4[[#This Row],[IVA]]+Tabla4[[#This Row],[Sub Total]]</f>
        <v>357000</v>
      </c>
    </row>
    <row r="373" spans="1:15" ht="36" x14ac:dyDescent="0.2">
      <c r="A373" s="6">
        <v>314</v>
      </c>
      <c r="B373" s="6" t="str">
        <f>VLOOKUP(Tabla4[[#This Row],[Codigo]],Tabla2[[Cod]:[Nombre ]],2,0)</f>
        <v>P-1302</v>
      </c>
      <c r="C373" s="53">
        <f>VLOOKUP(Tabla4[[#This Row],[Codigo]],Tabla2[[Cod]:[Nombre ]],3,0)</f>
        <v>45177</v>
      </c>
      <c r="D373" s="6" t="str">
        <f>VLOOKUP(Tabla4[[#This Row],[Codigo]],Tabla2[[Cod]:[Nombre ]],4,0)</f>
        <v>TIS-1283</v>
      </c>
      <c r="E373" s="5" t="str">
        <f>VLOOKUP(Tabla4[[#This Row],[Codigo]],Tabla2[[Cod]:[Nombre ]],8,0)</f>
        <v>ROYCO SOLUCIONES SAS</v>
      </c>
      <c r="F373" s="5" t="str">
        <f>VLOOKUP(Tabla4[[#This Row],[Codigo]],Tabla2[[Cod]:[Nombre ]],6,0)</f>
        <v>OK</v>
      </c>
      <c r="G373" s="7" t="s">
        <v>416</v>
      </c>
      <c r="H373" s="21" t="s">
        <v>519</v>
      </c>
      <c r="I373" s="21"/>
      <c r="J373" s="163">
        <v>1</v>
      </c>
      <c r="K373" s="294">
        <v>175000</v>
      </c>
      <c r="L373" s="298"/>
      <c r="M373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373" s="292">
        <f>IFERROR(Tabla4[[#This Row],[Sub Total]]*VLOOKUP(Tabla4[[#This Row],[No]],Parametros!A:C,3,0),0)</f>
        <v>33250</v>
      </c>
      <c r="O373" s="292">
        <f>+Tabla4[[#This Row],[IVA]]+Tabla4[[#This Row],[Sub Total]]</f>
        <v>208250</v>
      </c>
    </row>
    <row r="374" spans="1:15" ht="45" x14ac:dyDescent="0.2">
      <c r="A374" s="6">
        <v>315</v>
      </c>
      <c r="B374" s="6" t="str">
        <f>VLOOKUP(Tabla4[[#This Row],[Codigo]],Tabla2[[Cod]:[Nombre ]],2,0)</f>
        <v>P-1303</v>
      </c>
      <c r="C374" s="53">
        <f>VLOOKUP(Tabla4[[#This Row],[Codigo]],Tabla2[[Cod]:[Nombre ]],3,0)</f>
        <v>45177</v>
      </c>
      <c r="D374" s="6" t="str">
        <f>VLOOKUP(Tabla4[[#This Row],[Codigo]],Tabla2[[Cod]:[Nombre ]],4,0)</f>
        <v>TIS-1284</v>
      </c>
      <c r="E374" s="5" t="str">
        <f>VLOOKUP(Tabla4[[#This Row],[Codigo]],Tabla2[[Cod]:[Nombre ]],8,0)</f>
        <v>DIGITAL MEDIA TECHNOLOGIES COLOMBIA SAS</v>
      </c>
      <c r="F374" s="5" t="str">
        <f>VLOOKUP(Tabla4[[#This Row],[Codigo]],Tabla2[[Cod]:[Nombre ]],6,0)</f>
        <v>OK</v>
      </c>
      <c r="G374" s="7" t="s">
        <v>416</v>
      </c>
      <c r="H374" s="21" t="s">
        <v>519</v>
      </c>
      <c r="I374" s="21"/>
      <c r="J374" s="163">
        <v>1</v>
      </c>
      <c r="K374" s="294">
        <v>250000</v>
      </c>
      <c r="L374" s="298"/>
      <c r="M374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374" s="292">
        <f>IFERROR(Tabla4[[#This Row],[Sub Total]]*VLOOKUP(Tabla4[[#This Row],[No]],Parametros!A:C,3,0),0)</f>
        <v>47500</v>
      </c>
      <c r="O374" s="292">
        <f>+Tabla4[[#This Row],[IVA]]+Tabla4[[#This Row],[Sub Total]]</f>
        <v>297500</v>
      </c>
    </row>
    <row r="375" spans="1:15" ht="36" x14ac:dyDescent="0.2">
      <c r="A375" s="6">
        <v>316</v>
      </c>
      <c r="B375" s="6" t="str">
        <f>VLOOKUP(Tabla4[[#This Row],[Codigo]],Tabla2[[Cod]:[Nombre ]],2,0)</f>
        <v>P-1304</v>
      </c>
      <c r="C375" s="53">
        <f>VLOOKUP(Tabla4[[#This Row],[Codigo]],Tabla2[[Cod]:[Nombre ]],3,0)</f>
        <v>45177</v>
      </c>
      <c r="D375" s="6" t="str">
        <f>VLOOKUP(Tabla4[[#This Row],[Codigo]],Tabla2[[Cod]:[Nombre ]],4,0)</f>
        <v>TIS-1285</v>
      </c>
      <c r="E375" s="5" t="str">
        <f>VLOOKUP(Tabla4[[#This Row],[Codigo]],Tabla2[[Cod]:[Nombre ]],8,0)</f>
        <v>Inversiones Sajamib SAS</v>
      </c>
      <c r="F375" s="5" t="str">
        <f>VLOOKUP(Tabla4[[#This Row],[Codigo]],Tabla2[[Cod]:[Nombre ]],6,0)</f>
        <v>OK</v>
      </c>
      <c r="G375" s="7" t="s">
        <v>417</v>
      </c>
      <c r="H375" s="21" t="s">
        <v>525</v>
      </c>
      <c r="I375" s="21"/>
      <c r="J375" s="163">
        <v>1</v>
      </c>
      <c r="K375" s="294">
        <v>400000</v>
      </c>
      <c r="L375" s="298"/>
      <c r="M375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375" s="292">
        <f>IFERROR(Tabla4[[#This Row],[Sub Total]]*VLOOKUP(Tabla4[[#This Row],[No]],Parametros!A:C,3,0),0)</f>
        <v>0</v>
      </c>
      <c r="O375" s="292">
        <f>+Tabla4[[#This Row],[IVA]]+Tabla4[[#This Row],[Sub Total]]</f>
        <v>400000</v>
      </c>
    </row>
    <row r="376" spans="1:15" ht="36" x14ac:dyDescent="0.2">
      <c r="A376" s="6">
        <v>317</v>
      </c>
      <c r="B376" s="6" t="str">
        <f>VLOOKUP(Tabla4[[#This Row],[Codigo]],Tabla2[[Cod]:[Nombre ]],2,0)</f>
        <v>P-1305</v>
      </c>
      <c r="C376" s="53">
        <f>VLOOKUP(Tabla4[[#This Row],[Codigo]],Tabla2[[Cod]:[Nombre ]],3,0)</f>
        <v>45177</v>
      </c>
      <c r="D376" s="6" t="str">
        <f>VLOOKUP(Tabla4[[#This Row],[Codigo]],Tabla2[[Cod]:[Nombre ]],4,0)</f>
        <v>TIS-1286</v>
      </c>
      <c r="E376" s="5" t="str">
        <f>VLOOKUP(Tabla4[[#This Row],[Codigo]],Tabla2[[Cod]:[Nombre ]],8,0)</f>
        <v>Maria del Pilar Alvarado Joya</v>
      </c>
      <c r="F376" s="5" t="str">
        <f>VLOOKUP(Tabla4[[#This Row],[Codigo]],Tabla2[[Cod]:[Nombre ]],6,0)</f>
        <v>OK</v>
      </c>
      <c r="G376" s="7" t="s">
        <v>417</v>
      </c>
      <c r="H376" s="21" t="s">
        <v>525</v>
      </c>
      <c r="I376" s="21"/>
      <c r="J376" s="163">
        <v>1</v>
      </c>
      <c r="K376" s="294">
        <v>300000</v>
      </c>
      <c r="L376" s="298"/>
      <c r="M37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76" s="292">
        <f>IFERROR(Tabla4[[#This Row],[Sub Total]]*VLOOKUP(Tabla4[[#This Row],[No]],Parametros!A:C,3,0),0)</f>
        <v>0</v>
      </c>
      <c r="O376" s="292">
        <f>+Tabla4[[#This Row],[IVA]]+Tabla4[[#This Row],[Sub Total]]</f>
        <v>300000</v>
      </c>
    </row>
    <row r="377" spans="1:15" ht="30" x14ac:dyDescent="0.2">
      <c r="A377" s="6">
        <v>318</v>
      </c>
      <c r="B377" s="6" t="str">
        <f>VLOOKUP(Tabla4[[#This Row],[Codigo]],Tabla2[[Cod]:[Nombre ]],2,0)</f>
        <v>P-1306</v>
      </c>
      <c r="C377" s="53">
        <f>VLOOKUP(Tabla4[[#This Row],[Codigo]],Tabla2[[Cod]:[Nombre ]],3,0)</f>
        <v>45191</v>
      </c>
      <c r="D377" s="6" t="str">
        <f>VLOOKUP(Tabla4[[#This Row],[Codigo]],Tabla2[[Cod]:[Nombre ]],4,0)</f>
        <v>TIS-1287</v>
      </c>
      <c r="E377" s="5" t="str">
        <f>VLOOKUP(Tabla4[[#This Row],[Codigo]],Tabla2[[Cod]:[Nombre ]],8,0)</f>
        <v>TRANSPORTES ESPECIALES ALIADOS S.A.S</v>
      </c>
      <c r="F377" s="5" t="str">
        <f>VLOOKUP(Tabla4[[#This Row],[Codigo]],Tabla2[[Cod]:[Nombre ]],6,0)</f>
        <v>OK</v>
      </c>
      <c r="G377" s="7" t="s">
        <v>415</v>
      </c>
      <c r="H377" s="21" t="s">
        <v>605</v>
      </c>
      <c r="I377" s="21"/>
      <c r="J377" s="163">
        <v>8</v>
      </c>
      <c r="K377" s="294">
        <v>198000</v>
      </c>
      <c r="L377" s="298"/>
      <c r="M377" s="292">
        <f>IF(LEFT(Tabla4[[#This Row],[Electronica]],2)="NC",-Tabla4[[#This Row],[Cantidad]]*Tabla4[[#This Row],[Precio]]+Tabla4[[#This Row],[Dto]],Tabla4[[#This Row],[Cantidad]]*Tabla4[[#This Row],[Precio]]-Tabla4[[#This Row],[Dto]])</f>
        <v>1584000</v>
      </c>
      <c r="N377" s="292">
        <f>IFERROR(Tabla4[[#This Row],[Sub Total]]*VLOOKUP(Tabla4[[#This Row],[No]],Parametros!A:C,3,0),0)</f>
        <v>300960</v>
      </c>
      <c r="O377" s="292">
        <f>+Tabla4[[#This Row],[IVA]]+Tabla4[[#This Row],[Sub Total]]</f>
        <v>1884960</v>
      </c>
    </row>
    <row r="378" spans="1:15" ht="45" x14ac:dyDescent="0.2">
      <c r="A378" s="6">
        <v>319</v>
      </c>
      <c r="B378" s="6" t="str">
        <f>VLOOKUP(Tabla4[[#This Row],[Codigo]],Tabla2[[Cod]:[Nombre ]],2,0)</f>
        <v>P-1307</v>
      </c>
      <c r="C378" s="53">
        <f>VLOOKUP(Tabla4[[#This Row],[Codigo]],Tabla2[[Cod]:[Nombre ]],3,0)</f>
        <v>45191</v>
      </c>
      <c r="D378" s="6" t="str">
        <f>VLOOKUP(Tabla4[[#This Row],[Codigo]],Tabla2[[Cod]:[Nombre ]],4,0)</f>
        <v>TIS-1288</v>
      </c>
      <c r="E378" s="5" t="str">
        <f>VLOOKUP(Tabla4[[#This Row],[Codigo]],Tabla2[[Cod]:[Nombre ]],8,0)</f>
        <v>PRODUCTORA INTERAMERICANA DE PLASTICOS S.A.S.</v>
      </c>
      <c r="F378" s="5" t="str">
        <f>VLOOKUP(Tabla4[[#This Row],[Codigo]],Tabla2[[Cod]:[Nombre ]],6,0)</f>
        <v>OK</v>
      </c>
      <c r="G378" s="7">
        <v>15</v>
      </c>
      <c r="H378" s="21" t="s">
        <v>553</v>
      </c>
      <c r="I378" s="21"/>
      <c r="J378" s="163">
        <v>3</v>
      </c>
      <c r="K378" s="294">
        <v>100000</v>
      </c>
      <c r="L378" s="298"/>
      <c r="M378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78" s="292">
        <f>IFERROR(Tabla4[[#This Row],[Sub Total]]*VLOOKUP(Tabla4[[#This Row],[No]],Parametros!A:C,3,0),0)</f>
        <v>57000</v>
      </c>
      <c r="O378" s="292">
        <f>+Tabla4[[#This Row],[IVA]]+Tabla4[[#This Row],[Sub Total]]</f>
        <v>357000</v>
      </c>
    </row>
    <row r="379" spans="1:15" ht="36" x14ac:dyDescent="0.2">
      <c r="A379" s="6">
        <v>320</v>
      </c>
      <c r="B379" s="6" t="str">
        <f>VLOOKUP(Tabla4[[#This Row],[Codigo]],Tabla2[[Cod]:[Nombre ]],2,0)</f>
        <v>P-1308</v>
      </c>
      <c r="C379" s="53">
        <f>VLOOKUP(Tabla4[[#This Row],[Codigo]],Tabla2[[Cod]:[Nombre ]],3,0)</f>
        <v>45204</v>
      </c>
      <c r="D379" s="6" t="str">
        <f>VLOOKUP(Tabla4[[#This Row],[Codigo]],Tabla2[[Cod]:[Nombre ]],4,0)</f>
        <v>TIS-1289</v>
      </c>
      <c r="E379" s="5" t="str">
        <f>VLOOKUP(Tabla4[[#This Row],[Codigo]],Tabla2[[Cod]:[Nombre ]],8,0)</f>
        <v>Comercializadora ERZ SAS</v>
      </c>
      <c r="F379" s="5" t="str">
        <f>VLOOKUP(Tabla4[[#This Row],[Codigo]],Tabla2[[Cod]:[Nombre ]],6,0)</f>
        <v>OK</v>
      </c>
      <c r="G379" s="7" t="s">
        <v>416</v>
      </c>
      <c r="H379" s="21" t="s">
        <v>519</v>
      </c>
      <c r="I379" s="21"/>
      <c r="J379" s="163">
        <v>1</v>
      </c>
      <c r="K379" s="294">
        <v>260000</v>
      </c>
      <c r="L379" s="298"/>
      <c r="M379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379" s="292">
        <f>IFERROR(Tabla4[[#This Row],[Sub Total]]*VLOOKUP(Tabla4[[#This Row],[No]],Parametros!A:C,3,0),0)</f>
        <v>49400</v>
      </c>
      <c r="O379" s="292">
        <f>+Tabla4[[#This Row],[IVA]]+Tabla4[[#This Row],[Sub Total]]</f>
        <v>309400</v>
      </c>
    </row>
    <row r="380" spans="1:15" ht="45" x14ac:dyDescent="0.2">
      <c r="A380" s="6">
        <v>321</v>
      </c>
      <c r="B380" s="6" t="str">
        <f>VLOOKUP(Tabla4[[#This Row],[Codigo]],Tabla2[[Cod]:[Nombre ]],2,0)</f>
        <v>P-1309</v>
      </c>
      <c r="C380" s="53">
        <f>VLOOKUP(Tabla4[[#This Row],[Codigo]],Tabla2[[Cod]:[Nombre ]],3,0)</f>
        <v>45204</v>
      </c>
      <c r="D380" s="6" t="str">
        <f>VLOOKUP(Tabla4[[#This Row],[Codigo]],Tabla2[[Cod]:[Nombre ]],4,0)</f>
        <v>TIS-1290</v>
      </c>
      <c r="E380" s="5" t="str">
        <f>VLOOKUP(Tabla4[[#This Row],[Codigo]],Tabla2[[Cod]:[Nombre ]],8,0)</f>
        <v>PRODUCTORA INTERAMERICANA DE PLASTICOS S.A.S.</v>
      </c>
      <c r="F380" s="5" t="str">
        <f>VLOOKUP(Tabla4[[#This Row],[Codigo]],Tabla2[[Cod]:[Nombre ]],6,0)</f>
        <v>OK</v>
      </c>
      <c r="G380" s="7" t="s">
        <v>416</v>
      </c>
      <c r="H380" s="21" t="s">
        <v>519</v>
      </c>
      <c r="I380" s="21"/>
      <c r="J380" s="163">
        <v>1</v>
      </c>
      <c r="K380" s="294">
        <v>300000</v>
      </c>
      <c r="L380" s="298"/>
      <c r="M380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80" s="292">
        <f>IFERROR(Tabla4[[#This Row],[Sub Total]]*VLOOKUP(Tabla4[[#This Row],[No]],Parametros!A:C,3,0),0)</f>
        <v>57000</v>
      </c>
      <c r="O380" s="292">
        <f>+Tabla4[[#This Row],[IVA]]+Tabla4[[#This Row],[Sub Total]]</f>
        <v>357000</v>
      </c>
    </row>
    <row r="381" spans="1:15" ht="36" x14ac:dyDescent="0.2">
      <c r="A381" s="6">
        <v>322</v>
      </c>
      <c r="B381" s="6" t="str">
        <f>VLOOKUP(Tabla4[[#This Row],[Codigo]],Tabla2[[Cod]:[Nombre ]],2,0)</f>
        <v>P-1310</v>
      </c>
      <c r="C381" s="53">
        <f>VLOOKUP(Tabla4[[#This Row],[Codigo]],Tabla2[[Cod]:[Nombre ]],3,0)</f>
        <v>45204</v>
      </c>
      <c r="D381" s="6" t="str">
        <f>VLOOKUP(Tabla4[[#This Row],[Codigo]],Tabla2[[Cod]:[Nombre ]],4,0)</f>
        <v>TIS-1291</v>
      </c>
      <c r="E381" s="5" t="str">
        <f>VLOOKUP(Tabla4[[#This Row],[Codigo]],Tabla2[[Cod]:[Nombre ]],8,0)</f>
        <v>ROYCO SOLUCIONES SAS</v>
      </c>
      <c r="F381" s="5" t="str">
        <f>VLOOKUP(Tabla4[[#This Row],[Codigo]],Tabla2[[Cod]:[Nombre ]],6,0)</f>
        <v>OK</v>
      </c>
      <c r="G381" s="7" t="s">
        <v>416</v>
      </c>
      <c r="H381" s="21" t="s">
        <v>519</v>
      </c>
      <c r="I381" s="21"/>
      <c r="J381" s="163">
        <v>1</v>
      </c>
      <c r="K381" s="294">
        <v>175000</v>
      </c>
      <c r="L381" s="298"/>
      <c r="M381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381" s="292">
        <f>IFERROR(Tabla4[[#This Row],[Sub Total]]*VLOOKUP(Tabla4[[#This Row],[No]],Parametros!A:C,3,0),0)</f>
        <v>33250</v>
      </c>
      <c r="O381" s="292">
        <f>+Tabla4[[#This Row],[IVA]]+Tabla4[[#This Row],[Sub Total]]</f>
        <v>208250</v>
      </c>
    </row>
    <row r="382" spans="1:15" ht="45" x14ac:dyDescent="0.2">
      <c r="A382" s="6">
        <v>323</v>
      </c>
      <c r="B382" s="6" t="str">
        <f>VLOOKUP(Tabla4[[#This Row],[Codigo]],Tabla2[[Cod]:[Nombre ]],2,0)</f>
        <v>P-1311</v>
      </c>
      <c r="C382" s="53">
        <f>VLOOKUP(Tabla4[[#This Row],[Codigo]],Tabla2[[Cod]:[Nombre ]],3,0)</f>
        <v>45204</v>
      </c>
      <c r="D382" s="6" t="str">
        <f>VLOOKUP(Tabla4[[#This Row],[Codigo]],Tabla2[[Cod]:[Nombre ]],4,0)</f>
        <v>TIS-1292</v>
      </c>
      <c r="E382" s="5" t="str">
        <f>VLOOKUP(Tabla4[[#This Row],[Codigo]],Tabla2[[Cod]:[Nombre ]],8,0)</f>
        <v>DIGITAL MEDIA TECHNOLOGIES COLOMBIA SAS</v>
      </c>
      <c r="F382" s="5" t="str">
        <f>VLOOKUP(Tabla4[[#This Row],[Codigo]],Tabla2[[Cod]:[Nombre ]],6,0)</f>
        <v>OK</v>
      </c>
      <c r="G382" s="7" t="s">
        <v>416</v>
      </c>
      <c r="H382" s="21" t="s">
        <v>519</v>
      </c>
      <c r="I382" s="21"/>
      <c r="J382" s="163">
        <v>1</v>
      </c>
      <c r="K382" s="294">
        <v>250000</v>
      </c>
      <c r="L382" s="298"/>
      <c r="M382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382" s="292">
        <f>IFERROR(Tabla4[[#This Row],[Sub Total]]*VLOOKUP(Tabla4[[#This Row],[No]],Parametros!A:C,3,0),0)</f>
        <v>47500</v>
      </c>
      <c r="O382" s="292">
        <f>+Tabla4[[#This Row],[IVA]]+Tabla4[[#This Row],[Sub Total]]</f>
        <v>297500</v>
      </c>
    </row>
    <row r="383" spans="1:15" ht="36" x14ac:dyDescent="0.2">
      <c r="A383" s="6">
        <v>324</v>
      </c>
      <c r="B383" s="6" t="str">
        <f>VLOOKUP(Tabla4[[#This Row],[Codigo]],Tabla2[[Cod]:[Nombre ]],2,0)</f>
        <v>P-1312</v>
      </c>
      <c r="C383" s="53">
        <f>VLOOKUP(Tabla4[[#This Row],[Codigo]],Tabla2[[Cod]:[Nombre ]],3,0)</f>
        <v>45204</v>
      </c>
      <c r="D383" s="6" t="str">
        <f>VLOOKUP(Tabla4[[#This Row],[Codigo]],Tabla2[[Cod]:[Nombre ]],4,0)</f>
        <v>TIS-1293</v>
      </c>
      <c r="E383" s="5" t="str">
        <f>VLOOKUP(Tabla4[[#This Row],[Codigo]],Tabla2[[Cod]:[Nombre ]],8,0)</f>
        <v>Inversiones Sajamib SAS</v>
      </c>
      <c r="F383" s="5" t="str">
        <f>VLOOKUP(Tabla4[[#This Row],[Codigo]],Tabla2[[Cod]:[Nombre ]],6,0)</f>
        <v>OK</v>
      </c>
      <c r="G383" s="7" t="s">
        <v>417</v>
      </c>
      <c r="H383" s="21" t="s">
        <v>525</v>
      </c>
      <c r="I383" s="21"/>
      <c r="J383" s="163">
        <v>1</v>
      </c>
      <c r="K383" s="294">
        <v>400000</v>
      </c>
      <c r="L383" s="298"/>
      <c r="M383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383" s="292">
        <f>IFERROR(Tabla4[[#This Row],[Sub Total]]*VLOOKUP(Tabla4[[#This Row],[No]],Parametros!A:C,3,0),0)</f>
        <v>0</v>
      </c>
      <c r="O383" s="292">
        <f>+Tabla4[[#This Row],[IVA]]+Tabla4[[#This Row],[Sub Total]]</f>
        <v>400000</v>
      </c>
    </row>
    <row r="384" spans="1:15" ht="36" x14ac:dyDescent="0.2">
      <c r="A384" s="6">
        <v>325</v>
      </c>
      <c r="B384" s="6" t="str">
        <f>VLOOKUP(Tabla4[[#This Row],[Codigo]],Tabla2[[Cod]:[Nombre ]],2,0)</f>
        <v>P-1313</v>
      </c>
      <c r="C384" s="53">
        <f>VLOOKUP(Tabla4[[#This Row],[Codigo]],Tabla2[[Cod]:[Nombre ]],3,0)</f>
        <v>45204</v>
      </c>
      <c r="D384" s="6" t="str">
        <f>VLOOKUP(Tabla4[[#This Row],[Codigo]],Tabla2[[Cod]:[Nombre ]],4,0)</f>
        <v>TIS-1294</v>
      </c>
      <c r="E384" s="5" t="str">
        <f>VLOOKUP(Tabla4[[#This Row],[Codigo]],Tabla2[[Cod]:[Nombre ]],8,0)</f>
        <v>Maria del Pilar Alvarado Joya</v>
      </c>
      <c r="F384" s="5" t="str">
        <f>VLOOKUP(Tabla4[[#This Row],[Codigo]],Tabla2[[Cod]:[Nombre ]],6,0)</f>
        <v>OK</v>
      </c>
      <c r="G384" s="7" t="s">
        <v>417</v>
      </c>
      <c r="H384" s="21" t="s">
        <v>525</v>
      </c>
      <c r="I384" s="21"/>
      <c r="J384" s="163">
        <v>1</v>
      </c>
      <c r="K384" s="294">
        <v>900000</v>
      </c>
      <c r="L384" s="298"/>
      <c r="M384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384" s="292">
        <f>IFERROR(Tabla4[[#This Row],[Sub Total]]*VLOOKUP(Tabla4[[#This Row],[No]],Parametros!A:C,3,0),0)</f>
        <v>0</v>
      </c>
      <c r="O384" s="292">
        <f>+Tabla4[[#This Row],[IVA]]+Tabla4[[#This Row],[Sub Total]]</f>
        <v>900000</v>
      </c>
    </row>
    <row r="385" spans="1:15" ht="36" x14ac:dyDescent="0.2">
      <c r="A385" s="6">
        <v>326</v>
      </c>
      <c r="B385" s="6" t="str">
        <f>VLOOKUP(Tabla4[[#This Row],[Codigo]],Tabla2[[Cod]:[Nombre ]],2,0)</f>
        <v>P-1314</v>
      </c>
      <c r="C385" s="53">
        <f>VLOOKUP(Tabla4[[#This Row],[Codigo]],Tabla2[[Cod]:[Nombre ]],3,0)</f>
        <v>45204</v>
      </c>
      <c r="D385" s="6" t="str">
        <f>VLOOKUP(Tabla4[[#This Row],[Codigo]],Tabla2[[Cod]:[Nombre ]],4,0)</f>
        <v>TIS-1295</v>
      </c>
      <c r="E385" s="5" t="str">
        <f>VLOOKUP(Tabla4[[#This Row],[Codigo]],Tabla2[[Cod]:[Nombre ]],8,0)</f>
        <v>Maria del Pilar Alvarado Joya</v>
      </c>
      <c r="F385" s="5" t="str">
        <f>VLOOKUP(Tabla4[[#This Row],[Codigo]],Tabla2[[Cod]:[Nombre ]],6,0)</f>
        <v>OK</v>
      </c>
      <c r="G385" s="7" t="s">
        <v>417</v>
      </c>
      <c r="H385" s="21" t="s">
        <v>525</v>
      </c>
      <c r="I385" s="21"/>
      <c r="J385" s="163">
        <v>1</v>
      </c>
      <c r="K385" s="294">
        <v>300000</v>
      </c>
      <c r="L385" s="298"/>
      <c r="M385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85" s="292">
        <f>IFERROR(Tabla4[[#This Row],[Sub Total]]*VLOOKUP(Tabla4[[#This Row],[No]],Parametros!A:C,3,0),0)</f>
        <v>0</v>
      </c>
      <c r="O385" s="292">
        <f>+Tabla4[[#This Row],[IVA]]+Tabla4[[#This Row],[Sub Total]]</f>
        <v>300000</v>
      </c>
    </row>
    <row r="386" spans="1:15" ht="36" x14ac:dyDescent="0.2">
      <c r="A386" s="6">
        <v>327</v>
      </c>
      <c r="B386" s="6" t="str">
        <f>VLOOKUP(Tabla4[[#This Row],[Codigo]],Tabla2[[Cod]:[Nombre ]],2,0)</f>
        <v>P-1315</v>
      </c>
      <c r="C386" s="53">
        <f>VLOOKUP(Tabla4[[#This Row],[Codigo]],Tabla2[[Cod]:[Nombre ]],3,0)</f>
        <v>45224</v>
      </c>
      <c r="D386" s="6" t="str">
        <f>VLOOKUP(Tabla4[[#This Row],[Codigo]],Tabla2[[Cod]:[Nombre ]],4,0)</f>
        <v>TIS-1296</v>
      </c>
      <c r="E386" s="5" t="str">
        <f>VLOOKUP(Tabla4[[#This Row],[Codigo]],Tabla2[[Cod]:[Nombre ]],8,0)</f>
        <v>ALVEAR ESCOBAR ASOCIADOS S.A.S</v>
      </c>
      <c r="F386" s="5" t="str">
        <f>VLOOKUP(Tabla4[[#This Row],[Codigo]],Tabla2[[Cod]:[Nombre ]],6,0)</f>
        <v>OK</v>
      </c>
      <c r="G386" s="7" t="s">
        <v>416</v>
      </c>
      <c r="H386" s="21" t="s">
        <v>519</v>
      </c>
      <c r="I386" s="21"/>
      <c r="J386" s="163">
        <v>1</v>
      </c>
      <c r="K386" s="294">
        <v>300000</v>
      </c>
      <c r="L386" s="298"/>
      <c r="M38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86" s="292">
        <f>IFERROR(Tabla4[[#This Row],[Sub Total]]*VLOOKUP(Tabla4[[#This Row],[No]],Parametros!A:C,3,0),0)</f>
        <v>57000</v>
      </c>
      <c r="O386" s="292">
        <f>+Tabla4[[#This Row],[IVA]]+Tabla4[[#This Row],[Sub Total]]</f>
        <v>357000</v>
      </c>
    </row>
    <row r="387" spans="1:15" ht="45" x14ac:dyDescent="0.2">
      <c r="A387" s="6">
        <v>328</v>
      </c>
      <c r="B387" s="6" t="str">
        <f>VLOOKUP(Tabla4[[#This Row],[Codigo]],Tabla2[[Cod]:[Nombre ]],2,0)</f>
        <v>P-1316</v>
      </c>
      <c r="C387" s="53">
        <f>VLOOKUP(Tabla4[[#This Row],[Codigo]],Tabla2[[Cod]:[Nombre ]],3,0)</f>
        <v>45239</v>
      </c>
      <c r="D387" s="6" t="str">
        <f>VLOOKUP(Tabla4[[#This Row],[Codigo]],Tabla2[[Cod]:[Nombre ]],4,0)</f>
        <v>TIS-1296</v>
      </c>
      <c r="E387" s="5" t="str">
        <f>VLOOKUP(Tabla4[[#This Row],[Codigo]],Tabla2[[Cod]:[Nombre ]],8,0)</f>
        <v>INSTRUMENTACION Y SOLUCIONES PARA LABORATORIO S A S</v>
      </c>
      <c r="F387" s="5" t="str">
        <f>VLOOKUP(Tabla4[[#This Row],[Codigo]],Tabla2[[Cod]:[Nombre ]],6,0)</f>
        <v>OK</v>
      </c>
      <c r="G387" s="7" t="s">
        <v>282</v>
      </c>
      <c r="H387" s="21" t="s">
        <v>16</v>
      </c>
      <c r="I387" s="21" t="s">
        <v>610</v>
      </c>
      <c r="J387" s="163">
        <v>11</v>
      </c>
      <c r="K387" s="294">
        <v>35000</v>
      </c>
      <c r="L387" s="298"/>
      <c r="M387" s="292">
        <f>IF(LEFT(Tabla4[[#This Row],[Electronica]],2)="NC",-Tabla4[[#This Row],[Cantidad]]*Tabla4[[#This Row],[Precio]]+Tabla4[[#This Row],[Dto]],Tabla4[[#This Row],[Cantidad]]*Tabla4[[#This Row],[Precio]]-Tabla4[[#This Row],[Dto]])</f>
        <v>385000</v>
      </c>
      <c r="N387" s="292">
        <f>IFERROR(Tabla4[[#This Row],[Sub Total]]*VLOOKUP(Tabla4[[#This Row],[No]],Parametros!A:C,3,0),0)</f>
        <v>73150</v>
      </c>
      <c r="O387" s="292">
        <f>+Tabla4[[#This Row],[IVA]]+Tabla4[[#This Row],[Sub Total]]</f>
        <v>458150</v>
      </c>
    </row>
    <row r="388" spans="1:15" ht="24" x14ac:dyDescent="0.2">
      <c r="A388" s="6">
        <v>329</v>
      </c>
      <c r="B388" s="6" t="str">
        <f>VLOOKUP(Tabla4[[#This Row],[Codigo]],Tabla2[[Cod]:[Nombre ]],2,0)</f>
        <v>P-1317</v>
      </c>
      <c r="C388" s="53">
        <f>VLOOKUP(Tabla4[[#This Row],[Codigo]],Tabla2[[Cod]:[Nombre ]],3,0)</f>
        <v>45239</v>
      </c>
      <c r="D388" s="6" t="str">
        <f>VLOOKUP(Tabla4[[#This Row],[Codigo]],Tabla2[[Cod]:[Nombre ]],4,0)</f>
        <v>TIS-1297</v>
      </c>
      <c r="E388" s="5" t="str">
        <f>VLOOKUP(Tabla4[[#This Row],[Codigo]],Tabla2[[Cod]:[Nombre ]],8,0)</f>
        <v>ATECNO S.A.S</v>
      </c>
      <c r="F388" s="5" t="str">
        <f>VLOOKUP(Tabla4[[#This Row],[Codigo]],Tabla2[[Cod]:[Nombre ]],6,0)</f>
        <v>OK</v>
      </c>
      <c r="G388" s="7" t="s">
        <v>282</v>
      </c>
      <c r="H388" s="21" t="s">
        <v>16</v>
      </c>
      <c r="I388" s="21"/>
      <c r="J388" s="163">
        <v>1163</v>
      </c>
      <c r="K388" s="294">
        <v>30000</v>
      </c>
      <c r="L388" s="298"/>
      <c r="M388" s="292">
        <f>IF(LEFT(Tabla4[[#This Row],[Electronica]],2)="NC",-Tabla4[[#This Row],[Cantidad]]*Tabla4[[#This Row],[Precio]]+Tabla4[[#This Row],[Dto]],Tabla4[[#This Row],[Cantidad]]*Tabla4[[#This Row],[Precio]]-Tabla4[[#This Row],[Dto]])</f>
        <v>34890000</v>
      </c>
      <c r="N388" s="292">
        <f>IFERROR(Tabla4[[#This Row],[Sub Total]]*VLOOKUP(Tabla4[[#This Row],[No]],Parametros!A:C,3,0),0)</f>
        <v>6629100</v>
      </c>
      <c r="O388" s="292">
        <f>+Tabla4[[#This Row],[IVA]]+Tabla4[[#This Row],[Sub Total]]</f>
        <v>41519100</v>
      </c>
    </row>
    <row r="389" spans="1:15" ht="24" x14ac:dyDescent="0.2">
      <c r="A389" s="6">
        <v>330</v>
      </c>
      <c r="B389" s="6" t="str">
        <f>VLOOKUP(Tabla4[[#This Row],[Codigo]],Tabla2[[Cod]:[Nombre ]],2,0)</f>
        <v>P-1318</v>
      </c>
      <c r="C389" s="53">
        <f>VLOOKUP(Tabla4[[#This Row],[Codigo]],Tabla2[[Cod]:[Nombre ]],3,0)</f>
        <v>45266</v>
      </c>
      <c r="D389" s="6" t="str">
        <f>VLOOKUP(Tabla4[[#This Row],[Codigo]],Tabla2[[Cod]:[Nombre ]],4,0)</f>
        <v>TIS-1298</v>
      </c>
      <c r="E389" s="5" t="str">
        <f>VLOOKUP(Tabla4[[#This Row],[Codigo]],Tabla2[[Cod]:[Nombre ]],8,0)</f>
        <v>CONPORTUARIO LTDA</v>
      </c>
      <c r="F389" s="5" t="str">
        <f>VLOOKUP(Tabla4[[#This Row],[Codigo]],Tabla2[[Cod]:[Nombre ]],6,0)</f>
        <v>OK</v>
      </c>
      <c r="G389" s="7">
        <v>13</v>
      </c>
      <c r="H389" s="21" t="s">
        <v>596</v>
      </c>
      <c r="I389" s="21"/>
      <c r="J389" s="163">
        <v>1</v>
      </c>
      <c r="K389" s="294">
        <v>1200000</v>
      </c>
      <c r="L389" s="298"/>
      <c r="M389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389" s="292">
        <f>IFERROR(Tabla4[[#This Row],[Sub Total]]*VLOOKUP(Tabla4[[#This Row],[No]],Parametros!A:C,3,0),0)</f>
        <v>228000</v>
      </c>
      <c r="O389" s="292">
        <f>+Tabla4[[#This Row],[IVA]]+Tabla4[[#This Row],[Sub Total]]</f>
        <v>1428000</v>
      </c>
    </row>
    <row r="390" spans="1:15" ht="45" x14ac:dyDescent="0.2">
      <c r="A390" s="6">
        <v>331</v>
      </c>
      <c r="B390" s="6" t="str">
        <f>VLOOKUP(Tabla4[[#This Row],[Codigo]],Tabla2[[Cod]:[Nombre ]],2,0)</f>
        <v>P-1319</v>
      </c>
      <c r="C390" s="53">
        <f>VLOOKUP(Tabla4[[#This Row],[Codigo]],Tabla2[[Cod]:[Nombre ]],3,0)</f>
        <v>45266</v>
      </c>
      <c r="D390" s="6" t="str">
        <f>VLOOKUP(Tabla4[[#This Row],[Codigo]],Tabla2[[Cod]:[Nombre ]],4,0)</f>
        <v>TIS-1299</v>
      </c>
      <c r="E390" s="5" t="str">
        <f>VLOOKUP(Tabla4[[#This Row],[Codigo]],Tabla2[[Cod]:[Nombre ]],8,0)</f>
        <v>INDUSTRIA COLOMBIANA DE PERFILES METALICOS S.A.</v>
      </c>
      <c r="F390" s="5" t="str">
        <f>VLOOKUP(Tabla4[[#This Row],[Codigo]],Tabla2[[Cod]:[Nombre ]],6,0)</f>
        <v>OK</v>
      </c>
      <c r="G390" s="7" t="s">
        <v>282</v>
      </c>
      <c r="H390" s="21" t="s">
        <v>16</v>
      </c>
      <c r="I390" s="21"/>
      <c r="J390" s="163">
        <v>126</v>
      </c>
      <c r="K390" s="294">
        <v>30000</v>
      </c>
      <c r="L390" s="298"/>
      <c r="M390" s="292">
        <f>IF(LEFT(Tabla4[[#This Row],[Electronica]],2)="NC",-Tabla4[[#This Row],[Cantidad]]*Tabla4[[#This Row],[Precio]]+Tabla4[[#This Row],[Dto]],Tabla4[[#This Row],[Cantidad]]*Tabla4[[#This Row],[Precio]]-Tabla4[[#This Row],[Dto]])</f>
        <v>3780000</v>
      </c>
      <c r="N390" s="292">
        <f>IFERROR(Tabla4[[#This Row],[Sub Total]]*VLOOKUP(Tabla4[[#This Row],[No]],Parametros!A:C,3,0),0)</f>
        <v>718200</v>
      </c>
      <c r="O390" s="292">
        <f>+Tabla4[[#This Row],[IVA]]+Tabla4[[#This Row],[Sub Total]]</f>
        <v>4498200</v>
      </c>
    </row>
    <row r="391" spans="1:15" ht="45" x14ac:dyDescent="0.2">
      <c r="A391" s="6">
        <v>332</v>
      </c>
      <c r="B391" s="6" t="str">
        <f>VLOOKUP(Tabla4[[#This Row],[Codigo]],Tabla2[[Cod]:[Nombre ]],2,0)</f>
        <v>P-1320</v>
      </c>
      <c r="C391" s="53">
        <f>VLOOKUP(Tabla4[[#This Row],[Codigo]],Tabla2[[Cod]:[Nombre ]],3,0)</f>
        <v>45266</v>
      </c>
      <c r="D391" s="6" t="str">
        <f>VLOOKUP(Tabla4[[#This Row],[Codigo]],Tabla2[[Cod]:[Nombre ]],4,0)</f>
        <v>TIS-1300</v>
      </c>
      <c r="E391" s="5" t="str">
        <f>VLOOKUP(Tabla4[[#This Row],[Codigo]],Tabla2[[Cod]:[Nombre ]],8,0)</f>
        <v>FIDEICOMISOS SOCIEDAD FIDUCIARIA DE OCCIDENTE SA</v>
      </c>
      <c r="F391" s="5" t="str">
        <f>VLOOKUP(Tabla4[[#This Row],[Codigo]],Tabla2[[Cod]:[Nombre ]],6,0)</f>
        <v>OK</v>
      </c>
      <c r="G391" s="7" t="s">
        <v>415</v>
      </c>
      <c r="H391" s="21" t="s">
        <v>605</v>
      </c>
      <c r="I391" s="21"/>
      <c r="J391" s="163">
        <v>1</v>
      </c>
      <c r="K391" s="294">
        <v>11200000</v>
      </c>
      <c r="L391" s="298"/>
      <c r="M391" s="292">
        <f>IF(LEFT(Tabla4[[#This Row],[Electronica]],2)="NC",-Tabla4[[#This Row],[Cantidad]]*Tabla4[[#This Row],[Precio]]+Tabla4[[#This Row],[Dto]],Tabla4[[#This Row],[Cantidad]]*Tabla4[[#This Row],[Precio]]-Tabla4[[#This Row],[Dto]])</f>
        <v>11200000</v>
      </c>
      <c r="N391" s="292">
        <f>IFERROR(Tabla4[[#This Row],[Sub Total]]*VLOOKUP(Tabla4[[#This Row],[No]],Parametros!A:C,3,0),0)</f>
        <v>2128000</v>
      </c>
      <c r="O391" s="292">
        <f>+Tabla4[[#This Row],[IVA]]+Tabla4[[#This Row],[Sub Total]]</f>
        <v>13328000</v>
      </c>
    </row>
    <row r="392" spans="1:15" ht="36" x14ac:dyDescent="0.2">
      <c r="A392" s="6">
        <v>333</v>
      </c>
      <c r="B392" s="6" t="str">
        <f>VLOOKUP(Tabla4[[#This Row],[Codigo]],Tabla2[[Cod]:[Nombre ]],2,0)</f>
        <v>P-1321</v>
      </c>
      <c r="C392" s="53">
        <f>VLOOKUP(Tabla4[[#This Row],[Codigo]],Tabla2[[Cod]:[Nombre ]],3,0)</f>
        <v>45266</v>
      </c>
      <c r="D392" s="6" t="str">
        <f>VLOOKUP(Tabla4[[#This Row],[Codigo]],Tabla2[[Cod]:[Nombre ]],4,0)</f>
        <v>TIS-1277</v>
      </c>
      <c r="E392" s="5" t="str">
        <f>VLOOKUP(Tabla4[[#This Row],[Codigo]],Tabla2[[Cod]:[Nombre ]],8,0)</f>
        <v>HUTERCOL S.A.S.</v>
      </c>
      <c r="F392" s="5" t="str">
        <f>VLOOKUP(Tabla4[[#This Row],[Codigo]],Tabla2[[Cod]:[Nombre ]],6,0)</f>
        <v>OK</v>
      </c>
      <c r="G392" s="7" t="s">
        <v>416</v>
      </c>
      <c r="H392" s="21" t="s">
        <v>519</v>
      </c>
      <c r="I392" s="21"/>
      <c r="J392" s="163">
        <v>1</v>
      </c>
      <c r="K392" s="294">
        <v>1200000</v>
      </c>
      <c r="L392" s="298"/>
      <c r="M392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392" s="292">
        <f>IFERROR(Tabla4[[#This Row],[Sub Total]]*VLOOKUP(Tabla4[[#This Row],[No]],Parametros!A:C,3,0),0)</f>
        <v>228000</v>
      </c>
      <c r="O392" s="292">
        <f>+Tabla4[[#This Row],[IVA]]+Tabla4[[#This Row],[Sub Total]]</f>
        <v>1428000</v>
      </c>
    </row>
    <row r="393" spans="1:15" x14ac:dyDescent="0.2">
      <c r="A393" s="6">
        <v>334</v>
      </c>
      <c r="B393" s="6" t="str">
        <f>VLOOKUP(Tabla4[[#This Row],[Codigo]],Tabla2[[Cod]:[Nombre ]],2,0)</f>
        <v>P-1322</v>
      </c>
      <c r="C393" s="53">
        <f>VLOOKUP(Tabla4[[#This Row],[Codigo]],Tabla2[[Cod]:[Nombre ]],3,0)</f>
        <v>45266</v>
      </c>
      <c r="D393" s="6" t="str">
        <f>VLOOKUP(Tabla4[[#This Row],[Codigo]],Tabla2[[Cod]:[Nombre ]],4,0)</f>
        <v>TIS-1302</v>
      </c>
      <c r="E393" s="5" t="str">
        <f>VLOOKUP(Tabla4[[#This Row],[Codigo]],Tabla2[[Cod]:[Nombre ]],8,0)</f>
        <v>TEXTRON S.A</v>
      </c>
      <c r="F393" s="5" t="str">
        <f>VLOOKUP(Tabla4[[#This Row],[Codigo]],Tabla2[[Cod]:[Nombre ]],6,0)</f>
        <v>OK</v>
      </c>
      <c r="G393" s="7" t="s">
        <v>433</v>
      </c>
      <c r="H393" s="21" t="s">
        <v>517</v>
      </c>
      <c r="I393" s="21"/>
      <c r="J393" s="163">
        <v>1</v>
      </c>
      <c r="K393" s="294">
        <v>825000</v>
      </c>
      <c r="L393" s="298"/>
      <c r="M393" s="292">
        <f>IF(LEFT(Tabla4[[#This Row],[Electronica]],2)="NC",-Tabla4[[#This Row],[Cantidad]]*Tabla4[[#This Row],[Precio]]+Tabla4[[#This Row],[Dto]],Tabla4[[#This Row],[Cantidad]]*Tabla4[[#This Row],[Precio]]-Tabla4[[#This Row],[Dto]])</f>
        <v>825000</v>
      </c>
      <c r="N393" s="292">
        <f>IFERROR(Tabla4[[#This Row],[Sub Total]]*VLOOKUP(Tabla4[[#This Row],[No]],Parametros!A:C,3,0),0)</f>
        <v>156750</v>
      </c>
      <c r="O393" s="292">
        <f>+Tabla4[[#This Row],[IVA]]+Tabla4[[#This Row],[Sub Total]]</f>
        <v>981750</v>
      </c>
    </row>
    <row r="394" spans="1:15" ht="24" x14ac:dyDescent="0.2">
      <c r="A394" s="6">
        <v>335</v>
      </c>
      <c r="B394" s="6" t="str">
        <f>VLOOKUP(Tabla4[[#This Row],[Codigo]],Tabla2[[Cod]:[Nombre ]],2,0)</f>
        <v>P-1323</v>
      </c>
      <c r="C394" s="53">
        <f>VLOOKUP(Tabla4[[#This Row],[Codigo]],Tabla2[[Cod]:[Nombre ]],3,0)</f>
        <v>45266</v>
      </c>
      <c r="D394" s="6" t="str">
        <f>VLOOKUP(Tabla4[[#This Row],[Codigo]],Tabla2[[Cod]:[Nombre ]],4,0)</f>
        <v>TIS-1303</v>
      </c>
      <c r="E394" s="5" t="str">
        <f>VLOOKUP(Tabla4[[#This Row],[Codigo]],Tabla2[[Cod]:[Nombre ]],8,0)</f>
        <v>GENUINE TECH SAS</v>
      </c>
      <c r="F394" s="5" t="str">
        <f>VLOOKUP(Tabla4[[#This Row],[Codigo]],Tabla2[[Cod]:[Nombre ]],6,0)</f>
        <v>OK</v>
      </c>
      <c r="G394" s="7">
        <v>13</v>
      </c>
      <c r="H394" s="21" t="s">
        <v>596</v>
      </c>
      <c r="I394" s="21"/>
      <c r="J394" s="163">
        <v>1</v>
      </c>
      <c r="K394" s="294">
        <v>2000000</v>
      </c>
      <c r="L394" s="298"/>
      <c r="M394" s="292">
        <f>IF(LEFT(Tabla4[[#This Row],[Electronica]],2)="NC",-Tabla4[[#This Row],[Cantidad]]*Tabla4[[#This Row],[Precio]]+Tabla4[[#This Row],[Dto]],Tabla4[[#This Row],[Cantidad]]*Tabla4[[#This Row],[Precio]]-Tabla4[[#This Row],[Dto]])</f>
        <v>2000000</v>
      </c>
      <c r="N394" s="292">
        <f>IFERROR(Tabla4[[#This Row],[Sub Total]]*VLOOKUP(Tabla4[[#This Row],[No]],Parametros!A:C,3,0),0)</f>
        <v>380000</v>
      </c>
      <c r="O394" s="292">
        <f>+Tabla4[[#This Row],[IVA]]+Tabla4[[#This Row],[Sub Total]]</f>
        <v>2380000</v>
      </c>
    </row>
    <row r="395" spans="1:15" ht="36" x14ac:dyDescent="0.2">
      <c r="A395" s="6">
        <v>336</v>
      </c>
      <c r="B395" s="6" t="str">
        <f>VLOOKUP(Tabla4[[#This Row],[Codigo]],Tabla2[[Cod]:[Nombre ]],2,0)</f>
        <v>P-1324</v>
      </c>
      <c r="C395" s="53">
        <f>VLOOKUP(Tabla4[[#This Row],[Codigo]],Tabla2[[Cod]:[Nombre ]],3,0)</f>
        <v>45266</v>
      </c>
      <c r="D395" s="6" t="str">
        <f>VLOOKUP(Tabla4[[#This Row],[Codigo]],Tabla2[[Cod]:[Nombre ]],4,0)</f>
        <v>TIS-1304</v>
      </c>
      <c r="E395" s="5" t="str">
        <f>VLOOKUP(Tabla4[[#This Row],[Codigo]],Tabla2[[Cod]:[Nombre ]],8,0)</f>
        <v>Comercializadora ERZ SAS</v>
      </c>
      <c r="F395" s="5" t="str">
        <f>VLOOKUP(Tabla4[[#This Row],[Codigo]],Tabla2[[Cod]:[Nombre ]],6,0)</f>
        <v>OK</v>
      </c>
      <c r="G395" s="7" t="s">
        <v>416</v>
      </c>
      <c r="H395" s="21" t="s">
        <v>519</v>
      </c>
      <c r="I395" s="21"/>
      <c r="J395" s="163">
        <v>1</v>
      </c>
      <c r="K395" s="294">
        <v>260000</v>
      </c>
      <c r="L395" s="298"/>
      <c r="M395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395" s="292">
        <f>IFERROR(Tabla4[[#This Row],[Sub Total]]*VLOOKUP(Tabla4[[#This Row],[No]],Parametros!A:C,3,0),0)</f>
        <v>49400</v>
      </c>
      <c r="O395" s="292">
        <f>+Tabla4[[#This Row],[IVA]]+Tabla4[[#This Row],[Sub Total]]</f>
        <v>309400</v>
      </c>
    </row>
    <row r="396" spans="1:15" ht="45" x14ac:dyDescent="0.2">
      <c r="A396" s="6">
        <v>337</v>
      </c>
      <c r="B396" s="6" t="str">
        <f>VLOOKUP(Tabla4[[#This Row],[Codigo]],Tabla2[[Cod]:[Nombre ]],2,0)</f>
        <v>P-1325</v>
      </c>
      <c r="C396" s="53">
        <f>VLOOKUP(Tabla4[[#This Row],[Codigo]],Tabla2[[Cod]:[Nombre ]],3,0)</f>
        <v>45266</v>
      </c>
      <c r="D396" s="6" t="str">
        <f>VLOOKUP(Tabla4[[#This Row],[Codigo]],Tabla2[[Cod]:[Nombre ]],4,0)</f>
        <v>TIS-1305</v>
      </c>
      <c r="E396" s="5" t="str">
        <f>VLOOKUP(Tabla4[[#This Row],[Codigo]],Tabla2[[Cod]:[Nombre ]],8,0)</f>
        <v>PRODUCTORA INTERAMERICANA DE PLASTICOS S.A.S.</v>
      </c>
      <c r="F396" s="5" t="str">
        <f>VLOOKUP(Tabla4[[#This Row],[Codigo]],Tabla2[[Cod]:[Nombre ]],6,0)</f>
        <v>OK</v>
      </c>
      <c r="G396" s="7" t="s">
        <v>416</v>
      </c>
      <c r="H396" s="21" t="s">
        <v>519</v>
      </c>
      <c r="I396" s="21"/>
      <c r="J396" s="163">
        <v>1</v>
      </c>
      <c r="K396" s="294">
        <v>300000</v>
      </c>
      <c r="L396" s="298"/>
      <c r="M39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96" s="292">
        <f>IFERROR(Tabla4[[#This Row],[Sub Total]]*VLOOKUP(Tabla4[[#This Row],[No]],Parametros!A:C,3,0),0)</f>
        <v>57000</v>
      </c>
      <c r="O396" s="292">
        <f>+Tabla4[[#This Row],[IVA]]+Tabla4[[#This Row],[Sub Total]]</f>
        <v>357000</v>
      </c>
    </row>
    <row r="397" spans="1:15" ht="36" x14ac:dyDescent="0.2">
      <c r="A397" s="6">
        <v>338</v>
      </c>
      <c r="B397" s="6" t="str">
        <f>VLOOKUP(Tabla4[[#This Row],[Codigo]],Tabla2[[Cod]:[Nombre ]],2,0)</f>
        <v>P-1326</v>
      </c>
      <c r="C397" s="53">
        <f>VLOOKUP(Tabla4[[#This Row],[Codigo]],Tabla2[[Cod]:[Nombre ]],3,0)</f>
        <v>45266</v>
      </c>
      <c r="D397" s="6" t="str">
        <f>VLOOKUP(Tabla4[[#This Row],[Codigo]],Tabla2[[Cod]:[Nombre ]],4,0)</f>
        <v>TIS-1306</v>
      </c>
      <c r="E397" s="5" t="str">
        <f>VLOOKUP(Tabla4[[#This Row],[Codigo]],Tabla2[[Cod]:[Nombre ]],8,0)</f>
        <v>ROYCO SOLUCIONES SAS</v>
      </c>
      <c r="F397" s="5" t="str">
        <f>VLOOKUP(Tabla4[[#This Row],[Codigo]],Tabla2[[Cod]:[Nombre ]],6,0)</f>
        <v>OK</v>
      </c>
      <c r="G397" s="7" t="s">
        <v>416</v>
      </c>
      <c r="H397" s="21" t="s">
        <v>519</v>
      </c>
      <c r="I397" s="21"/>
      <c r="J397" s="163">
        <v>1</v>
      </c>
      <c r="K397" s="294">
        <v>175000</v>
      </c>
      <c r="L397" s="298"/>
      <c r="M397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397" s="292">
        <f>IFERROR(Tabla4[[#This Row],[Sub Total]]*VLOOKUP(Tabla4[[#This Row],[No]],Parametros!A:C,3,0),0)</f>
        <v>33250</v>
      </c>
      <c r="O397" s="292">
        <f>+Tabla4[[#This Row],[IVA]]+Tabla4[[#This Row],[Sub Total]]</f>
        <v>208250</v>
      </c>
    </row>
    <row r="398" spans="1:15" ht="36" x14ac:dyDescent="0.2">
      <c r="A398" s="6">
        <v>339</v>
      </c>
      <c r="B398" s="6" t="str">
        <f>VLOOKUP(Tabla4[[#This Row],[Codigo]],Tabla2[[Cod]:[Nombre ]],2,0)</f>
        <v>P-1327</v>
      </c>
      <c r="C398" s="53">
        <f>VLOOKUP(Tabla4[[#This Row],[Codigo]],Tabla2[[Cod]:[Nombre ]],3,0)</f>
        <v>45266</v>
      </c>
      <c r="D398" s="6" t="str">
        <f>VLOOKUP(Tabla4[[#This Row],[Codigo]],Tabla2[[Cod]:[Nombre ]],4,0)</f>
        <v>TIS-1307</v>
      </c>
      <c r="E398" s="5" t="str">
        <f>VLOOKUP(Tabla4[[#This Row],[Codigo]],Tabla2[[Cod]:[Nombre ]],8,0)</f>
        <v>Inversiones Sajamib SAS</v>
      </c>
      <c r="F398" s="5" t="str">
        <f>VLOOKUP(Tabla4[[#This Row],[Codigo]],Tabla2[[Cod]:[Nombre ]],6,0)</f>
        <v>OK</v>
      </c>
      <c r="G398" s="7" t="s">
        <v>417</v>
      </c>
      <c r="H398" s="21" t="s">
        <v>525</v>
      </c>
      <c r="I398" s="21"/>
      <c r="J398" s="163">
        <v>1</v>
      </c>
      <c r="K398" s="294">
        <v>400000</v>
      </c>
      <c r="L398" s="298"/>
      <c r="M398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398" s="292">
        <f>IFERROR(Tabla4[[#This Row],[Sub Total]]*VLOOKUP(Tabla4[[#This Row],[No]],Parametros!A:C,3,0),0)</f>
        <v>0</v>
      </c>
      <c r="O398" s="292">
        <f>+Tabla4[[#This Row],[IVA]]+Tabla4[[#This Row],[Sub Total]]</f>
        <v>400000</v>
      </c>
    </row>
    <row r="399" spans="1:15" ht="36" x14ac:dyDescent="0.2">
      <c r="A399" s="6">
        <v>340</v>
      </c>
      <c r="B399" s="6" t="str">
        <f>VLOOKUP(Tabla4[[#This Row],[Codigo]],Tabla2[[Cod]:[Nombre ]],2,0)</f>
        <v>P-1328</v>
      </c>
      <c r="C399" s="53">
        <f>VLOOKUP(Tabla4[[#This Row],[Codigo]],Tabla2[[Cod]:[Nombre ]],3,0)</f>
        <v>45266</v>
      </c>
      <c r="D399" s="6" t="str">
        <f>VLOOKUP(Tabla4[[#This Row],[Codigo]],Tabla2[[Cod]:[Nombre ]],4,0)</f>
        <v>TIS-1308</v>
      </c>
      <c r="E399" s="5" t="str">
        <f>VLOOKUP(Tabla4[[#This Row],[Codigo]],Tabla2[[Cod]:[Nombre ]],8,0)</f>
        <v>Maria del Pilar Alvarado Joya</v>
      </c>
      <c r="F399" s="5" t="str">
        <f>VLOOKUP(Tabla4[[#This Row],[Codigo]],Tabla2[[Cod]:[Nombre ]],6,0)</f>
        <v>OK</v>
      </c>
      <c r="G399" s="7" t="s">
        <v>417</v>
      </c>
      <c r="H399" s="21" t="s">
        <v>525</v>
      </c>
      <c r="I399" s="21"/>
      <c r="J399" s="163">
        <v>1</v>
      </c>
      <c r="K399" s="294">
        <v>300000</v>
      </c>
      <c r="L399" s="298"/>
      <c r="M399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399" s="292">
        <f>IFERROR(Tabla4[[#This Row],[Sub Total]]*VLOOKUP(Tabla4[[#This Row],[No]],Parametros!A:C,3,0),0)</f>
        <v>0</v>
      </c>
      <c r="O399" s="292">
        <f>+Tabla4[[#This Row],[IVA]]+Tabla4[[#This Row],[Sub Total]]</f>
        <v>300000</v>
      </c>
    </row>
    <row r="400" spans="1:15" ht="45" x14ac:dyDescent="0.2">
      <c r="A400" s="6">
        <v>341</v>
      </c>
      <c r="B400" s="6" t="str">
        <f>VLOOKUP(Tabla4[[#This Row],[Codigo]],Tabla2[[Cod]:[Nombre ]],2,0)</f>
        <v>P-1329</v>
      </c>
      <c r="C400" s="53">
        <f>VLOOKUP(Tabla4[[#This Row],[Codigo]],Tabla2[[Cod]:[Nombre ]],3,0)</f>
        <v>45266</v>
      </c>
      <c r="D400" s="6" t="str">
        <f>VLOOKUP(Tabla4[[#This Row],[Codigo]],Tabla2[[Cod]:[Nombre ]],4,0)</f>
        <v>TIS-1309</v>
      </c>
      <c r="E400" s="5" t="str">
        <f>VLOOKUP(Tabla4[[#This Row],[Codigo]],Tabla2[[Cod]:[Nombre ]],8,0)</f>
        <v>DIGITAL MEDIA TECHNOLOGIES COLOMBIA SAS</v>
      </c>
      <c r="F400" s="5" t="str">
        <f>VLOOKUP(Tabla4[[#This Row],[Codigo]],Tabla2[[Cod]:[Nombre ]],6,0)</f>
        <v>OK</v>
      </c>
      <c r="G400" s="7" t="s">
        <v>416</v>
      </c>
      <c r="H400" s="21" t="s">
        <v>519</v>
      </c>
      <c r="I400" s="21"/>
      <c r="J400" s="163">
        <v>1</v>
      </c>
      <c r="K400" s="294">
        <v>250000</v>
      </c>
      <c r="L400" s="298"/>
      <c r="M400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400" s="292">
        <f>IFERROR(Tabla4[[#This Row],[Sub Total]]*VLOOKUP(Tabla4[[#This Row],[No]],Parametros!A:C,3,0),0)</f>
        <v>47500</v>
      </c>
      <c r="O400" s="292">
        <f>+Tabla4[[#This Row],[IVA]]+Tabla4[[#This Row],[Sub Total]]</f>
        <v>297500</v>
      </c>
    </row>
    <row r="401" spans="1:15" ht="30" x14ac:dyDescent="0.2">
      <c r="A401" s="6">
        <v>342</v>
      </c>
      <c r="B401" s="6" t="str">
        <f>VLOOKUP(Tabla4[[#This Row],[Codigo]],Tabla2[[Cod]:[Nombre ]],2,0)</f>
        <v>P-1330</v>
      </c>
      <c r="C401" s="53">
        <f>VLOOKUP(Tabla4[[#This Row],[Codigo]],Tabla2[[Cod]:[Nombre ]],3,0)</f>
        <v>45266</v>
      </c>
      <c r="D401" s="6" t="str">
        <f>VLOOKUP(Tabla4[[#This Row],[Codigo]],Tabla2[[Cod]:[Nombre ]],4,0)</f>
        <v>TIS-1310</v>
      </c>
      <c r="E401" s="5" t="str">
        <f>VLOOKUP(Tabla4[[#This Row],[Codigo]],Tabla2[[Cod]:[Nombre ]],8,0)</f>
        <v>LOGROS FACTORY COLOMBIA S.A</v>
      </c>
      <c r="F401" s="5" t="str">
        <f>VLOOKUP(Tabla4[[#This Row],[Codigo]],Tabla2[[Cod]:[Nombre ]],6,0)</f>
        <v>OK</v>
      </c>
      <c r="G401" s="7" t="s">
        <v>433</v>
      </c>
      <c r="H401" s="21" t="s">
        <v>517</v>
      </c>
      <c r="I401" s="21"/>
      <c r="J401" s="163">
        <v>1</v>
      </c>
      <c r="K401" s="294">
        <v>1150000</v>
      </c>
      <c r="L401" s="298"/>
      <c r="M401" s="292">
        <f>IF(LEFT(Tabla4[[#This Row],[Electronica]],2)="NC",-Tabla4[[#This Row],[Cantidad]]*Tabla4[[#This Row],[Precio]]+Tabla4[[#This Row],[Dto]],Tabla4[[#This Row],[Cantidad]]*Tabla4[[#This Row],[Precio]]-Tabla4[[#This Row],[Dto]])</f>
        <v>1150000</v>
      </c>
      <c r="N401" s="292">
        <f>IFERROR(Tabla4[[#This Row],[Sub Total]]*VLOOKUP(Tabla4[[#This Row],[No]],Parametros!A:C,3,0),0)</f>
        <v>218500</v>
      </c>
      <c r="O401" s="292">
        <f>+Tabla4[[#This Row],[IVA]]+Tabla4[[#This Row],[Sub Total]]</f>
        <v>1368500</v>
      </c>
    </row>
    <row r="402" spans="1:15" x14ac:dyDescent="0.2">
      <c r="A402" s="6">
        <v>343</v>
      </c>
      <c r="B402" s="6" t="str">
        <f>VLOOKUP(Tabla4[[#This Row],[Codigo]],Tabla2[[Cod]:[Nombre ]],2,0)</f>
        <v>P-1331</v>
      </c>
      <c r="C402" s="53">
        <f>VLOOKUP(Tabla4[[#This Row],[Codigo]],Tabla2[[Cod]:[Nombre ]],3,0)</f>
        <v>45266</v>
      </c>
      <c r="D402" s="6" t="str">
        <f>VLOOKUP(Tabla4[[#This Row],[Codigo]],Tabla2[[Cod]:[Nombre ]],4,0)</f>
        <v>TIS-1311</v>
      </c>
      <c r="E402" s="5" t="str">
        <f>VLOOKUP(Tabla4[[#This Row],[Codigo]],Tabla2[[Cod]:[Nombre ]],8,0)</f>
        <v xml:space="preserve">BP CAPITAL SAS </v>
      </c>
      <c r="F402" s="5" t="str">
        <f>VLOOKUP(Tabla4[[#This Row],[Codigo]],Tabla2[[Cod]:[Nombre ]],6,0)</f>
        <v>OK</v>
      </c>
      <c r="G402" s="7" t="s">
        <v>412</v>
      </c>
      <c r="H402" s="21" t="s">
        <v>594</v>
      </c>
      <c r="I402" s="21"/>
      <c r="J402" s="163">
        <v>1</v>
      </c>
      <c r="K402" s="294">
        <v>900000</v>
      </c>
      <c r="L402" s="298"/>
      <c r="M402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402" s="292">
        <f>IFERROR(Tabla4[[#This Row],[Sub Total]]*VLOOKUP(Tabla4[[#This Row],[No]],Parametros!A:C,3,0),0)</f>
        <v>171000</v>
      </c>
      <c r="O402" s="292">
        <f>+Tabla4[[#This Row],[IVA]]+Tabla4[[#This Row],[Sub Total]]</f>
        <v>1071000</v>
      </c>
    </row>
    <row r="403" spans="1:15" ht="45" x14ac:dyDescent="0.2">
      <c r="A403" s="6">
        <v>344</v>
      </c>
      <c r="B403" s="6" t="str">
        <f>VLOOKUP(Tabla4[[#This Row],[Codigo]],Tabla2[[Cod]:[Nombre ]],2,0)</f>
        <v>P-1332</v>
      </c>
      <c r="C403" s="53">
        <f>VLOOKUP(Tabla4[[#This Row],[Codigo]],Tabla2[[Cod]:[Nombre ]],3,0)</f>
        <v>45266</v>
      </c>
      <c r="D403" s="6" t="str">
        <f>VLOOKUP(Tabla4[[#This Row],[Codigo]],Tabla2[[Cod]:[Nombre ]],4,0)</f>
        <v>TIS-1312</v>
      </c>
      <c r="E403" s="5" t="str">
        <f>VLOOKUP(Tabla4[[#This Row],[Codigo]],Tabla2[[Cod]:[Nombre ]],8,0)</f>
        <v>CONCESIONARIA DEL DESARROLLO VIAL DE LA SABANA</v>
      </c>
      <c r="F403" s="5" t="str">
        <f>VLOOKUP(Tabla4[[#This Row],[Codigo]],Tabla2[[Cod]:[Nombre ]],6,0)</f>
        <v>Anulado</v>
      </c>
      <c r="G403" s="7" t="s">
        <v>282</v>
      </c>
      <c r="H403" s="21" t="s">
        <v>16</v>
      </c>
      <c r="I403" s="21"/>
      <c r="J403" s="163">
        <v>230</v>
      </c>
      <c r="K403" s="294">
        <v>42000</v>
      </c>
      <c r="L403" s="298"/>
      <c r="M403" s="292">
        <f>IF(LEFT(Tabla4[[#This Row],[Electronica]],2)="NC",-Tabla4[[#This Row],[Cantidad]]*Tabla4[[#This Row],[Precio]]+Tabla4[[#This Row],[Dto]],Tabla4[[#This Row],[Cantidad]]*Tabla4[[#This Row],[Precio]]-Tabla4[[#This Row],[Dto]])</f>
        <v>9660000</v>
      </c>
      <c r="N403" s="292">
        <f>IFERROR(Tabla4[[#This Row],[Sub Total]]*VLOOKUP(Tabla4[[#This Row],[No]],Parametros!A:C,3,0),0)</f>
        <v>1835400</v>
      </c>
      <c r="O403" s="292">
        <f>+Tabla4[[#This Row],[IVA]]+Tabla4[[#This Row],[Sub Total]]</f>
        <v>11495400</v>
      </c>
    </row>
    <row r="404" spans="1:15" ht="36" x14ac:dyDescent="0.2">
      <c r="A404" s="6">
        <v>345</v>
      </c>
      <c r="B404" s="6" t="str">
        <f>VLOOKUP(Tabla4[[#This Row],[Codigo]],Tabla2[[Cod]:[Nombre ]],2,0)</f>
        <v>P-1333</v>
      </c>
      <c r="C404" s="53">
        <f>VLOOKUP(Tabla4[[#This Row],[Codigo]],Tabla2[[Cod]:[Nombre ]],3,0)</f>
        <v>45266</v>
      </c>
      <c r="D404" s="6" t="str">
        <f>VLOOKUP(Tabla4[[#This Row],[Codigo]],Tabla2[[Cod]:[Nombre ]],4,0)</f>
        <v>TIS-1313</v>
      </c>
      <c r="E404" s="5" t="str">
        <f>VLOOKUP(Tabla4[[#This Row],[Codigo]],Tabla2[[Cod]:[Nombre ]],8,0)</f>
        <v>Comercializadora ERZ SAS</v>
      </c>
      <c r="F404" s="5" t="str">
        <f>VLOOKUP(Tabla4[[#This Row],[Codigo]],Tabla2[[Cod]:[Nombre ]],6,0)</f>
        <v>OK</v>
      </c>
      <c r="G404" s="7" t="s">
        <v>416</v>
      </c>
      <c r="H404" s="21" t="s">
        <v>519</v>
      </c>
      <c r="I404" s="21"/>
      <c r="J404" s="163">
        <v>1</v>
      </c>
      <c r="K404" s="294">
        <v>260000</v>
      </c>
      <c r="L404" s="298"/>
      <c r="M404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404" s="292">
        <f>IFERROR(Tabla4[[#This Row],[Sub Total]]*VLOOKUP(Tabla4[[#This Row],[No]],Parametros!A:C,3,0),0)</f>
        <v>49400</v>
      </c>
      <c r="O404" s="292">
        <f>+Tabla4[[#This Row],[IVA]]+Tabla4[[#This Row],[Sub Total]]</f>
        <v>309400</v>
      </c>
    </row>
    <row r="405" spans="1:15" ht="45" x14ac:dyDescent="0.2">
      <c r="A405" s="6">
        <v>346</v>
      </c>
      <c r="B405" s="6" t="str">
        <f>VLOOKUP(Tabla4[[#This Row],[Codigo]],Tabla2[[Cod]:[Nombre ]],2,0)</f>
        <v>P-1334</v>
      </c>
      <c r="C405" s="53">
        <f>VLOOKUP(Tabla4[[#This Row],[Codigo]],Tabla2[[Cod]:[Nombre ]],3,0)</f>
        <v>45266</v>
      </c>
      <c r="D405" s="6" t="str">
        <f>VLOOKUP(Tabla4[[#This Row],[Codigo]],Tabla2[[Cod]:[Nombre ]],4,0)</f>
        <v>TIS-1314</v>
      </c>
      <c r="E405" s="5" t="str">
        <f>VLOOKUP(Tabla4[[#This Row],[Codigo]],Tabla2[[Cod]:[Nombre ]],8,0)</f>
        <v>PRODUCTORA INTERAMERICANA DE PLASTICOS S.A.S.</v>
      </c>
      <c r="F405" s="5" t="str">
        <f>VLOOKUP(Tabla4[[#This Row],[Codigo]],Tabla2[[Cod]:[Nombre ]],6,0)</f>
        <v>OK</v>
      </c>
      <c r="G405" s="7" t="s">
        <v>416</v>
      </c>
      <c r="H405" s="21" t="s">
        <v>519</v>
      </c>
      <c r="I405" s="21"/>
      <c r="J405" s="163">
        <v>1</v>
      </c>
      <c r="K405" s="294">
        <v>300000</v>
      </c>
      <c r="L405" s="298"/>
      <c r="M405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05" s="292">
        <f>IFERROR(Tabla4[[#This Row],[Sub Total]]*VLOOKUP(Tabla4[[#This Row],[No]],Parametros!A:C,3,0),0)</f>
        <v>57000</v>
      </c>
      <c r="O405" s="292">
        <f>+Tabla4[[#This Row],[IVA]]+Tabla4[[#This Row],[Sub Total]]</f>
        <v>357000</v>
      </c>
    </row>
    <row r="406" spans="1:15" ht="36" x14ac:dyDescent="0.2">
      <c r="A406" s="6">
        <v>347</v>
      </c>
      <c r="B406" s="6" t="str">
        <f>VLOOKUP(Tabla4[[#This Row],[Codigo]],Tabla2[[Cod]:[Nombre ]],2,0)</f>
        <v>P-1335</v>
      </c>
      <c r="C406" s="53">
        <f>VLOOKUP(Tabla4[[#This Row],[Codigo]],Tabla2[[Cod]:[Nombre ]],3,0)</f>
        <v>45266</v>
      </c>
      <c r="D406" s="6" t="str">
        <f>VLOOKUP(Tabla4[[#This Row],[Codigo]],Tabla2[[Cod]:[Nombre ]],4,0)</f>
        <v>TIS-1315</v>
      </c>
      <c r="E406" s="5" t="str">
        <f>VLOOKUP(Tabla4[[#This Row],[Codigo]],Tabla2[[Cod]:[Nombre ]],8,0)</f>
        <v>ROYCO SOLUCIONES SAS</v>
      </c>
      <c r="F406" s="5" t="str">
        <f>VLOOKUP(Tabla4[[#This Row],[Codigo]],Tabla2[[Cod]:[Nombre ]],6,0)</f>
        <v>OK</v>
      </c>
      <c r="G406" s="7" t="s">
        <v>416</v>
      </c>
      <c r="H406" s="21" t="s">
        <v>519</v>
      </c>
      <c r="I406" s="21"/>
      <c r="J406" s="163">
        <v>1</v>
      </c>
      <c r="K406" s="294">
        <v>175000</v>
      </c>
      <c r="L406" s="298"/>
      <c r="M406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406" s="292">
        <f>IFERROR(Tabla4[[#This Row],[Sub Total]]*VLOOKUP(Tabla4[[#This Row],[No]],Parametros!A:C,3,0),0)</f>
        <v>33250</v>
      </c>
      <c r="O406" s="292">
        <f>+Tabla4[[#This Row],[IVA]]+Tabla4[[#This Row],[Sub Total]]</f>
        <v>208250</v>
      </c>
    </row>
    <row r="407" spans="1:15" ht="45" x14ac:dyDescent="0.2">
      <c r="A407" s="6">
        <v>348</v>
      </c>
      <c r="B407" s="6" t="str">
        <f>VLOOKUP(Tabla4[[#This Row],[Codigo]],Tabla2[[Cod]:[Nombre ]],2,0)</f>
        <v>P-1336</v>
      </c>
      <c r="C407" s="53">
        <f>VLOOKUP(Tabla4[[#This Row],[Codigo]],Tabla2[[Cod]:[Nombre ]],3,0)</f>
        <v>45266</v>
      </c>
      <c r="D407" s="6" t="str">
        <f>VLOOKUP(Tabla4[[#This Row],[Codigo]],Tabla2[[Cod]:[Nombre ]],4,0)</f>
        <v>TIS-1316</v>
      </c>
      <c r="E407" s="5" t="str">
        <f>VLOOKUP(Tabla4[[#This Row],[Codigo]],Tabla2[[Cod]:[Nombre ]],8,0)</f>
        <v>DIGITAL MEDIA TECHNOLOGIES COLOMBIA SAS</v>
      </c>
      <c r="F407" s="5" t="str">
        <f>VLOOKUP(Tabla4[[#This Row],[Codigo]],Tabla2[[Cod]:[Nombre ]],6,0)</f>
        <v>OK</v>
      </c>
      <c r="G407" s="7" t="s">
        <v>416</v>
      </c>
      <c r="H407" s="21" t="s">
        <v>519</v>
      </c>
      <c r="I407" s="21"/>
      <c r="J407" s="163">
        <v>1</v>
      </c>
      <c r="K407" s="294">
        <v>250000</v>
      </c>
      <c r="L407" s="298"/>
      <c r="M407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407" s="292">
        <f>IFERROR(Tabla4[[#This Row],[Sub Total]]*VLOOKUP(Tabla4[[#This Row],[No]],Parametros!A:C,3,0),0)</f>
        <v>47500</v>
      </c>
      <c r="O407" s="292">
        <f>+Tabla4[[#This Row],[IVA]]+Tabla4[[#This Row],[Sub Total]]</f>
        <v>297500</v>
      </c>
    </row>
    <row r="408" spans="1:15" ht="36" x14ac:dyDescent="0.2">
      <c r="A408" s="6">
        <v>349</v>
      </c>
      <c r="B408" s="6" t="str">
        <f>VLOOKUP(Tabla4[[#This Row],[Codigo]],Tabla2[[Cod]:[Nombre ]],2,0)</f>
        <v>P-1337</v>
      </c>
      <c r="C408" s="53">
        <f>VLOOKUP(Tabla4[[#This Row],[Codigo]],Tabla2[[Cod]:[Nombre ]],3,0)</f>
        <v>45266</v>
      </c>
      <c r="D408" s="6" t="str">
        <f>VLOOKUP(Tabla4[[#This Row],[Codigo]],Tabla2[[Cod]:[Nombre ]],4,0)</f>
        <v>TIS-1317</v>
      </c>
      <c r="E408" s="5" t="str">
        <f>VLOOKUP(Tabla4[[#This Row],[Codigo]],Tabla2[[Cod]:[Nombre ]],8,0)</f>
        <v>TECNOLOGIA DE OFICINA S.A.S.</v>
      </c>
      <c r="F408" s="5" t="str">
        <f>VLOOKUP(Tabla4[[#This Row],[Codigo]],Tabla2[[Cod]:[Nombre ]],6,0)</f>
        <v>OK</v>
      </c>
      <c r="G408" s="7" t="s">
        <v>416</v>
      </c>
      <c r="H408" s="21" t="s">
        <v>519</v>
      </c>
      <c r="I408" s="21"/>
      <c r="J408" s="163">
        <v>1</v>
      </c>
      <c r="K408" s="294">
        <v>378000</v>
      </c>
      <c r="L408" s="298"/>
      <c r="M408" s="292">
        <f>IF(LEFT(Tabla4[[#This Row],[Electronica]],2)="NC",-Tabla4[[#This Row],[Cantidad]]*Tabla4[[#This Row],[Precio]]+Tabla4[[#This Row],[Dto]],Tabla4[[#This Row],[Cantidad]]*Tabla4[[#This Row],[Precio]]-Tabla4[[#This Row],[Dto]])</f>
        <v>378000</v>
      </c>
      <c r="N408" s="292">
        <f>IFERROR(Tabla4[[#This Row],[Sub Total]]*VLOOKUP(Tabla4[[#This Row],[No]],Parametros!A:C,3,0),0)</f>
        <v>71820</v>
      </c>
      <c r="O408" s="292">
        <f>+Tabla4[[#This Row],[IVA]]+Tabla4[[#This Row],[Sub Total]]</f>
        <v>449820</v>
      </c>
    </row>
    <row r="409" spans="1:15" ht="36" x14ac:dyDescent="0.2">
      <c r="A409" s="6">
        <v>350</v>
      </c>
      <c r="B409" s="6" t="str">
        <f>VLOOKUP(Tabla4[[#This Row],[Codigo]],Tabla2[[Cod]:[Nombre ]],2,0)</f>
        <v>P-1338</v>
      </c>
      <c r="C409" s="53">
        <f>VLOOKUP(Tabla4[[#This Row],[Codigo]],Tabla2[[Cod]:[Nombre ]],3,0)</f>
        <v>45266</v>
      </c>
      <c r="D409" s="6" t="str">
        <f>VLOOKUP(Tabla4[[#This Row],[Codigo]],Tabla2[[Cod]:[Nombre ]],4,0)</f>
        <v>TIS-1318</v>
      </c>
      <c r="E409" s="5" t="str">
        <f>VLOOKUP(Tabla4[[#This Row],[Codigo]],Tabla2[[Cod]:[Nombre ]],8,0)</f>
        <v>ALVEAR ESCOBAR ASOCIADOS S.A.S</v>
      </c>
      <c r="F409" s="5" t="str">
        <f>VLOOKUP(Tabla4[[#This Row],[Codigo]],Tabla2[[Cod]:[Nombre ]],6,0)</f>
        <v>OK</v>
      </c>
      <c r="G409" s="7" t="s">
        <v>416</v>
      </c>
      <c r="H409" s="21" t="s">
        <v>519</v>
      </c>
      <c r="I409" s="21"/>
      <c r="J409" s="163">
        <v>1</v>
      </c>
      <c r="K409" s="294">
        <v>187500</v>
      </c>
      <c r="L409" s="298"/>
      <c r="M409" s="292">
        <f>IF(LEFT(Tabla4[[#This Row],[Electronica]],2)="NC",-Tabla4[[#This Row],[Cantidad]]*Tabla4[[#This Row],[Precio]]+Tabla4[[#This Row],[Dto]],Tabla4[[#This Row],[Cantidad]]*Tabla4[[#This Row],[Precio]]-Tabla4[[#This Row],[Dto]])</f>
        <v>187500</v>
      </c>
      <c r="N409" s="292">
        <f>IFERROR(Tabla4[[#This Row],[Sub Total]]*VLOOKUP(Tabla4[[#This Row],[No]],Parametros!A:C,3,0),0)</f>
        <v>35625</v>
      </c>
      <c r="O409" s="292">
        <f>+Tabla4[[#This Row],[IVA]]+Tabla4[[#This Row],[Sub Total]]</f>
        <v>223125</v>
      </c>
    </row>
    <row r="410" spans="1:15" ht="36" x14ac:dyDescent="0.2">
      <c r="A410" s="6">
        <v>351</v>
      </c>
      <c r="B410" s="6" t="str">
        <f>VLOOKUP(Tabla4[[#This Row],[Codigo]],Tabla2[[Cod]:[Nombre ]],2,0)</f>
        <v>P-1339</v>
      </c>
      <c r="C410" s="53">
        <f>VLOOKUP(Tabla4[[#This Row],[Codigo]],Tabla2[[Cod]:[Nombre ]],3,0)</f>
        <v>45266</v>
      </c>
      <c r="D410" s="6" t="str">
        <f>VLOOKUP(Tabla4[[#This Row],[Codigo]],Tabla2[[Cod]:[Nombre ]],4,0)</f>
        <v>TIS-1319</v>
      </c>
      <c r="E410" s="5" t="str">
        <f>VLOOKUP(Tabla4[[#This Row],[Codigo]],Tabla2[[Cod]:[Nombre ]],8,0)</f>
        <v>Inversiones Sajamib SAS</v>
      </c>
      <c r="F410" s="5" t="str">
        <f>VLOOKUP(Tabla4[[#This Row],[Codigo]],Tabla2[[Cod]:[Nombre ]],6,0)</f>
        <v>OK</v>
      </c>
      <c r="G410" s="7" t="s">
        <v>417</v>
      </c>
      <c r="H410" s="21" t="s">
        <v>525</v>
      </c>
      <c r="I410" s="21"/>
      <c r="J410" s="163">
        <v>1</v>
      </c>
      <c r="K410" s="294">
        <v>400000</v>
      </c>
      <c r="L410" s="298"/>
      <c r="M410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410" s="292">
        <f>IFERROR(Tabla4[[#This Row],[Sub Total]]*VLOOKUP(Tabla4[[#This Row],[No]],Parametros!A:C,3,0),0)</f>
        <v>0</v>
      </c>
      <c r="O410" s="292">
        <f>+Tabla4[[#This Row],[IVA]]+Tabla4[[#This Row],[Sub Total]]</f>
        <v>400000</v>
      </c>
    </row>
    <row r="411" spans="1:15" ht="36" x14ac:dyDescent="0.2">
      <c r="A411" s="6">
        <v>352</v>
      </c>
      <c r="B411" s="6" t="str">
        <f>VLOOKUP(Tabla4[[#This Row],[Codigo]],Tabla2[[Cod]:[Nombre ]],2,0)</f>
        <v>P-1340</v>
      </c>
      <c r="C411" s="53">
        <f>VLOOKUP(Tabla4[[#This Row],[Codigo]],Tabla2[[Cod]:[Nombre ]],3,0)</f>
        <v>45266</v>
      </c>
      <c r="D411" s="6" t="str">
        <f>VLOOKUP(Tabla4[[#This Row],[Codigo]],Tabla2[[Cod]:[Nombre ]],4,0)</f>
        <v>TIS-1320</v>
      </c>
      <c r="E411" s="5" t="str">
        <f>VLOOKUP(Tabla4[[#This Row],[Codigo]],Tabla2[[Cod]:[Nombre ]],8,0)</f>
        <v>Maria del Pilar Alvarado Joya</v>
      </c>
      <c r="F411" s="5" t="str">
        <f>VLOOKUP(Tabla4[[#This Row],[Codigo]],Tabla2[[Cod]:[Nombre ]],6,0)</f>
        <v>OK</v>
      </c>
      <c r="G411" s="7" t="s">
        <v>417</v>
      </c>
      <c r="H411" s="21" t="s">
        <v>525</v>
      </c>
      <c r="I411" s="21"/>
      <c r="J411" s="163">
        <v>1</v>
      </c>
      <c r="K411" s="294">
        <v>300000</v>
      </c>
      <c r="L411" s="298"/>
      <c r="M411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11" s="292">
        <f>IFERROR(Tabla4[[#This Row],[Sub Total]]*VLOOKUP(Tabla4[[#This Row],[No]],Parametros!A:C,3,0),0)</f>
        <v>0</v>
      </c>
      <c r="O411" s="292">
        <f>+Tabla4[[#This Row],[IVA]]+Tabla4[[#This Row],[Sub Total]]</f>
        <v>300000</v>
      </c>
    </row>
    <row r="412" spans="1:15" ht="24" x14ac:dyDescent="0.2">
      <c r="A412" s="6">
        <v>353</v>
      </c>
      <c r="B412" s="6" t="str">
        <f>VLOOKUP(Tabla4[[#This Row],[Codigo]],Tabla2[[Cod]:[Nombre ]],2,0)</f>
        <v>P-1341</v>
      </c>
      <c r="C412" s="53">
        <f>VLOOKUP(Tabla4[[#This Row],[Codigo]],Tabla2[[Cod]:[Nombre ]],3,0)</f>
        <v>45266</v>
      </c>
      <c r="D412" s="6" t="str">
        <f>VLOOKUP(Tabla4[[#This Row],[Codigo]],Tabla2[[Cod]:[Nombre ]],4,0)</f>
        <v>TIS-1321</v>
      </c>
      <c r="E412" s="5" t="str">
        <f>VLOOKUP(Tabla4[[#This Row],[Codigo]],Tabla2[[Cod]:[Nombre ]],8,0)</f>
        <v>PURICOL LTDA</v>
      </c>
      <c r="F412" s="5" t="str">
        <f>VLOOKUP(Tabla4[[#This Row],[Codigo]],Tabla2[[Cod]:[Nombre ]],6,0)</f>
        <v>OK</v>
      </c>
      <c r="G412" s="7">
        <v>13</v>
      </c>
      <c r="H412" s="21" t="s">
        <v>596</v>
      </c>
      <c r="I412" s="21"/>
      <c r="J412" s="163">
        <v>1</v>
      </c>
      <c r="K412" s="294">
        <v>900000</v>
      </c>
      <c r="L412" s="298"/>
      <c r="M412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412" s="292">
        <f>IFERROR(Tabla4[[#This Row],[Sub Total]]*VLOOKUP(Tabla4[[#This Row],[No]],Parametros!A:C,3,0),0)</f>
        <v>171000</v>
      </c>
      <c r="O412" s="292">
        <f>+Tabla4[[#This Row],[IVA]]+Tabla4[[#This Row],[Sub Total]]</f>
        <v>1071000</v>
      </c>
    </row>
    <row r="413" spans="1:15" ht="24" x14ac:dyDescent="0.2">
      <c r="A413" s="6">
        <v>354</v>
      </c>
      <c r="B413" s="6" t="str">
        <f>VLOOKUP(Tabla4[[#This Row],[Codigo]],Tabla2[[Cod]:[Nombre ]],2,0)</f>
        <v>P-1342</v>
      </c>
      <c r="C413" s="53">
        <f>VLOOKUP(Tabla4[[#This Row],[Codigo]],Tabla2[[Cod]:[Nombre ]],3,0)</f>
        <v>45294</v>
      </c>
      <c r="D413" s="6" t="str">
        <f>VLOOKUP(Tabla4[[#This Row],[Codigo]],Tabla2[[Cod]:[Nombre ]],4,0)</f>
        <v>TIS-1322</v>
      </c>
      <c r="E413" s="5" t="str">
        <f>VLOOKUP(Tabla4[[#This Row],[Codigo]],Tabla2[[Cod]:[Nombre ]],8,0)</f>
        <v xml:space="preserve">DEVISAB SAS </v>
      </c>
      <c r="F413" s="5" t="str">
        <f>VLOOKUP(Tabla4[[#This Row],[Codigo]],Tabla2[[Cod]:[Nombre ]],6,0)</f>
        <v>OK</v>
      </c>
      <c r="G413" s="7" t="s">
        <v>282</v>
      </c>
      <c r="H413" s="21" t="s">
        <v>16</v>
      </c>
      <c r="I413" s="21"/>
      <c r="J413" s="163">
        <v>230</v>
      </c>
      <c r="K413" s="294">
        <v>42000</v>
      </c>
      <c r="L413" s="298"/>
      <c r="M413" s="292">
        <f>IF(LEFT(Tabla4[[#This Row],[Electronica]],2)="NC",-Tabla4[[#This Row],[Cantidad]]*Tabla4[[#This Row],[Precio]]+Tabla4[[#This Row],[Dto]],Tabla4[[#This Row],[Cantidad]]*Tabla4[[#This Row],[Precio]]-Tabla4[[#This Row],[Dto]])</f>
        <v>9660000</v>
      </c>
      <c r="N413" s="292">
        <f>IFERROR(Tabla4[[#This Row],[Sub Total]]*VLOOKUP(Tabla4[[#This Row],[No]],Parametros!A:C,3,0),0)</f>
        <v>1835400</v>
      </c>
      <c r="O413" s="292">
        <f>+Tabla4[[#This Row],[IVA]]+Tabla4[[#This Row],[Sub Total]]</f>
        <v>11495400</v>
      </c>
    </row>
    <row r="414" spans="1:15" ht="36" x14ac:dyDescent="0.2">
      <c r="A414" s="6">
        <v>355</v>
      </c>
      <c r="B414" s="6" t="str">
        <f>VLOOKUP(Tabla4[[#This Row],[Codigo]],Tabla2[[Cod]:[Nombre ]],2,0)</f>
        <v>P-1343</v>
      </c>
      <c r="C414" s="53">
        <f>VLOOKUP(Tabla4[[#This Row],[Codigo]],Tabla2[[Cod]:[Nombre ]],3,0)</f>
        <v>45294</v>
      </c>
      <c r="D414" s="6" t="str">
        <f>VLOOKUP(Tabla4[[#This Row],[Codigo]],Tabla2[[Cod]:[Nombre ]],4,0)</f>
        <v>TIS-1323</v>
      </c>
      <c r="E414" s="5" t="str">
        <f>VLOOKUP(Tabla4[[#This Row],[Codigo]],Tabla2[[Cod]:[Nombre ]],8,0)</f>
        <v>Comercializadora ERZ SAS</v>
      </c>
      <c r="F414" s="5" t="str">
        <f>VLOOKUP(Tabla4[[#This Row],[Codigo]],Tabla2[[Cod]:[Nombre ]],6,0)</f>
        <v>OK</v>
      </c>
      <c r="G414" s="7" t="s">
        <v>416</v>
      </c>
      <c r="H414" s="21" t="s">
        <v>519</v>
      </c>
      <c r="I414" s="21"/>
      <c r="J414" s="163">
        <v>1</v>
      </c>
      <c r="K414" s="294">
        <v>260000</v>
      </c>
      <c r="L414" s="298"/>
      <c r="M414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414" s="292">
        <f>IFERROR(Tabla4[[#This Row],[Sub Total]]*VLOOKUP(Tabla4[[#This Row],[No]],Parametros!A:C,3,0),0)</f>
        <v>49400</v>
      </c>
      <c r="O414" s="292">
        <f>+Tabla4[[#This Row],[IVA]]+Tabla4[[#This Row],[Sub Total]]</f>
        <v>309400</v>
      </c>
    </row>
    <row r="415" spans="1:15" ht="45" x14ac:dyDescent="0.2">
      <c r="A415" s="6">
        <v>356</v>
      </c>
      <c r="B415" s="6" t="str">
        <f>VLOOKUP(Tabla4[[#This Row],[Codigo]],Tabla2[[Cod]:[Nombre ]],2,0)</f>
        <v>P-1344</v>
      </c>
      <c r="C415" s="53">
        <f>VLOOKUP(Tabla4[[#This Row],[Codigo]],Tabla2[[Cod]:[Nombre ]],3,0)</f>
        <v>45294</v>
      </c>
      <c r="D415" s="6" t="str">
        <f>VLOOKUP(Tabla4[[#This Row],[Codigo]],Tabla2[[Cod]:[Nombre ]],4,0)</f>
        <v>TIS-1324</v>
      </c>
      <c r="E415" s="5" t="str">
        <f>VLOOKUP(Tabla4[[#This Row],[Codigo]],Tabla2[[Cod]:[Nombre ]],8,0)</f>
        <v>PRODUCTORA INTERAMERICANA DE PLASTICOS S.A.S.</v>
      </c>
      <c r="F415" s="5" t="str">
        <f>VLOOKUP(Tabla4[[#This Row],[Codigo]],Tabla2[[Cod]:[Nombre ]],6,0)</f>
        <v>OK</v>
      </c>
      <c r="G415" s="7" t="s">
        <v>416</v>
      </c>
      <c r="H415" s="21" t="s">
        <v>519</v>
      </c>
      <c r="I415" s="21"/>
      <c r="J415" s="163">
        <v>1</v>
      </c>
      <c r="K415" s="294">
        <v>300000</v>
      </c>
      <c r="L415" s="298"/>
      <c r="M415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15" s="292">
        <f>IFERROR(Tabla4[[#This Row],[Sub Total]]*VLOOKUP(Tabla4[[#This Row],[No]],Parametros!A:C,3,0),0)</f>
        <v>57000</v>
      </c>
      <c r="O415" s="292">
        <f>+Tabla4[[#This Row],[IVA]]+Tabla4[[#This Row],[Sub Total]]</f>
        <v>357000</v>
      </c>
    </row>
    <row r="416" spans="1:15" ht="36" x14ac:dyDescent="0.2">
      <c r="A416" s="6">
        <v>357</v>
      </c>
      <c r="B416" s="6" t="str">
        <f>VLOOKUP(Tabla4[[#This Row],[Codigo]],Tabla2[[Cod]:[Nombre ]],2,0)</f>
        <v>P-1345</v>
      </c>
      <c r="C416" s="53">
        <f>VLOOKUP(Tabla4[[#This Row],[Codigo]],Tabla2[[Cod]:[Nombre ]],3,0)</f>
        <v>45294</v>
      </c>
      <c r="D416" s="6" t="str">
        <f>VLOOKUP(Tabla4[[#This Row],[Codigo]],Tabla2[[Cod]:[Nombre ]],4,0)</f>
        <v>TIS-1325</v>
      </c>
      <c r="E416" s="5" t="str">
        <f>VLOOKUP(Tabla4[[#This Row],[Codigo]],Tabla2[[Cod]:[Nombre ]],8,0)</f>
        <v>ROYCO SOLUCIONES SAS</v>
      </c>
      <c r="F416" s="5" t="str">
        <f>VLOOKUP(Tabla4[[#This Row],[Codigo]],Tabla2[[Cod]:[Nombre ]],6,0)</f>
        <v>OK</v>
      </c>
      <c r="G416" s="7" t="s">
        <v>416</v>
      </c>
      <c r="H416" s="21" t="s">
        <v>519</v>
      </c>
      <c r="I416" s="21"/>
      <c r="J416" s="163">
        <v>1</v>
      </c>
      <c r="K416" s="294">
        <v>175000</v>
      </c>
      <c r="L416" s="298"/>
      <c r="M416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416" s="292">
        <f>IFERROR(Tabla4[[#This Row],[Sub Total]]*VLOOKUP(Tabla4[[#This Row],[No]],Parametros!A:C,3,0),0)</f>
        <v>33250</v>
      </c>
      <c r="O416" s="292">
        <f>+Tabla4[[#This Row],[IVA]]+Tabla4[[#This Row],[Sub Total]]</f>
        <v>208250</v>
      </c>
    </row>
    <row r="417" spans="1:15" ht="45" x14ac:dyDescent="0.2">
      <c r="A417" s="6">
        <v>358</v>
      </c>
      <c r="B417" s="6" t="str">
        <f>VLOOKUP(Tabla4[[#This Row],[Codigo]],Tabla2[[Cod]:[Nombre ]],2,0)</f>
        <v>P-1346</v>
      </c>
      <c r="C417" s="53">
        <f>VLOOKUP(Tabla4[[#This Row],[Codigo]],Tabla2[[Cod]:[Nombre ]],3,0)</f>
        <v>45294</v>
      </c>
      <c r="D417" s="6" t="str">
        <f>VLOOKUP(Tabla4[[#This Row],[Codigo]],Tabla2[[Cod]:[Nombre ]],4,0)</f>
        <v>TIS-1326</v>
      </c>
      <c r="E417" s="5" t="str">
        <f>VLOOKUP(Tabla4[[#This Row],[Codigo]],Tabla2[[Cod]:[Nombre ]],8,0)</f>
        <v>DIGITAL MEDIA TECHNOLOGIES COLOMBIA SAS</v>
      </c>
      <c r="F417" s="5" t="str">
        <f>VLOOKUP(Tabla4[[#This Row],[Codigo]],Tabla2[[Cod]:[Nombre ]],6,0)</f>
        <v>OK</v>
      </c>
      <c r="G417" s="7" t="s">
        <v>416</v>
      </c>
      <c r="H417" s="21" t="s">
        <v>519</v>
      </c>
      <c r="I417" s="21"/>
      <c r="J417" s="163">
        <v>1</v>
      </c>
      <c r="K417" s="294">
        <v>250000</v>
      </c>
      <c r="L417" s="298"/>
      <c r="M417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417" s="292">
        <f>IFERROR(Tabla4[[#This Row],[Sub Total]]*VLOOKUP(Tabla4[[#This Row],[No]],Parametros!A:C,3,0),0)</f>
        <v>47500</v>
      </c>
      <c r="O417" s="292">
        <f>+Tabla4[[#This Row],[IVA]]+Tabla4[[#This Row],[Sub Total]]</f>
        <v>297500</v>
      </c>
    </row>
    <row r="418" spans="1:15" ht="36" x14ac:dyDescent="0.2">
      <c r="A418" s="6">
        <v>359</v>
      </c>
      <c r="B418" s="6" t="str">
        <f>VLOOKUP(Tabla4[[#This Row],[Codigo]],Tabla2[[Cod]:[Nombre ]],2,0)</f>
        <v>P-1347</v>
      </c>
      <c r="C418" s="53">
        <f>VLOOKUP(Tabla4[[#This Row],[Codigo]],Tabla2[[Cod]:[Nombre ]],3,0)</f>
        <v>45294</v>
      </c>
      <c r="D418" s="6" t="str">
        <f>VLOOKUP(Tabla4[[#This Row],[Codigo]],Tabla2[[Cod]:[Nombre ]],4,0)</f>
        <v>TIS-1327</v>
      </c>
      <c r="E418" s="5" t="str">
        <f>VLOOKUP(Tabla4[[#This Row],[Codigo]],Tabla2[[Cod]:[Nombre ]],8,0)</f>
        <v>Inversiones Sajamib SAS</v>
      </c>
      <c r="F418" s="5" t="str">
        <f>VLOOKUP(Tabla4[[#This Row],[Codigo]],Tabla2[[Cod]:[Nombre ]],6,0)</f>
        <v>OK</v>
      </c>
      <c r="G418" s="7" t="s">
        <v>417</v>
      </c>
      <c r="H418" s="21" t="s">
        <v>525</v>
      </c>
      <c r="I418" s="21"/>
      <c r="J418" s="163">
        <v>1</v>
      </c>
      <c r="K418" s="294">
        <v>400000</v>
      </c>
      <c r="L418" s="298"/>
      <c r="M418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418" s="292">
        <f>IFERROR(Tabla4[[#This Row],[Sub Total]]*VLOOKUP(Tabla4[[#This Row],[No]],Parametros!A:C,3,0),0)</f>
        <v>0</v>
      </c>
      <c r="O418" s="292">
        <f>+Tabla4[[#This Row],[IVA]]+Tabla4[[#This Row],[Sub Total]]</f>
        <v>400000</v>
      </c>
    </row>
    <row r="419" spans="1:15" ht="36" x14ac:dyDescent="0.2">
      <c r="A419" s="6">
        <v>360</v>
      </c>
      <c r="B419" s="6" t="str">
        <f>VLOOKUP(Tabla4[[#This Row],[Codigo]],Tabla2[[Cod]:[Nombre ]],2,0)</f>
        <v>P-1348</v>
      </c>
      <c r="C419" s="53">
        <f>VLOOKUP(Tabla4[[#This Row],[Codigo]],Tabla2[[Cod]:[Nombre ]],3,0)</f>
        <v>45294</v>
      </c>
      <c r="D419" s="6" t="str">
        <f>VLOOKUP(Tabla4[[#This Row],[Codigo]],Tabla2[[Cod]:[Nombre ]],4,0)</f>
        <v>TIS-1328</v>
      </c>
      <c r="E419" s="5" t="str">
        <f>VLOOKUP(Tabla4[[#This Row],[Codigo]],Tabla2[[Cod]:[Nombre ]],8,0)</f>
        <v>Maria del Pilar Alvarado Joya</v>
      </c>
      <c r="F419" s="5" t="str">
        <f>VLOOKUP(Tabla4[[#This Row],[Codigo]],Tabla2[[Cod]:[Nombre ]],6,0)</f>
        <v>OK</v>
      </c>
      <c r="G419" s="7" t="s">
        <v>417</v>
      </c>
      <c r="H419" s="21" t="s">
        <v>525</v>
      </c>
      <c r="I419" s="21"/>
      <c r="J419" s="163">
        <v>1</v>
      </c>
      <c r="K419" s="294">
        <v>900000</v>
      </c>
      <c r="L419" s="298"/>
      <c r="M419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419" s="292">
        <f>IFERROR(Tabla4[[#This Row],[Sub Total]]*VLOOKUP(Tabla4[[#This Row],[No]],Parametros!A:C,3,0),0)</f>
        <v>0</v>
      </c>
      <c r="O419" s="292">
        <f>+Tabla4[[#This Row],[IVA]]+Tabla4[[#This Row],[Sub Total]]</f>
        <v>900000</v>
      </c>
    </row>
    <row r="420" spans="1:15" ht="36" x14ac:dyDescent="0.2">
      <c r="A420" s="6">
        <v>361</v>
      </c>
      <c r="B420" s="6" t="str">
        <f>VLOOKUP(Tabla4[[#This Row],[Codigo]],Tabla2[[Cod]:[Nombre ]],2,0)</f>
        <v>P-1349</v>
      </c>
      <c r="C420" s="53">
        <f>VLOOKUP(Tabla4[[#This Row],[Codigo]],Tabla2[[Cod]:[Nombre ]],3,0)</f>
        <v>45294</v>
      </c>
      <c r="D420" s="6" t="str">
        <f>VLOOKUP(Tabla4[[#This Row],[Codigo]],Tabla2[[Cod]:[Nombre ]],4,0)</f>
        <v>TIS-1329</v>
      </c>
      <c r="E420" s="5" t="str">
        <f>VLOOKUP(Tabla4[[#This Row],[Codigo]],Tabla2[[Cod]:[Nombre ]],8,0)</f>
        <v>Maria del Pilar Alvarado Joya</v>
      </c>
      <c r="F420" s="5" t="str">
        <f>VLOOKUP(Tabla4[[#This Row],[Codigo]],Tabla2[[Cod]:[Nombre ]],6,0)</f>
        <v>OK</v>
      </c>
      <c r="G420" s="7" t="s">
        <v>417</v>
      </c>
      <c r="H420" s="21" t="s">
        <v>525</v>
      </c>
      <c r="I420" s="21"/>
      <c r="J420" s="163">
        <v>1</v>
      </c>
      <c r="K420" s="294">
        <v>300000</v>
      </c>
      <c r="L420" s="298"/>
      <c r="M420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20" s="292">
        <f>IFERROR(Tabla4[[#This Row],[Sub Total]]*VLOOKUP(Tabla4[[#This Row],[No]],Parametros!A:C,3,0),0)</f>
        <v>0</v>
      </c>
      <c r="O420" s="292">
        <f>+Tabla4[[#This Row],[IVA]]+Tabla4[[#This Row],[Sub Total]]</f>
        <v>300000</v>
      </c>
    </row>
    <row r="421" spans="1:15" ht="45" x14ac:dyDescent="0.2">
      <c r="A421" s="6">
        <v>362</v>
      </c>
      <c r="B421" s="6" t="str">
        <f>VLOOKUP(Tabla4[[#This Row],[Codigo]],Tabla2[[Cod]:[Nombre ]],2,0)</f>
        <v>P-1350</v>
      </c>
      <c r="C421" s="53">
        <f>VLOOKUP(Tabla4[[#This Row],[Codigo]],Tabla2[[Cod]:[Nombre ]],3,0)</f>
        <v>45736</v>
      </c>
      <c r="D421" s="6" t="str">
        <f>VLOOKUP(Tabla4[[#This Row],[Codigo]],Tabla2[[Cod]:[Nombre ]],4,0)</f>
        <v>NC37</v>
      </c>
      <c r="E421" s="5" t="str">
        <f>VLOOKUP(Tabla4[[#This Row],[Codigo]],Tabla2[[Cod]:[Nombre ]],8,0)</f>
        <v>INSTITUTO DISTRITAL DE CIENCIA, BIOTECNOLOGIA E INNOVACION EN SALUD</v>
      </c>
      <c r="F421" s="5" t="str">
        <f>VLOOKUP(Tabla4[[#This Row],[Codigo]],Tabla2[[Cod]:[Nombre ]],6,0)</f>
        <v>OK</v>
      </c>
      <c r="G421" s="7" t="s">
        <v>282</v>
      </c>
      <c r="H421" s="21" t="s">
        <v>16</v>
      </c>
      <c r="I421" s="21"/>
      <c r="J421" s="163">
        <v>253</v>
      </c>
      <c r="K421" s="294">
        <v>30000</v>
      </c>
      <c r="L421" s="298"/>
      <c r="M421" s="292">
        <f>IF(LEFT(Tabla4[[#This Row],[Electronica]],2)="NC",-Tabla4[[#This Row],[Cantidad]]*Tabla4[[#This Row],[Precio]]+Tabla4[[#This Row],[Dto]],Tabla4[[#This Row],[Cantidad]]*Tabla4[[#This Row],[Precio]]-Tabla4[[#This Row],[Dto]])</f>
        <v>-7590000</v>
      </c>
      <c r="N421" s="292">
        <f>IFERROR(Tabla4[[#This Row],[Sub Total]]*VLOOKUP(Tabla4[[#This Row],[No]],Parametros!A:C,3,0),0)</f>
        <v>-1442100</v>
      </c>
      <c r="O421" s="292">
        <f>+Tabla4[[#This Row],[IVA]]+Tabla4[[#This Row],[Sub Total]]</f>
        <v>-9032100</v>
      </c>
    </row>
    <row r="422" spans="1:15" ht="30" x14ac:dyDescent="0.2">
      <c r="A422" s="6">
        <v>363</v>
      </c>
      <c r="B422" s="6" t="str">
        <f>VLOOKUP(Tabla4[[#This Row],[Codigo]],Tabla2[[Cod]:[Nombre ]],2,0)</f>
        <v>P-1351</v>
      </c>
      <c r="C422" s="53">
        <f>VLOOKUP(Tabla4[[#This Row],[Codigo]],Tabla2[[Cod]:[Nombre ]],3,0)</f>
        <v>45558</v>
      </c>
      <c r="D422" s="6" t="str">
        <f>VLOOKUP(Tabla4[[#This Row],[Codigo]],Tabla2[[Cod]:[Nombre ]],4,0)</f>
        <v>NC39</v>
      </c>
      <c r="E422" s="5" t="str">
        <f>VLOOKUP(Tabla4[[#This Row],[Codigo]],Tabla2[[Cod]:[Nombre ]],8,0)</f>
        <v>EVAL.COM CONSULTING SAS</v>
      </c>
      <c r="F422" s="5" t="str">
        <f>VLOOKUP(Tabla4[[#This Row],[Codigo]],Tabla2[[Cod]:[Nombre ]],6,0)</f>
        <v>OK</v>
      </c>
      <c r="G422" s="7" t="s">
        <v>282</v>
      </c>
      <c r="H422" s="21" t="s">
        <v>16</v>
      </c>
      <c r="I422" s="21"/>
      <c r="J422" s="163">
        <v>27</v>
      </c>
      <c r="K422" s="294">
        <v>40000</v>
      </c>
      <c r="L422" s="298"/>
      <c r="M422" s="292">
        <f>IF(LEFT(Tabla4[[#This Row],[Electronica]],2)="NC",-Tabla4[[#This Row],[Cantidad]]*Tabla4[[#This Row],[Precio]]+Tabla4[[#This Row],[Dto]],Tabla4[[#This Row],[Cantidad]]*Tabla4[[#This Row],[Precio]]-Tabla4[[#This Row],[Dto]])</f>
        <v>-1080000</v>
      </c>
      <c r="N422" s="292">
        <f>IFERROR(Tabla4[[#This Row],[Sub Total]]*VLOOKUP(Tabla4[[#This Row],[No]],Parametros!A:C,3,0),0)</f>
        <v>-205200</v>
      </c>
      <c r="O422" s="292">
        <f>+Tabla4[[#This Row],[IVA]]+Tabla4[[#This Row],[Sub Total]]</f>
        <v>-1285200</v>
      </c>
    </row>
    <row r="423" spans="1:15" ht="60" x14ac:dyDescent="0.2">
      <c r="A423" s="6">
        <v>364</v>
      </c>
      <c r="B423" s="6" t="str">
        <f>VLOOKUP(Tabla4[[#This Row],[Codigo]],Tabla2[[Cod]:[Nombre ]],2,0)</f>
        <v>P-1352</v>
      </c>
      <c r="C423" s="53">
        <f>VLOOKUP(Tabla4[[#This Row],[Codigo]],Tabla2[[Cod]:[Nombre ]],3,0)</f>
        <v>45309</v>
      </c>
      <c r="D423" s="6" t="str">
        <f>VLOOKUP(Tabla4[[#This Row],[Codigo]],Tabla2[[Cod]:[Nombre ]],4,0)</f>
        <v>TIS-1332</v>
      </c>
      <c r="E423" s="5" t="str">
        <f>VLOOKUP(Tabla4[[#This Row],[Codigo]],Tabla2[[Cod]:[Nombre ]],8,0)</f>
        <v>TBTB GLOBAL LAB SAS</v>
      </c>
      <c r="F423" s="5" t="str">
        <f>VLOOKUP(Tabla4[[#This Row],[Codigo]],Tabla2[[Cod]:[Nombre ]],6,0)</f>
        <v>OK</v>
      </c>
      <c r="G423" s="7" t="s">
        <v>433</v>
      </c>
      <c r="H423" s="21" t="s">
        <v>517</v>
      </c>
      <c r="I423" s="21" t="s">
        <v>611</v>
      </c>
      <c r="J423" s="163">
        <v>1</v>
      </c>
      <c r="K423" s="294">
        <v>850000</v>
      </c>
      <c r="L423" s="298"/>
      <c r="M423" s="292">
        <f>IF(LEFT(Tabla4[[#This Row],[Electronica]],2)="NC",-Tabla4[[#This Row],[Cantidad]]*Tabla4[[#This Row],[Precio]]+Tabla4[[#This Row],[Dto]],Tabla4[[#This Row],[Cantidad]]*Tabla4[[#This Row],[Precio]]-Tabla4[[#This Row],[Dto]])</f>
        <v>850000</v>
      </c>
      <c r="N423" s="292">
        <f>IFERROR(Tabla4[[#This Row],[Sub Total]]*VLOOKUP(Tabla4[[#This Row],[No]],Parametros!A:C,3,0),0)</f>
        <v>161500</v>
      </c>
      <c r="O423" s="292">
        <f>+Tabla4[[#This Row],[IVA]]+Tabla4[[#This Row],[Sub Total]]</f>
        <v>1011500</v>
      </c>
    </row>
    <row r="424" spans="1:15" ht="36" x14ac:dyDescent="0.2">
      <c r="A424" s="6">
        <v>365</v>
      </c>
      <c r="B424" s="6" t="str">
        <f>VLOOKUP(Tabla4[[#This Row],[Codigo]],Tabla2[[Cod]:[Nombre ]],2,0)</f>
        <v>P-1353</v>
      </c>
      <c r="C424" s="53">
        <f>VLOOKUP(Tabla4[[#This Row],[Codigo]],Tabla2[[Cod]:[Nombre ]],3,0)</f>
        <v>45330</v>
      </c>
      <c r="D424" s="6" t="str">
        <f>VLOOKUP(Tabla4[[#This Row],[Codigo]],Tabla2[[Cod]:[Nombre ]],4,0)</f>
        <v>TIS-1334</v>
      </c>
      <c r="E424" s="5" t="str">
        <f>VLOOKUP(Tabla4[[#This Row],[Codigo]],Tabla2[[Cod]:[Nombre ]],8,0)</f>
        <v>Comercializadora ERZ SAS</v>
      </c>
      <c r="F424" s="5" t="str">
        <f>VLOOKUP(Tabla4[[#This Row],[Codigo]],Tabla2[[Cod]:[Nombre ]],6,0)</f>
        <v>OK</v>
      </c>
      <c r="G424" s="7" t="s">
        <v>416</v>
      </c>
      <c r="H424" s="21" t="s">
        <v>519</v>
      </c>
      <c r="I424" s="21" t="s">
        <v>612</v>
      </c>
      <c r="J424" s="163">
        <v>1</v>
      </c>
      <c r="K424" s="294">
        <v>260000</v>
      </c>
      <c r="L424" s="298"/>
      <c r="M424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424" s="292">
        <f>IFERROR(Tabla4[[#This Row],[Sub Total]]*VLOOKUP(Tabla4[[#This Row],[No]],Parametros!A:C,3,0),0)</f>
        <v>49400</v>
      </c>
      <c r="O424" s="292">
        <f>+Tabla4[[#This Row],[IVA]]+Tabla4[[#This Row],[Sub Total]]</f>
        <v>309400</v>
      </c>
    </row>
    <row r="425" spans="1:15" ht="45" x14ac:dyDescent="0.2">
      <c r="A425" s="6">
        <v>366</v>
      </c>
      <c r="B425" s="6" t="str">
        <f>VLOOKUP(Tabla4[[#This Row],[Codigo]],Tabla2[[Cod]:[Nombre ]],2,0)</f>
        <v>P-1354</v>
      </c>
      <c r="C425" s="53">
        <f>VLOOKUP(Tabla4[[#This Row],[Codigo]],Tabla2[[Cod]:[Nombre ]],3,0)</f>
        <v>45330</v>
      </c>
      <c r="D425" s="6" t="str">
        <f>VLOOKUP(Tabla4[[#This Row],[Codigo]],Tabla2[[Cod]:[Nombre ]],4,0)</f>
        <v>TIS-1335</v>
      </c>
      <c r="E425" s="5" t="str">
        <f>VLOOKUP(Tabla4[[#This Row],[Codigo]],Tabla2[[Cod]:[Nombre ]],8,0)</f>
        <v>PRODUCTORA INTERAMERICANA DE PLASTICOS S.A.S.</v>
      </c>
      <c r="F425" s="5" t="str">
        <f>VLOOKUP(Tabla4[[#This Row],[Codigo]],Tabla2[[Cod]:[Nombre ]],6,0)</f>
        <v>OK</v>
      </c>
      <c r="G425" s="7" t="s">
        <v>416</v>
      </c>
      <c r="H425" s="21" t="s">
        <v>519</v>
      </c>
      <c r="I425" s="21" t="s">
        <v>612</v>
      </c>
      <c r="J425" s="163">
        <v>1</v>
      </c>
      <c r="K425" s="294">
        <v>300000</v>
      </c>
      <c r="L425" s="298"/>
      <c r="M425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25" s="292">
        <f>IFERROR(Tabla4[[#This Row],[Sub Total]]*VLOOKUP(Tabla4[[#This Row],[No]],Parametros!A:C,3,0),0)</f>
        <v>57000</v>
      </c>
      <c r="O425" s="292">
        <f>+Tabla4[[#This Row],[IVA]]+Tabla4[[#This Row],[Sub Total]]</f>
        <v>357000</v>
      </c>
    </row>
    <row r="426" spans="1:15" ht="36" x14ac:dyDescent="0.2">
      <c r="A426" s="6">
        <v>367</v>
      </c>
      <c r="B426" s="6" t="str">
        <f>VLOOKUP(Tabla4[[#This Row],[Codigo]],Tabla2[[Cod]:[Nombre ]],2,0)</f>
        <v>P-1355</v>
      </c>
      <c r="C426" s="53">
        <f>VLOOKUP(Tabla4[[#This Row],[Codigo]],Tabla2[[Cod]:[Nombre ]],3,0)</f>
        <v>45330</v>
      </c>
      <c r="D426" s="6" t="str">
        <f>VLOOKUP(Tabla4[[#This Row],[Codigo]],Tabla2[[Cod]:[Nombre ]],4,0)</f>
        <v>TIS-1336</v>
      </c>
      <c r="E426" s="5" t="str">
        <f>VLOOKUP(Tabla4[[#This Row],[Codigo]],Tabla2[[Cod]:[Nombre ]],8,0)</f>
        <v>STAFF SEGUROS AGENCIA LTDA</v>
      </c>
      <c r="F426" s="5" t="str">
        <f>VLOOKUP(Tabla4[[#This Row],[Codigo]],Tabla2[[Cod]:[Nombre ]],6,0)</f>
        <v>OK</v>
      </c>
      <c r="G426" s="7" t="s">
        <v>416</v>
      </c>
      <c r="H426" s="21" t="s">
        <v>519</v>
      </c>
      <c r="I426" s="21" t="s">
        <v>612</v>
      </c>
      <c r="J426" s="163">
        <v>1</v>
      </c>
      <c r="K426" s="294">
        <v>300000</v>
      </c>
      <c r="L426" s="298"/>
      <c r="M42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26" s="292">
        <f>IFERROR(Tabla4[[#This Row],[Sub Total]]*VLOOKUP(Tabla4[[#This Row],[No]],Parametros!A:C,3,0),0)</f>
        <v>57000</v>
      </c>
      <c r="O426" s="292">
        <f>+Tabla4[[#This Row],[IVA]]+Tabla4[[#This Row],[Sub Total]]</f>
        <v>357000</v>
      </c>
    </row>
    <row r="427" spans="1:15" ht="45" x14ac:dyDescent="0.2">
      <c r="A427" s="6">
        <v>368</v>
      </c>
      <c r="B427" s="6" t="str">
        <f>VLOOKUP(Tabla4[[#This Row],[Codigo]],Tabla2[[Cod]:[Nombre ]],2,0)</f>
        <v>P-1356</v>
      </c>
      <c r="C427" s="53">
        <f>VLOOKUP(Tabla4[[#This Row],[Codigo]],Tabla2[[Cod]:[Nombre ]],3,0)</f>
        <v>45330</v>
      </c>
      <c r="D427" s="6" t="str">
        <f>VLOOKUP(Tabla4[[#This Row],[Codigo]],Tabla2[[Cod]:[Nombre ]],4,0)</f>
        <v>TIS-1337</v>
      </c>
      <c r="E427" s="5" t="str">
        <f>VLOOKUP(Tabla4[[#This Row],[Codigo]],Tabla2[[Cod]:[Nombre ]],8,0)</f>
        <v>DIGITAL MEDIA TECHNOLOGIES COLOMBIA SAS</v>
      </c>
      <c r="F427" s="5" t="str">
        <f>VLOOKUP(Tabla4[[#This Row],[Codigo]],Tabla2[[Cod]:[Nombre ]],6,0)</f>
        <v>OK</v>
      </c>
      <c r="G427" s="7" t="s">
        <v>416</v>
      </c>
      <c r="H427" s="21" t="s">
        <v>519</v>
      </c>
      <c r="I427" s="21" t="s">
        <v>612</v>
      </c>
      <c r="J427" s="163">
        <v>1</v>
      </c>
      <c r="K427" s="294">
        <v>250000</v>
      </c>
      <c r="L427" s="298"/>
      <c r="M427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427" s="292">
        <f>IFERROR(Tabla4[[#This Row],[Sub Total]]*VLOOKUP(Tabla4[[#This Row],[No]],Parametros!A:C,3,0),0)</f>
        <v>47500</v>
      </c>
      <c r="O427" s="292">
        <f>+Tabla4[[#This Row],[IVA]]+Tabla4[[#This Row],[Sub Total]]</f>
        <v>297500</v>
      </c>
    </row>
    <row r="428" spans="1:15" ht="36" x14ac:dyDescent="0.2">
      <c r="A428" s="6">
        <v>369</v>
      </c>
      <c r="B428" s="6" t="str">
        <f>VLOOKUP(Tabla4[[#This Row],[Codigo]],Tabla2[[Cod]:[Nombre ]],2,0)</f>
        <v>P-1357</v>
      </c>
      <c r="C428" s="53">
        <f>VLOOKUP(Tabla4[[#This Row],[Codigo]],Tabla2[[Cod]:[Nombre ]],3,0)</f>
        <v>45330</v>
      </c>
      <c r="D428" s="6" t="str">
        <f>VLOOKUP(Tabla4[[#This Row],[Codigo]],Tabla2[[Cod]:[Nombre ]],4,0)</f>
        <v>TIS-1338</v>
      </c>
      <c r="E428" s="5" t="str">
        <f>VLOOKUP(Tabla4[[#This Row],[Codigo]],Tabla2[[Cod]:[Nombre ]],8,0)</f>
        <v>GENUINE TECH SAS</v>
      </c>
      <c r="F428" s="5" t="str">
        <f>VLOOKUP(Tabla4[[#This Row],[Codigo]],Tabla2[[Cod]:[Nombre ]],6,0)</f>
        <v>OK</v>
      </c>
      <c r="G428" s="7" t="s">
        <v>416</v>
      </c>
      <c r="H428" s="21" t="s">
        <v>519</v>
      </c>
      <c r="I428" s="21">
        <v>45292</v>
      </c>
      <c r="J428" s="163">
        <v>1</v>
      </c>
      <c r="K428" s="294">
        <v>545454</v>
      </c>
      <c r="L428" s="298"/>
      <c r="M428" s="292">
        <f>IF(LEFT(Tabla4[[#This Row],[Electronica]],2)="NC",-Tabla4[[#This Row],[Cantidad]]*Tabla4[[#This Row],[Precio]]+Tabla4[[#This Row],[Dto]],Tabla4[[#This Row],[Cantidad]]*Tabla4[[#This Row],[Precio]]-Tabla4[[#This Row],[Dto]])</f>
        <v>545454</v>
      </c>
      <c r="N428" s="292">
        <f>IFERROR(Tabla4[[#This Row],[Sub Total]]*VLOOKUP(Tabla4[[#This Row],[No]],Parametros!A:C,3,0),0)</f>
        <v>103636.26</v>
      </c>
      <c r="O428" s="292">
        <f>+Tabla4[[#This Row],[IVA]]+Tabla4[[#This Row],[Sub Total]]</f>
        <v>649090.26</v>
      </c>
    </row>
    <row r="429" spans="1:15" ht="36" x14ac:dyDescent="0.2">
      <c r="A429" s="6">
        <v>370</v>
      </c>
      <c r="B429" s="6" t="str">
        <f>VLOOKUP(Tabla4[[#This Row],[Codigo]],Tabla2[[Cod]:[Nombre ]],2,0)</f>
        <v>P-1358</v>
      </c>
      <c r="C429" s="53">
        <f>VLOOKUP(Tabla4[[#This Row],[Codigo]],Tabla2[[Cod]:[Nombre ]],3,0)</f>
        <v>45330</v>
      </c>
      <c r="D429" s="6" t="str">
        <f>VLOOKUP(Tabla4[[#This Row],[Codigo]],Tabla2[[Cod]:[Nombre ]],4,0)</f>
        <v>TIS-1339</v>
      </c>
      <c r="E429" s="5" t="str">
        <f>VLOOKUP(Tabla4[[#This Row],[Codigo]],Tabla2[[Cod]:[Nombre ]],8,0)</f>
        <v>ROYCO SOLUCIONES SAS</v>
      </c>
      <c r="F429" s="5" t="str">
        <f>VLOOKUP(Tabla4[[#This Row],[Codigo]],Tabla2[[Cod]:[Nombre ]],6,0)</f>
        <v>OK</v>
      </c>
      <c r="G429" s="7" t="s">
        <v>416</v>
      </c>
      <c r="H429" s="21" t="s">
        <v>519</v>
      </c>
      <c r="I429" s="21">
        <v>45292</v>
      </c>
      <c r="J429" s="163">
        <v>1</v>
      </c>
      <c r="K429" s="294">
        <v>175000</v>
      </c>
      <c r="L429" s="298"/>
      <c r="M429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429" s="292">
        <f>IFERROR(Tabla4[[#This Row],[Sub Total]]*VLOOKUP(Tabla4[[#This Row],[No]],Parametros!A:C,3,0),0)</f>
        <v>33250</v>
      </c>
      <c r="O429" s="292">
        <f>+Tabla4[[#This Row],[IVA]]+Tabla4[[#This Row],[Sub Total]]</f>
        <v>208250</v>
      </c>
    </row>
    <row r="430" spans="1:15" ht="36" x14ac:dyDescent="0.2">
      <c r="A430" s="6">
        <v>371</v>
      </c>
      <c r="B430" s="6" t="str">
        <f>VLOOKUP(Tabla4[[#This Row],[Codigo]],Tabla2[[Cod]:[Nombre ]],2,0)</f>
        <v>P-1359</v>
      </c>
      <c r="C430" s="53">
        <f>VLOOKUP(Tabla4[[#This Row],[Codigo]],Tabla2[[Cod]:[Nombre ]],3,0)</f>
        <v>45330</v>
      </c>
      <c r="D430" s="6" t="str">
        <f>VLOOKUP(Tabla4[[#This Row],[Codigo]],Tabla2[[Cod]:[Nombre ]],4,0)</f>
        <v>TIS-1340</v>
      </c>
      <c r="E430" s="5" t="str">
        <f>VLOOKUP(Tabla4[[#This Row],[Codigo]],Tabla2[[Cod]:[Nombre ]],8,0)</f>
        <v>Inversiones Sajamib SAS</v>
      </c>
      <c r="F430" s="5" t="str">
        <f>VLOOKUP(Tabla4[[#This Row],[Codigo]],Tabla2[[Cod]:[Nombre ]],6,0)</f>
        <v>OK</v>
      </c>
      <c r="G430" s="7" t="s">
        <v>417</v>
      </c>
      <c r="H430" s="21" t="s">
        <v>525</v>
      </c>
      <c r="I430" s="21">
        <v>45292</v>
      </c>
      <c r="J430" s="163">
        <v>1</v>
      </c>
      <c r="K430" s="294">
        <v>400000</v>
      </c>
      <c r="L430" s="298"/>
      <c r="M430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430" s="292">
        <f>IFERROR(Tabla4[[#This Row],[Sub Total]]*VLOOKUP(Tabla4[[#This Row],[No]],Parametros!A:C,3,0),0)</f>
        <v>0</v>
      </c>
      <c r="O430" s="292">
        <f>+Tabla4[[#This Row],[IVA]]+Tabla4[[#This Row],[Sub Total]]</f>
        <v>400000</v>
      </c>
    </row>
    <row r="431" spans="1:15" ht="30" customHeight="1" x14ac:dyDescent="0.2">
      <c r="A431" s="6">
        <v>372</v>
      </c>
      <c r="B431" s="6" t="str">
        <f>VLOOKUP(Tabla4[[#This Row],[Codigo]],Tabla2[[Cod]:[Nombre ]],2,0)</f>
        <v>P-1360</v>
      </c>
      <c r="C431" s="53">
        <f>VLOOKUP(Tabla4[[#This Row],[Codigo]],Tabla2[[Cod]:[Nombre ]],3,0)</f>
        <v>45338</v>
      </c>
      <c r="D431" s="6" t="str">
        <f>VLOOKUP(Tabla4[[#This Row],[Codigo]],Tabla2[[Cod]:[Nombre ]],4,0)</f>
        <v>TIS-1341</v>
      </c>
      <c r="E431" s="5" t="str">
        <f>VLOOKUP(Tabla4[[#This Row],[Codigo]],Tabla2[[Cod]:[Nombre ]],8,0)</f>
        <v>FEDERACION NACIONAL DE COMERCIANTES FENALCO SECCIONAL BOGOTA CUNDINAMARCA</v>
      </c>
      <c r="F431" s="5" t="str">
        <f>VLOOKUP(Tabla4[[#This Row],[Codigo]],Tabla2[[Cod]:[Nombre ]],6,0)</f>
        <v>OK</v>
      </c>
      <c r="G431" s="7" t="s">
        <v>282</v>
      </c>
      <c r="H431" s="21" t="s">
        <v>16</v>
      </c>
      <c r="I431" s="21"/>
      <c r="J431" s="163">
        <v>54</v>
      </c>
      <c r="K431" s="294">
        <v>30000</v>
      </c>
      <c r="L431" s="298"/>
      <c r="M431" s="292">
        <f>IF(LEFT(Tabla4[[#This Row],[Electronica]],2)="NC",-Tabla4[[#This Row],[Cantidad]]*Tabla4[[#This Row],[Precio]]+Tabla4[[#This Row],[Dto]],Tabla4[[#This Row],[Cantidad]]*Tabla4[[#This Row],[Precio]]-Tabla4[[#This Row],[Dto]])</f>
        <v>1620000</v>
      </c>
      <c r="N431" s="292">
        <f>IFERROR(Tabla4[[#This Row],[Sub Total]]*VLOOKUP(Tabla4[[#This Row],[No]],Parametros!A:C,3,0),0)</f>
        <v>307800</v>
      </c>
      <c r="O431" s="292">
        <f>+Tabla4[[#This Row],[IVA]]+Tabla4[[#This Row],[Sub Total]]</f>
        <v>1927800</v>
      </c>
    </row>
    <row r="432" spans="1:15" ht="30" x14ac:dyDescent="0.2">
      <c r="A432" s="6">
        <v>373</v>
      </c>
      <c r="B432" s="6" t="str">
        <f>VLOOKUP(Tabla4[[#This Row],[Codigo]],Tabla2[[Cod]:[Nombre ]],2,0)</f>
        <v>P-1361</v>
      </c>
      <c r="C432" s="53">
        <f>VLOOKUP(Tabla4[[#This Row],[Codigo]],Tabla2[[Cod]:[Nombre ]],3,0)</f>
        <v>45345</v>
      </c>
      <c r="D432" s="6" t="str">
        <f>VLOOKUP(Tabla4[[#This Row],[Codigo]],Tabla2[[Cod]:[Nombre ]],4,0)</f>
        <v>TIS-1342</v>
      </c>
      <c r="E432" s="5" t="str">
        <f>VLOOKUP(Tabla4[[#This Row],[Codigo]],Tabla2[[Cod]:[Nombre ]],8,0)</f>
        <v>Soluciones Avanzadas de Ingeniería SAS</v>
      </c>
      <c r="F432" s="5" t="str">
        <f>VLOOKUP(Tabla4[[#This Row],[Codigo]],Tabla2[[Cod]:[Nombre ]],6,0)</f>
        <v>OK</v>
      </c>
      <c r="G432" s="7" t="s">
        <v>282</v>
      </c>
      <c r="H432" s="21" t="s">
        <v>16</v>
      </c>
      <c r="I432" s="21"/>
      <c r="J432" s="163">
        <v>19</v>
      </c>
      <c r="K432" s="294">
        <v>32000</v>
      </c>
      <c r="L432" s="298"/>
      <c r="M432" s="292">
        <f>IF(LEFT(Tabla4[[#This Row],[Electronica]],2)="NC",-Tabla4[[#This Row],[Cantidad]]*Tabla4[[#This Row],[Precio]]+Tabla4[[#This Row],[Dto]],Tabla4[[#This Row],[Cantidad]]*Tabla4[[#This Row],[Precio]]-Tabla4[[#This Row],[Dto]])</f>
        <v>608000</v>
      </c>
      <c r="N432" s="292">
        <f>IFERROR(Tabla4[[#This Row],[Sub Total]]*VLOOKUP(Tabla4[[#This Row],[No]],Parametros!A:C,3,0),0)</f>
        <v>115520</v>
      </c>
      <c r="O432" s="292">
        <f>+Tabla4[[#This Row],[IVA]]+Tabla4[[#This Row],[Sub Total]]</f>
        <v>723520</v>
      </c>
    </row>
    <row r="433" spans="1:15" ht="36" x14ac:dyDescent="0.2">
      <c r="A433" s="6">
        <v>373</v>
      </c>
      <c r="B433" s="6" t="str">
        <f>VLOOKUP(Tabla4[[#This Row],[Codigo]],Tabla2[[Cod]:[Nombre ]],2,0)</f>
        <v>P-1361</v>
      </c>
      <c r="C433" s="53">
        <f>VLOOKUP(Tabla4[[#This Row],[Codigo]],Tabla2[[Cod]:[Nombre ]],3,0)</f>
        <v>45345</v>
      </c>
      <c r="D433" s="6" t="str">
        <f>VLOOKUP(Tabla4[[#This Row],[Codigo]],Tabla2[[Cod]:[Nombre ]],4,0)</f>
        <v>TIS-1342</v>
      </c>
      <c r="E433" s="5" t="str">
        <f>VLOOKUP(Tabla4[[#This Row],[Codigo]],Tabla2[[Cod]:[Nombre ]],8,0)</f>
        <v>Soluciones Avanzadas de Ingeniería SAS</v>
      </c>
      <c r="F433" s="5" t="str">
        <f>VLOOKUP(Tabla4[[#This Row],[Codigo]],Tabla2[[Cod]:[Nombre ]],6,0)</f>
        <v>OK</v>
      </c>
      <c r="G433" s="7">
        <v>12</v>
      </c>
      <c r="H433" s="21" t="s">
        <v>608</v>
      </c>
      <c r="I433" s="21" t="s">
        <v>613</v>
      </c>
      <c r="J433" s="163">
        <v>1</v>
      </c>
      <c r="K433" s="294">
        <v>-304000</v>
      </c>
      <c r="L433" s="298"/>
      <c r="M433" s="292">
        <f>IF(LEFT(Tabla4[[#This Row],[Electronica]],2)="NC",-Tabla4[[#This Row],[Cantidad]]*Tabla4[[#This Row],[Precio]]+Tabla4[[#This Row],[Dto]],Tabla4[[#This Row],[Cantidad]]*Tabla4[[#This Row],[Precio]]-Tabla4[[#This Row],[Dto]])</f>
        <v>-304000</v>
      </c>
      <c r="N433" s="292">
        <f>IFERROR(Tabla4[[#This Row],[Sub Total]]*VLOOKUP(Tabla4[[#This Row],[No]],Parametros!A:C,3,0),0)</f>
        <v>0</v>
      </c>
      <c r="O433" s="292">
        <f>+Tabla4[[#This Row],[IVA]]+Tabla4[[#This Row],[Sub Total]]</f>
        <v>-304000</v>
      </c>
    </row>
    <row r="434" spans="1:15" ht="30" x14ac:dyDescent="0.2">
      <c r="A434" s="6">
        <v>374</v>
      </c>
      <c r="B434" s="6" t="str">
        <f>VLOOKUP(Tabla4[[#This Row],[Codigo]],Tabla2[[Cod]:[Nombre ]],2,0)</f>
        <v>P-1362</v>
      </c>
      <c r="C434" s="53">
        <f>VLOOKUP(Tabla4[[#This Row],[Codigo]],Tabla2[[Cod]:[Nombre ]],3,0)</f>
        <v>45350</v>
      </c>
      <c r="D434" s="6" t="str">
        <f>VLOOKUP(Tabla4[[#This Row],[Codigo]],Tabla2[[Cod]:[Nombre ]],4,0)</f>
        <v>TIS-1343</v>
      </c>
      <c r="E434" s="5" t="str">
        <f>VLOOKUP(Tabla4[[#This Row],[Codigo]],Tabla2[[Cod]:[Nombre ]],8,0)</f>
        <v>GB BARRETO Y CIA LTDA - ASESORES DE SEGUROS</v>
      </c>
      <c r="F434" s="5" t="str">
        <f>VLOOKUP(Tabla4[[#This Row],[Codigo]],Tabla2[[Cod]:[Nombre ]],6,0)</f>
        <v>OK</v>
      </c>
      <c r="G434" s="7">
        <v>13</v>
      </c>
      <c r="H434" s="21" t="s">
        <v>596</v>
      </c>
      <c r="I434" s="21" t="s">
        <v>614</v>
      </c>
      <c r="J434" s="163">
        <v>1</v>
      </c>
      <c r="K434" s="294">
        <v>600000</v>
      </c>
      <c r="L434" s="298"/>
      <c r="M434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434" s="292">
        <f>IFERROR(Tabla4[[#This Row],[Sub Total]]*VLOOKUP(Tabla4[[#This Row],[No]],Parametros!A:C,3,0),0)</f>
        <v>114000</v>
      </c>
      <c r="O434" s="292">
        <f>+Tabla4[[#This Row],[IVA]]+Tabla4[[#This Row],[Sub Total]]</f>
        <v>714000</v>
      </c>
    </row>
    <row r="435" spans="1:15" ht="24" x14ac:dyDescent="0.2">
      <c r="A435" s="6">
        <v>375</v>
      </c>
      <c r="B435" s="6" t="str">
        <f>VLOOKUP(Tabla4[[#This Row],[Codigo]],Tabla2[[Cod]:[Nombre ]],2,0)</f>
        <v>P-1363</v>
      </c>
      <c r="C435" s="53">
        <f>VLOOKUP(Tabla4[[#This Row],[Codigo]],Tabla2[[Cod]:[Nombre ]],3,0)</f>
        <v>45355</v>
      </c>
      <c r="D435" s="6" t="str">
        <f>VLOOKUP(Tabla4[[#This Row],[Codigo]],Tabla2[[Cod]:[Nombre ]],4,0)</f>
        <v>TIS-1344</v>
      </c>
      <c r="E435" s="5" t="str">
        <f>VLOOKUP(Tabla4[[#This Row],[Codigo]],Tabla2[[Cod]:[Nombre ]],8,0)</f>
        <v>FRIGOTAURUS SAS</v>
      </c>
      <c r="F435" s="5" t="str">
        <f>VLOOKUP(Tabla4[[#This Row],[Codigo]],Tabla2[[Cod]:[Nombre ]],6,0)</f>
        <v>OK</v>
      </c>
      <c r="G435" s="7" t="s">
        <v>433</v>
      </c>
      <c r="H435" s="21" t="s">
        <v>517</v>
      </c>
      <c r="I435" s="21" t="s">
        <v>615</v>
      </c>
      <c r="J435" s="163">
        <v>1</v>
      </c>
      <c r="K435" s="294">
        <v>1750000</v>
      </c>
      <c r="L435" s="298"/>
      <c r="M435" s="292">
        <f>IF(LEFT(Tabla4[[#This Row],[Electronica]],2)="NC",-Tabla4[[#This Row],[Cantidad]]*Tabla4[[#This Row],[Precio]]+Tabla4[[#This Row],[Dto]],Tabla4[[#This Row],[Cantidad]]*Tabla4[[#This Row],[Precio]]-Tabla4[[#This Row],[Dto]])</f>
        <v>1750000</v>
      </c>
      <c r="N435" s="292">
        <f>IFERROR(Tabla4[[#This Row],[Sub Total]]*VLOOKUP(Tabla4[[#This Row],[No]],Parametros!A:C,3,0),0)</f>
        <v>332500</v>
      </c>
      <c r="O435" s="292">
        <f>+Tabla4[[#This Row],[IVA]]+Tabla4[[#This Row],[Sub Total]]</f>
        <v>2082500</v>
      </c>
    </row>
    <row r="436" spans="1:15" ht="48" x14ac:dyDescent="0.2">
      <c r="A436" s="6">
        <v>376</v>
      </c>
      <c r="B436" s="6" t="str">
        <f>VLOOKUP(Tabla4[[#This Row],[Codigo]],Tabla2[[Cod]:[Nombre ]],2,0)</f>
        <v>P-1364</v>
      </c>
      <c r="C436" s="53">
        <f>VLOOKUP(Tabla4[[#This Row],[Codigo]],Tabla2[[Cod]:[Nombre ]],3,0)</f>
        <v>45362</v>
      </c>
      <c r="D436" s="6" t="str">
        <f>VLOOKUP(Tabla4[[#This Row],[Codigo]],Tabla2[[Cod]:[Nombre ]],4,0)</f>
        <v>TIS-1353</v>
      </c>
      <c r="E436" s="5" t="str">
        <f>VLOOKUP(Tabla4[[#This Row],[Codigo]],Tabla2[[Cod]:[Nombre ]],8,0)</f>
        <v>HUTERCOL S.A.S.</v>
      </c>
      <c r="F436" s="5" t="str">
        <f>VLOOKUP(Tabla4[[#This Row],[Codigo]],Tabla2[[Cod]:[Nombre ]],6,0)</f>
        <v>OK</v>
      </c>
      <c r="G436" s="7" t="s">
        <v>416</v>
      </c>
      <c r="H436" s="21" t="s">
        <v>519</v>
      </c>
      <c r="I436" s="21" t="s">
        <v>616</v>
      </c>
      <c r="J436" s="163">
        <v>1</v>
      </c>
      <c r="K436" s="294">
        <v>1350000</v>
      </c>
      <c r="L436" s="298"/>
      <c r="M436" s="292">
        <f>IF(LEFT(Tabla4[[#This Row],[Electronica]],2)="NC",-Tabla4[[#This Row],[Cantidad]]*Tabla4[[#This Row],[Precio]]+Tabla4[[#This Row],[Dto]],Tabla4[[#This Row],[Cantidad]]*Tabla4[[#This Row],[Precio]]-Tabla4[[#This Row],[Dto]])</f>
        <v>1350000</v>
      </c>
      <c r="N436" s="292">
        <f>IFERROR(Tabla4[[#This Row],[Sub Total]]*VLOOKUP(Tabla4[[#This Row],[No]],Parametros!A:C,3,0),0)</f>
        <v>256500</v>
      </c>
      <c r="O436" s="292">
        <f>+Tabla4[[#This Row],[IVA]]+Tabla4[[#This Row],[Sub Total]]</f>
        <v>1606500</v>
      </c>
    </row>
    <row r="437" spans="1:15" ht="72" x14ac:dyDescent="0.2">
      <c r="A437" s="6">
        <v>377</v>
      </c>
      <c r="B437" s="6" t="str">
        <f>VLOOKUP(Tabla4[[#This Row],[Codigo]],Tabla2[[Cod]:[Nombre ]],2,0)</f>
        <v>P-1365</v>
      </c>
      <c r="C437" s="53">
        <f>VLOOKUP(Tabla4[[#This Row],[Codigo]],Tabla2[[Cod]:[Nombre ]],3,0)</f>
        <v>45363</v>
      </c>
      <c r="D437" s="6" t="str">
        <f>VLOOKUP(Tabla4[[#This Row],[Codigo]],Tabla2[[Cod]:[Nombre ]],4,0)</f>
        <v>TIS-1354</v>
      </c>
      <c r="E437" s="5" t="str">
        <f>VLOOKUP(Tabla4[[#This Row],[Codigo]],Tabla2[[Cod]:[Nombre ]],8,0)</f>
        <v>ANTIADHERENTES Y MAQUINADOS ARIZAS SAS</v>
      </c>
      <c r="F437" s="5" t="str">
        <f>VLOOKUP(Tabla4[[#This Row],[Codigo]],Tabla2[[Cod]:[Nombre ]],6,0)</f>
        <v>OK</v>
      </c>
      <c r="G437" s="7" t="s">
        <v>433</v>
      </c>
      <c r="H437" s="21" t="s">
        <v>517</v>
      </c>
      <c r="I437" s="21" t="s">
        <v>617</v>
      </c>
      <c r="J437" s="163">
        <v>1</v>
      </c>
      <c r="K437" s="294">
        <v>2700000</v>
      </c>
      <c r="L437" s="298"/>
      <c r="M437" s="292">
        <f>IF(LEFT(Tabla4[[#This Row],[Electronica]],2)="NC",-Tabla4[[#This Row],[Cantidad]]*Tabla4[[#This Row],[Precio]]+Tabla4[[#This Row],[Dto]],Tabla4[[#This Row],[Cantidad]]*Tabla4[[#This Row],[Precio]]-Tabla4[[#This Row],[Dto]])</f>
        <v>2700000</v>
      </c>
      <c r="N437" s="292">
        <f>IFERROR(Tabla4[[#This Row],[Sub Total]]*VLOOKUP(Tabla4[[#This Row],[No]],Parametros!A:C,3,0),0)</f>
        <v>513000</v>
      </c>
      <c r="O437" s="292">
        <f>+Tabla4[[#This Row],[IVA]]+Tabla4[[#This Row],[Sub Total]]</f>
        <v>3213000</v>
      </c>
    </row>
    <row r="438" spans="1:15" ht="36" x14ac:dyDescent="0.2">
      <c r="A438" s="6">
        <v>378</v>
      </c>
      <c r="B438" s="6" t="str">
        <f>VLOOKUP(Tabla4[[#This Row],[Codigo]],Tabla2[[Cod]:[Nombre ]],2,0)</f>
        <v>P-1366</v>
      </c>
      <c r="C438" s="53">
        <f>VLOOKUP(Tabla4[[#This Row],[Codigo]],Tabla2[[Cod]:[Nombre ]],3,0)</f>
        <v>45358</v>
      </c>
      <c r="D438" s="6" t="str">
        <f>VLOOKUP(Tabla4[[#This Row],[Codigo]],Tabla2[[Cod]:[Nombre ]],4,0)</f>
        <v>TIS-1350</v>
      </c>
      <c r="E438" s="5" t="str">
        <f>VLOOKUP(Tabla4[[#This Row],[Codigo]],Tabla2[[Cod]:[Nombre ]],8,0)</f>
        <v>Inversiones Sajamib SAS</v>
      </c>
      <c r="F438" s="5" t="str">
        <f>VLOOKUP(Tabla4[[#This Row],[Codigo]],Tabla2[[Cod]:[Nombre ]],6,0)</f>
        <v>OK</v>
      </c>
      <c r="G438" s="7" t="s">
        <v>417</v>
      </c>
      <c r="H438" s="21" t="s">
        <v>525</v>
      </c>
      <c r="I438" s="21" t="s">
        <v>618</v>
      </c>
      <c r="J438" s="163">
        <v>1</v>
      </c>
      <c r="K438" s="294">
        <v>400000</v>
      </c>
      <c r="L438" s="298"/>
      <c r="M438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438" s="292">
        <f>IFERROR(Tabla4[[#This Row],[Sub Total]]*VLOOKUP(Tabla4[[#This Row],[No]],Parametros!A:C,3,0),0)</f>
        <v>0</v>
      </c>
      <c r="O438" s="292">
        <f>+Tabla4[[#This Row],[IVA]]+Tabla4[[#This Row],[Sub Total]]</f>
        <v>400000</v>
      </c>
    </row>
    <row r="439" spans="1:15" ht="36" x14ac:dyDescent="0.2">
      <c r="A439" s="6">
        <v>379</v>
      </c>
      <c r="B439" s="6" t="str">
        <f>VLOOKUP(Tabla4[[#This Row],[Codigo]],Tabla2[[Cod]:[Nombre ]],2,0)</f>
        <v>P-1367</v>
      </c>
      <c r="C439" s="53">
        <f>VLOOKUP(Tabla4[[#This Row],[Codigo]],Tabla2[[Cod]:[Nombre ]],3,0)</f>
        <v>45358</v>
      </c>
      <c r="D439" s="6" t="str">
        <f>VLOOKUP(Tabla4[[#This Row],[Codigo]],Tabla2[[Cod]:[Nombre ]],4,0)</f>
        <v>TIS-1345</v>
      </c>
      <c r="E439" s="5" t="str">
        <f>VLOOKUP(Tabla4[[#This Row],[Codigo]],Tabla2[[Cod]:[Nombre ]],8,0)</f>
        <v>Comercializadora ERZ SAS</v>
      </c>
      <c r="F439" s="5" t="str">
        <f>VLOOKUP(Tabla4[[#This Row],[Codigo]],Tabla2[[Cod]:[Nombre ]],6,0)</f>
        <v>OK</v>
      </c>
      <c r="G439" s="7" t="s">
        <v>416</v>
      </c>
      <c r="H439" s="21" t="s">
        <v>519</v>
      </c>
      <c r="I439" s="21" t="s">
        <v>618</v>
      </c>
      <c r="J439" s="163">
        <v>1</v>
      </c>
      <c r="K439" s="294">
        <v>260000</v>
      </c>
      <c r="L439" s="298"/>
      <c r="M439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439" s="292">
        <f>IFERROR(Tabla4[[#This Row],[Sub Total]]*VLOOKUP(Tabla4[[#This Row],[No]],Parametros!A:C,3,0),0)</f>
        <v>49400</v>
      </c>
      <c r="O439" s="292">
        <f>+Tabla4[[#This Row],[IVA]]+Tabla4[[#This Row],[Sub Total]]</f>
        <v>309400</v>
      </c>
    </row>
    <row r="440" spans="1:15" ht="36" x14ac:dyDescent="0.2">
      <c r="A440" s="6">
        <v>380</v>
      </c>
      <c r="B440" s="6" t="str">
        <f>VLOOKUP(Tabla4[[#This Row],[Codigo]],Tabla2[[Cod]:[Nombre ]],2,0)</f>
        <v>P-1368</v>
      </c>
      <c r="C440" s="53">
        <f>VLOOKUP(Tabla4[[#This Row],[Codigo]],Tabla2[[Cod]:[Nombre ]],3,0)</f>
        <v>45358</v>
      </c>
      <c r="D440" s="6" t="str">
        <f>VLOOKUP(Tabla4[[#This Row],[Codigo]],Tabla2[[Cod]:[Nombre ]],4,0)</f>
        <v>TIS-1346</v>
      </c>
      <c r="E440" s="5" t="str">
        <f>VLOOKUP(Tabla4[[#This Row],[Codigo]],Tabla2[[Cod]:[Nombre ]],8,0)</f>
        <v>ROYCO SOLUCIONES SAS</v>
      </c>
      <c r="F440" s="5" t="str">
        <f>VLOOKUP(Tabla4[[#This Row],[Codigo]],Tabla2[[Cod]:[Nombre ]],6,0)</f>
        <v>OK</v>
      </c>
      <c r="G440" s="7" t="s">
        <v>416</v>
      </c>
      <c r="H440" s="21" t="s">
        <v>519</v>
      </c>
      <c r="I440" s="21" t="s">
        <v>618</v>
      </c>
      <c r="J440" s="163">
        <v>1</v>
      </c>
      <c r="K440" s="294">
        <v>175000</v>
      </c>
      <c r="L440" s="298"/>
      <c r="M440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440" s="292">
        <f>IFERROR(Tabla4[[#This Row],[Sub Total]]*VLOOKUP(Tabla4[[#This Row],[No]],Parametros!A:C,3,0),0)</f>
        <v>33250</v>
      </c>
      <c r="O440" s="292">
        <f>+Tabla4[[#This Row],[IVA]]+Tabla4[[#This Row],[Sub Total]]</f>
        <v>208250</v>
      </c>
    </row>
    <row r="441" spans="1:15" ht="36" x14ac:dyDescent="0.2">
      <c r="A441" s="6">
        <v>381</v>
      </c>
      <c r="B441" s="6" t="str">
        <f>VLOOKUP(Tabla4[[#This Row],[Codigo]],Tabla2[[Cod]:[Nombre ]],2,0)</f>
        <v>P-1369</v>
      </c>
      <c r="C441" s="53">
        <f>VLOOKUP(Tabla4[[#This Row],[Codigo]],Tabla2[[Cod]:[Nombre ]],3,0)</f>
        <v>45358</v>
      </c>
      <c r="D441" s="6" t="str">
        <f>VLOOKUP(Tabla4[[#This Row],[Codigo]],Tabla2[[Cod]:[Nombre ]],4,0)</f>
        <v>TIS-1347</v>
      </c>
      <c r="E441" s="5" t="str">
        <f>VLOOKUP(Tabla4[[#This Row],[Codigo]],Tabla2[[Cod]:[Nombre ]],8,0)</f>
        <v>STAFF SEGUROS AGENCIA LTDA</v>
      </c>
      <c r="F441" s="5" t="str">
        <f>VLOOKUP(Tabla4[[#This Row],[Codigo]],Tabla2[[Cod]:[Nombre ]],6,0)</f>
        <v>OK</v>
      </c>
      <c r="G441" s="7" t="s">
        <v>416</v>
      </c>
      <c r="H441" s="21" t="s">
        <v>519</v>
      </c>
      <c r="I441" s="21" t="s">
        <v>618</v>
      </c>
      <c r="J441" s="163">
        <v>1</v>
      </c>
      <c r="K441" s="294">
        <v>300000</v>
      </c>
      <c r="L441" s="298"/>
      <c r="M441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41" s="292">
        <f>IFERROR(Tabla4[[#This Row],[Sub Total]]*VLOOKUP(Tabla4[[#This Row],[No]],Parametros!A:C,3,0),0)</f>
        <v>57000</v>
      </c>
      <c r="O441" s="292">
        <f>+Tabla4[[#This Row],[IVA]]+Tabla4[[#This Row],[Sub Total]]</f>
        <v>357000</v>
      </c>
    </row>
    <row r="442" spans="1:15" ht="45" x14ac:dyDescent="0.2">
      <c r="A442" s="6">
        <v>382</v>
      </c>
      <c r="B442" s="6" t="str">
        <f>VLOOKUP(Tabla4[[#This Row],[Codigo]],Tabla2[[Cod]:[Nombre ]],2,0)</f>
        <v>P-1370</v>
      </c>
      <c r="C442" s="53">
        <f>VLOOKUP(Tabla4[[#This Row],[Codigo]],Tabla2[[Cod]:[Nombre ]],3,0)</f>
        <v>45358</v>
      </c>
      <c r="D442" s="6" t="str">
        <f>VLOOKUP(Tabla4[[#This Row],[Codigo]],Tabla2[[Cod]:[Nombre ]],4,0)</f>
        <v>TIS-1348</v>
      </c>
      <c r="E442" s="5" t="str">
        <f>VLOOKUP(Tabla4[[#This Row],[Codigo]],Tabla2[[Cod]:[Nombre ]],8,0)</f>
        <v>DIGITAL MEDIA TECHNOLOGIES COLOMBIA SAS</v>
      </c>
      <c r="F442" s="5" t="str">
        <f>VLOOKUP(Tabla4[[#This Row],[Codigo]],Tabla2[[Cod]:[Nombre ]],6,0)</f>
        <v>OK</v>
      </c>
      <c r="G442" s="7" t="s">
        <v>416</v>
      </c>
      <c r="H442" s="21" t="s">
        <v>519</v>
      </c>
      <c r="I442" s="21" t="s">
        <v>618</v>
      </c>
      <c r="J442" s="163">
        <v>1</v>
      </c>
      <c r="K442" s="294">
        <v>250000</v>
      </c>
      <c r="L442" s="298"/>
      <c r="M442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442" s="292">
        <f>IFERROR(Tabla4[[#This Row],[Sub Total]]*VLOOKUP(Tabla4[[#This Row],[No]],Parametros!A:C,3,0),0)</f>
        <v>47500</v>
      </c>
      <c r="O442" s="292">
        <f>+Tabla4[[#This Row],[IVA]]+Tabla4[[#This Row],[Sub Total]]</f>
        <v>297500</v>
      </c>
    </row>
    <row r="443" spans="1:15" ht="36" x14ac:dyDescent="0.2">
      <c r="A443" s="6">
        <v>383</v>
      </c>
      <c r="B443" s="6" t="str">
        <f>VLOOKUP(Tabla4[[#This Row],[Codigo]],Tabla2[[Cod]:[Nombre ]],2,0)</f>
        <v>P-1371</v>
      </c>
      <c r="C443" s="53">
        <f>VLOOKUP(Tabla4[[#This Row],[Codigo]],Tabla2[[Cod]:[Nombre ]],3,0)</f>
        <v>45358</v>
      </c>
      <c r="D443" s="6" t="str">
        <f>VLOOKUP(Tabla4[[#This Row],[Codigo]],Tabla2[[Cod]:[Nombre ]],4,0)</f>
        <v>TIS-1349</v>
      </c>
      <c r="E443" s="5" t="str">
        <f>VLOOKUP(Tabla4[[#This Row],[Codigo]],Tabla2[[Cod]:[Nombre ]],8,0)</f>
        <v>GENUINE TECH SAS</v>
      </c>
      <c r="F443" s="5" t="str">
        <f>VLOOKUP(Tabla4[[#This Row],[Codigo]],Tabla2[[Cod]:[Nombre ]],6,0)</f>
        <v>OK</v>
      </c>
      <c r="G443" s="7" t="s">
        <v>416</v>
      </c>
      <c r="H443" s="21" t="s">
        <v>519</v>
      </c>
      <c r="I443" s="21" t="s">
        <v>618</v>
      </c>
      <c r="J443" s="163">
        <v>1</v>
      </c>
      <c r="K443" s="294">
        <v>545454</v>
      </c>
      <c r="L443" s="298"/>
      <c r="M443" s="292">
        <f>IF(LEFT(Tabla4[[#This Row],[Electronica]],2)="NC",-Tabla4[[#This Row],[Cantidad]]*Tabla4[[#This Row],[Precio]]+Tabla4[[#This Row],[Dto]],Tabla4[[#This Row],[Cantidad]]*Tabla4[[#This Row],[Precio]]-Tabla4[[#This Row],[Dto]])</f>
        <v>545454</v>
      </c>
      <c r="N443" s="292">
        <f>IFERROR(Tabla4[[#This Row],[Sub Total]]*VLOOKUP(Tabla4[[#This Row],[No]],Parametros!A:C,3,0),0)</f>
        <v>103636.26</v>
      </c>
      <c r="O443" s="292">
        <f>+Tabla4[[#This Row],[IVA]]+Tabla4[[#This Row],[Sub Total]]</f>
        <v>649090.26</v>
      </c>
    </row>
    <row r="444" spans="1:15" ht="30" x14ac:dyDescent="0.2">
      <c r="A444" s="6">
        <v>384</v>
      </c>
      <c r="B444" s="6" t="str">
        <f>VLOOKUP(Tabla4[[#This Row],[Codigo]],Tabla2[[Cod]:[Nombre ]],2,0)</f>
        <v>P-1372</v>
      </c>
      <c r="C444" s="53">
        <f>VLOOKUP(Tabla4[[#This Row],[Codigo]],Tabla2[[Cod]:[Nombre ]],3,0)</f>
        <v>45376</v>
      </c>
      <c r="D444" s="6" t="str">
        <f>VLOOKUP(Tabla4[[#This Row],[Codigo]],Tabla2[[Cod]:[Nombre ]],4,0)</f>
        <v>TIS-1351</v>
      </c>
      <c r="E444" s="5" t="str">
        <f>VLOOKUP(Tabla4[[#This Row],[Codigo]],Tabla2[[Cod]:[Nombre ]],8,0)</f>
        <v>CONSTRUCCIONES CIVILES JMR S.A.S</v>
      </c>
      <c r="F444" s="5" t="str">
        <f>VLOOKUP(Tabla4[[#This Row],[Codigo]],Tabla2[[Cod]:[Nombre ]],6,0)</f>
        <v>OK</v>
      </c>
      <c r="G444" s="7">
        <v>13</v>
      </c>
      <c r="H444" s="21" t="s">
        <v>596</v>
      </c>
      <c r="I444" s="21" t="s">
        <v>619</v>
      </c>
      <c r="J444" s="163">
        <v>1</v>
      </c>
      <c r="K444" s="294">
        <v>1200000</v>
      </c>
      <c r="L444" s="298"/>
      <c r="M444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444" s="292">
        <f>IFERROR(Tabla4[[#This Row],[Sub Total]]*VLOOKUP(Tabla4[[#This Row],[No]],Parametros!A:C,3,0),0)</f>
        <v>228000</v>
      </c>
      <c r="O444" s="292">
        <f>+Tabla4[[#This Row],[IVA]]+Tabla4[[#This Row],[Sub Total]]</f>
        <v>1428000</v>
      </c>
    </row>
    <row r="445" spans="1:15" ht="36" x14ac:dyDescent="0.2">
      <c r="A445" s="6">
        <v>385</v>
      </c>
      <c r="B445" s="6" t="str">
        <f>VLOOKUP(Tabla4[[#This Row],[Codigo]],Tabla2[[Cod]:[Nombre ]],2,0)</f>
        <v>P-1373</v>
      </c>
      <c r="C445" s="53">
        <f>VLOOKUP(Tabla4[[#This Row],[Codigo]],Tabla2[[Cod]:[Nombre ]],3,0)</f>
        <v>45358</v>
      </c>
      <c r="D445" s="6" t="str">
        <f>VLOOKUP(Tabla4[[#This Row],[Codigo]],Tabla2[[Cod]:[Nombre ]],4,0)</f>
        <v>TIS-1352</v>
      </c>
      <c r="E445" s="5" t="str">
        <f>VLOOKUP(Tabla4[[#This Row],[Codigo]],Tabla2[[Cod]:[Nombre ]],8,0)</f>
        <v>ELKIN EDUARDO ORTIZ ORTIZ</v>
      </c>
      <c r="F445" s="5" t="str">
        <f>VLOOKUP(Tabla4[[#This Row],[Codigo]],Tabla2[[Cod]:[Nombre ]],6,0)</f>
        <v>OK</v>
      </c>
      <c r="G445" s="7" t="s">
        <v>433</v>
      </c>
      <c r="H445" s="21" t="s">
        <v>517</v>
      </c>
      <c r="I445" s="21" t="s">
        <v>620</v>
      </c>
      <c r="J445" s="163">
        <v>1</v>
      </c>
      <c r="K445" s="294">
        <v>4950000</v>
      </c>
      <c r="L445" s="298"/>
      <c r="M445" s="292">
        <f>IF(LEFT(Tabla4[[#This Row],[Electronica]],2)="NC",-Tabla4[[#This Row],[Cantidad]]*Tabla4[[#This Row],[Precio]]+Tabla4[[#This Row],[Dto]],Tabla4[[#This Row],[Cantidad]]*Tabla4[[#This Row],[Precio]]-Tabla4[[#This Row],[Dto]])</f>
        <v>4950000</v>
      </c>
      <c r="N445" s="292">
        <f>IFERROR(Tabla4[[#This Row],[Sub Total]]*VLOOKUP(Tabla4[[#This Row],[No]],Parametros!A:C,3,0),0)</f>
        <v>940500</v>
      </c>
      <c r="O445" s="292">
        <f>+Tabla4[[#This Row],[IVA]]+Tabla4[[#This Row],[Sub Total]]</f>
        <v>5890500</v>
      </c>
    </row>
    <row r="446" spans="1:15" ht="36" x14ac:dyDescent="0.2">
      <c r="A446" s="6">
        <v>386</v>
      </c>
      <c r="B446" s="6" t="str">
        <f>VLOOKUP(Tabla4[[#This Row],[Codigo]],Tabla2[[Cod]:[Nombre ]],2,0)</f>
        <v>P-1374</v>
      </c>
      <c r="C446" s="53">
        <f>VLOOKUP(Tabla4[[#This Row],[Codigo]],Tabla2[[Cod]:[Nombre ]],3,0)</f>
        <v>45386</v>
      </c>
      <c r="D446" s="6" t="str">
        <f>VLOOKUP(Tabla4[[#This Row],[Codigo]],Tabla2[[Cod]:[Nombre ]],4,0)</f>
        <v>TIS-1363</v>
      </c>
      <c r="E446" s="5" t="str">
        <f>VLOOKUP(Tabla4[[#This Row],[Codigo]],Tabla2[[Cod]:[Nombre ]],8,0)</f>
        <v>Inversiones Sajamib SAS</v>
      </c>
      <c r="F446" s="5" t="str">
        <f>VLOOKUP(Tabla4[[#This Row],[Codigo]],Tabla2[[Cod]:[Nombre ]],6,0)</f>
        <v>OK</v>
      </c>
      <c r="G446" s="7" t="s">
        <v>417</v>
      </c>
      <c r="H446" s="21" t="s">
        <v>525</v>
      </c>
      <c r="I446" s="21" t="s">
        <v>621</v>
      </c>
      <c r="J446" s="163">
        <v>1</v>
      </c>
      <c r="K446" s="294">
        <v>400000</v>
      </c>
      <c r="L446" s="298"/>
      <c r="M446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446" s="292">
        <f>IFERROR(Tabla4[[#This Row],[Sub Total]]*VLOOKUP(Tabla4[[#This Row],[No]],Parametros!A:C,3,0),0)</f>
        <v>0</v>
      </c>
      <c r="O446" s="292">
        <f>+Tabla4[[#This Row],[IVA]]+Tabla4[[#This Row],[Sub Total]]</f>
        <v>400000</v>
      </c>
    </row>
    <row r="447" spans="1:15" ht="45" x14ac:dyDescent="0.2">
      <c r="A447" s="6">
        <v>387</v>
      </c>
      <c r="B447" s="6" t="str">
        <f>VLOOKUP(Tabla4[[#This Row],[Codigo]],Tabla2[[Cod]:[Nombre ]],2,0)</f>
        <v>P-1375</v>
      </c>
      <c r="C447" s="53">
        <f>VLOOKUP(Tabla4[[#This Row],[Codigo]],Tabla2[[Cod]:[Nombre ]],3,0)</f>
        <v>45398</v>
      </c>
      <c r="D447" s="6" t="str">
        <f>VLOOKUP(Tabla4[[#This Row],[Codigo]],Tabla2[[Cod]:[Nombre ]],4,0)</f>
        <v>TIS-1364</v>
      </c>
      <c r="E447" s="5" t="str">
        <f>VLOOKUP(Tabla4[[#This Row],[Codigo]],Tabla2[[Cod]:[Nombre ]],8,0)</f>
        <v>MASTERLINE COLOMBIA SOCIEDAD POR ACCIONES SIMPLIFICADA</v>
      </c>
      <c r="F447" s="5" t="str">
        <f>VLOOKUP(Tabla4[[#This Row],[Codigo]],Tabla2[[Cod]:[Nombre ]],6,0)</f>
        <v>OK</v>
      </c>
      <c r="G447" s="7" t="s">
        <v>433</v>
      </c>
      <c r="H447" s="21" t="s">
        <v>517</v>
      </c>
      <c r="I447" s="21" t="s">
        <v>622</v>
      </c>
      <c r="J447" s="163">
        <v>40</v>
      </c>
      <c r="K447" s="294">
        <v>58500</v>
      </c>
      <c r="L447" s="298"/>
      <c r="M447" s="292">
        <f>IF(LEFT(Tabla4[[#This Row],[Electronica]],2)="NC",-Tabla4[[#This Row],[Cantidad]]*Tabla4[[#This Row],[Precio]]+Tabla4[[#This Row],[Dto]],Tabla4[[#This Row],[Cantidad]]*Tabla4[[#This Row],[Precio]]-Tabla4[[#This Row],[Dto]])</f>
        <v>2340000</v>
      </c>
      <c r="N447" s="292">
        <f>IFERROR(Tabla4[[#This Row],[Sub Total]]*VLOOKUP(Tabla4[[#This Row],[No]],Parametros!A:C,3,0),0)</f>
        <v>444600</v>
      </c>
      <c r="O447" s="292">
        <f>+Tabla4[[#This Row],[IVA]]+Tabla4[[#This Row],[Sub Total]]</f>
        <v>2784600</v>
      </c>
    </row>
    <row r="448" spans="1:15" ht="45" x14ac:dyDescent="0.2">
      <c r="A448" s="6">
        <v>388</v>
      </c>
      <c r="B448" s="6" t="str">
        <f>VLOOKUP(Tabla4[[#This Row],[Codigo]],Tabla2[[Cod]:[Nombre ]],2,0)</f>
        <v>P-1376</v>
      </c>
      <c r="C448" s="53">
        <f>VLOOKUP(Tabla4[[#This Row],[Codigo]],Tabla2[[Cod]:[Nombre ]],3,0)</f>
        <v>45420</v>
      </c>
      <c r="D448" s="6" t="str">
        <f>VLOOKUP(Tabla4[[#This Row],[Codigo]],Tabla2[[Cod]:[Nombre ]],4,0)</f>
        <v>TIS-1365</v>
      </c>
      <c r="E448" s="5" t="str">
        <f>VLOOKUP(Tabla4[[#This Row],[Codigo]],Tabla2[[Cod]:[Nombre ]],8,0)</f>
        <v>INSTITUTO DISTRITAL DE CIENCIA, BIOTECNOLOGIA E INNOVACION EN SALUD</v>
      </c>
      <c r="F448" s="5" t="str">
        <f>VLOOKUP(Tabla4[[#This Row],[Codigo]],Tabla2[[Cod]:[Nombre ]],6,0)</f>
        <v>Anulado</v>
      </c>
      <c r="G448" s="7" t="s">
        <v>282</v>
      </c>
      <c r="H448" s="21" t="s">
        <v>16</v>
      </c>
      <c r="I448" s="21"/>
      <c r="J448" s="163">
        <v>253</v>
      </c>
      <c r="K448" s="294">
        <v>30000</v>
      </c>
      <c r="L448" s="298"/>
      <c r="M448" s="292">
        <f>IF(LEFT(Tabla4[[#This Row],[Electronica]],2)="NC",-Tabla4[[#This Row],[Cantidad]]*Tabla4[[#This Row],[Precio]]+Tabla4[[#This Row],[Dto]],Tabla4[[#This Row],[Cantidad]]*Tabla4[[#This Row],[Precio]]-Tabla4[[#This Row],[Dto]])</f>
        <v>7590000</v>
      </c>
      <c r="N448" s="292">
        <f>IFERROR(Tabla4[[#This Row],[Sub Total]]*VLOOKUP(Tabla4[[#This Row],[No]],Parametros!A:C,3,0),0)</f>
        <v>1442100</v>
      </c>
      <c r="O448" s="292">
        <f>+Tabla4[[#This Row],[IVA]]+Tabla4[[#This Row],[Sub Total]]</f>
        <v>9032100</v>
      </c>
    </row>
    <row r="449" spans="1:15" ht="36" x14ac:dyDescent="0.2">
      <c r="A449" s="6">
        <v>389</v>
      </c>
      <c r="B449" s="6" t="str">
        <f>VLOOKUP(Tabla4[[#This Row],[Codigo]],Tabla2[[Cod]:[Nombre ]],2,0)</f>
        <v>P-1377</v>
      </c>
      <c r="C449" s="53">
        <f>VLOOKUP(Tabla4[[#This Row],[Codigo]],Tabla2[[Cod]:[Nombre ]],3,0)</f>
        <v>45420</v>
      </c>
      <c r="D449" s="6" t="str">
        <f>VLOOKUP(Tabla4[[#This Row],[Codigo]],Tabla2[[Cod]:[Nombre ]],4,0)</f>
        <v>TIS-1366</v>
      </c>
      <c r="E449" s="5" t="str">
        <f>VLOOKUP(Tabla4[[#This Row],[Codigo]],Tabla2[[Cod]:[Nombre ]],8,0)</f>
        <v>Comercializadora ERZ SAS</v>
      </c>
      <c r="F449" s="5" t="str">
        <f>VLOOKUP(Tabla4[[#This Row],[Codigo]],Tabla2[[Cod]:[Nombre ]],6,0)</f>
        <v>OK</v>
      </c>
      <c r="G449" s="7" t="s">
        <v>416</v>
      </c>
      <c r="H449" s="21" t="s">
        <v>519</v>
      </c>
      <c r="I449" s="21" t="s">
        <v>623</v>
      </c>
      <c r="J449" s="163">
        <v>1</v>
      </c>
      <c r="K449" s="294">
        <v>260000</v>
      </c>
      <c r="L449" s="298"/>
      <c r="M449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449" s="292">
        <f>IFERROR(Tabla4[[#This Row],[Sub Total]]*VLOOKUP(Tabla4[[#This Row],[No]],Parametros!A:C,3,0),0)</f>
        <v>49400</v>
      </c>
      <c r="O449" s="292">
        <f>+Tabla4[[#This Row],[IVA]]+Tabla4[[#This Row],[Sub Total]]</f>
        <v>309400</v>
      </c>
    </row>
    <row r="450" spans="1:15" ht="36" x14ac:dyDescent="0.2">
      <c r="A450" s="6">
        <v>390</v>
      </c>
      <c r="B450" s="6" t="str">
        <f>VLOOKUP(Tabla4[[#This Row],[Codigo]],Tabla2[[Cod]:[Nombre ]],2,0)</f>
        <v>P-1378</v>
      </c>
      <c r="C450" s="53">
        <f>VLOOKUP(Tabla4[[#This Row],[Codigo]],Tabla2[[Cod]:[Nombre ]],3,0)</f>
        <v>45420</v>
      </c>
      <c r="D450" s="6" t="str">
        <f>VLOOKUP(Tabla4[[#This Row],[Codigo]],Tabla2[[Cod]:[Nombre ]],4,0)</f>
        <v>TIS-1367</v>
      </c>
      <c r="E450" s="5" t="str">
        <f>VLOOKUP(Tabla4[[#This Row],[Codigo]],Tabla2[[Cod]:[Nombre ]],8,0)</f>
        <v>ROYCO SOLUCIONES SAS</v>
      </c>
      <c r="F450" s="5" t="str">
        <f>VLOOKUP(Tabla4[[#This Row],[Codigo]],Tabla2[[Cod]:[Nombre ]],6,0)</f>
        <v>OK</v>
      </c>
      <c r="G450" s="7" t="s">
        <v>416</v>
      </c>
      <c r="H450" s="21" t="s">
        <v>519</v>
      </c>
      <c r="I450" s="21" t="s">
        <v>623</v>
      </c>
      <c r="J450" s="163">
        <v>1</v>
      </c>
      <c r="K450" s="294">
        <v>175000</v>
      </c>
      <c r="L450" s="298"/>
      <c r="M450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450" s="292">
        <f>IFERROR(Tabla4[[#This Row],[Sub Total]]*VLOOKUP(Tabla4[[#This Row],[No]],Parametros!A:C,3,0),0)</f>
        <v>33250</v>
      </c>
      <c r="O450" s="292">
        <f>+Tabla4[[#This Row],[IVA]]+Tabla4[[#This Row],[Sub Total]]</f>
        <v>208250</v>
      </c>
    </row>
    <row r="451" spans="1:15" ht="36" x14ac:dyDescent="0.2">
      <c r="A451" s="6">
        <v>391</v>
      </c>
      <c r="B451" s="6" t="str">
        <f>VLOOKUP(Tabla4[[#This Row],[Codigo]],Tabla2[[Cod]:[Nombre ]],2,0)</f>
        <v>P-1379</v>
      </c>
      <c r="C451" s="53">
        <f>VLOOKUP(Tabla4[[#This Row],[Codigo]],Tabla2[[Cod]:[Nombre ]],3,0)</f>
        <v>45420</v>
      </c>
      <c r="D451" s="6" t="str">
        <f>VLOOKUP(Tabla4[[#This Row],[Codigo]],Tabla2[[Cod]:[Nombre ]],4,0)</f>
        <v>TIS-1368</v>
      </c>
      <c r="E451" s="5" t="str">
        <f>VLOOKUP(Tabla4[[#This Row],[Codigo]],Tabla2[[Cod]:[Nombre ]],8,0)</f>
        <v>STAFF SEGUROS AGENCIA LTDA</v>
      </c>
      <c r="F451" s="5" t="str">
        <f>VLOOKUP(Tabla4[[#This Row],[Codigo]],Tabla2[[Cod]:[Nombre ]],6,0)</f>
        <v>OK</v>
      </c>
      <c r="G451" s="7" t="s">
        <v>416</v>
      </c>
      <c r="H451" s="21" t="s">
        <v>519</v>
      </c>
      <c r="I451" s="21" t="s">
        <v>623</v>
      </c>
      <c r="J451" s="163">
        <v>1</v>
      </c>
      <c r="K451" s="294">
        <v>300000</v>
      </c>
      <c r="L451" s="298"/>
      <c r="M451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51" s="292">
        <f>IFERROR(Tabla4[[#This Row],[Sub Total]]*VLOOKUP(Tabla4[[#This Row],[No]],Parametros!A:C,3,0),0)</f>
        <v>57000</v>
      </c>
      <c r="O451" s="292">
        <f>+Tabla4[[#This Row],[IVA]]+Tabla4[[#This Row],[Sub Total]]</f>
        <v>357000</v>
      </c>
    </row>
    <row r="452" spans="1:15" ht="45" x14ac:dyDescent="0.2">
      <c r="A452" s="6">
        <v>392</v>
      </c>
      <c r="B452" s="6" t="str">
        <f>VLOOKUP(Tabla4[[#This Row],[Codigo]],Tabla2[[Cod]:[Nombre ]],2,0)</f>
        <v>P-1380</v>
      </c>
      <c r="C452" s="53">
        <f>VLOOKUP(Tabla4[[#This Row],[Codigo]],Tabla2[[Cod]:[Nombre ]],3,0)</f>
        <v>45420</v>
      </c>
      <c r="D452" s="6" t="str">
        <f>VLOOKUP(Tabla4[[#This Row],[Codigo]],Tabla2[[Cod]:[Nombre ]],4,0)</f>
        <v>TIS-1369</v>
      </c>
      <c r="E452" s="5" t="str">
        <f>VLOOKUP(Tabla4[[#This Row],[Codigo]],Tabla2[[Cod]:[Nombre ]],8,0)</f>
        <v>DIGITAL MEDIA TECHNOLOGIES COLOMBIA SAS</v>
      </c>
      <c r="F452" s="5" t="str">
        <f>VLOOKUP(Tabla4[[#This Row],[Codigo]],Tabla2[[Cod]:[Nombre ]],6,0)</f>
        <v>OK</v>
      </c>
      <c r="G452" s="7" t="s">
        <v>416</v>
      </c>
      <c r="H452" s="21" t="s">
        <v>519</v>
      </c>
      <c r="I452" s="21" t="s">
        <v>623</v>
      </c>
      <c r="J452" s="163">
        <v>1</v>
      </c>
      <c r="K452" s="294">
        <v>250000</v>
      </c>
      <c r="L452" s="298"/>
      <c r="M452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452" s="292">
        <f>IFERROR(Tabla4[[#This Row],[Sub Total]]*VLOOKUP(Tabla4[[#This Row],[No]],Parametros!A:C,3,0),0)</f>
        <v>47500</v>
      </c>
      <c r="O452" s="292">
        <f>+Tabla4[[#This Row],[IVA]]+Tabla4[[#This Row],[Sub Total]]</f>
        <v>297500</v>
      </c>
    </row>
    <row r="453" spans="1:15" ht="36" x14ac:dyDescent="0.2">
      <c r="A453" s="6">
        <v>393</v>
      </c>
      <c r="B453" s="6" t="str">
        <f>VLOOKUP(Tabla4[[#This Row],[Codigo]],Tabla2[[Cod]:[Nombre ]],2,0)</f>
        <v>P-1381</v>
      </c>
      <c r="C453" s="53">
        <f>VLOOKUP(Tabla4[[#This Row],[Codigo]],Tabla2[[Cod]:[Nombre ]],3,0)</f>
        <v>45420</v>
      </c>
      <c r="D453" s="6" t="str">
        <f>VLOOKUP(Tabla4[[#This Row],[Codigo]],Tabla2[[Cod]:[Nombre ]],4,0)</f>
        <v>TIS-1370</v>
      </c>
      <c r="E453" s="5" t="str">
        <f>VLOOKUP(Tabla4[[#This Row],[Codigo]],Tabla2[[Cod]:[Nombre ]],8,0)</f>
        <v>Inversiones Sajamib SAS</v>
      </c>
      <c r="F453" s="5" t="str">
        <f>VLOOKUP(Tabla4[[#This Row],[Codigo]],Tabla2[[Cod]:[Nombre ]],6,0)</f>
        <v>OK</v>
      </c>
      <c r="G453" s="7" t="s">
        <v>417</v>
      </c>
      <c r="H453" s="21" t="s">
        <v>525</v>
      </c>
      <c r="I453" s="21" t="s">
        <v>624</v>
      </c>
      <c r="J453" s="163">
        <v>1</v>
      </c>
      <c r="K453" s="294">
        <v>400000</v>
      </c>
      <c r="L453" s="298"/>
      <c r="M453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453" s="292">
        <f>IFERROR(Tabla4[[#This Row],[Sub Total]]*VLOOKUP(Tabla4[[#This Row],[No]],Parametros!A:C,3,0),0)</f>
        <v>0</v>
      </c>
      <c r="O453" s="292">
        <f>+Tabla4[[#This Row],[IVA]]+Tabla4[[#This Row],[Sub Total]]</f>
        <v>400000</v>
      </c>
    </row>
    <row r="454" spans="1:15" ht="36" x14ac:dyDescent="0.2">
      <c r="A454" s="6">
        <v>394</v>
      </c>
      <c r="B454" s="6" t="str">
        <f>VLOOKUP(Tabla4[[#This Row],[Codigo]],Tabla2[[Cod]:[Nombre ]],2,0)</f>
        <v>P-1382</v>
      </c>
      <c r="C454" s="53">
        <f>VLOOKUP(Tabla4[[#This Row],[Codigo]],Tabla2[[Cod]:[Nombre ]],3,0)</f>
        <v>45420</v>
      </c>
      <c r="D454" s="6" t="str">
        <f>VLOOKUP(Tabla4[[#This Row],[Codigo]],Tabla2[[Cod]:[Nombre ]],4,0)</f>
        <v>TIS-1371</v>
      </c>
      <c r="E454" s="5" t="str">
        <f>VLOOKUP(Tabla4[[#This Row],[Codigo]],Tabla2[[Cod]:[Nombre ]],8,0)</f>
        <v>GENUINE TECH SAS</v>
      </c>
      <c r="F454" s="5" t="str">
        <f>VLOOKUP(Tabla4[[#This Row],[Codigo]],Tabla2[[Cod]:[Nombre ]],6,0)</f>
        <v>OK</v>
      </c>
      <c r="G454" s="7" t="s">
        <v>416</v>
      </c>
      <c r="H454" s="21" t="s">
        <v>519</v>
      </c>
      <c r="I454" s="21" t="s">
        <v>623</v>
      </c>
      <c r="J454" s="163">
        <v>1</v>
      </c>
      <c r="K454" s="294">
        <v>545454</v>
      </c>
      <c r="L454" s="298"/>
      <c r="M454" s="292">
        <f>IF(LEFT(Tabla4[[#This Row],[Electronica]],2)="NC",-Tabla4[[#This Row],[Cantidad]]*Tabla4[[#This Row],[Precio]]+Tabla4[[#This Row],[Dto]],Tabla4[[#This Row],[Cantidad]]*Tabla4[[#This Row],[Precio]]-Tabla4[[#This Row],[Dto]])</f>
        <v>545454</v>
      </c>
      <c r="N454" s="292">
        <f>IFERROR(Tabla4[[#This Row],[Sub Total]]*VLOOKUP(Tabla4[[#This Row],[No]],Parametros!A:C,3,0),0)</f>
        <v>103636.26</v>
      </c>
      <c r="O454" s="292">
        <f>+Tabla4[[#This Row],[IVA]]+Tabla4[[#This Row],[Sub Total]]</f>
        <v>649090.26</v>
      </c>
    </row>
    <row r="455" spans="1:15" ht="48" x14ac:dyDescent="0.2">
      <c r="A455" s="6">
        <v>395</v>
      </c>
      <c r="B455" s="6" t="str">
        <f>VLOOKUP(Tabla4[[#This Row],[Codigo]],Tabla2[[Cod]:[Nombre ]],2,0)</f>
        <v>P-1383</v>
      </c>
      <c r="C455" s="53">
        <f>VLOOKUP(Tabla4[[#This Row],[Codigo]],Tabla2[[Cod]:[Nombre ]],3,0)</f>
        <v>45420</v>
      </c>
      <c r="D455" s="6" t="str">
        <f>VLOOKUP(Tabla4[[#This Row],[Codigo]],Tabla2[[Cod]:[Nombre ]],4,0)</f>
        <v>TIS-1372</v>
      </c>
      <c r="E455" s="5" t="str">
        <f>VLOOKUP(Tabla4[[#This Row],[Codigo]],Tabla2[[Cod]:[Nombre ]],8,0)</f>
        <v>ALVEAR ESCOBAR ASOCIADOS S.A.S</v>
      </c>
      <c r="F455" s="5" t="str">
        <f>VLOOKUP(Tabla4[[#This Row],[Codigo]],Tabla2[[Cod]:[Nombre ]],6,0)</f>
        <v>OK</v>
      </c>
      <c r="G455" s="7" t="s">
        <v>416</v>
      </c>
      <c r="H455" s="21" t="s">
        <v>519</v>
      </c>
      <c r="I455" s="21" t="s">
        <v>625</v>
      </c>
      <c r="J455" s="163">
        <v>1</v>
      </c>
      <c r="K455" s="294">
        <v>2850</v>
      </c>
      <c r="L455" s="298"/>
      <c r="M455" s="292">
        <f>IF(LEFT(Tabla4[[#This Row],[Electronica]],2)="NC",-Tabla4[[#This Row],[Cantidad]]*Tabla4[[#This Row],[Precio]]+Tabla4[[#This Row],[Dto]],Tabla4[[#This Row],[Cantidad]]*Tabla4[[#This Row],[Precio]]-Tabla4[[#This Row],[Dto]])</f>
        <v>2850</v>
      </c>
      <c r="N455" s="292">
        <f>IFERROR(Tabla4[[#This Row],[Sub Total]]*VLOOKUP(Tabla4[[#This Row],[No]],Parametros!A:C,3,0),0)</f>
        <v>541.5</v>
      </c>
      <c r="O455" s="292">
        <f>+Tabla4[[#This Row],[IVA]]+Tabla4[[#This Row],[Sub Total]]</f>
        <v>3391.5</v>
      </c>
    </row>
    <row r="456" spans="1:15" ht="48" x14ac:dyDescent="0.2">
      <c r="A456" s="6">
        <v>395</v>
      </c>
      <c r="B456" s="6" t="str">
        <f>VLOOKUP(Tabla4[[#This Row],[Codigo]],Tabla2[[Cod]:[Nombre ]],2,0)</f>
        <v>P-1383</v>
      </c>
      <c r="C456" s="53">
        <f>VLOOKUP(Tabla4[[#This Row],[Codigo]],Tabla2[[Cod]:[Nombre ]],3,0)</f>
        <v>45420</v>
      </c>
      <c r="D456" s="6" t="str">
        <f>VLOOKUP(Tabla4[[#This Row],[Codigo]],Tabla2[[Cod]:[Nombre ]],4,0)</f>
        <v>TIS-1372</v>
      </c>
      <c r="E456" s="5" t="str">
        <f>VLOOKUP(Tabla4[[#This Row],[Codigo]],Tabla2[[Cod]:[Nombre ]],8,0)</f>
        <v>ALVEAR ESCOBAR ASOCIADOS S.A.S</v>
      </c>
      <c r="F456" s="5" t="str">
        <f>VLOOKUP(Tabla4[[#This Row],[Codigo]],Tabla2[[Cod]:[Nombre ]],6,0)</f>
        <v>OK</v>
      </c>
      <c r="G456" s="7" t="s">
        <v>416</v>
      </c>
      <c r="H456" s="21" t="s">
        <v>519</v>
      </c>
      <c r="I456" s="21" t="s">
        <v>625</v>
      </c>
      <c r="J456" s="163">
        <v>1</v>
      </c>
      <c r="K456" s="294">
        <v>2850</v>
      </c>
      <c r="L456" s="298"/>
      <c r="M456" s="292">
        <f>IF(LEFT(Tabla4[[#This Row],[Electronica]],2)="NC",-Tabla4[[#This Row],[Cantidad]]*Tabla4[[#This Row],[Precio]]+Tabla4[[#This Row],[Dto]],Tabla4[[#This Row],[Cantidad]]*Tabla4[[#This Row],[Precio]]-Tabla4[[#This Row],[Dto]])</f>
        <v>2850</v>
      </c>
      <c r="N456" s="292">
        <f>IFERROR(Tabla4[[#This Row],[Sub Total]]*VLOOKUP(Tabla4[[#This Row],[No]],Parametros!A:C,3,0),0)</f>
        <v>541.5</v>
      </c>
      <c r="O456" s="292">
        <f>+Tabla4[[#This Row],[IVA]]+Tabla4[[#This Row],[Sub Total]]</f>
        <v>3391.5</v>
      </c>
    </row>
    <row r="457" spans="1:15" ht="36" x14ac:dyDescent="0.2">
      <c r="A457" s="6">
        <v>396</v>
      </c>
      <c r="B457" s="6" t="str">
        <f>VLOOKUP(Tabla4[[#This Row],[Codigo]],Tabla2[[Cod]:[Nombre ]],2,0)</f>
        <v>P-1384</v>
      </c>
      <c r="C457" s="53">
        <f>VLOOKUP(Tabla4[[#This Row],[Codigo]],Tabla2[[Cod]:[Nombre ]],3,0)</f>
        <v>45420</v>
      </c>
      <c r="D457" s="6" t="str">
        <f>VLOOKUP(Tabla4[[#This Row],[Codigo]],Tabla2[[Cod]:[Nombre ]],4,0)</f>
        <v>TIS-1373</v>
      </c>
      <c r="E457" s="5" t="str">
        <f>VLOOKUP(Tabla4[[#This Row],[Codigo]],Tabla2[[Cod]:[Nombre ]],8,0)</f>
        <v>ALVEAR ESCOBAR ASOCIADOS S.A.S</v>
      </c>
      <c r="F457" s="5" t="str">
        <f>VLOOKUP(Tabla4[[#This Row],[Codigo]],Tabla2[[Cod]:[Nombre ]],6,0)</f>
        <v>OK</v>
      </c>
      <c r="G457" s="7" t="s">
        <v>416</v>
      </c>
      <c r="H457" s="21" t="s">
        <v>519</v>
      </c>
      <c r="I457" s="21" t="s">
        <v>623</v>
      </c>
      <c r="J457" s="163">
        <v>1</v>
      </c>
      <c r="K457" s="294">
        <v>190350</v>
      </c>
      <c r="L457" s="298"/>
      <c r="M457" s="292">
        <f>IF(LEFT(Tabla4[[#This Row],[Electronica]],2)="NC",-Tabla4[[#This Row],[Cantidad]]*Tabla4[[#This Row],[Precio]]+Tabla4[[#This Row],[Dto]],Tabla4[[#This Row],[Cantidad]]*Tabla4[[#This Row],[Precio]]-Tabla4[[#This Row],[Dto]])</f>
        <v>190350</v>
      </c>
      <c r="N457" s="292">
        <f>IFERROR(Tabla4[[#This Row],[Sub Total]]*VLOOKUP(Tabla4[[#This Row],[No]],Parametros!A:C,3,0),0)</f>
        <v>36166.5</v>
      </c>
      <c r="O457" s="292">
        <f>+Tabla4[[#This Row],[IVA]]+Tabla4[[#This Row],[Sub Total]]</f>
        <v>226516.5</v>
      </c>
    </row>
    <row r="458" spans="1:15" ht="36" x14ac:dyDescent="0.2">
      <c r="A458" s="6">
        <v>397</v>
      </c>
      <c r="B458" s="6" t="str">
        <f>VLOOKUP(Tabla4[[#This Row],[Codigo]],Tabla2[[Cod]:[Nombre ]],2,0)</f>
        <v>P-1385</v>
      </c>
      <c r="C458" s="53">
        <f>VLOOKUP(Tabla4[[#This Row],[Codigo]],Tabla2[[Cod]:[Nombre ]],3,0)</f>
        <v>45420</v>
      </c>
      <c r="D458" s="6" t="str">
        <f>VLOOKUP(Tabla4[[#This Row],[Codigo]],Tabla2[[Cod]:[Nombre ]],4,0)</f>
        <v>TIS-1374</v>
      </c>
      <c r="E458" s="5" t="str">
        <f>VLOOKUP(Tabla4[[#This Row],[Codigo]],Tabla2[[Cod]:[Nombre ]],8,0)</f>
        <v>GB BARRETO Y CIA LTDA - ASESORES DE SEGUROS</v>
      </c>
      <c r="F458" s="5" t="str">
        <f>VLOOKUP(Tabla4[[#This Row],[Codigo]],Tabla2[[Cod]:[Nombre ]],6,0)</f>
        <v>OK</v>
      </c>
      <c r="G458" s="7" t="s">
        <v>416</v>
      </c>
      <c r="H458" s="21" t="s">
        <v>519</v>
      </c>
      <c r="I458" s="21" t="s">
        <v>626</v>
      </c>
      <c r="J458" s="163">
        <v>1</v>
      </c>
      <c r="K458" s="294">
        <v>600000</v>
      </c>
      <c r="L458" s="298"/>
      <c r="M458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458" s="292">
        <f>IFERROR(Tabla4[[#This Row],[Sub Total]]*VLOOKUP(Tabla4[[#This Row],[No]],Parametros!A:C,3,0),0)</f>
        <v>114000</v>
      </c>
      <c r="O458" s="292">
        <f>+Tabla4[[#This Row],[IVA]]+Tabla4[[#This Row],[Sub Total]]</f>
        <v>714000</v>
      </c>
    </row>
    <row r="459" spans="1:15" ht="45" x14ac:dyDescent="0.2">
      <c r="A459" s="6">
        <v>399</v>
      </c>
      <c r="B459" s="6" t="str">
        <f>VLOOKUP(Tabla4[[#This Row],[Codigo]],Tabla2[[Cod]:[Nombre ]],2,0)</f>
        <v>P-1387</v>
      </c>
      <c r="C459" s="53">
        <f>VLOOKUP(Tabla4[[#This Row],[Codigo]],Tabla2[[Cod]:[Nombre ]],3,0)</f>
        <v>45420</v>
      </c>
      <c r="D459" s="6" t="str">
        <f>VLOOKUP(Tabla4[[#This Row],[Codigo]],Tabla2[[Cod]:[Nombre ]],4,0)</f>
        <v>TIS-1375</v>
      </c>
      <c r="E459" s="5" t="str">
        <f>VLOOKUP(Tabla4[[#This Row],[Codigo]],Tabla2[[Cod]:[Nombre ]],8,0)</f>
        <v>INSTITUTO DISTRITAL DE CIENCIA, BIOTECNOLOGIA E INNOVACION EN SALUD</v>
      </c>
      <c r="F459" s="5" t="str">
        <f>VLOOKUP(Tabla4[[#This Row],[Codigo]],Tabla2[[Cod]:[Nombre ]],6,0)</f>
        <v>OK</v>
      </c>
      <c r="G459" s="7" t="s">
        <v>282</v>
      </c>
      <c r="H459" s="21" t="s">
        <v>16</v>
      </c>
      <c r="I459" s="21" t="s">
        <v>627</v>
      </c>
      <c r="J459" s="163">
        <v>223</v>
      </c>
      <c r="K459" s="294">
        <v>30000</v>
      </c>
      <c r="L459" s="298"/>
      <c r="M459" s="292">
        <f>IF(LEFT(Tabla4[[#This Row],[Electronica]],2)="NC",-Tabla4[[#This Row],[Cantidad]]*Tabla4[[#This Row],[Precio]]+Tabla4[[#This Row],[Dto]],Tabla4[[#This Row],[Cantidad]]*Tabla4[[#This Row],[Precio]]-Tabla4[[#This Row],[Dto]])</f>
        <v>6690000</v>
      </c>
      <c r="N459" s="292">
        <f>IFERROR(Tabla4[[#This Row],[Sub Total]]*VLOOKUP(Tabla4[[#This Row],[No]],Parametros!A:C,3,0),0)</f>
        <v>1271100</v>
      </c>
      <c r="O459" s="292">
        <f>+Tabla4[[#This Row],[IVA]]+Tabla4[[#This Row],[Sub Total]]</f>
        <v>7961100</v>
      </c>
    </row>
    <row r="460" spans="1:15" ht="36" x14ac:dyDescent="0.2">
      <c r="A460" s="6">
        <v>400</v>
      </c>
      <c r="B460" s="6" t="str">
        <f>VLOOKUP(Tabla4[[#This Row],[Codigo]],Tabla2[[Cod]:[Nombre ]],2,0)</f>
        <v>P-1388</v>
      </c>
      <c r="C460" s="53">
        <f>VLOOKUP(Tabla4[[#This Row],[Codigo]],Tabla2[[Cod]:[Nombre ]],3,0)</f>
        <v>45449</v>
      </c>
      <c r="D460" s="6" t="str">
        <f>VLOOKUP(Tabla4[[#This Row],[Codigo]],Tabla2[[Cod]:[Nombre ]],4,0)</f>
        <v>TIS-1376</v>
      </c>
      <c r="E460" s="5" t="str">
        <f>VLOOKUP(Tabla4[[#This Row],[Codigo]],Tabla2[[Cod]:[Nombre ]],8,0)</f>
        <v>Comercializadora ERZ SAS</v>
      </c>
      <c r="F460" s="5" t="str">
        <f>VLOOKUP(Tabla4[[#This Row],[Codigo]],Tabla2[[Cod]:[Nombre ]],6,0)</f>
        <v>OK</v>
      </c>
      <c r="G460" s="7" t="s">
        <v>416</v>
      </c>
      <c r="H460" s="21" t="s">
        <v>519</v>
      </c>
      <c r="I460" s="21" t="s">
        <v>628</v>
      </c>
      <c r="J460" s="163">
        <v>1</v>
      </c>
      <c r="K460" s="294">
        <v>260000</v>
      </c>
      <c r="L460" s="298"/>
      <c r="M460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460" s="292">
        <f>IFERROR(Tabla4[[#This Row],[Sub Total]]*VLOOKUP(Tabla4[[#This Row],[No]],Parametros!A:C,3,0),0)</f>
        <v>49400</v>
      </c>
      <c r="O460" s="292">
        <f>+Tabla4[[#This Row],[IVA]]+Tabla4[[#This Row],[Sub Total]]</f>
        <v>309400</v>
      </c>
    </row>
    <row r="461" spans="1:15" ht="36" x14ac:dyDescent="0.2">
      <c r="A461" s="6">
        <v>401</v>
      </c>
      <c r="B461" s="6" t="str">
        <f>VLOOKUP(Tabla4[[#This Row],[Codigo]],Tabla2[[Cod]:[Nombre ]],2,0)</f>
        <v>P-1389</v>
      </c>
      <c r="C461" s="53">
        <f>VLOOKUP(Tabla4[[#This Row],[Codigo]],Tabla2[[Cod]:[Nombre ]],3,0)</f>
        <v>45449</v>
      </c>
      <c r="D461" s="6" t="str">
        <f>VLOOKUP(Tabla4[[#This Row],[Codigo]],Tabla2[[Cod]:[Nombre ]],4,0)</f>
        <v>TIS-1377</v>
      </c>
      <c r="E461" s="5" t="str">
        <f>VLOOKUP(Tabla4[[#This Row],[Codigo]],Tabla2[[Cod]:[Nombre ]],8,0)</f>
        <v>ROYCO SOLUCIONES SAS</v>
      </c>
      <c r="F461" s="5" t="str">
        <f>VLOOKUP(Tabla4[[#This Row],[Codigo]],Tabla2[[Cod]:[Nombre ]],6,0)</f>
        <v>OK</v>
      </c>
      <c r="G461" s="7" t="s">
        <v>416</v>
      </c>
      <c r="H461" s="21" t="s">
        <v>519</v>
      </c>
      <c r="I461" s="21" t="s">
        <v>628</v>
      </c>
      <c r="J461" s="163">
        <v>1</v>
      </c>
      <c r="K461" s="294">
        <v>175000</v>
      </c>
      <c r="L461" s="298"/>
      <c r="M461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461" s="292">
        <f>IFERROR(Tabla4[[#This Row],[Sub Total]]*VLOOKUP(Tabla4[[#This Row],[No]],Parametros!A:C,3,0),0)</f>
        <v>33250</v>
      </c>
      <c r="O461" s="292">
        <f>+Tabla4[[#This Row],[IVA]]+Tabla4[[#This Row],[Sub Total]]</f>
        <v>208250</v>
      </c>
    </row>
    <row r="462" spans="1:15" ht="45" x14ac:dyDescent="0.2">
      <c r="A462" s="6">
        <v>402</v>
      </c>
      <c r="B462" s="6" t="str">
        <f>VLOOKUP(Tabla4[[#This Row],[Codigo]],Tabla2[[Cod]:[Nombre ]],2,0)</f>
        <v>P-1391</v>
      </c>
      <c r="C462" s="53">
        <f>VLOOKUP(Tabla4[[#This Row],[Codigo]],Tabla2[[Cod]:[Nombre ]],3,0)</f>
        <v>45449</v>
      </c>
      <c r="D462" s="6" t="str">
        <f>VLOOKUP(Tabla4[[#This Row],[Codigo]],Tabla2[[Cod]:[Nombre ]],4,0)</f>
        <v>TIS-1379</v>
      </c>
      <c r="E462" s="5" t="str">
        <f>VLOOKUP(Tabla4[[#This Row],[Codigo]],Tabla2[[Cod]:[Nombre ]],8,0)</f>
        <v>DIGITAL MEDIA TECHNOLOGIES COLOMBIA SAS</v>
      </c>
      <c r="F462" s="5" t="str">
        <f>VLOOKUP(Tabla4[[#This Row],[Codigo]],Tabla2[[Cod]:[Nombre ]],6,0)</f>
        <v>OK</v>
      </c>
      <c r="G462" s="7" t="s">
        <v>416</v>
      </c>
      <c r="H462" s="21" t="s">
        <v>519</v>
      </c>
      <c r="I462" s="21" t="s">
        <v>628</v>
      </c>
      <c r="J462" s="163">
        <v>1</v>
      </c>
      <c r="K462" s="294">
        <v>300000</v>
      </c>
      <c r="L462" s="298"/>
      <c r="M462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62" s="292">
        <f>IFERROR(Tabla4[[#This Row],[Sub Total]]*VLOOKUP(Tabla4[[#This Row],[No]],Parametros!A:C,3,0),0)</f>
        <v>57000</v>
      </c>
      <c r="O462" s="292">
        <f>+Tabla4[[#This Row],[IVA]]+Tabla4[[#This Row],[Sub Total]]</f>
        <v>357000</v>
      </c>
    </row>
    <row r="463" spans="1:15" ht="36" x14ac:dyDescent="0.2">
      <c r="A463" s="6">
        <v>403</v>
      </c>
      <c r="B463" s="6" t="str">
        <f>VLOOKUP(Tabla4[[#This Row],[Codigo]],Tabla2[[Cod]:[Nombre ]],2,0)</f>
        <v>P-1392</v>
      </c>
      <c r="C463" s="53">
        <f>VLOOKUP(Tabla4[[#This Row],[Codigo]],Tabla2[[Cod]:[Nombre ]],3,0)</f>
        <v>45449</v>
      </c>
      <c r="D463" s="6" t="str">
        <f>VLOOKUP(Tabla4[[#This Row],[Codigo]],Tabla2[[Cod]:[Nombre ]],4,0)</f>
        <v>TIS-1380</v>
      </c>
      <c r="E463" s="5" t="str">
        <f>VLOOKUP(Tabla4[[#This Row],[Codigo]],Tabla2[[Cod]:[Nombre ]],8,0)</f>
        <v>GENUINE TECH SAS</v>
      </c>
      <c r="F463" s="5" t="str">
        <f>VLOOKUP(Tabla4[[#This Row],[Codigo]],Tabla2[[Cod]:[Nombre ]],6,0)</f>
        <v>OK</v>
      </c>
      <c r="G463" s="7" t="s">
        <v>416</v>
      </c>
      <c r="H463" s="21" t="s">
        <v>519</v>
      </c>
      <c r="I463" s="21" t="s">
        <v>628</v>
      </c>
      <c r="J463" s="163">
        <v>1</v>
      </c>
      <c r="K463" s="294">
        <v>545454</v>
      </c>
      <c r="L463" s="298"/>
      <c r="M463" s="292">
        <f>IF(LEFT(Tabla4[[#This Row],[Electronica]],2)="NC",-Tabla4[[#This Row],[Cantidad]]*Tabla4[[#This Row],[Precio]]+Tabla4[[#This Row],[Dto]],Tabla4[[#This Row],[Cantidad]]*Tabla4[[#This Row],[Precio]]-Tabla4[[#This Row],[Dto]])</f>
        <v>545454</v>
      </c>
      <c r="N463" s="292">
        <f>IFERROR(Tabla4[[#This Row],[Sub Total]]*VLOOKUP(Tabla4[[#This Row],[No]],Parametros!A:C,3,0),0)</f>
        <v>103636.26</v>
      </c>
      <c r="O463" s="292">
        <f>+Tabla4[[#This Row],[IVA]]+Tabla4[[#This Row],[Sub Total]]</f>
        <v>649090.26</v>
      </c>
    </row>
    <row r="464" spans="1:15" ht="48" x14ac:dyDescent="0.2">
      <c r="A464" s="6">
        <v>404</v>
      </c>
      <c r="B464" s="6" t="str">
        <f>VLOOKUP(Tabla4[[#This Row],[Codigo]],Tabla2[[Cod]:[Nombre ]],2,0)</f>
        <v>P-1393</v>
      </c>
      <c r="C464" s="53">
        <f>VLOOKUP(Tabla4[[#This Row],[Codigo]],Tabla2[[Cod]:[Nombre ]],3,0)</f>
        <v>45449</v>
      </c>
      <c r="D464" s="334" t="str">
        <f>VLOOKUP(Tabla4[[#This Row],[Codigo]],Tabla2[[Cod]:[Nombre ]],4,0)</f>
        <v>TIS-1381</v>
      </c>
      <c r="E464" s="335" t="str">
        <f>VLOOKUP(Tabla4[[#This Row],[Codigo]],Tabla2[[Cod]:[Nombre ]],8,0)</f>
        <v>ACTIVOS SAS</v>
      </c>
      <c r="F464" s="335" t="str">
        <f>VLOOKUP(Tabla4[[#This Row],[Codigo]],Tabla2[[Cod]:[Nombre ]],6,0)</f>
        <v>OK</v>
      </c>
      <c r="G464" s="336" t="s">
        <v>415</v>
      </c>
      <c r="H464" s="337" t="s">
        <v>605</v>
      </c>
      <c r="I464" s="337" t="s">
        <v>629</v>
      </c>
      <c r="J464" s="338">
        <v>18</v>
      </c>
      <c r="K464" s="339">
        <v>280000</v>
      </c>
      <c r="L464" s="340"/>
      <c r="M464" s="341">
        <f>IF(LEFT(Tabla4[[#This Row],[Electronica]],2)="NC",-Tabla4[[#This Row],[Cantidad]]*Tabla4[[#This Row],[Precio]]+Tabla4[[#This Row],[Dto]],Tabla4[[#This Row],[Cantidad]]*Tabla4[[#This Row],[Precio]]-Tabla4[[#This Row],[Dto]])</f>
        <v>5040000</v>
      </c>
      <c r="N464" s="341">
        <f>IFERROR(Tabla4[[#This Row],[Sub Total]]*VLOOKUP(Tabla4[[#This Row],[No]],Parametros!A:C,3,0),0)</f>
        <v>957600</v>
      </c>
      <c r="O464" s="341">
        <f>+Tabla4[[#This Row],[IVA]]+Tabla4[[#This Row],[Sub Total]]</f>
        <v>5997600</v>
      </c>
    </row>
    <row r="465" spans="1:15" ht="45" x14ac:dyDescent="0.2">
      <c r="A465" s="6">
        <v>405</v>
      </c>
      <c r="B465" s="6" t="str">
        <f>VLOOKUP(Tabla4[[#This Row],[Codigo]],Tabla2[[Cod]:[Nombre ]],2,0)</f>
        <v>P-1394</v>
      </c>
      <c r="C465" s="53">
        <f>VLOOKUP(Tabla4[[#This Row],[Codigo]],Tabla2[[Cod]:[Nombre ]],3,0)</f>
        <v>45449</v>
      </c>
      <c r="D465" s="6" t="str">
        <f>VLOOKUP(Tabla4[[#This Row],[Codigo]],Tabla2[[Cod]:[Nombre ]],4,0)</f>
        <v>TIS-1382</v>
      </c>
      <c r="E465" s="5" t="str">
        <f>VLOOKUP(Tabla4[[#This Row],[Codigo]],Tabla2[[Cod]:[Nombre ]],8,0)</f>
        <v>INDUSTRIAS Y SOLUCIONES METALMECANICAS COLOMBIA SAS</v>
      </c>
      <c r="F465" s="5" t="str">
        <f>VLOOKUP(Tabla4[[#This Row],[Codigo]],Tabla2[[Cod]:[Nombre ]],6,0)</f>
        <v>OK</v>
      </c>
      <c r="G465" s="7" t="s">
        <v>420</v>
      </c>
      <c r="H465" s="21" t="s">
        <v>551</v>
      </c>
      <c r="I465" s="21" t="s">
        <v>630</v>
      </c>
      <c r="J465" s="163">
        <v>10</v>
      </c>
      <c r="K465" s="294">
        <v>200000</v>
      </c>
      <c r="L465" s="298"/>
      <c r="M465" s="292">
        <f>IF(LEFT(Tabla4[[#This Row],[Electronica]],2)="NC",-Tabla4[[#This Row],[Cantidad]]*Tabla4[[#This Row],[Precio]]+Tabla4[[#This Row],[Dto]],Tabla4[[#This Row],[Cantidad]]*Tabla4[[#This Row],[Precio]]-Tabla4[[#This Row],[Dto]])</f>
        <v>2000000</v>
      </c>
      <c r="N465" s="292">
        <f>IFERROR(Tabla4[[#This Row],[Sub Total]]*VLOOKUP(Tabla4[[#This Row],[No]],Parametros!A:C,3,0),0)</f>
        <v>380000</v>
      </c>
      <c r="O465" s="292">
        <f>+Tabla4[[#This Row],[IVA]]+Tabla4[[#This Row],[Sub Total]]</f>
        <v>2380000</v>
      </c>
    </row>
    <row r="466" spans="1:15" ht="60" x14ac:dyDescent="0.2">
      <c r="A466" s="6">
        <v>406</v>
      </c>
      <c r="B466" s="6" t="str">
        <f>VLOOKUP(Tabla4[[#This Row],[Codigo]],Tabla2[[Cod]:[Nombre ]],2,0)</f>
        <v>P-1395</v>
      </c>
      <c r="C466" s="53">
        <f>VLOOKUP(Tabla4[[#This Row],[Codigo]],Tabla2[[Cod]:[Nombre ]],3,0)</f>
        <v>45460</v>
      </c>
      <c r="D466" s="6" t="str">
        <f>VLOOKUP(Tabla4[[#This Row],[Codigo]],Tabla2[[Cod]:[Nombre ]],4,0)</f>
        <v>TIS-1383</v>
      </c>
      <c r="E466" s="5" t="str">
        <f>VLOOKUP(Tabla4[[#This Row],[Codigo]],Tabla2[[Cod]:[Nombre ]],8,0)</f>
        <v>FIDEICOMISOS SOCIEDAD FIDUCIARIA DE OCCIDENTE SA</v>
      </c>
      <c r="F466" s="5" t="str">
        <f>VLOOKUP(Tabla4[[#This Row],[Codigo]],Tabla2[[Cod]:[Nombre ]],6,0)</f>
        <v>OK</v>
      </c>
      <c r="G466" s="7">
        <v>16</v>
      </c>
      <c r="H466" s="21" t="s">
        <v>631</v>
      </c>
      <c r="I466" s="21" t="s">
        <v>632</v>
      </c>
      <c r="J466" s="163">
        <v>1</v>
      </c>
      <c r="K466" s="294">
        <v>7950000</v>
      </c>
      <c r="L466" s="298"/>
      <c r="M466" s="292">
        <f>IF(LEFT(Tabla4[[#This Row],[Electronica]],2)="NC",-Tabla4[[#This Row],[Cantidad]]*Tabla4[[#This Row],[Precio]]+Tabla4[[#This Row],[Dto]],Tabla4[[#This Row],[Cantidad]]*Tabla4[[#This Row],[Precio]]-Tabla4[[#This Row],[Dto]])</f>
        <v>7950000</v>
      </c>
      <c r="N466" s="292">
        <f>IFERROR(Tabla4[[#This Row],[Sub Total]]*VLOOKUP(Tabla4[[#This Row],[No]],Parametros!A:C,3,0),0)</f>
        <v>1510500</v>
      </c>
      <c r="O466" s="292">
        <f>+Tabla4[[#This Row],[IVA]]+Tabla4[[#This Row],[Sub Total]]</f>
        <v>9460500</v>
      </c>
    </row>
    <row r="467" spans="1:15" ht="36" x14ac:dyDescent="0.2">
      <c r="A467" s="6">
        <v>407</v>
      </c>
      <c r="B467" s="6" t="str">
        <f>VLOOKUP(Tabla4[[#This Row],[Codigo]],Tabla2[[Cod]:[Nombre ]],2,0)</f>
        <v>P-1396</v>
      </c>
      <c r="C467" s="53">
        <f>VLOOKUP(Tabla4[[#This Row],[Codigo]],Tabla2[[Cod]:[Nombre ]],3,0)</f>
        <v>45470</v>
      </c>
      <c r="D467" s="6" t="str">
        <f>VLOOKUP(Tabla4[[#This Row],[Codigo]],Tabla2[[Cod]:[Nombre ]],4,0)</f>
        <v>TIS-1384</v>
      </c>
      <c r="E467" s="5" t="str">
        <f>VLOOKUP(Tabla4[[#This Row],[Codigo]],Tabla2[[Cod]:[Nombre ]],8,0)</f>
        <v>MARCEGAGLIA COLOMBIA SAS</v>
      </c>
      <c r="F467" s="5" t="str">
        <f>VLOOKUP(Tabla4[[#This Row],[Codigo]],Tabla2[[Cod]:[Nombre ]],6,0)</f>
        <v>OK</v>
      </c>
      <c r="G467" s="7" t="s">
        <v>416</v>
      </c>
      <c r="H467" s="21" t="s">
        <v>519</v>
      </c>
      <c r="I467" s="21" t="s">
        <v>633</v>
      </c>
      <c r="J467" s="163">
        <v>1</v>
      </c>
      <c r="K467" s="294">
        <v>500000</v>
      </c>
      <c r="L467" s="298"/>
      <c r="M467" s="292">
        <f>IF(LEFT(Tabla4[[#This Row],[Electronica]],2)="NC",-Tabla4[[#This Row],[Cantidad]]*Tabla4[[#This Row],[Precio]]+Tabla4[[#This Row],[Dto]],Tabla4[[#This Row],[Cantidad]]*Tabla4[[#This Row],[Precio]]-Tabla4[[#This Row],[Dto]])</f>
        <v>500000</v>
      </c>
      <c r="N467" s="292">
        <f>IFERROR(Tabla4[[#This Row],[Sub Total]]*VLOOKUP(Tabla4[[#This Row],[No]],Parametros!A:C,3,0),0)</f>
        <v>95000</v>
      </c>
      <c r="O467" s="292">
        <f>+Tabla4[[#This Row],[IVA]]+Tabla4[[#This Row],[Sub Total]]</f>
        <v>595000</v>
      </c>
    </row>
    <row r="468" spans="1:15" ht="45" x14ac:dyDescent="0.2">
      <c r="A468" s="6">
        <v>408</v>
      </c>
      <c r="B468" s="6" t="str">
        <f>VLOOKUP(Tabla4[[#This Row],[Codigo]],Tabla2[[Cod]:[Nombre ]],2,0)</f>
        <v>P-1397</v>
      </c>
      <c r="C468" s="53">
        <f>VLOOKUP(Tabla4[[#This Row],[Codigo]],Tabla2[[Cod]:[Nombre ]],3,0)</f>
        <v>45477</v>
      </c>
      <c r="D468" s="6" t="str">
        <f>VLOOKUP(Tabla4[[#This Row],[Codigo]],Tabla2[[Cod]:[Nombre ]],4,0)</f>
        <v>TIS-1386</v>
      </c>
      <c r="E468" s="5" t="str">
        <f>VLOOKUP(Tabla4[[#This Row],[Codigo]],Tabla2[[Cod]:[Nombre ]],8,0)</f>
        <v>FUNDACION DE EDUCACION SUPERIOR SAN JOSE FESSANJOSE</v>
      </c>
      <c r="F468" s="5" t="str">
        <f>VLOOKUP(Tabla4[[#This Row],[Codigo]],Tabla2[[Cod]:[Nombre ]],6,0)</f>
        <v>OK</v>
      </c>
      <c r="G468" s="7">
        <v>15</v>
      </c>
      <c r="H468" s="21" t="s">
        <v>553</v>
      </c>
      <c r="I468" s="21" t="s">
        <v>634</v>
      </c>
      <c r="J468" s="163">
        <v>1</v>
      </c>
      <c r="K468" s="294">
        <v>1000000</v>
      </c>
      <c r="L468" s="298"/>
      <c r="M468" s="292">
        <f>IF(LEFT(Tabla4[[#This Row],[Electronica]],2)="NC",-Tabla4[[#This Row],[Cantidad]]*Tabla4[[#This Row],[Precio]]+Tabla4[[#This Row],[Dto]],Tabla4[[#This Row],[Cantidad]]*Tabla4[[#This Row],[Precio]]-Tabla4[[#This Row],[Dto]])</f>
        <v>1000000</v>
      </c>
      <c r="N468" s="292">
        <f>IFERROR(Tabla4[[#This Row],[Sub Total]]*VLOOKUP(Tabla4[[#This Row],[No]],Parametros!A:C,3,0),0)</f>
        <v>190000</v>
      </c>
      <c r="O468" s="292">
        <f>+Tabla4[[#This Row],[IVA]]+Tabla4[[#This Row],[Sub Total]]</f>
        <v>1190000</v>
      </c>
    </row>
    <row r="469" spans="1:15" ht="36" x14ac:dyDescent="0.2">
      <c r="A469" s="6">
        <v>409</v>
      </c>
      <c r="B469" s="6" t="str">
        <f>VLOOKUP(Tabla4[[#This Row],[Codigo]],Tabla2[[Cod]:[Nombre ]],2,0)</f>
        <v>P-1398</v>
      </c>
      <c r="C469" s="53">
        <f>VLOOKUP(Tabla4[[#This Row],[Codigo]],Tabla2[[Cod]:[Nombre ]],3,0)</f>
        <v>45481</v>
      </c>
      <c r="D469" s="6" t="str">
        <f>VLOOKUP(Tabla4[[#This Row],[Codigo]],Tabla2[[Cod]:[Nombre ]],4,0)</f>
        <v>TIS-1387</v>
      </c>
      <c r="E469" s="5" t="str">
        <f>VLOOKUP(Tabla4[[#This Row],[Codigo]],Tabla2[[Cod]:[Nombre ]],8,0)</f>
        <v>Comercializadora ERZ SAS</v>
      </c>
      <c r="F469" s="5" t="str">
        <f>VLOOKUP(Tabla4[[#This Row],[Codigo]],Tabla2[[Cod]:[Nombre ]],6,0)</f>
        <v>OK</v>
      </c>
      <c r="G469" s="7" t="s">
        <v>416</v>
      </c>
      <c r="H469" s="21" t="s">
        <v>519</v>
      </c>
      <c r="I469" s="21" t="s">
        <v>635</v>
      </c>
      <c r="J469" s="163">
        <v>1</v>
      </c>
      <c r="K469" s="294">
        <v>260000</v>
      </c>
      <c r="L469" s="298"/>
      <c r="M469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469" s="292">
        <f>IFERROR(Tabla4[[#This Row],[Sub Total]]*VLOOKUP(Tabla4[[#This Row],[No]],Parametros!A:C,3,0),0)</f>
        <v>49400</v>
      </c>
      <c r="O469" s="292">
        <f>+Tabla4[[#This Row],[IVA]]+Tabla4[[#This Row],[Sub Total]]</f>
        <v>309400</v>
      </c>
    </row>
    <row r="470" spans="1:15" ht="36" x14ac:dyDescent="0.2">
      <c r="A470" s="6">
        <v>410</v>
      </c>
      <c r="B470" s="6" t="str">
        <f>VLOOKUP(Tabla4[[#This Row],[Codigo]],Tabla2[[Cod]:[Nombre ]],2,0)</f>
        <v>P-1399</v>
      </c>
      <c r="C470" s="53">
        <f>VLOOKUP(Tabla4[[#This Row],[Codigo]],Tabla2[[Cod]:[Nombre ]],3,0)</f>
        <v>45481</v>
      </c>
      <c r="D470" s="6" t="str">
        <f>VLOOKUP(Tabla4[[#This Row],[Codigo]],Tabla2[[Cod]:[Nombre ]],4,0)</f>
        <v>TIS-1388</v>
      </c>
      <c r="E470" s="5" t="str">
        <f>VLOOKUP(Tabla4[[#This Row],[Codigo]],Tabla2[[Cod]:[Nombre ]],8,0)</f>
        <v>ROYCO SOLUCIONES SAS</v>
      </c>
      <c r="F470" s="5" t="str">
        <f>VLOOKUP(Tabla4[[#This Row],[Codigo]],Tabla2[[Cod]:[Nombre ]],6,0)</f>
        <v>OK</v>
      </c>
      <c r="G470" s="7" t="s">
        <v>416</v>
      </c>
      <c r="H470" s="21" t="s">
        <v>519</v>
      </c>
      <c r="I470" s="21" t="s">
        <v>636</v>
      </c>
      <c r="J470" s="163">
        <v>1</v>
      </c>
      <c r="K470" s="294">
        <v>175000</v>
      </c>
      <c r="L470" s="298"/>
      <c r="M470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470" s="292">
        <f>IFERROR(Tabla4[[#This Row],[Sub Total]]*VLOOKUP(Tabla4[[#This Row],[No]],Parametros!A:C,3,0),0)</f>
        <v>33250</v>
      </c>
      <c r="O470" s="292">
        <f>+Tabla4[[#This Row],[IVA]]+Tabla4[[#This Row],[Sub Total]]</f>
        <v>208250</v>
      </c>
    </row>
    <row r="471" spans="1:15" ht="36" x14ac:dyDescent="0.2">
      <c r="A471" s="6">
        <v>411</v>
      </c>
      <c r="B471" s="6" t="str">
        <f>VLOOKUP(Tabla4[[#This Row],[Codigo]],Tabla2[[Cod]:[Nombre ]],2,0)</f>
        <v>P-1400</v>
      </c>
      <c r="C471" s="53">
        <f>VLOOKUP(Tabla4[[#This Row],[Codigo]],Tabla2[[Cod]:[Nombre ]],3,0)</f>
        <v>45481</v>
      </c>
      <c r="D471" s="6" t="str">
        <f>VLOOKUP(Tabla4[[#This Row],[Codigo]],Tabla2[[Cod]:[Nombre ]],4,0)</f>
        <v>TIS-1389</v>
      </c>
      <c r="E471" s="5" t="str">
        <f>VLOOKUP(Tabla4[[#This Row],[Codigo]],Tabla2[[Cod]:[Nombre ]],8,0)</f>
        <v>STAFF SEGUROS AGENCIA LTDA</v>
      </c>
      <c r="F471" s="5" t="str">
        <f>VLOOKUP(Tabla4[[#This Row],[Codigo]],Tabla2[[Cod]:[Nombre ]],6,0)</f>
        <v>OK</v>
      </c>
      <c r="G471" s="7" t="s">
        <v>416</v>
      </c>
      <c r="H471" s="21" t="s">
        <v>519</v>
      </c>
      <c r="I471" s="21" t="s">
        <v>635</v>
      </c>
      <c r="J471" s="163">
        <v>1</v>
      </c>
      <c r="K471" s="294">
        <v>300000</v>
      </c>
      <c r="L471" s="298"/>
      <c r="M471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71" s="292">
        <f>IFERROR(Tabla4[[#This Row],[Sub Total]]*VLOOKUP(Tabla4[[#This Row],[No]],Parametros!A:C,3,0),0)</f>
        <v>57000</v>
      </c>
      <c r="O471" s="292">
        <f>+Tabla4[[#This Row],[IVA]]+Tabla4[[#This Row],[Sub Total]]</f>
        <v>357000</v>
      </c>
    </row>
    <row r="472" spans="1:15" ht="36" x14ac:dyDescent="0.2">
      <c r="A472" s="6">
        <v>412</v>
      </c>
      <c r="B472" s="6" t="str">
        <f>VLOOKUP(Tabla4[[#This Row],[Codigo]],Tabla2[[Cod]:[Nombre ]],2,0)</f>
        <v>P-1401</v>
      </c>
      <c r="C472" s="53">
        <f>VLOOKUP(Tabla4[[#This Row],[Codigo]],Tabla2[[Cod]:[Nombre ]],3,0)</f>
        <v>45481</v>
      </c>
      <c r="D472" s="6" t="str">
        <f>VLOOKUP(Tabla4[[#This Row],[Codigo]],Tabla2[[Cod]:[Nombre ]],4,0)</f>
        <v>TIS-1390</v>
      </c>
      <c r="E472" s="5" t="str">
        <f>VLOOKUP(Tabla4[[#This Row],[Codigo]],Tabla2[[Cod]:[Nombre ]],8,0)</f>
        <v>STAFF SEGUROS AGENCIA LTDA</v>
      </c>
      <c r="F472" s="5" t="str">
        <f>VLOOKUP(Tabla4[[#This Row],[Codigo]],Tabla2[[Cod]:[Nombre ]],6,0)</f>
        <v>OK</v>
      </c>
      <c r="G472" s="7" t="s">
        <v>416</v>
      </c>
      <c r="H472" s="21" t="s">
        <v>519</v>
      </c>
      <c r="I472" s="21" t="s">
        <v>637</v>
      </c>
      <c r="J472" s="163">
        <v>3</v>
      </c>
      <c r="K472" s="294">
        <v>300000</v>
      </c>
      <c r="L472" s="298"/>
      <c r="M472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472" s="292">
        <f>IFERROR(Tabla4[[#This Row],[Sub Total]]*VLOOKUP(Tabla4[[#This Row],[No]],Parametros!A:C,3,0),0)</f>
        <v>171000</v>
      </c>
      <c r="O472" s="292">
        <f>+Tabla4[[#This Row],[IVA]]+Tabla4[[#This Row],[Sub Total]]</f>
        <v>1071000</v>
      </c>
    </row>
    <row r="473" spans="1:15" ht="45" x14ac:dyDescent="0.2">
      <c r="A473" s="6">
        <v>413</v>
      </c>
      <c r="B473" s="6" t="str">
        <f>VLOOKUP(Tabla4[[#This Row],[Codigo]],Tabla2[[Cod]:[Nombre ]],2,0)</f>
        <v>P-1402</v>
      </c>
      <c r="C473" s="53">
        <f>VLOOKUP(Tabla4[[#This Row],[Codigo]],Tabla2[[Cod]:[Nombre ]],3,0)</f>
        <v>45481</v>
      </c>
      <c r="D473" s="6" t="str">
        <f>VLOOKUP(Tabla4[[#This Row],[Codigo]],Tabla2[[Cod]:[Nombre ]],4,0)</f>
        <v>TIS-1391</v>
      </c>
      <c r="E473" s="5" t="str">
        <f>VLOOKUP(Tabla4[[#This Row],[Codigo]],Tabla2[[Cod]:[Nombre ]],8,0)</f>
        <v>DIGITAL MEDIA TECHNOLOGIES COLOMBIA SAS</v>
      </c>
      <c r="F473" s="5" t="str">
        <f>VLOOKUP(Tabla4[[#This Row],[Codigo]],Tabla2[[Cod]:[Nombre ]],6,0)</f>
        <v>OK</v>
      </c>
      <c r="G473" s="7" t="s">
        <v>416</v>
      </c>
      <c r="H473" s="21" t="s">
        <v>519</v>
      </c>
      <c r="I473" s="21" t="s">
        <v>635</v>
      </c>
      <c r="J473" s="163">
        <v>1</v>
      </c>
      <c r="K473" s="294">
        <v>300000</v>
      </c>
      <c r="L473" s="298"/>
      <c r="M473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73" s="292">
        <f>IFERROR(Tabla4[[#This Row],[Sub Total]]*VLOOKUP(Tabla4[[#This Row],[No]],Parametros!A:C,3,0),0)</f>
        <v>57000</v>
      </c>
      <c r="O473" s="292">
        <f>+Tabla4[[#This Row],[IVA]]+Tabla4[[#This Row],[Sub Total]]</f>
        <v>357000</v>
      </c>
    </row>
    <row r="474" spans="1:15" ht="36" x14ac:dyDescent="0.2">
      <c r="A474" s="6">
        <v>414</v>
      </c>
      <c r="B474" s="6" t="str">
        <f>VLOOKUP(Tabla4[[#This Row],[Codigo]],Tabla2[[Cod]:[Nombre ]],2,0)</f>
        <v>P-1403</v>
      </c>
      <c r="C474" s="53">
        <f>VLOOKUP(Tabla4[[#This Row],[Codigo]],Tabla2[[Cod]:[Nombre ]],3,0)</f>
        <v>45481</v>
      </c>
      <c r="D474" s="6" t="str">
        <f>VLOOKUP(Tabla4[[#This Row],[Codigo]],Tabla2[[Cod]:[Nombre ]],4,0)</f>
        <v>TIS-1392</v>
      </c>
      <c r="E474" s="5" t="str">
        <f>VLOOKUP(Tabla4[[#This Row],[Codigo]],Tabla2[[Cod]:[Nombre ]],8,0)</f>
        <v>TECNOLOGIA DE OFICINA S.A.S.</v>
      </c>
      <c r="F474" s="5" t="str">
        <f>VLOOKUP(Tabla4[[#This Row],[Codigo]],Tabla2[[Cod]:[Nombre ]],6,0)</f>
        <v>OK</v>
      </c>
      <c r="G474" s="7" t="s">
        <v>416</v>
      </c>
      <c r="H474" s="21" t="s">
        <v>519</v>
      </c>
      <c r="I474" s="21" t="s">
        <v>638</v>
      </c>
      <c r="J474" s="163">
        <v>1</v>
      </c>
      <c r="K474" s="294">
        <v>648000</v>
      </c>
      <c r="L474" s="298"/>
      <c r="M474" s="292">
        <f>IF(LEFT(Tabla4[[#This Row],[Electronica]],2)="NC",-Tabla4[[#This Row],[Cantidad]]*Tabla4[[#This Row],[Precio]]+Tabla4[[#This Row],[Dto]],Tabla4[[#This Row],[Cantidad]]*Tabla4[[#This Row],[Precio]]-Tabla4[[#This Row],[Dto]])</f>
        <v>648000</v>
      </c>
      <c r="N474" s="292">
        <f>IFERROR(Tabla4[[#This Row],[Sub Total]]*VLOOKUP(Tabla4[[#This Row],[No]],Parametros!A:C,3,0),0)</f>
        <v>123120</v>
      </c>
      <c r="O474" s="292">
        <f>+Tabla4[[#This Row],[IVA]]+Tabla4[[#This Row],[Sub Total]]</f>
        <v>771120</v>
      </c>
    </row>
    <row r="475" spans="1:15" ht="36" x14ac:dyDescent="0.2">
      <c r="A475" s="6">
        <v>415</v>
      </c>
      <c r="B475" s="6" t="str">
        <f>VLOOKUP(Tabla4[[#This Row],[Codigo]],Tabla2[[Cod]:[Nombre ]],2,0)</f>
        <v>P-1404</v>
      </c>
      <c r="C475" s="53">
        <f>VLOOKUP(Tabla4[[#This Row],[Codigo]],Tabla2[[Cod]:[Nombre ]],3,0)</f>
        <v>45481</v>
      </c>
      <c r="D475" s="6" t="str">
        <f>VLOOKUP(Tabla4[[#This Row],[Codigo]],Tabla2[[Cod]:[Nombre ]],4,0)</f>
        <v>TIS-1393</v>
      </c>
      <c r="E475" s="5" t="str">
        <f>VLOOKUP(Tabla4[[#This Row],[Codigo]],Tabla2[[Cod]:[Nombre ]],8,0)</f>
        <v>GENUINE TECH SAS</v>
      </c>
      <c r="F475" s="5" t="str">
        <f>VLOOKUP(Tabla4[[#This Row],[Codigo]],Tabla2[[Cod]:[Nombre ]],6,0)</f>
        <v>OK</v>
      </c>
      <c r="G475" s="7" t="s">
        <v>416</v>
      </c>
      <c r="H475" s="21" t="s">
        <v>519</v>
      </c>
      <c r="I475" s="21" t="s">
        <v>635</v>
      </c>
      <c r="J475" s="163">
        <v>1</v>
      </c>
      <c r="K475" s="294">
        <v>545454</v>
      </c>
      <c r="L475" s="298"/>
      <c r="M475" s="292">
        <f>IF(LEFT(Tabla4[[#This Row],[Electronica]],2)="NC",-Tabla4[[#This Row],[Cantidad]]*Tabla4[[#This Row],[Precio]]+Tabla4[[#This Row],[Dto]],Tabla4[[#This Row],[Cantidad]]*Tabla4[[#This Row],[Precio]]-Tabla4[[#This Row],[Dto]])</f>
        <v>545454</v>
      </c>
      <c r="N475" s="292">
        <f>IFERROR(Tabla4[[#This Row],[Sub Total]]*VLOOKUP(Tabla4[[#This Row],[No]],Parametros!A:C,3,0),0)</f>
        <v>103636.26</v>
      </c>
      <c r="O475" s="292">
        <f>+Tabla4[[#This Row],[IVA]]+Tabla4[[#This Row],[Sub Total]]</f>
        <v>649090.26</v>
      </c>
    </row>
    <row r="476" spans="1:15" ht="60" x14ac:dyDescent="0.2">
      <c r="A476" s="6">
        <v>416</v>
      </c>
      <c r="B476" s="6" t="str">
        <f>VLOOKUP(Tabla4[[#This Row],[Codigo]],Tabla2[[Cod]:[Nombre ]],2,0)</f>
        <v>P-1405</v>
      </c>
      <c r="C476" s="53">
        <f>VLOOKUP(Tabla4[[#This Row],[Codigo]],Tabla2[[Cod]:[Nombre ]],3,0)</f>
        <v>45485</v>
      </c>
      <c r="D476" s="6" t="str">
        <f>VLOOKUP(Tabla4[[#This Row],[Codigo]],Tabla2[[Cod]:[Nombre ]],4,0)</f>
        <v>TIS-1394</v>
      </c>
      <c r="E476" s="5" t="str">
        <f>VLOOKUP(Tabla4[[#This Row],[Codigo]],Tabla2[[Cod]:[Nombre ]],8,0)</f>
        <v>COMERCIALIZADORA INTERNACIONAL DYNAMIC TRADING CORPORATION S.A.S</v>
      </c>
      <c r="F476" s="5" t="str">
        <f>VLOOKUP(Tabla4[[#This Row],[Codigo]],Tabla2[[Cod]:[Nombre ]],6,0)</f>
        <v>OK</v>
      </c>
      <c r="G476" s="7" t="s">
        <v>416</v>
      </c>
      <c r="H476" s="21" t="s">
        <v>519</v>
      </c>
      <c r="I476" s="21" t="s">
        <v>639</v>
      </c>
      <c r="J476" s="163">
        <v>1</v>
      </c>
      <c r="K476" s="294">
        <v>600000</v>
      </c>
      <c r="L476" s="298"/>
      <c r="M476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476" s="292">
        <f>IFERROR(Tabla4[[#This Row],[Sub Total]]*VLOOKUP(Tabla4[[#This Row],[No]],Parametros!A:C,3,0),0)</f>
        <v>114000</v>
      </c>
      <c r="O476" s="292">
        <f>+Tabla4[[#This Row],[IVA]]+Tabla4[[#This Row],[Sub Total]]</f>
        <v>714000</v>
      </c>
    </row>
    <row r="477" spans="1:15" ht="24" x14ac:dyDescent="0.2">
      <c r="A477" s="6">
        <v>417</v>
      </c>
      <c r="B477" s="6" t="str">
        <f>VLOOKUP(Tabla4[[#This Row],[Codigo]],Tabla2[[Cod]:[Nombre ]],2,0)</f>
        <v>P-1406</v>
      </c>
      <c r="C477" s="53">
        <f>VLOOKUP(Tabla4[[#This Row],[Codigo]],Tabla2[[Cod]:[Nombre ]],3,0)</f>
        <v>45485</v>
      </c>
      <c r="D477" s="6" t="str">
        <f>VLOOKUP(Tabla4[[#This Row],[Codigo]],Tabla2[[Cod]:[Nombre ]],4,0)</f>
        <v>TIS-1395</v>
      </c>
      <c r="E477" s="5" t="str">
        <f>VLOOKUP(Tabla4[[#This Row],[Codigo]],Tabla2[[Cod]:[Nombre ]],8,0)</f>
        <v>ATECNO S.A.S</v>
      </c>
      <c r="F477" s="5" t="str">
        <f>VLOOKUP(Tabla4[[#This Row],[Codigo]],Tabla2[[Cod]:[Nombre ]],6,0)</f>
        <v>OK</v>
      </c>
      <c r="G477" s="7" t="s">
        <v>415</v>
      </c>
      <c r="H477" s="21" t="s">
        <v>605</v>
      </c>
      <c r="I477" s="21" t="s">
        <v>640</v>
      </c>
      <c r="J477" s="163">
        <v>4</v>
      </c>
      <c r="K477" s="294">
        <v>265000</v>
      </c>
      <c r="L477" s="298"/>
      <c r="M477" s="292">
        <f>IF(LEFT(Tabla4[[#This Row],[Electronica]],2)="NC",-Tabla4[[#This Row],[Cantidad]]*Tabla4[[#This Row],[Precio]]+Tabla4[[#This Row],[Dto]],Tabla4[[#This Row],[Cantidad]]*Tabla4[[#This Row],[Precio]]-Tabla4[[#This Row],[Dto]])</f>
        <v>1060000</v>
      </c>
      <c r="N477" s="292">
        <f>IFERROR(Tabla4[[#This Row],[Sub Total]]*VLOOKUP(Tabla4[[#This Row],[No]],Parametros!A:C,3,0),0)</f>
        <v>201400</v>
      </c>
      <c r="O477" s="292">
        <f>+Tabla4[[#This Row],[IVA]]+Tabla4[[#This Row],[Sub Total]]</f>
        <v>1261400</v>
      </c>
    </row>
    <row r="478" spans="1:15" ht="30" x14ac:dyDescent="0.2">
      <c r="A478" s="6">
        <v>418</v>
      </c>
      <c r="B478" s="6" t="str">
        <f>VLOOKUP(Tabla4[[#This Row],[Codigo]],Tabla2[[Cod]:[Nombre ]],2,0)</f>
        <v>P-1407</v>
      </c>
      <c r="C478" s="53">
        <f>VLOOKUP(Tabla4[[#This Row],[Codigo]],Tabla2[[Cod]:[Nombre ]],3,0)</f>
        <v>45491</v>
      </c>
      <c r="D478" s="6" t="str">
        <f>VLOOKUP(Tabla4[[#This Row],[Codigo]],Tabla2[[Cod]:[Nombre ]],4,0)</f>
        <v>TIS-1396</v>
      </c>
      <c r="E478" s="5" t="str">
        <f>VLOOKUP(Tabla4[[#This Row],[Codigo]],Tabla2[[Cod]:[Nombre ]],8,0)</f>
        <v>COMERCIALIZADORA HERREROS SAS</v>
      </c>
      <c r="F478" s="5" t="str">
        <f>VLOOKUP(Tabla4[[#This Row],[Codigo]],Tabla2[[Cod]:[Nombre ]],6,0)</f>
        <v>OK</v>
      </c>
      <c r="G478" s="7" t="s">
        <v>282</v>
      </c>
      <c r="H478" s="21" t="s">
        <v>16</v>
      </c>
      <c r="I478" s="21" t="s">
        <v>641</v>
      </c>
      <c r="J478" s="163">
        <v>22</v>
      </c>
      <c r="K478" s="294">
        <v>35000</v>
      </c>
      <c r="L478" s="298"/>
      <c r="M478" s="292">
        <f>IF(LEFT(Tabla4[[#This Row],[Electronica]],2)="NC",-Tabla4[[#This Row],[Cantidad]]*Tabla4[[#This Row],[Precio]]+Tabla4[[#This Row],[Dto]],Tabla4[[#This Row],[Cantidad]]*Tabla4[[#This Row],[Precio]]-Tabla4[[#This Row],[Dto]])</f>
        <v>770000</v>
      </c>
      <c r="N478" s="292">
        <f>IFERROR(Tabla4[[#This Row],[Sub Total]]*VLOOKUP(Tabla4[[#This Row],[No]],Parametros!A:C,3,0),0)</f>
        <v>146300</v>
      </c>
      <c r="O478" s="292">
        <f>+Tabla4[[#This Row],[IVA]]+Tabla4[[#This Row],[Sub Total]]</f>
        <v>916300</v>
      </c>
    </row>
    <row r="479" spans="1:15" ht="36" x14ac:dyDescent="0.2">
      <c r="A479" s="6">
        <v>419</v>
      </c>
      <c r="B479" s="6" t="str">
        <f>VLOOKUP(Tabla4[[#This Row],[Codigo]],Tabla2[[Cod]:[Nombre ]],2,0)</f>
        <v>P-1408</v>
      </c>
      <c r="C479" s="53">
        <f>VLOOKUP(Tabla4[[#This Row],[Codigo]],Tabla2[[Cod]:[Nombre ]],3,0)</f>
        <v>45510</v>
      </c>
      <c r="D479" s="6" t="str">
        <f>VLOOKUP(Tabla4[[#This Row],[Codigo]],Tabla2[[Cod]:[Nombre ]],4,0)</f>
        <v>TIS-1397</v>
      </c>
      <c r="E479" s="5" t="str">
        <f>VLOOKUP(Tabla4[[#This Row],[Codigo]],Tabla2[[Cod]:[Nombre ]],8,0)</f>
        <v>MARCEGAGLIA COLOMBIA SAS</v>
      </c>
      <c r="F479" s="5" t="str">
        <f>VLOOKUP(Tabla4[[#This Row],[Codigo]],Tabla2[[Cod]:[Nombre ]],6,0)</f>
        <v>OK</v>
      </c>
      <c r="G479" s="7" t="s">
        <v>433</v>
      </c>
      <c r="H479" s="21" t="s">
        <v>517</v>
      </c>
      <c r="I479" s="21" t="s">
        <v>642</v>
      </c>
      <c r="J479" s="163">
        <v>1</v>
      </c>
      <c r="K479" s="294">
        <v>6020000</v>
      </c>
      <c r="L479" s="298"/>
      <c r="M479" s="292">
        <f>IF(LEFT(Tabla4[[#This Row],[Electronica]],2)="NC",-Tabla4[[#This Row],[Cantidad]]*Tabla4[[#This Row],[Precio]]+Tabla4[[#This Row],[Dto]],Tabla4[[#This Row],[Cantidad]]*Tabla4[[#This Row],[Precio]]-Tabla4[[#This Row],[Dto]])</f>
        <v>6020000</v>
      </c>
      <c r="N479" s="292">
        <f>IFERROR(Tabla4[[#This Row],[Sub Total]]*VLOOKUP(Tabla4[[#This Row],[No]],Parametros!A:C,3,0),0)</f>
        <v>1143800</v>
      </c>
      <c r="O479" s="292">
        <f>+Tabla4[[#This Row],[IVA]]+Tabla4[[#This Row],[Sub Total]]</f>
        <v>7163800</v>
      </c>
    </row>
    <row r="480" spans="1:15" ht="36" x14ac:dyDescent="0.2">
      <c r="A480" s="6">
        <v>420</v>
      </c>
      <c r="B480" s="6" t="str">
        <f>VLOOKUP(Tabla4[[#This Row],[Codigo]],Tabla2[[Cod]:[Nombre ]],2,0)</f>
        <v>P-1409</v>
      </c>
      <c r="C480" s="53">
        <f>VLOOKUP(Tabla4[[#This Row],[Codigo]],Tabla2[[Cod]:[Nombre ]],3,0)</f>
        <v>45519</v>
      </c>
      <c r="D480" s="6" t="str">
        <f>VLOOKUP(Tabla4[[#This Row],[Codigo]],Tabla2[[Cod]:[Nombre ]],4,0)</f>
        <v>TIS-1398</v>
      </c>
      <c r="E480" s="5" t="str">
        <f>VLOOKUP(Tabla4[[#This Row],[Codigo]],Tabla2[[Cod]:[Nombre ]],8,0)</f>
        <v>Comercializadora ERZ SAS</v>
      </c>
      <c r="F480" s="5" t="str">
        <f>VLOOKUP(Tabla4[[#This Row],[Codigo]],Tabla2[[Cod]:[Nombre ]],6,0)</f>
        <v>OK</v>
      </c>
      <c r="G480" s="7" t="s">
        <v>416</v>
      </c>
      <c r="H480" s="21" t="s">
        <v>519</v>
      </c>
      <c r="I480" s="21" t="s">
        <v>643</v>
      </c>
      <c r="J480" s="163">
        <v>1</v>
      </c>
      <c r="K480" s="294">
        <v>260000</v>
      </c>
      <c r="L480" s="298"/>
      <c r="M480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480" s="292">
        <f>IFERROR(Tabla4[[#This Row],[Sub Total]]*VLOOKUP(Tabla4[[#This Row],[No]],Parametros!A:C,3,0),0)</f>
        <v>49400</v>
      </c>
      <c r="O480" s="292">
        <f>+Tabla4[[#This Row],[IVA]]+Tabla4[[#This Row],[Sub Total]]</f>
        <v>309400</v>
      </c>
    </row>
    <row r="481" spans="1:15" ht="36" x14ac:dyDescent="0.2">
      <c r="A481" s="6">
        <v>421</v>
      </c>
      <c r="B481" s="6" t="str">
        <f>VLOOKUP(Tabla4[[#This Row],[Codigo]],Tabla2[[Cod]:[Nombre ]],2,0)</f>
        <v>P-1410</v>
      </c>
      <c r="C481" s="53">
        <f>VLOOKUP(Tabla4[[#This Row],[Codigo]],Tabla2[[Cod]:[Nombre ]],3,0)</f>
        <v>45519</v>
      </c>
      <c r="D481" s="6" t="str">
        <f>VLOOKUP(Tabla4[[#This Row],[Codigo]],Tabla2[[Cod]:[Nombre ]],4,0)</f>
        <v>TIS-1399</v>
      </c>
      <c r="E481" s="5" t="str">
        <f>VLOOKUP(Tabla4[[#This Row],[Codigo]],Tabla2[[Cod]:[Nombre ]],8,0)</f>
        <v>ROYCO SOLUCIONES SAS</v>
      </c>
      <c r="F481" s="5" t="str">
        <f>VLOOKUP(Tabla4[[#This Row],[Codigo]],Tabla2[[Cod]:[Nombre ]],6,0)</f>
        <v>OK</v>
      </c>
      <c r="G481" s="7" t="s">
        <v>416</v>
      </c>
      <c r="H481" s="21" t="s">
        <v>519</v>
      </c>
      <c r="I481" s="21" t="s">
        <v>643</v>
      </c>
      <c r="J481" s="163">
        <v>1</v>
      </c>
      <c r="K481" s="294">
        <v>175000</v>
      </c>
      <c r="L481" s="298"/>
      <c r="M481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481" s="292">
        <f>IFERROR(Tabla4[[#This Row],[Sub Total]]*VLOOKUP(Tabla4[[#This Row],[No]],Parametros!A:C,3,0),0)</f>
        <v>33250</v>
      </c>
      <c r="O481" s="292">
        <f>+Tabla4[[#This Row],[IVA]]+Tabla4[[#This Row],[Sub Total]]</f>
        <v>208250</v>
      </c>
    </row>
    <row r="482" spans="1:15" ht="36" x14ac:dyDescent="0.2">
      <c r="A482" s="6">
        <v>422</v>
      </c>
      <c r="B482" s="6" t="str">
        <f>VLOOKUP(Tabla4[[#This Row],[Codigo]],Tabla2[[Cod]:[Nombre ]],2,0)</f>
        <v>P-1411</v>
      </c>
      <c r="C482" s="53">
        <f>VLOOKUP(Tabla4[[#This Row],[Codigo]],Tabla2[[Cod]:[Nombre ]],3,0)</f>
        <v>45519</v>
      </c>
      <c r="D482" s="6" t="str">
        <f>VLOOKUP(Tabla4[[#This Row],[Codigo]],Tabla2[[Cod]:[Nombre ]],4,0)</f>
        <v>TIS-1400</v>
      </c>
      <c r="E482" s="5" t="str">
        <f>VLOOKUP(Tabla4[[#This Row],[Codigo]],Tabla2[[Cod]:[Nombre ]],8,0)</f>
        <v>Inversiones Sajamib SAS</v>
      </c>
      <c r="F482" s="5" t="str">
        <f>VLOOKUP(Tabla4[[#This Row],[Codigo]],Tabla2[[Cod]:[Nombre ]],6,0)</f>
        <v>OK</v>
      </c>
      <c r="G482" s="7" t="s">
        <v>417</v>
      </c>
      <c r="H482" s="21" t="s">
        <v>525</v>
      </c>
      <c r="I482" s="21" t="s">
        <v>643</v>
      </c>
      <c r="J482" s="163">
        <v>1</v>
      </c>
      <c r="K482" s="294">
        <v>480000</v>
      </c>
      <c r="L482" s="298"/>
      <c r="M482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482" s="292">
        <f>IFERROR(Tabla4[[#This Row],[Sub Total]]*VLOOKUP(Tabla4[[#This Row],[No]],Parametros!A:C,3,0),0)</f>
        <v>0</v>
      </c>
      <c r="O482" s="292">
        <f>+Tabla4[[#This Row],[IVA]]+Tabla4[[#This Row],[Sub Total]]</f>
        <v>480000</v>
      </c>
    </row>
    <row r="483" spans="1:15" ht="36" x14ac:dyDescent="0.2">
      <c r="A483" s="6">
        <v>423</v>
      </c>
      <c r="B483" s="6" t="str">
        <f>VLOOKUP(Tabla4[[#This Row],[Codigo]],Tabla2[[Cod]:[Nombre ]],2,0)</f>
        <v>P-1412</v>
      </c>
      <c r="C483" s="53">
        <f>VLOOKUP(Tabla4[[#This Row],[Codigo]],Tabla2[[Cod]:[Nombre ]],3,0)</f>
        <v>45519</v>
      </c>
      <c r="D483" s="6" t="str">
        <f>VLOOKUP(Tabla4[[#This Row],[Codigo]],Tabla2[[Cod]:[Nombre ]],4,0)</f>
        <v>TIS-1401</v>
      </c>
      <c r="E483" s="5" t="str">
        <f>VLOOKUP(Tabla4[[#This Row],[Codigo]],Tabla2[[Cod]:[Nombre ]],8,0)</f>
        <v>STAFF SEGUROS AGENCIA LTDA</v>
      </c>
      <c r="F483" s="5" t="str">
        <f>VLOOKUP(Tabla4[[#This Row],[Codigo]],Tabla2[[Cod]:[Nombre ]],6,0)</f>
        <v>OK</v>
      </c>
      <c r="G483" s="7" t="s">
        <v>416</v>
      </c>
      <c r="H483" s="21" t="s">
        <v>519</v>
      </c>
      <c r="I483" s="21" t="s">
        <v>643</v>
      </c>
      <c r="J483" s="163">
        <v>1</v>
      </c>
      <c r="K483" s="294">
        <v>300000</v>
      </c>
      <c r="L483" s="298"/>
      <c r="M483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83" s="292">
        <f>IFERROR(Tabla4[[#This Row],[Sub Total]]*VLOOKUP(Tabla4[[#This Row],[No]],Parametros!A:C,3,0),0)</f>
        <v>57000</v>
      </c>
      <c r="O483" s="292">
        <f>+Tabla4[[#This Row],[IVA]]+Tabla4[[#This Row],[Sub Total]]</f>
        <v>357000</v>
      </c>
    </row>
    <row r="484" spans="1:15" ht="45" x14ac:dyDescent="0.2">
      <c r="A484" s="6">
        <v>424</v>
      </c>
      <c r="B484" s="6" t="str">
        <f>VLOOKUP(Tabla4[[#This Row],[Codigo]],Tabla2[[Cod]:[Nombre ]],2,0)</f>
        <v>P-1413</v>
      </c>
      <c r="C484" s="53">
        <f>VLOOKUP(Tabla4[[#This Row],[Codigo]],Tabla2[[Cod]:[Nombre ]],3,0)</f>
        <v>45519</v>
      </c>
      <c r="D484" s="6" t="str">
        <f>VLOOKUP(Tabla4[[#This Row],[Codigo]],Tabla2[[Cod]:[Nombre ]],4,0)</f>
        <v>TIS-1402</v>
      </c>
      <c r="E484" s="5" t="str">
        <f>VLOOKUP(Tabla4[[#This Row],[Codigo]],Tabla2[[Cod]:[Nombre ]],8,0)</f>
        <v>DIGITAL MEDIA TECHNOLOGIES COLOMBIA SAS</v>
      </c>
      <c r="F484" s="5" t="str">
        <f>VLOOKUP(Tabla4[[#This Row],[Codigo]],Tabla2[[Cod]:[Nombre ]],6,0)</f>
        <v>OK</v>
      </c>
      <c r="G484" s="7" t="s">
        <v>416</v>
      </c>
      <c r="H484" s="21" t="s">
        <v>519</v>
      </c>
      <c r="I484" s="21" t="s">
        <v>643</v>
      </c>
      <c r="J484" s="163">
        <v>1</v>
      </c>
      <c r="K484" s="294">
        <v>300000</v>
      </c>
      <c r="L484" s="298"/>
      <c r="M484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84" s="292">
        <f>IFERROR(Tabla4[[#This Row],[Sub Total]]*VLOOKUP(Tabla4[[#This Row],[No]],Parametros!A:C,3,0),0)</f>
        <v>57000</v>
      </c>
      <c r="O484" s="292">
        <f>+Tabla4[[#This Row],[IVA]]+Tabla4[[#This Row],[Sub Total]]</f>
        <v>357000</v>
      </c>
    </row>
    <row r="485" spans="1:15" ht="36" x14ac:dyDescent="0.2">
      <c r="A485" s="6">
        <v>425</v>
      </c>
      <c r="B485" s="6" t="str">
        <f>VLOOKUP(Tabla4[[#This Row],[Codigo]],Tabla2[[Cod]:[Nombre ]],2,0)</f>
        <v>P-1414</v>
      </c>
      <c r="C485" s="53">
        <f>VLOOKUP(Tabla4[[#This Row],[Codigo]],Tabla2[[Cod]:[Nombre ]],3,0)</f>
        <v>45519</v>
      </c>
      <c r="D485" s="6" t="str">
        <f>VLOOKUP(Tabla4[[#This Row],[Codigo]],Tabla2[[Cod]:[Nombre ]],4,0)</f>
        <v>TIS-1403</v>
      </c>
      <c r="E485" s="5" t="str">
        <f>VLOOKUP(Tabla4[[#This Row],[Codigo]],Tabla2[[Cod]:[Nombre ]],8,0)</f>
        <v>ALVEAR ESCOBAR ASOCIADOS S.A.S</v>
      </c>
      <c r="F485" s="5" t="str">
        <f>VLOOKUP(Tabla4[[#This Row],[Codigo]],Tabla2[[Cod]:[Nombre ]],6,0)</f>
        <v>OK</v>
      </c>
      <c r="G485" s="7" t="s">
        <v>416</v>
      </c>
      <c r="H485" s="21" t="s">
        <v>519</v>
      </c>
      <c r="I485" s="21" t="s">
        <v>644</v>
      </c>
      <c r="J485" s="163">
        <v>1</v>
      </c>
      <c r="K485" s="294">
        <v>190350</v>
      </c>
      <c r="L485" s="298"/>
      <c r="M485" s="292">
        <f>IF(LEFT(Tabla4[[#This Row],[Electronica]],2)="NC",-Tabla4[[#This Row],[Cantidad]]*Tabla4[[#This Row],[Precio]]+Tabla4[[#This Row],[Dto]],Tabla4[[#This Row],[Cantidad]]*Tabla4[[#This Row],[Precio]]-Tabla4[[#This Row],[Dto]])</f>
        <v>190350</v>
      </c>
      <c r="N485" s="292">
        <f>IFERROR(Tabla4[[#This Row],[Sub Total]]*VLOOKUP(Tabla4[[#This Row],[No]],Parametros!A:C,3,0),0)</f>
        <v>36166.5</v>
      </c>
      <c r="O485" s="292">
        <f>+Tabla4[[#This Row],[IVA]]+Tabla4[[#This Row],[Sub Total]]</f>
        <v>226516.5</v>
      </c>
    </row>
    <row r="486" spans="1:15" ht="36" x14ac:dyDescent="0.2">
      <c r="A486" s="6">
        <v>426</v>
      </c>
      <c r="B486" s="6" t="str">
        <f>VLOOKUP(Tabla4[[#This Row],[Codigo]],Tabla2[[Cod]:[Nombre ]],2,0)</f>
        <v>P-1415</v>
      </c>
      <c r="C486" s="53">
        <f>VLOOKUP(Tabla4[[#This Row],[Codigo]],Tabla2[[Cod]:[Nombre ]],3,0)</f>
        <v>45519</v>
      </c>
      <c r="D486" s="6" t="str">
        <f>VLOOKUP(Tabla4[[#This Row],[Codigo]],Tabla2[[Cod]:[Nombre ]],4,0)</f>
        <v>TIS-1404</v>
      </c>
      <c r="E486" s="5" t="str">
        <f>VLOOKUP(Tabla4[[#This Row],[Codigo]],Tabla2[[Cod]:[Nombre ]],8,0)</f>
        <v>HUTERCOL S.A.S.</v>
      </c>
      <c r="F486" s="5" t="str">
        <f>VLOOKUP(Tabla4[[#This Row],[Codigo]],Tabla2[[Cod]:[Nombre ]],6,0)</f>
        <v>OK</v>
      </c>
      <c r="G486" s="7" t="s">
        <v>416</v>
      </c>
      <c r="H486" s="21" t="s">
        <v>519</v>
      </c>
      <c r="I486" s="21" t="s">
        <v>644</v>
      </c>
      <c r="J486" s="163">
        <v>1</v>
      </c>
      <c r="K486" s="294">
        <v>1350000</v>
      </c>
      <c r="L486" s="298"/>
      <c r="M486" s="292">
        <f>IF(LEFT(Tabla4[[#This Row],[Electronica]],2)="NC",-Tabla4[[#This Row],[Cantidad]]*Tabla4[[#This Row],[Precio]]+Tabla4[[#This Row],[Dto]],Tabla4[[#This Row],[Cantidad]]*Tabla4[[#This Row],[Precio]]-Tabla4[[#This Row],[Dto]])</f>
        <v>1350000</v>
      </c>
      <c r="N486" s="292">
        <f>IFERROR(Tabla4[[#This Row],[Sub Total]]*VLOOKUP(Tabla4[[#This Row],[No]],Parametros!A:C,3,0),0)</f>
        <v>256500</v>
      </c>
      <c r="O486" s="292">
        <f>+Tabla4[[#This Row],[IVA]]+Tabla4[[#This Row],[Sub Total]]</f>
        <v>1606500</v>
      </c>
    </row>
    <row r="487" spans="1:15" ht="36" x14ac:dyDescent="0.2">
      <c r="A487" s="6">
        <v>427</v>
      </c>
      <c r="B487" s="6" t="str">
        <f>VLOOKUP(Tabla4[[#This Row],[Codigo]],Tabla2[[Cod]:[Nombre ]],2,0)</f>
        <v>P-1416</v>
      </c>
      <c r="C487" s="53">
        <f>VLOOKUP(Tabla4[[#This Row],[Codigo]],Tabla2[[Cod]:[Nombre ]],3,0)</f>
        <v>45519</v>
      </c>
      <c r="D487" s="6" t="str">
        <f>VLOOKUP(Tabla4[[#This Row],[Codigo]],Tabla2[[Cod]:[Nombre ]],4,0)</f>
        <v>TIS-1405</v>
      </c>
      <c r="E487" s="5" t="str">
        <f>VLOOKUP(Tabla4[[#This Row],[Codigo]],Tabla2[[Cod]:[Nombre ]],8,0)</f>
        <v>GENUINE TECH SAS</v>
      </c>
      <c r="F487" s="5" t="str">
        <f>VLOOKUP(Tabla4[[#This Row],[Codigo]],Tabla2[[Cod]:[Nombre ]],6,0)</f>
        <v>OK</v>
      </c>
      <c r="G487" s="7" t="s">
        <v>416</v>
      </c>
      <c r="H487" s="21" t="s">
        <v>519</v>
      </c>
      <c r="I487" s="21" t="s">
        <v>643</v>
      </c>
      <c r="J487" s="163">
        <v>1</v>
      </c>
      <c r="K487" s="294">
        <v>545454</v>
      </c>
      <c r="L487" s="298"/>
      <c r="M487" s="292">
        <f>IF(LEFT(Tabla4[[#This Row],[Electronica]],2)="NC",-Tabla4[[#This Row],[Cantidad]]*Tabla4[[#This Row],[Precio]]+Tabla4[[#This Row],[Dto]],Tabla4[[#This Row],[Cantidad]]*Tabla4[[#This Row],[Precio]]-Tabla4[[#This Row],[Dto]])</f>
        <v>545454</v>
      </c>
      <c r="N487" s="292">
        <f>IFERROR(Tabla4[[#This Row],[Sub Total]]*VLOOKUP(Tabla4[[#This Row],[No]],Parametros!A:C,3,0),0)</f>
        <v>103636.26</v>
      </c>
      <c r="O487" s="292">
        <f>+Tabla4[[#This Row],[IVA]]+Tabla4[[#This Row],[Sub Total]]</f>
        <v>649090.26</v>
      </c>
    </row>
    <row r="488" spans="1:15" ht="30" x14ac:dyDescent="0.2">
      <c r="A488" s="6">
        <v>428</v>
      </c>
      <c r="B488" s="6" t="str">
        <f>VLOOKUP(Tabla4[[#This Row],[Codigo]],Tabla2[[Cod]:[Nombre ]],2,0)</f>
        <v>P-1417</v>
      </c>
      <c r="C488" s="53">
        <f>VLOOKUP(Tabla4[[#This Row],[Codigo]],Tabla2[[Cod]:[Nombre ]],3,0)</f>
        <v>45519</v>
      </c>
      <c r="D488" s="6" t="str">
        <f>VLOOKUP(Tabla4[[#This Row],[Codigo]],Tabla2[[Cod]:[Nombre ]],4,0)</f>
        <v>TIS-1406</v>
      </c>
      <c r="E488" s="5" t="str">
        <f>VLOOKUP(Tabla4[[#This Row],[Codigo]],Tabla2[[Cod]:[Nombre ]],8,0)</f>
        <v>COMERCIALIZADORA HERREROS SAS</v>
      </c>
      <c r="F488" s="5" t="str">
        <f>VLOOKUP(Tabla4[[#This Row],[Codigo]],Tabla2[[Cod]:[Nombre ]],6,0)</f>
        <v>OK</v>
      </c>
      <c r="G488" s="7" t="s">
        <v>282</v>
      </c>
      <c r="H488" s="21" t="s">
        <v>16</v>
      </c>
      <c r="I488" s="21" t="s">
        <v>645</v>
      </c>
      <c r="J488" s="163">
        <v>3</v>
      </c>
      <c r="K488" s="294">
        <v>35000</v>
      </c>
      <c r="L488" s="298"/>
      <c r="M488" s="292">
        <f>IF(LEFT(Tabla4[[#This Row],[Electronica]],2)="NC",-Tabla4[[#This Row],[Cantidad]]*Tabla4[[#This Row],[Precio]]+Tabla4[[#This Row],[Dto]],Tabla4[[#This Row],[Cantidad]]*Tabla4[[#This Row],[Precio]]-Tabla4[[#This Row],[Dto]])</f>
        <v>105000</v>
      </c>
      <c r="N488" s="292">
        <f>IFERROR(Tabla4[[#This Row],[Sub Total]]*VLOOKUP(Tabla4[[#This Row],[No]],Parametros!A:C,3,0),0)</f>
        <v>19950</v>
      </c>
      <c r="O488" s="292">
        <f>+Tabla4[[#This Row],[IVA]]+Tabla4[[#This Row],[Sub Total]]</f>
        <v>124950</v>
      </c>
    </row>
    <row r="489" spans="1:15" ht="48" x14ac:dyDescent="0.2">
      <c r="A489" s="6">
        <v>429</v>
      </c>
      <c r="B489" s="6" t="str">
        <f>VLOOKUP(Tabla4[[#This Row],[Codigo]],Tabla2[[Cod]:[Nombre ]],2,0)</f>
        <v>P-1418</v>
      </c>
      <c r="C489" s="53">
        <f>VLOOKUP(Tabla4[[#This Row],[Codigo]],Tabla2[[Cod]:[Nombre ]],3,0)</f>
        <v>45537</v>
      </c>
      <c r="D489" s="6" t="str">
        <f>VLOOKUP(Tabla4[[#This Row],[Codigo]],Tabla2[[Cod]:[Nombre ]],4,0)</f>
        <v>TIS-1409</v>
      </c>
      <c r="E489" s="5" t="str">
        <f>VLOOKUP(Tabla4[[#This Row],[Codigo]],Tabla2[[Cod]:[Nombre ]],8,0)</f>
        <v>MAKRO RECICLAJES SAS</v>
      </c>
      <c r="F489" s="5" t="str">
        <f>VLOOKUP(Tabla4[[#This Row],[Codigo]],Tabla2[[Cod]:[Nombre ]],6,0)</f>
        <v>OK</v>
      </c>
      <c r="G489" s="7" t="s">
        <v>433</v>
      </c>
      <c r="H489" s="21" t="s">
        <v>517</v>
      </c>
      <c r="I489" s="21" t="s">
        <v>646</v>
      </c>
      <c r="J489" s="163">
        <v>1</v>
      </c>
      <c r="K489" s="294">
        <v>830000</v>
      </c>
      <c r="L489" s="298"/>
      <c r="M489" s="292">
        <f>IF(LEFT(Tabla4[[#This Row],[Electronica]],2)="NC",-Tabla4[[#This Row],[Cantidad]]*Tabla4[[#This Row],[Precio]]+Tabla4[[#This Row],[Dto]],Tabla4[[#This Row],[Cantidad]]*Tabla4[[#This Row],[Precio]]-Tabla4[[#This Row],[Dto]])</f>
        <v>830000</v>
      </c>
      <c r="N489" s="292">
        <f>IFERROR(Tabla4[[#This Row],[Sub Total]]*VLOOKUP(Tabla4[[#This Row],[No]],Parametros!A:C,3,0),0)</f>
        <v>157700</v>
      </c>
      <c r="O489" s="292">
        <f>+Tabla4[[#This Row],[IVA]]+Tabla4[[#This Row],[Sub Total]]</f>
        <v>987700</v>
      </c>
    </row>
    <row r="490" spans="1:15" ht="36" x14ac:dyDescent="0.2">
      <c r="A490" s="6">
        <v>430</v>
      </c>
      <c r="B490" s="6" t="str">
        <f>VLOOKUP(Tabla4[[#This Row],[Codigo]],Tabla2[[Cod]:[Nombre ]],2,0)</f>
        <v>P-1419</v>
      </c>
      <c r="C490" s="53">
        <f>VLOOKUP(Tabla4[[#This Row],[Codigo]],Tabla2[[Cod]:[Nombre ]],3,0)</f>
        <v>45545</v>
      </c>
      <c r="D490" s="6" t="str">
        <f>VLOOKUP(Tabla4[[#This Row],[Codigo]],Tabla2[[Cod]:[Nombre ]],4,0)</f>
        <v>TIS-1410</v>
      </c>
      <c r="E490" s="5" t="str">
        <f>VLOOKUP(Tabla4[[#This Row],[Codigo]],Tabla2[[Cod]:[Nombre ]],8,0)</f>
        <v>Comercializadora ERZ SAS</v>
      </c>
      <c r="F490" s="5" t="str">
        <f>VLOOKUP(Tabla4[[#This Row],[Codigo]],Tabla2[[Cod]:[Nombre ]],6,0)</f>
        <v>OK</v>
      </c>
      <c r="G490" s="7" t="s">
        <v>416</v>
      </c>
      <c r="H490" s="21" t="s">
        <v>519</v>
      </c>
      <c r="I490" s="21" t="s">
        <v>647</v>
      </c>
      <c r="J490" s="163">
        <v>1</v>
      </c>
      <c r="K490" s="294">
        <v>260000</v>
      </c>
      <c r="L490" s="298"/>
      <c r="M490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490" s="292">
        <f>IFERROR(Tabla4[[#This Row],[Sub Total]]*VLOOKUP(Tabla4[[#This Row],[No]],Parametros!A:C,3,0),0)</f>
        <v>49400</v>
      </c>
      <c r="O490" s="292">
        <f>+Tabla4[[#This Row],[IVA]]+Tabla4[[#This Row],[Sub Total]]</f>
        <v>309400</v>
      </c>
    </row>
    <row r="491" spans="1:15" ht="36" x14ac:dyDescent="0.2">
      <c r="A491" s="6">
        <v>431</v>
      </c>
      <c r="B491" s="6" t="str">
        <f>VLOOKUP(Tabla4[[#This Row],[Codigo]],Tabla2[[Cod]:[Nombre ]],2,0)</f>
        <v>P-1420</v>
      </c>
      <c r="C491" s="53">
        <f>VLOOKUP(Tabla4[[#This Row],[Codigo]],Tabla2[[Cod]:[Nombre ]],3,0)</f>
        <v>45545</v>
      </c>
      <c r="D491" s="6" t="str">
        <f>VLOOKUP(Tabla4[[#This Row],[Codigo]],Tabla2[[Cod]:[Nombre ]],4,0)</f>
        <v>TIS-1411</v>
      </c>
      <c r="E491" s="5" t="str">
        <f>VLOOKUP(Tabla4[[#This Row],[Codigo]],Tabla2[[Cod]:[Nombre ]],8,0)</f>
        <v>ROYCO SOLUCIONES SAS</v>
      </c>
      <c r="F491" s="5" t="str">
        <f>VLOOKUP(Tabla4[[#This Row],[Codigo]],Tabla2[[Cod]:[Nombre ]],6,0)</f>
        <v>OK</v>
      </c>
      <c r="G491" s="7" t="s">
        <v>416</v>
      </c>
      <c r="H491" s="21" t="s">
        <v>519</v>
      </c>
      <c r="I491" s="21" t="s">
        <v>647</v>
      </c>
      <c r="J491" s="163">
        <v>1</v>
      </c>
      <c r="K491" s="294">
        <v>175000</v>
      </c>
      <c r="L491" s="298"/>
      <c r="M491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491" s="292">
        <f>IFERROR(Tabla4[[#This Row],[Sub Total]]*VLOOKUP(Tabla4[[#This Row],[No]],Parametros!A:C,3,0),0)</f>
        <v>33250</v>
      </c>
      <c r="O491" s="292">
        <f>+Tabla4[[#This Row],[IVA]]+Tabla4[[#This Row],[Sub Total]]</f>
        <v>208250</v>
      </c>
    </row>
    <row r="492" spans="1:15" ht="36" x14ac:dyDescent="0.2">
      <c r="A492" s="6">
        <v>432</v>
      </c>
      <c r="B492" s="6" t="str">
        <f>VLOOKUP(Tabla4[[#This Row],[Codigo]],Tabla2[[Cod]:[Nombre ]],2,0)</f>
        <v>P-1421</v>
      </c>
      <c r="C492" s="53">
        <f>VLOOKUP(Tabla4[[#This Row],[Codigo]],Tabla2[[Cod]:[Nombre ]],3,0)</f>
        <v>45545</v>
      </c>
      <c r="D492" s="6" t="str">
        <f>VLOOKUP(Tabla4[[#This Row],[Codigo]],Tabla2[[Cod]:[Nombre ]],4,0)</f>
        <v>TIS-1412</v>
      </c>
      <c r="E492" s="5" t="str">
        <f>VLOOKUP(Tabla4[[#This Row],[Codigo]],Tabla2[[Cod]:[Nombre ]],8,0)</f>
        <v>STAFF SEGUROS AGENCIA LTDA</v>
      </c>
      <c r="F492" s="5" t="str">
        <f>VLOOKUP(Tabla4[[#This Row],[Codigo]],Tabla2[[Cod]:[Nombre ]],6,0)</f>
        <v>OK</v>
      </c>
      <c r="G492" s="7" t="s">
        <v>416</v>
      </c>
      <c r="H492" s="21" t="s">
        <v>519</v>
      </c>
      <c r="I492" s="21" t="s">
        <v>647</v>
      </c>
      <c r="J492" s="163">
        <v>1</v>
      </c>
      <c r="K492" s="294">
        <v>300000</v>
      </c>
      <c r="L492" s="298"/>
      <c r="M492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92" s="292">
        <f>IFERROR(Tabla4[[#This Row],[Sub Total]]*VLOOKUP(Tabla4[[#This Row],[No]],Parametros!A:C,3,0),0)</f>
        <v>57000</v>
      </c>
      <c r="O492" s="292">
        <f>+Tabla4[[#This Row],[IVA]]+Tabla4[[#This Row],[Sub Total]]</f>
        <v>357000</v>
      </c>
    </row>
    <row r="493" spans="1:15" ht="45" x14ac:dyDescent="0.2">
      <c r="A493" s="6">
        <v>433</v>
      </c>
      <c r="B493" s="6" t="str">
        <f>VLOOKUP(Tabla4[[#This Row],[Codigo]],Tabla2[[Cod]:[Nombre ]],2,0)</f>
        <v>P-1422</v>
      </c>
      <c r="C493" s="53">
        <f>VLOOKUP(Tabla4[[#This Row],[Codigo]],Tabla2[[Cod]:[Nombre ]],3,0)</f>
        <v>45545</v>
      </c>
      <c r="D493" s="6" t="str">
        <f>VLOOKUP(Tabla4[[#This Row],[Codigo]],Tabla2[[Cod]:[Nombre ]],4,0)</f>
        <v>TIS-1413</v>
      </c>
      <c r="E493" s="5" t="str">
        <f>VLOOKUP(Tabla4[[#This Row],[Codigo]],Tabla2[[Cod]:[Nombre ]],8,0)</f>
        <v>DIGITAL MEDIA TECHNOLOGIES COLOMBIA SAS</v>
      </c>
      <c r="F493" s="5" t="str">
        <f>VLOOKUP(Tabla4[[#This Row],[Codigo]],Tabla2[[Cod]:[Nombre ]],6,0)</f>
        <v>OK</v>
      </c>
      <c r="G493" s="7" t="s">
        <v>416</v>
      </c>
      <c r="H493" s="21" t="s">
        <v>519</v>
      </c>
      <c r="I493" s="21" t="s">
        <v>647</v>
      </c>
      <c r="J493" s="163">
        <v>1</v>
      </c>
      <c r="K493" s="294">
        <v>300000</v>
      </c>
      <c r="L493" s="298"/>
      <c r="M493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493" s="292">
        <f>IFERROR(Tabla4[[#This Row],[Sub Total]]*VLOOKUP(Tabla4[[#This Row],[No]],Parametros!A:C,3,0),0)</f>
        <v>57000</v>
      </c>
      <c r="O493" s="292">
        <f>+Tabla4[[#This Row],[IVA]]+Tabla4[[#This Row],[Sub Total]]</f>
        <v>357000</v>
      </c>
    </row>
    <row r="494" spans="1:15" ht="36" x14ac:dyDescent="0.2">
      <c r="A494" s="6">
        <v>434</v>
      </c>
      <c r="B494" s="6" t="str">
        <f>VLOOKUP(Tabla4[[#This Row],[Codigo]],Tabla2[[Cod]:[Nombre ]],2,0)</f>
        <v>P-1423</v>
      </c>
      <c r="C494" s="53">
        <f>VLOOKUP(Tabla4[[#This Row],[Codigo]],Tabla2[[Cod]:[Nombre ]],3,0)</f>
        <v>45545</v>
      </c>
      <c r="D494" s="6" t="str">
        <f>VLOOKUP(Tabla4[[#This Row],[Codigo]],Tabla2[[Cod]:[Nombre ]],4,0)</f>
        <v>TIS-1414</v>
      </c>
      <c r="E494" s="5" t="str">
        <f>VLOOKUP(Tabla4[[#This Row],[Codigo]],Tabla2[[Cod]:[Nombre ]],8,0)</f>
        <v>GENUINE TECH SAS</v>
      </c>
      <c r="F494" s="5" t="str">
        <f>VLOOKUP(Tabla4[[#This Row],[Codigo]],Tabla2[[Cod]:[Nombre ]],6,0)</f>
        <v>OK</v>
      </c>
      <c r="G494" s="7" t="s">
        <v>416</v>
      </c>
      <c r="H494" s="21" t="s">
        <v>519</v>
      </c>
      <c r="I494" s="21" t="s">
        <v>647</v>
      </c>
      <c r="J494" s="163">
        <v>1</v>
      </c>
      <c r="K494" s="294">
        <v>545454</v>
      </c>
      <c r="L494" s="298"/>
      <c r="M494" s="292">
        <f>IF(LEFT(Tabla4[[#This Row],[Electronica]],2)="NC",-Tabla4[[#This Row],[Cantidad]]*Tabla4[[#This Row],[Precio]]+Tabla4[[#This Row],[Dto]],Tabla4[[#This Row],[Cantidad]]*Tabla4[[#This Row],[Precio]]-Tabla4[[#This Row],[Dto]])</f>
        <v>545454</v>
      </c>
      <c r="N494" s="292">
        <f>IFERROR(Tabla4[[#This Row],[Sub Total]]*VLOOKUP(Tabla4[[#This Row],[No]],Parametros!A:C,3,0),0)</f>
        <v>103636.26</v>
      </c>
      <c r="O494" s="292">
        <f>+Tabla4[[#This Row],[IVA]]+Tabla4[[#This Row],[Sub Total]]</f>
        <v>649090.26</v>
      </c>
    </row>
    <row r="495" spans="1:15" ht="36" x14ac:dyDescent="0.2">
      <c r="A495" s="6">
        <v>435</v>
      </c>
      <c r="B495" s="6" t="str">
        <f>VLOOKUP(Tabla4[[#This Row],[Codigo]],Tabla2[[Cod]:[Nombre ]],2,0)</f>
        <v>P-1424</v>
      </c>
      <c r="C495" s="53">
        <f>VLOOKUP(Tabla4[[#This Row],[Codigo]],Tabla2[[Cod]:[Nombre ]],3,0)</f>
        <v>45545</v>
      </c>
      <c r="D495" s="6" t="str">
        <f>VLOOKUP(Tabla4[[#This Row],[Codigo]],Tabla2[[Cod]:[Nombre ]],4,0)</f>
        <v>TIS-1415</v>
      </c>
      <c r="E495" s="5" t="str">
        <f>VLOOKUP(Tabla4[[#This Row],[Codigo]],Tabla2[[Cod]:[Nombre ]],8,0)</f>
        <v>Inversiones Sajamib SAS</v>
      </c>
      <c r="F495" s="5" t="str">
        <f>VLOOKUP(Tabla4[[#This Row],[Codigo]],Tabla2[[Cod]:[Nombre ]],6,0)</f>
        <v>OK</v>
      </c>
      <c r="G495" s="7" t="s">
        <v>417</v>
      </c>
      <c r="H495" s="21" t="s">
        <v>525</v>
      </c>
      <c r="I495" s="21" t="s">
        <v>648</v>
      </c>
      <c r="J495" s="163">
        <v>1</v>
      </c>
      <c r="K495" s="294">
        <v>480000</v>
      </c>
      <c r="L495" s="298"/>
      <c r="M495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495" s="292">
        <f>IFERROR(Tabla4[[#This Row],[Sub Total]]*VLOOKUP(Tabla4[[#This Row],[No]],Parametros!A:C,3,0),0)</f>
        <v>0</v>
      </c>
      <c r="O495" s="292">
        <f>+Tabla4[[#This Row],[IVA]]+Tabla4[[#This Row],[Sub Total]]</f>
        <v>480000</v>
      </c>
    </row>
    <row r="496" spans="1:15" ht="36" x14ac:dyDescent="0.2">
      <c r="A496" s="6">
        <v>436</v>
      </c>
      <c r="B496" s="6" t="str">
        <f>VLOOKUP(Tabla4[[#This Row],[Codigo]],Tabla2[[Cod]:[Nombre ]],2,0)</f>
        <v>P-1425</v>
      </c>
      <c r="C496" s="53">
        <f>VLOOKUP(Tabla4[[#This Row],[Codigo]],Tabla2[[Cod]:[Nombre ]],3,0)</f>
        <v>45545</v>
      </c>
      <c r="D496" s="6" t="str">
        <f>VLOOKUP(Tabla4[[#This Row],[Codigo]],Tabla2[[Cod]:[Nombre ]],4,0)</f>
        <v>TIS-1416</v>
      </c>
      <c r="E496" s="5" t="str">
        <f>VLOOKUP(Tabla4[[#This Row],[Codigo]],Tabla2[[Cod]:[Nombre ]],8,0)</f>
        <v>MARCEGAGLIA COLOMBIA SAS</v>
      </c>
      <c r="F496" s="5" t="str">
        <f>VLOOKUP(Tabla4[[#This Row],[Codigo]],Tabla2[[Cod]:[Nombre ]],6,0)</f>
        <v>OK</v>
      </c>
      <c r="G496" s="7" t="s">
        <v>433</v>
      </c>
      <c r="H496" s="21" t="s">
        <v>517</v>
      </c>
      <c r="I496" s="21" t="s">
        <v>649</v>
      </c>
      <c r="J496" s="163">
        <v>1</v>
      </c>
      <c r="K496" s="294">
        <v>3612000</v>
      </c>
      <c r="L496" s="298"/>
      <c r="M496" s="292">
        <f>IF(LEFT(Tabla4[[#This Row],[Electronica]],2)="NC",-Tabla4[[#This Row],[Cantidad]]*Tabla4[[#This Row],[Precio]]+Tabla4[[#This Row],[Dto]],Tabla4[[#This Row],[Cantidad]]*Tabla4[[#This Row],[Precio]]-Tabla4[[#This Row],[Dto]])</f>
        <v>3612000</v>
      </c>
      <c r="N496" s="292">
        <f>IFERROR(Tabla4[[#This Row],[Sub Total]]*VLOOKUP(Tabla4[[#This Row],[No]],Parametros!A:C,3,0),0)</f>
        <v>686280</v>
      </c>
      <c r="O496" s="292">
        <f>+Tabla4[[#This Row],[IVA]]+Tabla4[[#This Row],[Sub Total]]</f>
        <v>4298280</v>
      </c>
    </row>
    <row r="497" spans="1:15" ht="48" x14ac:dyDescent="0.2">
      <c r="A497" s="6">
        <v>437</v>
      </c>
      <c r="B497" s="6" t="str">
        <f>VLOOKUP(Tabla4[[#This Row],[Codigo]],Tabla2[[Cod]:[Nombre ]],2,0)</f>
        <v>P-1426</v>
      </c>
      <c r="C497" s="53">
        <f>VLOOKUP(Tabla4[[#This Row],[Codigo]],Tabla2[[Cod]:[Nombre ]],3,0)</f>
        <v>45555</v>
      </c>
      <c r="D497" s="6" t="str">
        <f>VLOOKUP(Tabla4[[#This Row],[Codigo]],Tabla2[[Cod]:[Nombre ]],4,0)</f>
        <v>TIS-1417</v>
      </c>
      <c r="E497" s="5" t="str">
        <f>VLOOKUP(Tabla4[[#This Row],[Codigo]],Tabla2[[Cod]:[Nombre ]],8,0)</f>
        <v>EVAL.COM CONSULTING SAS</v>
      </c>
      <c r="F497" s="5" t="str">
        <f>VLOOKUP(Tabla4[[#This Row],[Codigo]],Tabla2[[Cod]:[Nombre ]],6,0)</f>
        <v>Anulado</v>
      </c>
      <c r="G497" s="7" t="s">
        <v>282</v>
      </c>
      <c r="H497" s="21" t="s">
        <v>16</v>
      </c>
      <c r="I497" s="21" t="s">
        <v>650</v>
      </c>
      <c r="J497" s="163">
        <v>27</v>
      </c>
      <c r="K497" s="294">
        <v>40000</v>
      </c>
      <c r="L497" s="298"/>
      <c r="M497" s="292">
        <f>IF(LEFT(Tabla4[[#This Row],[Electronica]],2)="NC",-Tabla4[[#This Row],[Cantidad]]*Tabla4[[#This Row],[Precio]]+Tabla4[[#This Row],[Dto]],Tabla4[[#This Row],[Cantidad]]*Tabla4[[#This Row],[Precio]]-Tabla4[[#This Row],[Dto]])</f>
        <v>1080000</v>
      </c>
      <c r="N497" s="292">
        <f>IFERROR(Tabla4[[#This Row],[Sub Total]]*VLOOKUP(Tabla4[[#This Row],[No]],Parametros!A:C,3,0),0)</f>
        <v>205200</v>
      </c>
      <c r="O497" s="292">
        <f>+Tabla4[[#This Row],[IVA]]+Tabla4[[#This Row],[Sub Total]]</f>
        <v>1285200</v>
      </c>
    </row>
    <row r="498" spans="1:15" ht="60" x14ac:dyDescent="0.2">
      <c r="A498" s="6">
        <v>438</v>
      </c>
      <c r="B498" s="6" t="str">
        <f>VLOOKUP(Tabla4[[#This Row],[Codigo]],Tabla2[[Cod]:[Nombre ]],2,0)</f>
        <v>P-1427</v>
      </c>
      <c r="C498" s="53">
        <f>VLOOKUP(Tabla4[[#This Row],[Codigo]],Tabla2[[Cod]:[Nombre ]],3,0)</f>
        <v>45558</v>
      </c>
      <c r="D498" s="6" t="str">
        <f>VLOOKUP(Tabla4[[#This Row],[Codigo]],Tabla2[[Cod]:[Nombre ]],4,0)</f>
        <v>TIS-1418</v>
      </c>
      <c r="E498" s="5" t="str">
        <f>VLOOKUP(Tabla4[[#This Row],[Codigo]],Tabla2[[Cod]:[Nombre ]],8,0)</f>
        <v>EVAL.COM CONSULTING SAS</v>
      </c>
      <c r="F498" s="5" t="str">
        <f>VLOOKUP(Tabla4[[#This Row],[Codigo]],Tabla2[[Cod]:[Nombre ]],6,0)</f>
        <v>OK</v>
      </c>
      <c r="G498" s="7" t="s">
        <v>282</v>
      </c>
      <c r="H498" s="21" t="s">
        <v>16</v>
      </c>
      <c r="I498" s="21" t="s">
        <v>651</v>
      </c>
      <c r="J498" s="163">
        <v>27</v>
      </c>
      <c r="K498" s="294">
        <v>32000</v>
      </c>
      <c r="L498" s="298"/>
      <c r="M498" s="292">
        <f>IF(LEFT(Tabla4[[#This Row],[Electronica]],2)="NC",-Tabla4[[#This Row],[Cantidad]]*Tabla4[[#This Row],[Precio]]+Tabla4[[#This Row],[Dto]],Tabla4[[#This Row],[Cantidad]]*Tabla4[[#This Row],[Precio]]-Tabla4[[#This Row],[Dto]])</f>
        <v>864000</v>
      </c>
      <c r="N498" s="292">
        <f>IFERROR(Tabla4[[#This Row],[Sub Total]]*VLOOKUP(Tabla4[[#This Row],[No]],Parametros!A:C,3,0),0)</f>
        <v>164160</v>
      </c>
      <c r="O498" s="292">
        <f>+Tabla4[[#This Row],[IVA]]+Tabla4[[#This Row],[Sub Total]]</f>
        <v>1028160</v>
      </c>
    </row>
    <row r="499" spans="1:15" ht="36" x14ac:dyDescent="0.2">
      <c r="A499" s="6">
        <v>439</v>
      </c>
      <c r="B499" s="6" t="str">
        <f>VLOOKUP(Tabla4[[#This Row],[Codigo]],Tabla2[[Cod]:[Nombre ]],2,0)</f>
        <v>P-1428</v>
      </c>
      <c r="C499" s="53">
        <f>VLOOKUP(Tabla4[[#This Row],[Codigo]],Tabla2[[Cod]:[Nombre ]],3,0)</f>
        <v>45576</v>
      </c>
      <c r="D499" s="6" t="str">
        <f>VLOOKUP(Tabla4[[#This Row],[Codigo]],Tabla2[[Cod]:[Nombre ]],4,0)</f>
        <v>TIS-1420</v>
      </c>
      <c r="E499" s="5" t="str">
        <f>VLOOKUP(Tabla4[[#This Row],[Codigo]],Tabla2[[Cod]:[Nombre ]],8,0)</f>
        <v>TKARGA SAS</v>
      </c>
      <c r="F499" s="5" t="str">
        <f>VLOOKUP(Tabla4[[#This Row],[Codigo]],Tabla2[[Cod]:[Nombre ]],6,0)</f>
        <v>OK</v>
      </c>
      <c r="G499" s="7" t="s">
        <v>412</v>
      </c>
      <c r="H499" s="21" t="s">
        <v>594</v>
      </c>
      <c r="I499" s="21" t="s">
        <v>652</v>
      </c>
      <c r="J499" s="163">
        <v>1</v>
      </c>
      <c r="K499" s="294">
        <v>1000000</v>
      </c>
      <c r="L499" s="298"/>
      <c r="M499" s="292">
        <f>IF(LEFT(Tabla4[[#This Row],[Electronica]],2)="NC",-Tabla4[[#This Row],[Cantidad]]*Tabla4[[#This Row],[Precio]]+Tabla4[[#This Row],[Dto]],Tabla4[[#This Row],[Cantidad]]*Tabla4[[#This Row],[Precio]]-Tabla4[[#This Row],[Dto]])</f>
        <v>1000000</v>
      </c>
      <c r="N499" s="292">
        <f>IFERROR(Tabla4[[#This Row],[Sub Total]]*VLOOKUP(Tabla4[[#This Row],[No]],Parametros!A:C,3,0),0)</f>
        <v>190000</v>
      </c>
      <c r="O499" s="292">
        <f>+Tabla4[[#This Row],[IVA]]+Tabla4[[#This Row],[Sub Total]]</f>
        <v>1190000</v>
      </c>
    </row>
    <row r="500" spans="1:15" ht="36" x14ac:dyDescent="0.2">
      <c r="A500" s="6">
        <v>440</v>
      </c>
      <c r="B500" s="6" t="str">
        <f>VLOOKUP(Tabla4[[#This Row],[Codigo]],Tabla2[[Cod]:[Nombre ]],2,0)</f>
        <v>P-1429</v>
      </c>
      <c r="C500" s="53">
        <f>VLOOKUP(Tabla4[[#This Row],[Codigo]],Tabla2[[Cod]:[Nombre ]],3,0)</f>
        <v>45580</v>
      </c>
      <c r="D500" s="6" t="str">
        <f>VLOOKUP(Tabla4[[#This Row],[Codigo]],Tabla2[[Cod]:[Nombre ]],4,0)</f>
        <v>TIS-1421</v>
      </c>
      <c r="E500" s="5" t="str">
        <f>VLOOKUP(Tabla4[[#This Row],[Codigo]],Tabla2[[Cod]:[Nombre ]],8,0)</f>
        <v>Comercializadora ERZ SAS</v>
      </c>
      <c r="F500" s="5" t="str">
        <f>VLOOKUP(Tabla4[[#This Row],[Codigo]],Tabla2[[Cod]:[Nombre ]],6,0)</f>
        <v>OK</v>
      </c>
      <c r="G500" s="7" t="s">
        <v>416</v>
      </c>
      <c r="H500" s="21" t="s">
        <v>519</v>
      </c>
      <c r="I500" s="21" t="s">
        <v>653</v>
      </c>
      <c r="J500" s="163">
        <v>1</v>
      </c>
      <c r="K500" s="294">
        <v>260000</v>
      </c>
      <c r="L500" s="298"/>
      <c r="M500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500" s="292">
        <f>IFERROR(Tabla4[[#This Row],[Sub Total]]*VLOOKUP(Tabla4[[#This Row],[No]],Parametros!A:C,3,0),0)</f>
        <v>49400</v>
      </c>
      <c r="O500" s="292">
        <f>+Tabla4[[#This Row],[IVA]]+Tabla4[[#This Row],[Sub Total]]</f>
        <v>309400</v>
      </c>
    </row>
    <row r="501" spans="1:15" ht="36" x14ac:dyDescent="0.2">
      <c r="A501" s="6">
        <v>441</v>
      </c>
      <c r="B501" s="6" t="str">
        <f>VLOOKUP(Tabla4[[#This Row],[Codigo]],Tabla2[[Cod]:[Nombre ]],2,0)</f>
        <v>P-1430</v>
      </c>
      <c r="C501" s="53">
        <f>VLOOKUP(Tabla4[[#This Row],[Codigo]],Tabla2[[Cod]:[Nombre ]],3,0)</f>
        <v>45580</v>
      </c>
      <c r="D501" s="6" t="str">
        <f>VLOOKUP(Tabla4[[#This Row],[Codigo]],Tabla2[[Cod]:[Nombre ]],4,0)</f>
        <v>TIS-1422</v>
      </c>
      <c r="E501" s="5" t="str">
        <f>VLOOKUP(Tabla4[[#This Row],[Codigo]],Tabla2[[Cod]:[Nombre ]],8,0)</f>
        <v>ROYCO SOLUCIONES SAS</v>
      </c>
      <c r="F501" s="5" t="str">
        <f>VLOOKUP(Tabla4[[#This Row],[Codigo]],Tabla2[[Cod]:[Nombre ]],6,0)</f>
        <v>OK</v>
      </c>
      <c r="G501" s="7" t="s">
        <v>416</v>
      </c>
      <c r="H501" s="21" t="s">
        <v>519</v>
      </c>
      <c r="I501" s="21" t="s">
        <v>653</v>
      </c>
      <c r="J501" s="163">
        <v>1</v>
      </c>
      <c r="K501" s="294">
        <v>175000</v>
      </c>
      <c r="L501" s="298"/>
      <c r="M501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501" s="292">
        <f>IFERROR(Tabla4[[#This Row],[Sub Total]]*VLOOKUP(Tabla4[[#This Row],[No]],Parametros!A:C,3,0),0)</f>
        <v>33250</v>
      </c>
      <c r="O501" s="292">
        <f>+Tabla4[[#This Row],[IVA]]+Tabla4[[#This Row],[Sub Total]]</f>
        <v>208250</v>
      </c>
    </row>
    <row r="502" spans="1:15" ht="36" x14ac:dyDescent="0.2">
      <c r="A502" s="6">
        <v>442</v>
      </c>
      <c r="B502" s="6" t="str">
        <f>VLOOKUP(Tabla4[[#This Row],[Codigo]],Tabla2[[Cod]:[Nombre ]],2,0)</f>
        <v>P-1431</v>
      </c>
      <c r="C502" s="53">
        <f>VLOOKUP(Tabla4[[#This Row],[Codigo]],Tabla2[[Cod]:[Nombre ]],3,0)</f>
        <v>45580</v>
      </c>
      <c r="D502" s="6" t="str">
        <f>VLOOKUP(Tabla4[[#This Row],[Codigo]],Tabla2[[Cod]:[Nombre ]],4,0)</f>
        <v>TIS-1423</v>
      </c>
      <c r="E502" s="5" t="str">
        <f>VLOOKUP(Tabla4[[#This Row],[Codigo]],Tabla2[[Cod]:[Nombre ]],8,0)</f>
        <v>STAFF SEGUROS AGENCIA LTDA</v>
      </c>
      <c r="F502" s="5" t="str">
        <f>VLOOKUP(Tabla4[[#This Row],[Codigo]],Tabla2[[Cod]:[Nombre ]],6,0)</f>
        <v>OK</v>
      </c>
      <c r="G502" s="7" t="s">
        <v>416</v>
      </c>
      <c r="H502" s="21" t="s">
        <v>519</v>
      </c>
      <c r="I502" s="21" t="s">
        <v>653</v>
      </c>
      <c r="J502" s="163">
        <v>1</v>
      </c>
      <c r="K502" s="294">
        <v>300000</v>
      </c>
      <c r="L502" s="298"/>
      <c r="M502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02" s="292">
        <f>IFERROR(Tabla4[[#This Row],[Sub Total]]*VLOOKUP(Tabla4[[#This Row],[No]],Parametros!A:C,3,0),0)</f>
        <v>57000</v>
      </c>
      <c r="O502" s="292">
        <f>+Tabla4[[#This Row],[IVA]]+Tabla4[[#This Row],[Sub Total]]</f>
        <v>357000</v>
      </c>
    </row>
    <row r="503" spans="1:15" ht="36" x14ac:dyDescent="0.2">
      <c r="A503" s="6">
        <v>443</v>
      </c>
      <c r="B503" s="6" t="str">
        <f>VLOOKUP(Tabla4[[#This Row],[Codigo]],Tabla2[[Cod]:[Nombre ]],2,0)</f>
        <v>P-1432</v>
      </c>
      <c r="C503" s="53">
        <f>VLOOKUP(Tabla4[[#This Row],[Codigo]],Tabla2[[Cod]:[Nombre ]],3,0)</f>
        <v>45580</v>
      </c>
      <c r="D503" s="6" t="str">
        <f>VLOOKUP(Tabla4[[#This Row],[Codigo]],Tabla2[[Cod]:[Nombre ]],4,0)</f>
        <v>TIS-1424</v>
      </c>
      <c r="E503" s="5" t="str">
        <f>VLOOKUP(Tabla4[[#This Row],[Codigo]],Tabla2[[Cod]:[Nombre ]],8,0)</f>
        <v>STAFF SEGUROS AGENCIA LTDA</v>
      </c>
      <c r="F503" s="5" t="str">
        <f>VLOOKUP(Tabla4[[#This Row],[Codigo]],Tabla2[[Cod]:[Nombre ]],6,0)</f>
        <v>OK</v>
      </c>
      <c r="G503" s="7" t="s">
        <v>416</v>
      </c>
      <c r="H503" s="21" t="s">
        <v>519</v>
      </c>
      <c r="I503" s="21" t="s">
        <v>654</v>
      </c>
      <c r="J503" s="163">
        <v>3</v>
      </c>
      <c r="K503" s="294">
        <v>300000</v>
      </c>
      <c r="L503" s="298"/>
      <c r="M503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503" s="292">
        <f>IFERROR(Tabla4[[#This Row],[Sub Total]]*VLOOKUP(Tabla4[[#This Row],[No]],Parametros!A:C,3,0),0)</f>
        <v>171000</v>
      </c>
      <c r="O503" s="292">
        <f>+Tabla4[[#This Row],[IVA]]+Tabla4[[#This Row],[Sub Total]]</f>
        <v>1071000</v>
      </c>
    </row>
    <row r="504" spans="1:15" ht="45" x14ac:dyDescent="0.2">
      <c r="A504" s="6">
        <v>444</v>
      </c>
      <c r="B504" s="6" t="str">
        <f>VLOOKUP(Tabla4[[#This Row],[Codigo]],Tabla2[[Cod]:[Nombre ]],2,0)</f>
        <v>P-1433</v>
      </c>
      <c r="C504" s="53">
        <f>VLOOKUP(Tabla4[[#This Row],[Codigo]],Tabla2[[Cod]:[Nombre ]],3,0)</f>
        <v>45580</v>
      </c>
      <c r="D504" s="6" t="str">
        <f>VLOOKUP(Tabla4[[#This Row],[Codigo]],Tabla2[[Cod]:[Nombre ]],4,0)</f>
        <v>TIS-1425</v>
      </c>
      <c r="E504" s="5" t="str">
        <f>VLOOKUP(Tabla4[[#This Row],[Codigo]],Tabla2[[Cod]:[Nombre ]],8,0)</f>
        <v>DIGITAL MEDIA TECHNOLOGIES COLOMBIA SAS</v>
      </c>
      <c r="F504" s="5" t="str">
        <f>VLOOKUP(Tabla4[[#This Row],[Codigo]],Tabla2[[Cod]:[Nombre ]],6,0)</f>
        <v>OK</v>
      </c>
      <c r="G504" s="7" t="s">
        <v>416</v>
      </c>
      <c r="H504" s="21" t="s">
        <v>519</v>
      </c>
      <c r="I504" s="21" t="s">
        <v>653</v>
      </c>
      <c r="J504" s="163">
        <v>1</v>
      </c>
      <c r="K504" s="294">
        <v>300000</v>
      </c>
      <c r="L504" s="298"/>
      <c r="M504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04" s="292">
        <f>IFERROR(Tabla4[[#This Row],[Sub Total]]*VLOOKUP(Tabla4[[#This Row],[No]],Parametros!A:C,3,0),0)</f>
        <v>57000</v>
      </c>
      <c r="O504" s="292">
        <f>+Tabla4[[#This Row],[IVA]]+Tabla4[[#This Row],[Sub Total]]</f>
        <v>357000</v>
      </c>
    </row>
    <row r="505" spans="1:15" ht="24" x14ac:dyDescent="0.2">
      <c r="A505" s="6">
        <v>445</v>
      </c>
      <c r="B505" s="6" t="str">
        <f>VLOOKUP(Tabla4[[#This Row],[Codigo]],Tabla2[[Cod]:[Nombre ]],2,0)</f>
        <v>P-1434</v>
      </c>
      <c r="C505" s="53">
        <f>VLOOKUP(Tabla4[[#This Row],[Codigo]],Tabla2[[Cod]:[Nombre ]],3,0)</f>
        <v>45470</v>
      </c>
      <c r="D505" s="6" t="str">
        <f>VLOOKUP(Tabla4[[#This Row],[Codigo]],Tabla2[[Cod]:[Nombre ]],4,0)</f>
        <v>TIS-1385</v>
      </c>
      <c r="E505" s="5" t="str">
        <f>VLOOKUP(Tabla4[[#This Row],[Codigo]],Tabla2[[Cod]:[Nombre ]],8,0)</f>
        <v>ACTIVOS SAS</v>
      </c>
      <c r="F505" s="5" t="str">
        <f>VLOOKUP(Tabla4[[#This Row],[Codigo]],Tabla2[[Cod]:[Nombre ]],6,0)</f>
        <v>Anulado</v>
      </c>
      <c r="G505" s="7" t="s">
        <v>415</v>
      </c>
      <c r="H505" s="21" t="s">
        <v>605</v>
      </c>
      <c r="I505" s="21" t="s">
        <v>655</v>
      </c>
      <c r="J505" s="163">
        <v>18</v>
      </c>
      <c r="K505" s="294">
        <v>280000</v>
      </c>
      <c r="L505" s="298"/>
      <c r="M505" s="292">
        <f>IF(LEFT(Tabla4[[#This Row],[Electronica]],2)="NC",-Tabla4[[#This Row],[Cantidad]]*Tabla4[[#This Row],[Precio]]+Tabla4[[#This Row],[Dto]],Tabla4[[#This Row],[Cantidad]]*Tabla4[[#This Row],[Precio]]-Tabla4[[#This Row],[Dto]])</f>
        <v>5040000</v>
      </c>
      <c r="N505" s="292">
        <f>IFERROR(Tabla4[[#This Row],[Sub Total]]*VLOOKUP(Tabla4[[#This Row],[No]],Parametros!A:C,3,0),0)</f>
        <v>957600</v>
      </c>
      <c r="O505" s="292">
        <f>+Tabla4[[#This Row],[IVA]]+Tabla4[[#This Row],[Sub Total]]</f>
        <v>5997600</v>
      </c>
    </row>
    <row r="506" spans="1:15" ht="24" x14ac:dyDescent="0.2">
      <c r="A506" s="6">
        <v>446</v>
      </c>
      <c r="B506" s="6" t="str">
        <f>VLOOKUP(Tabla4[[#This Row],[Codigo]],Tabla2[[Cod]:[Nombre ]],2,0)</f>
        <v>P-1435</v>
      </c>
      <c r="C506" s="53">
        <f>VLOOKUP(Tabla4[[#This Row],[Codigo]],Tabla2[[Cod]:[Nombre ]],3,0)</f>
        <v>45532</v>
      </c>
      <c r="D506" s="6" t="str">
        <f>VLOOKUP(Tabla4[[#This Row],[Codigo]],Tabla2[[Cod]:[Nombre ]],4,0)</f>
        <v>TIS-1407</v>
      </c>
      <c r="E506" s="5" t="str">
        <f>VLOOKUP(Tabla4[[#This Row],[Codigo]],Tabla2[[Cod]:[Nombre ]],8,0)</f>
        <v>TKARGA SAS</v>
      </c>
      <c r="F506" s="5" t="str">
        <f>VLOOKUP(Tabla4[[#This Row],[Codigo]],Tabla2[[Cod]:[Nombre ]],6,0)</f>
        <v>OK</v>
      </c>
      <c r="G506" s="7" t="s">
        <v>282</v>
      </c>
      <c r="H506" s="21" t="s">
        <v>16</v>
      </c>
      <c r="I506" s="21" t="s">
        <v>645</v>
      </c>
      <c r="J506" s="163">
        <v>100</v>
      </c>
      <c r="K506" s="294">
        <v>30000</v>
      </c>
      <c r="L506" s="298"/>
      <c r="M506" s="292">
        <f>IF(LEFT(Tabla4[[#This Row],[Electronica]],2)="NC",-Tabla4[[#This Row],[Cantidad]]*Tabla4[[#This Row],[Precio]]+Tabla4[[#This Row],[Dto]],Tabla4[[#This Row],[Cantidad]]*Tabla4[[#This Row],[Precio]]-Tabla4[[#This Row],[Dto]])</f>
        <v>3000000</v>
      </c>
      <c r="N506" s="292">
        <f>IFERROR(Tabla4[[#This Row],[Sub Total]]*VLOOKUP(Tabla4[[#This Row],[No]],Parametros!A:C,3,0),0)</f>
        <v>570000</v>
      </c>
      <c r="O506" s="292">
        <f>+Tabla4[[#This Row],[IVA]]+Tabla4[[#This Row],[Sub Total]]</f>
        <v>3570000</v>
      </c>
    </row>
    <row r="507" spans="1:15" ht="24" x14ac:dyDescent="0.2">
      <c r="A507" s="6">
        <v>447</v>
      </c>
      <c r="B507" s="6" t="str">
        <f>VLOOKUP(Tabla4[[#This Row],[Codigo]],Tabla2[[Cod]:[Nombre ]],2,0)</f>
        <v>P-1436</v>
      </c>
      <c r="C507" s="53">
        <f>VLOOKUP(Tabla4[[#This Row],[Codigo]],Tabla2[[Cod]:[Nombre ]],3,0)</f>
        <v>45532</v>
      </c>
      <c r="D507" s="6" t="str">
        <f>VLOOKUP(Tabla4[[#This Row],[Codigo]],Tabla2[[Cod]:[Nombre ]],4,0)</f>
        <v>TIS-1408</v>
      </c>
      <c r="E507" s="5" t="str">
        <f>VLOOKUP(Tabla4[[#This Row],[Codigo]],Tabla2[[Cod]:[Nombre ]],8,0)</f>
        <v>B2B TAX LEGAL S.A.S. BIC</v>
      </c>
      <c r="F507" s="5" t="str">
        <f>VLOOKUP(Tabla4[[#This Row],[Codigo]],Tabla2[[Cod]:[Nombre ]],6,0)</f>
        <v>OK</v>
      </c>
      <c r="G507" s="7" t="s">
        <v>412</v>
      </c>
      <c r="H507" s="21" t="s">
        <v>594</v>
      </c>
      <c r="I507" s="21" t="s">
        <v>656</v>
      </c>
      <c r="J507" s="163">
        <v>1</v>
      </c>
      <c r="K507" s="294">
        <v>1200000</v>
      </c>
      <c r="L507" s="298"/>
      <c r="M507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507" s="292">
        <f>IFERROR(Tabla4[[#This Row],[Sub Total]]*VLOOKUP(Tabla4[[#This Row],[No]],Parametros!A:C,3,0),0)</f>
        <v>228000</v>
      </c>
      <c r="O507" s="292">
        <f>+Tabla4[[#This Row],[IVA]]+Tabla4[[#This Row],[Sub Total]]</f>
        <v>1428000</v>
      </c>
    </row>
    <row r="508" spans="1:15" ht="24" x14ac:dyDescent="0.2">
      <c r="A508" s="6">
        <v>447</v>
      </c>
      <c r="B508" s="6" t="str">
        <f>VLOOKUP(Tabla4[[#This Row],[Codigo]],Tabla2[[Cod]:[Nombre ]],2,0)</f>
        <v>P-1436</v>
      </c>
      <c r="C508" s="53">
        <f>VLOOKUP(Tabla4[[#This Row],[Codigo]],Tabla2[[Cod]:[Nombre ]],3,0)</f>
        <v>45532</v>
      </c>
      <c r="D508" s="6" t="str">
        <f>VLOOKUP(Tabla4[[#This Row],[Codigo]],Tabla2[[Cod]:[Nombre ]],4,0)</f>
        <v>TIS-1408</v>
      </c>
      <c r="E508" s="5" t="str">
        <f>VLOOKUP(Tabla4[[#This Row],[Codigo]],Tabla2[[Cod]:[Nombre ]],8,0)</f>
        <v>B2B TAX LEGAL S.A.S. BIC</v>
      </c>
      <c r="F508" s="5" t="str">
        <f>VLOOKUP(Tabla4[[#This Row],[Codigo]],Tabla2[[Cod]:[Nombre ]],6,0)</f>
        <v>OK</v>
      </c>
      <c r="G508" s="7" t="s">
        <v>433</v>
      </c>
      <c r="H508" s="21" t="s">
        <v>517</v>
      </c>
      <c r="I508" s="21" t="s">
        <v>656</v>
      </c>
      <c r="J508" s="163">
        <v>3</v>
      </c>
      <c r="K508" s="294">
        <v>800000</v>
      </c>
      <c r="L508" s="298"/>
      <c r="M508" s="292">
        <f>IF(LEFT(Tabla4[[#This Row],[Electronica]],2)="NC",-Tabla4[[#This Row],[Cantidad]]*Tabla4[[#This Row],[Precio]]+Tabla4[[#This Row],[Dto]],Tabla4[[#This Row],[Cantidad]]*Tabla4[[#This Row],[Precio]]-Tabla4[[#This Row],[Dto]])</f>
        <v>2400000</v>
      </c>
      <c r="N508" s="292">
        <f>IFERROR(Tabla4[[#This Row],[Sub Total]]*VLOOKUP(Tabla4[[#This Row],[No]],Parametros!A:C,3,0),0)</f>
        <v>456000</v>
      </c>
      <c r="O508" s="292">
        <f>+Tabla4[[#This Row],[IVA]]+Tabla4[[#This Row],[Sub Total]]</f>
        <v>2856000</v>
      </c>
    </row>
    <row r="509" spans="1:15" ht="36" x14ac:dyDescent="0.2">
      <c r="A509" s="6">
        <v>448</v>
      </c>
      <c r="B509" s="6" t="str">
        <f>VLOOKUP(Tabla4[[#This Row],[Codigo]],Tabla2[[Cod]:[Nombre ]],2,0)</f>
        <v>P-1437</v>
      </c>
      <c r="C509" s="53">
        <f>VLOOKUP(Tabla4[[#This Row],[Codigo]],Tabla2[[Cod]:[Nombre ]],3,0)</f>
        <v>45580</v>
      </c>
      <c r="D509" s="6" t="str">
        <f>VLOOKUP(Tabla4[[#This Row],[Codigo]],Tabla2[[Cod]:[Nombre ]],4,0)</f>
        <v>TIS-1426</v>
      </c>
      <c r="E509" s="5" t="str">
        <f>VLOOKUP(Tabla4[[#This Row],[Codigo]],Tabla2[[Cod]:[Nombre ]],8,0)</f>
        <v>GENUINE TECH SAS</v>
      </c>
      <c r="F509" s="5" t="str">
        <f>VLOOKUP(Tabla4[[#This Row],[Codigo]],Tabla2[[Cod]:[Nombre ]],6,0)</f>
        <v>OK</v>
      </c>
      <c r="G509" s="7" t="s">
        <v>416</v>
      </c>
      <c r="H509" s="21" t="s">
        <v>519</v>
      </c>
      <c r="I509" s="21" t="s">
        <v>653</v>
      </c>
      <c r="J509" s="163">
        <v>1</v>
      </c>
      <c r="K509" s="294">
        <v>545454</v>
      </c>
      <c r="L509" s="298"/>
      <c r="M509" s="292">
        <f>IF(LEFT(Tabla4[[#This Row],[Electronica]],2)="NC",-Tabla4[[#This Row],[Cantidad]]*Tabla4[[#This Row],[Precio]]+Tabla4[[#This Row],[Dto]],Tabla4[[#This Row],[Cantidad]]*Tabla4[[#This Row],[Precio]]-Tabla4[[#This Row],[Dto]])</f>
        <v>545454</v>
      </c>
      <c r="N509" s="292">
        <f>IFERROR(Tabla4[[#This Row],[Sub Total]]*VLOOKUP(Tabla4[[#This Row],[No]],Parametros!A:C,3,0),0)</f>
        <v>103636.26</v>
      </c>
      <c r="O509" s="292">
        <f>+Tabla4[[#This Row],[IVA]]+Tabla4[[#This Row],[Sub Total]]</f>
        <v>649090.26</v>
      </c>
    </row>
    <row r="510" spans="1:15" ht="36" x14ac:dyDescent="0.2">
      <c r="A510" s="6">
        <v>449</v>
      </c>
      <c r="B510" s="6" t="str">
        <f>VLOOKUP(Tabla4[[#This Row],[Codigo]],Tabla2[[Cod]:[Nombre ]],2,0)</f>
        <v>P-1438</v>
      </c>
      <c r="C510" s="53">
        <f>VLOOKUP(Tabla4[[#This Row],[Codigo]],Tabla2[[Cod]:[Nombre ]],3,0)</f>
        <v>45580</v>
      </c>
      <c r="D510" s="6" t="str">
        <f>VLOOKUP(Tabla4[[#This Row],[Codigo]],Tabla2[[Cod]:[Nombre ]],4,0)</f>
        <v>TIS-1427</v>
      </c>
      <c r="E510" s="5" t="str">
        <f>VLOOKUP(Tabla4[[#This Row],[Codigo]],Tabla2[[Cod]:[Nombre ]],8,0)</f>
        <v>Inversiones Sajamib SAS</v>
      </c>
      <c r="F510" s="5" t="str">
        <f>VLOOKUP(Tabla4[[#This Row],[Codigo]],Tabla2[[Cod]:[Nombre ]],6,0)</f>
        <v>OK</v>
      </c>
      <c r="G510" s="7" t="s">
        <v>417</v>
      </c>
      <c r="H510" s="21" t="s">
        <v>525</v>
      </c>
      <c r="I510" s="21" t="s">
        <v>657</v>
      </c>
      <c r="J510" s="163">
        <v>1</v>
      </c>
      <c r="K510" s="294">
        <v>480000</v>
      </c>
      <c r="L510" s="298"/>
      <c r="M510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510" s="292">
        <f>IFERROR(Tabla4[[#This Row],[Sub Total]]*VLOOKUP(Tabla4[[#This Row],[No]],Parametros!A:C,3,0),0)</f>
        <v>0</v>
      </c>
      <c r="O510" s="292">
        <f>+Tabla4[[#This Row],[IVA]]+Tabla4[[#This Row],[Sub Total]]</f>
        <v>480000</v>
      </c>
    </row>
    <row r="511" spans="1:15" ht="30" x14ac:dyDescent="0.2">
      <c r="A511" s="6">
        <v>450</v>
      </c>
      <c r="B511" s="6" t="str">
        <f>VLOOKUP(Tabla4[[#This Row],[Codigo]],Tabla2[[Cod]:[Nombre ]],2,0)</f>
        <v>P-1439</v>
      </c>
      <c r="C511" s="53">
        <f>VLOOKUP(Tabla4[[#This Row],[Codigo]],Tabla2[[Cod]:[Nombre ]],3,0)</f>
        <v>45587</v>
      </c>
      <c r="D511" s="6" t="str">
        <f>VLOOKUP(Tabla4[[#This Row],[Codigo]],Tabla2[[Cod]:[Nombre ]],4,0)</f>
        <v>TIS-1428</v>
      </c>
      <c r="E511" s="5" t="str">
        <f>VLOOKUP(Tabla4[[#This Row],[Codigo]],Tabla2[[Cod]:[Nombre ]],8,0)</f>
        <v>SUPPLYING TOTAL TALENT SAS</v>
      </c>
      <c r="F511" s="5" t="str">
        <f>VLOOKUP(Tabla4[[#This Row],[Codigo]],Tabla2[[Cod]:[Nombre ]],6,0)</f>
        <v>OK</v>
      </c>
      <c r="G511" s="7" t="s">
        <v>282</v>
      </c>
      <c r="H511" s="21" t="s">
        <v>16</v>
      </c>
      <c r="I511" s="21" t="s">
        <v>645</v>
      </c>
      <c r="J511" s="163">
        <v>8</v>
      </c>
      <c r="K511" s="294">
        <v>40000</v>
      </c>
      <c r="L511" s="298"/>
      <c r="M511" s="292">
        <f>IF(LEFT(Tabla4[[#This Row],[Electronica]],2)="NC",-Tabla4[[#This Row],[Cantidad]]*Tabla4[[#This Row],[Precio]]+Tabla4[[#This Row],[Dto]],Tabla4[[#This Row],[Cantidad]]*Tabla4[[#This Row],[Precio]]-Tabla4[[#This Row],[Dto]])</f>
        <v>320000</v>
      </c>
      <c r="N511" s="292">
        <f>IFERROR(Tabla4[[#This Row],[Sub Total]]*VLOOKUP(Tabla4[[#This Row],[No]],Parametros!A:C,3,0),0)</f>
        <v>60800</v>
      </c>
      <c r="O511" s="292">
        <f>+Tabla4[[#This Row],[IVA]]+Tabla4[[#This Row],[Sub Total]]</f>
        <v>380800</v>
      </c>
    </row>
    <row r="512" spans="1:15" ht="30" x14ac:dyDescent="0.2">
      <c r="A512" s="6">
        <v>451</v>
      </c>
      <c r="B512" s="6" t="str">
        <f>VLOOKUP(Tabla4[[#This Row],[Codigo]],Tabla2[[Cod]:[Nombre ]],2,0)</f>
        <v>P-1440</v>
      </c>
      <c r="C512" s="53">
        <f>VLOOKUP(Tabla4[[#This Row],[Codigo]],Tabla2[[Cod]:[Nombre ]],3,0)</f>
        <v>45587</v>
      </c>
      <c r="D512" s="6" t="str">
        <f>VLOOKUP(Tabla4[[#This Row],[Codigo]],Tabla2[[Cod]:[Nombre ]],4,0)</f>
        <v>TIS-1429</v>
      </c>
      <c r="E512" s="5" t="str">
        <f>VLOOKUP(Tabla4[[#This Row],[Codigo]],Tabla2[[Cod]:[Nombre ]],8,0)</f>
        <v>BETA SERVICIOS TEMPORALES S A S</v>
      </c>
      <c r="F512" s="5" t="str">
        <f>VLOOKUP(Tabla4[[#This Row],[Codigo]],Tabla2[[Cod]:[Nombre ]],6,0)</f>
        <v>OK</v>
      </c>
      <c r="G512" s="7" t="s">
        <v>282</v>
      </c>
      <c r="H512" s="21" t="s">
        <v>16</v>
      </c>
      <c r="I512" s="21" t="s">
        <v>645</v>
      </c>
      <c r="J512" s="163">
        <v>8</v>
      </c>
      <c r="K512" s="294">
        <v>40000</v>
      </c>
      <c r="L512" s="298"/>
      <c r="M512" s="292">
        <f>IF(LEFT(Tabla4[[#This Row],[Electronica]],2)="NC",-Tabla4[[#This Row],[Cantidad]]*Tabla4[[#This Row],[Precio]]+Tabla4[[#This Row],[Dto]],Tabla4[[#This Row],[Cantidad]]*Tabla4[[#This Row],[Precio]]-Tabla4[[#This Row],[Dto]])</f>
        <v>320000</v>
      </c>
      <c r="N512" s="292">
        <f>IFERROR(Tabla4[[#This Row],[Sub Total]]*VLOOKUP(Tabla4[[#This Row],[No]],Parametros!A:C,3,0),0)</f>
        <v>60800</v>
      </c>
      <c r="O512" s="292">
        <f>+Tabla4[[#This Row],[IVA]]+Tabla4[[#This Row],[Sub Total]]</f>
        <v>380800</v>
      </c>
    </row>
    <row r="513" spans="1:15" ht="30" x14ac:dyDescent="0.2">
      <c r="A513" s="6">
        <v>452</v>
      </c>
      <c r="B513" s="6" t="str">
        <f>VLOOKUP(Tabla4[[#This Row],[Codigo]],Tabla2[[Cod]:[Nombre ]],2,0)</f>
        <v>P-1441</v>
      </c>
      <c r="C513" s="53">
        <f>VLOOKUP(Tabla4[[#This Row],[Codigo]],Tabla2[[Cod]:[Nombre ]],3,0)</f>
        <v>45587</v>
      </c>
      <c r="D513" s="6" t="str">
        <f>VLOOKUP(Tabla4[[#This Row],[Codigo]],Tabla2[[Cod]:[Nombre ]],4,0)</f>
        <v>TIS-1430</v>
      </c>
      <c r="E513" s="5" t="str">
        <f>VLOOKUP(Tabla4[[#This Row],[Codigo]],Tabla2[[Cod]:[Nombre ]],8,0)</f>
        <v>STT Group sucursal colombia SA</v>
      </c>
      <c r="F513" s="5" t="str">
        <f>VLOOKUP(Tabla4[[#This Row],[Codigo]],Tabla2[[Cod]:[Nombre ]],6,0)</f>
        <v>OK</v>
      </c>
      <c r="G513" s="7" t="s">
        <v>282</v>
      </c>
      <c r="H513" s="21" t="s">
        <v>16</v>
      </c>
      <c r="I513" s="21" t="s">
        <v>645</v>
      </c>
      <c r="J513" s="163">
        <v>17</v>
      </c>
      <c r="K513" s="294">
        <v>40000</v>
      </c>
      <c r="L513" s="298"/>
      <c r="M513" s="292">
        <f>IF(LEFT(Tabla4[[#This Row],[Electronica]],2)="NC",-Tabla4[[#This Row],[Cantidad]]*Tabla4[[#This Row],[Precio]]+Tabla4[[#This Row],[Dto]],Tabla4[[#This Row],[Cantidad]]*Tabla4[[#This Row],[Precio]]-Tabla4[[#This Row],[Dto]])</f>
        <v>680000</v>
      </c>
      <c r="N513" s="292">
        <f>IFERROR(Tabla4[[#This Row],[Sub Total]]*VLOOKUP(Tabla4[[#This Row],[No]],Parametros!A:C,3,0),0)</f>
        <v>129200</v>
      </c>
      <c r="O513" s="292">
        <f>+Tabla4[[#This Row],[IVA]]+Tabla4[[#This Row],[Sub Total]]</f>
        <v>809200</v>
      </c>
    </row>
    <row r="514" spans="1:15" ht="30" x14ac:dyDescent="0.2">
      <c r="A514" s="6">
        <v>453</v>
      </c>
      <c r="B514" s="6" t="str">
        <f>VLOOKUP(Tabla4[[#This Row],[Codigo]],Tabla2[[Cod]:[Nombre ]],2,0)</f>
        <v>P-1442</v>
      </c>
      <c r="C514" s="53">
        <f>VLOOKUP(Tabla4[[#This Row],[Codigo]],Tabla2[[Cod]:[Nombre ]],3,0)</f>
        <v>45587</v>
      </c>
      <c r="D514" s="6" t="str">
        <f>VLOOKUP(Tabla4[[#This Row],[Codigo]],Tabla2[[Cod]:[Nombre ]],4,0)</f>
        <v>TIS-1431</v>
      </c>
      <c r="E514" s="5" t="str">
        <f>VLOOKUP(Tabla4[[#This Row],[Codigo]],Tabla2[[Cod]:[Nombre ]],8,0)</f>
        <v>STT Group sucursal colombia SA</v>
      </c>
      <c r="F514" s="5" t="str">
        <f>VLOOKUP(Tabla4[[#This Row],[Codigo]],Tabla2[[Cod]:[Nombre ]],6,0)</f>
        <v>OK</v>
      </c>
      <c r="G514" s="7" t="s">
        <v>282</v>
      </c>
      <c r="H514" s="21" t="s">
        <v>16</v>
      </c>
      <c r="I514" s="21" t="s">
        <v>645</v>
      </c>
      <c r="J514" s="163">
        <v>40</v>
      </c>
      <c r="K514" s="294">
        <v>40000</v>
      </c>
      <c r="L514" s="298"/>
      <c r="M514" s="292">
        <f>IF(LEFT(Tabla4[[#This Row],[Electronica]],2)="NC",-Tabla4[[#This Row],[Cantidad]]*Tabla4[[#This Row],[Precio]]+Tabla4[[#This Row],[Dto]],Tabla4[[#This Row],[Cantidad]]*Tabla4[[#This Row],[Precio]]-Tabla4[[#This Row],[Dto]])</f>
        <v>1600000</v>
      </c>
      <c r="N514" s="292">
        <f>IFERROR(Tabla4[[#This Row],[Sub Total]]*VLOOKUP(Tabla4[[#This Row],[No]],Parametros!A:C,3,0),0)</f>
        <v>304000</v>
      </c>
      <c r="O514" s="292">
        <f>+Tabla4[[#This Row],[IVA]]+Tabla4[[#This Row],[Sub Total]]</f>
        <v>1904000</v>
      </c>
    </row>
    <row r="515" spans="1:15" ht="60" x14ac:dyDescent="0.2">
      <c r="A515" s="6">
        <v>454</v>
      </c>
      <c r="B515" s="6" t="str">
        <f>VLOOKUP(Tabla4[[#This Row],[Codigo]],Tabla2[[Cod]:[Nombre ]],2,0)</f>
        <v>P-1443</v>
      </c>
      <c r="C515" s="53">
        <f>VLOOKUP(Tabla4[[#This Row],[Codigo]],Tabla2[[Cod]:[Nombre ]],3,0)</f>
        <v>45593</v>
      </c>
      <c r="D515" s="6" t="str">
        <f>VLOOKUP(Tabla4[[#This Row],[Codigo]],Tabla2[[Cod]:[Nombre ]],4,0)</f>
        <v>TIS-1432</v>
      </c>
      <c r="E515" s="5" t="str">
        <f>VLOOKUP(Tabla4[[#This Row],[Codigo]],Tabla2[[Cod]:[Nombre ]],8,0)</f>
        <v>MARCEGAGLIA COLOMBIA SAS</v>
      </c>
      <c r="F515" s="5" t="str">
        <f>VLOOKUP(Tabla4[[#This Row],[Codigo]],Tabla2[[Cod]:[Nombre ]],6,0)</f>
        <v>OK</v>
      </c>
      <c r="G515" s="7" t="s">
        <v>433</v>
      </c>
      <c r="H515" s="21" t="s">
        <v>517</v>
      </c>
      <c r="I515" s="21" t="s">
        <v>658</v>
      </c>
      <c r="J515" s="163">
        <v>1</v>
      </c>
      <c r="K515" s="294">
        <v>2408000</v>
      </c>
      <c r="L515" s="298"/>
      <c r="M515" s="292">
        <f>IF(LEFT(Tabla4[[#This Row],[Electronica]],2)="NC",-Tabla4[[#This Row],[Cantidad]]*Tabla4[[#This Row],[Precio]]+Tabla4[[#This Row],[Dto]],Tabla4[[#This Row],[Cantidad]]*Tabla4[[#This Row],[Precio]]-Tabla4[[#This Row],[Dto]])</f>
        <v>2408000</v>
      </c>
      <c r="N515" s="292">
        <f>IFERROR(Tabla4[[#This Row],[Sub Total]]*VLOOKUP(Tabla4[[#This Row],[No]],Parametros!A:C,3,0),0)</f>
        <v>457520</v>
      </c>
      <c r="O515" s="292">
        <f>+Tabla4[[#This Row],[IVA]]+Tabla4[[#This Row],[Sub Total]]</f>
        <v>2865520</v>
      </c>
    </row>
    <row r="516" spans="1:15" ht="60" x14ac:dyDescent="0.2">
      <c r="A516" s="6">
        <v>455</v>
      </c>
      <c r="B516" s="6" t="str">
        <f>VLOOKUP(Tabla4[[#This Row],[Codigo]],Tabla2[[Cod]:[Nombre ]],2,0)</f>
        <v>P-1444</v>
      </c>
      <c r="C516" s="53">
        <f>VLOOKUP(Tabla4[[#This Row],[Codigo]],Tabla2[[Cod]:[Nombre ]],3,0)</f>
        <v>45593</v>
      </c>
      <c r="D516" s="6" t="str">
        <f>VLOOKUP(Tabla4[[#This Row],[Codigo]],Tabla2[[Cod]:[Nombre ]],4,0)</f>
        <v>TIS-1433</v>
      </c>
      <c r="E516" s="5" t="str">
        <f>VLOOKUP(Tabla4[[#This Row],[Codigo]],Tabla2[[Cod]:[Nombre ]],8,0)</f>
        <v>TRANSPORTES ESPECIALES ALIADOS S.A.S</v>
      </c>
      <c r="F516" s="5" t="str">
        <f>VLOOKUP(Tabla4[[#This Row],[Codigo]],Tabla2[[Cod]:[Nombre ]],6,0)</f>
        <v>OK</v>
      </c>
      <c r="G516" s="7" t="s">
        <v>420</v>
      </c>
      <c r="H516" s="21" t="s">
        <v>551</v>
      </c>
      <c r="I516" s="21" t="s">
        <v>659</v>
      </c>
      <c r="J516" s="163">
        <v>1</v>
      </c>
      <c r="K516" s="294">
        <v>2400000</v>
      </c>
      <c r="L516" s="298"/>
      <c r="M516" s="292">
        <f>IF(LEFT(Tabla4[[#This Row],[Electronica]],2)="NC",-Tabla4[[#This Row],[Cantidad]]*Tabla4[[#This Row],[Precio]]+Tabla4[[#This Row],[Dto]],Tabla4[[#This Row],[Cantidad]]*Tabla4[[#This Row],[Precio]]-Tabla4[[#This Row],[Dto]])</f>
        <v>2400000</v>
      </c>
      <c r="N516" s="292">
        <f>IFERROR(Tabla4[[#This Row],[Sub Total]]*VLOOKUP(Tabla4[[#This Row],[No]],Parametros!A:C,3,0),0)</f>
        <v>456000</v>
      </c>
      <c r="O516" s="292">
        <f>+Tabla4[[#This Row],[IVA]]+Tabla4[[#This Row],[Sub Total]]</f>
        <v>2856000</v>
      </c>
    </row>
    <row r="517" spans="1:15" ht="24" x14ac:dyDescent="0.2">
      <c r="A517" s="6">
        <v>456</v>
      </c>
      <c r="B517" s="6" t="str">
        <f>VLOOKUP(Tabla4[[#This Row],[Codigo]],Tabla2[[Cod]:[Nombre ]],2,0)</f>
        <v>P-1445</v>
      </c>
      <c r="C517" s="53">
        <f>VLOOKUP(Tabla4[[#This Row],[Codigo]],Tabla2[[Cod]:[Nombre ]],3,0)</f>
        <v>45593</v>
      </c>
      <c r="D517" s="6" t="str">
        <f>VLOOKUP(Tabla4[[#This Row],[Codigo]],Tabla2[[Cod]:[Nombre ]],4,0)</f>
        <v>TIS-1434</v>
      </c>
      <c r="E517" s="5" t="str">
        <f>VLOOKUP(Tabla4[[#This Row],[Codigo]],Tabla2[[Cod]:[Nombre ]],8,0)</f>
        <v>MELOS Y MELOS SAS</v>
      </c>
      <c r="F517" s="5" t="str">
        <f>VLOOKUP(Tabla4[[#This Row],[Codigo]],Tabla2[[Cod]:[Nombre ]],6,0)</f>
        <v>OK</v>
      </c>
      <c r="G517" s="7" t="s">
        <v>282</v>
      </c>
      <c r="H517" s="21" t="s">
        <v>16</v>
      </c>
      <c r="I517" s="21" t="s">
        <v>645</v>
      </c>
      <c r="J517" s="163">
        <v>22</v>
      </c>
      <c r="K517" s="294">
        <v>35000</v>
      </c>
      <c r="L517" s="298"/>
      <c r="M517" s="292">
        <f>IF(LEFT(Tabla4[[#This Row],[Electronica]],2)="NC",-Tabla4[[#This Row],[Cantidad]]*Tabla4[[#This Row],[Precio]]+Tabla4[[#This Row],[Dto]],Tabla4[[#This Row],[Cantidad]]*Tabla4[[#This Row],[Precio]]-Tabla4[[#This Row],[Dto]])</f>
        <v>770000</v>
      </c>
      <c r="N517" s="292">
        <f>IFERROR(Tabla4[[#This Row],[Sub Total]]*VLOOKUP(Tabla4[[#This Row],[No]],Parametros!A:C,3,0),0)</f>
        <v>146300</v>
      </c>
      <c r="O517" s="292">
        <f>+Tabla4[[#This Row],[IVA]]+Tabla4[[#This Row],[Sub Total]]</f>
        <v>916300</v>
      </c>
    </row>
    <row r="518" spans="1:15" ht="48" x14ac:dyDescent="0.2">
      <c r="A518" s="6">
        <v>457</v>
      </c>
      <c r="B518" s="6" t="str">
        <f>VLOOKUP(Tabla4[[#This Row],[Codigo]],Tabla2[[Cod]:[Nombre ]],2,0)</f>
        <v>P-1446</v>
      </c>
      <c r="C518" s="53">
        <f>VLOOKUP(Tabla4[[#This Row],[Codigo]],Tabla2[[Cod]:[Nombre ]],3,0)</f>
        <v>45609</v>
      </c>
      <c r="D518" s="6" t="str">
        <f>VLOOKUP(Tabla4[[#This Row],[Codigo]],Tabla2[[Cod]:[Nombre ]],4,0)</f>
        <v>TIS-1435</v>
      </c>
      <c r="E518" s="5" t="str">
        <f>VLOOKUP(Tabla4[[#This Row],[Codigo]],Tabla2[[Cod]:[Nombre ]],8,0)</f>
        <v>FIDEICOMISOS SOCIEDAD FIDUCIARIA DE OCCIDENTE SA</v>
      </c>
      <c r="F518" s="5" t="str">
        <f>VLOOKUP(Tabla4[[#This Row],[Codigo]],Tabla2[[Cod]:[Nombre ]],6,0)</f>
        <v>OK</v>
      </c>
      <c r="G518" s="7">
        <v>16</v>
      </c>
      <c r="H518" s="21" t="s">
        <v>631</v>
      </c>
      <c r="I518" s="21" t="s">
        <v>660</v>
      </c>
      <c r="J518" s="163">
        <v>1</v>
      </c>
      <c r="K518" s="294">
        <v>7950000</v>
      </c>
      <c r="L518" s="298"/>
      <c r="M518" s="292">
        <f>IF(LEFT(Tabla4[[#This Row],[Electronica]],2)="NC",-Tabla4[[#This Row],[Cantidad]]*Tabla4[[#This Row],[Precio]]+Tabla4[[#This Row],[Dto]],Tabla4[[#This Row],[Cantidad]]*Tabla4[[#This Row],[Precio]]-Tabla4[[#This Row],[Dto]])</f>
        <v>7950000</v>
      </c>
      <c r="N518" s="292">
        <f>IFERROR(Tabla4[[#This Row],[Sub Total]]*VLOOKUP(Tabla4[[#This Row],[No]],Parametros!A:C,3,0),0)</f>
        <v>1510500</v>
      </c>
      <c r="O518" s="292">
        <f>+Tabla4[[#This Row],[IVA]]+Tabla4[[#This Row],[Sub Total]]</f>
        <v>9460500</v>
      </c>
    </row>
    <row r="519" spans="1:15" ht="36" x14ac:dyDescent="0.2">
      <c r="A519" s="6">
        <v>458</v>
      </c>
      <c r="B519" s="6" t="str">
        <f>VLOOKUP(Tabla4[[#This Row],[Codigo]],Tabla2[[Cod]:[Nombre ]],2,0)</f>
        <v>P-1447</v>
      </c>
      <c r="C519" s="53">
        <f>VLOOKUP(Tabla4[[#This Row],[Codigo]],Tabla2[[Cod]:[Nombre ]],3,0)</f>
        <v>45609</v>
      </c>
      <c r="D519" s="6" t="str">
        <f>VLOOKUP(Tabla4[[#This Row],[Codigo]],Tabla2[[Cod]:[Nombre ]],4,0)</f>
        <v>TIS-1436</v>
      </c>
      <c r="E519" s="5" t="str">
        <f>VLOOKUP(Tabla4[[#This Row],[Codigo]],Tabla2[[Cod]:[Nombre ]],8,0)</f>
        <v>ACTIVOS SAS</v>
      </c>
      <c r="F519" s="5" t="str">
        <f>VLOOKUP(Tabla4[[#This Row],[Codigo]],Tabla2[[Cod]:[Nombre ]],6,0)</f>
        <v>OK</v>
      </c>
      <c r="G519" s="7" t="s">
        <v>416</v>
      </c>
      <c r="H519" s="21" t="s">
        <v>519</v>
      </c>
      <c r="I519" s="21" t="s">
        <v>661</v>
      </c>
      <c r="J519" s="163">
        <v>1</v>
      </c>
      <c r="K519" s="294">
        <v>11200000</v>
      </c>
      <c r="L519" s="298"/>
      <c r="M519" s="292">
        <f>IF(LEFT(Tabla4[[#This Row],[Electronica]],2)="NC",-Tabla4[[#This Row],[Cantidad]]*Tabla4[[#This Row],[Precio]]+Tabla4[[#This Row],[Dto]],Tabla4[[#This Row],[Cantidad]]*Tabla4[[#This Row],[Precio]]-Tabla4[[#This Row],[Dto]])</f>
        <v>11200000</v>
      </c>
      <c r="N519" s="292">
        <f>IFERROR(Tabla4[[#This Row],[Sub Total]]*VLOOKUP(Tabla4[[#This Row],[No]],Parametros!A:C,3,0),0)</f>
        <v>2128000</v>
      </c>
      <c r="O519" s="292">
        <f>+Tabla4[[#This Row],[IVA]]+Tabla4[[#This Row],[Sub Total]]</f>
        <v>13328000</v>
      </c>
    </row>
    <row r="520" spans="1:15" ht="48" x14ac:dyDescent="0.2">
      <c r="A520" s="6">
        <v>459</v>
      </c>
      <c r="B520" s="6" t="str">
        <f>VLOOKUP(Tabla4[[#This Row],[Codigo]],Tabla2[[Cod]:[Nombre ]],2,0)</f>
        <v>P-1448</v>
      </c>
      <c r="C520" s="53">
        <f>VLOOKUP(Tabla4[[#This Row],[Codigo]],Tabla2[[Cod]:[Nombre ]],3,0)</f>
        <v>45609</v>
      </c>
      <c r="D520" s="6" t="str">
        <f>VLOOKUP(Tabla4[[#This Row],[Codigo]],Tabla2[[Cod]:[Nombre ]],4,0)</f>
        <v>TIS-1437</v>
      </c>
      <c r="E520" s="5" t="str">
        <f>VLOOKUP(Tabla4[[#This Row],[Codigo]],Tabla2[[Cod]:[Nombre ]],8,0)</f>
        <v>ACTIVOS SAS</v>
      </c>
      <c r="F520" s="5" t="str">
        <f>VLOOKUP(Tabla4[[#This Row],[Codigo]],Tabla2[[Cod]:[Nombre ]],6,0)</f>
        <v>OK</v>
      </c>
      <c r="G520" s="7" t="s">
        <v>415</v>
      </c>
      <c r="H520" s="21" t="s">
        <v>605</v>
      </c>
      <c r="I520" s="21" t="s">
        <v>662</v>
      </c>
      <c r="J520" s="163">
        <v>4</v>
      </c>
      <c r="K520" s="294">
        <v>250000</v>
      </c>
      <c r="L520" s="298"/>
      <c r="M520" s="292">
        <f>IF(LEFT(Tabla4[[#This Row],[Electronica]],2)="NC",-Tabla4[[#This Row],[Cantidad]]*Tabla4[[#This Row],[Precio]]+Tabla4[[#This Row],[Dto]],Tabla4[[#This Row],[Cantidad]]*Tabla4[[#This Row],[Precio]]-Tabla4[[#This Row],[Dto]])</f>
        <v>1000000</v>
      </c>
      <c r="N520" s="292">
        <f>IFERROR(Tabla4[[#This Row],[Sub Total]]*VLOOKUP(Tabla4[[#This Row],[No]],Parametros!A:C,3,0),0)</f>
        <v>190000</v>
      </c>
      <c r="O520" s="292">
        <f>+Tabla4[[#This Row],[IVA]]+Tabla4[[#This Row],[Sub Total]]</f>
        <v>1190000</v>
      </c>
    </row>
    <row r="521" spans="1:15" ht="36" x14ac:dyDescent="0.2">
      <c r="A521" s="6">
        <v>460</v>
      </c>
      <c r="B521" s="6" t="str">
        <f>VLOOKUP(Tabla4[[#This Row],[Codigo]],Tabla2[[Cod]:[Nombre ]],2,0)</f>
        <v>P-1449</v>
      </c>
      <c r="C521" s="53">
        <f>VLOOKUP(Tabla4[[#This Row],[Codigo]],Tabla2[[Cod]:[Nombre ]],3,0)</f>
        <v>45559</v>
      </c>
      <c r="D521" s="6" t="str">
        <f>VLOOKUP(Tabla4[[#This Row],[Codigo]],Tabla2[[Cod]:[Nombre ]],4,0)</f>
        <v>TIS-1419</v>
      </c>
      <c r="E521" s="5" t="str">
        <f>VLOOKUP(Tabla4[[#This Row],[Codigo]],Tabla2[[Cod]:[Nombre ]],8,0)</f>
        <v>CUATRECASAS GONALVES PEREIRA SAS</v>
      </c>
      <c r="F521" s="5" t="str">
        <f>VLOOKUP(Tabla4[[#This Row],[Codigo]],Tabla2[[Cod]:[Nombre ]],6,0)</f>
        <v>OK</v>
      </c>
      <c r="G521" s="7" t="s">
        <v>416</v>
      </c>
      <c r="H521" s="21" t="s">
        <v>519</v>
      </c>
      <c r="I521" s="21" t="s">
        <v>663</v>
      </c>
      <c r="J521" s="163">
        <v>1</v>
      </c>
      <c r="K521" s="294">
        <v>250000</v>
      </c>
      <c r="L521" s="298"/>
      <c r="M521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521" s="292">
        <f>IFERROR(Tabla4[[#This Row],[Sub Total]]*VLOOKUP(Tabla4[[#This Row],[No]],Parametros!A:C,3,0),0)</f>
        <v>47500</v>
      </c>
      <c r="O521" s="292">
        <f>+Tabla4[[#This Row],[IVA]]+Tabla4[[#This Row],[Sub Total]]</f>
        <v>297500</v>
      </c>
    </row>
    <row r="522" spans="1:15" ht="72" x14ac:dyDescent="0.2">
      <c r="A522" s="6">
        <v>461</v>
      </c>
      <c r="B522" s="6" t="str">
        <f>VLOOKUP(Tabla4[[#This Row],[Codigo]],Tabla2[[Cod]:[Nombre ]],2,0)</f>
        <v>P-1450</v>
      </c>
      <c r="C522" s="53">
        <f>VLOOKUP(Tabla4[[#This Row],[Codigo]],Tabla2[[Cod]:[Nombre ]],3,0)</f>
        <v>45621</v>
      </c>
      <c r="D522" s="6" t="str">
        <f>VLOOKUP(Tabla4[[#This Row],[Codigo]],Tabla2[[Cod]:[Nombre ]],4,0)</f>
        <v>TIS-1438</v>
      </c>
      <c r="E522" s="5" t="str">
        <f>VLOOKUP(Tabla4[[#This Row],[Codigo]],Tabla2[[Cod]:[Nombre ]],8,0)</f>
        <v>CUATRECASAS GONALVES PEREIRA SAS</v>
      </c>
      <c r="F522" s="5" t="str">
        <f>VLOOKUP(Tabla4[[#This Row],[Codigo]],Tabla2[[Cod]:[Nombre ]],6,0)</f>
        <v>OK</v>
      </c>
      <c r="G522" s="7" t="s">
        <v>416</v>
      </c>
      <c r="H522" s="21" t="s">
        <v>519</v>
      </c>
      <c r="I522" s="21" t="s">
        <v>664</v>
      </c>
      <c r="J522" s="163">
        <v>1</v>
      </c>
      <c r="K522" s="294">
        <v>250000</v>
      </c>
      <c r="L522" s="298"/>
      <c r="M522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522" s="292">
        <f>IFERROR(Tabla4[[#This Row],[Sub Total]]*VLOOKUP(Tabla4[[#This Row],[No]],Parametros!A:C,3,0),0)</f>
        <v>47500</v>
      </c>
      <c r="O522" s="292">
        <f>+Tabla4[[#This Row],[IVA]]+Tabla4[[#This Row],[Sub Total]]</f>
        <v>297500</v>
      </c>
    </row>
    <row r="523" spans="1:15" ht="30" x14ac:dyDescent="0.2">
      <c r="A523" s="6">
        <v>462</v>
      </c>
      <c r="B523" s="6" t="str">
        <f>VLOOKUP(Tabla4[[#This Row],[Codigo]],Tabla2[[Cod]:[Nombre ]],2,0)</f>
        <v>P-1451</v>
      </c>
      <c r="C523" s="53">
        <f>VLOOKUP(Tabla4[[#This Row],[Codigo]],Tabla2[[Cod]:[Nombre ]],3,0)</f>
        <v>45621</v>
      </c>
      <c r="D523" s="6" t="str">
        <f>VLOOKUP(Tabla4[[#This Row],[Codigo]],Tabla2[[Cod]:[Nombre ]],4,0)</f>
        <v>TIS-1439</v>
      </c>
      <c r="E523" s="5" t="str">
        <f>VLOOKUP(Tabla4[[#This Row],[Codigo]],Tabla2[[Cod]:[Nombre ]],8,0)</f>
        <v>QUALITY WATER SERVICE COLOMBIA SAS</v>
      </c>
      <c r="F523" s="5" t="str">
        <f>VLOOKUP(Tabla4[[#This Row],[Codigo]],Tabla2[[Cod]:[Nombre ]],6,0)</f>
        <v>OK</v>
      </c>
      <c r="G523" s="7" t="s">
        <v>282</v>
      </c>
      <c r="H523" s="21" t="s">
        <v>16</v>
      </c>
      <c r="I523" s="21" t="s">
        <v>645</v>
      </c>
      <c r="J523" s="163">
        <v>145</v>
      </c>
      <c r="K523" s="294">
        <v>40000</v>
      </c>
      <c r="L523" s="298"/>
      <c r="M523" s="292">
        <f>IF(LEFT(Tabla4[[#This Row],[Electronica]],2)="NC",-Tabla4[[#This Row],[Cantidad]]*Tabla4[[#This Row],[Precio]]+Tabla4[[#This Row],[Dto]],Tabla4[[#This Row],[Cantidad]]*Tabla4[[#This Row],[Precio]]-Tabla4[[#This Row],[Dto]])</f>
        <v>5800000</v>
      </c>
      <c r="N523" s="292">
        <f>IFERROR(Tabla4[[#This Row],[Sub Total]]*VLOOKUP(Tabla4[[#This Row],[No]],Parametros!A:C,3,0),0)</f>
        <v>1102000</v>
      </c>
      <c r="O523" s="292">
        <f>+Tabla4[[#This Row],[IVA]]+Tabla4[[#This Row],[Sub Total]]</f>
        <v>6902000</v>
      </c>
    </row>
    <row r="524" spans="1:15" ht="36" x14ac:dyDescent="0.2">
      <c r="A524" s="6">
        <v>463</v>
      </c>
      <c r="B524" s="6" t="str">
        <f>VLOOKUP(Tabla4[[#This Row],[Codigo]],Tabla2[[Cod]:[Nombre ]],2,0)</f>
        <v>P-1452</v>
      </c>
      <c r="C524" s="53">
        <f>VLOOKUP(Tabla4[[#This Row],[Codigo]],Tabla2[[Cod]:[Nombre ]],3,0)</f>
        <v>45621</v>
      </c>
      <c r="D524" s="6" t="str">
        <f>VLOOKUP(Tabla4[[#This Row],[Codigo]],Tabla2[[Cod]:[Nombre ]],4,0)</f>
        <v>TIS-1440</v>
      </c>
      <c r="E524" s="5" t="str">
        <f>VLOOKUP(Tabla4[[#This Row],[Codigo]],Tabla2[[Cod]:[Nombre ]],8,0)</f>
        <v>Comercializadora ERZ SAS</v>
      </c>
      <c r="F524" s="5" t="str">
        <f>VLOOKUP(Tabla4[[#This Row],[Codigo]],Tabla2[[Cod]:[Nombre ]],6,0)</f>
        <v>OK</v>
      </c>
      <c r="G524" s="7" t="s">
        <v>416</v>
      </c>
      <c r="H524" s="21" t="s">
        <v>519</v>
      </c>
      <c r="I524" s="21" t="s">
        <v>665</v>
      </c>
      <c r="J524" s="163">
        <v>1</v>
      </c>
      <c r="K524" s="294">
        <v>260000</v>
      </c>
      <c r="L524" s="298"/>
      <c r="M524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524" s="292">
        <f>IFERROR(Tabla4[[#This Row],[Sub Total]]*VLOOKUP(Tabla4[[#This Row],[No]],Parametros!A:C,3,0),0)</f>
        <v>49400</v>
      </c>
      <c r="O524" s="292">
        <f>+Tabla4[[#This Row],[IVA]]+Tabla4[[#This Row],[Sub Total]]</f>
        <v>309400</v>
      </c>
    </row>
    <row r="525" spans="1:15" ht="36" x14ac:dyDescent="0.2">
      <c r="A525" s="6">
        <v>464</v>
      </c>
      <c r="B525" s="6" t="str">
        <f>VLOOKUP(Tabla4[[#This Row],[Codigo]],Tabla2[[Cod]:[Nombre ]],2,0)</f>
        <v>P-1453</v>
      </c>
      <c r="C525" s="53">
        <f>VLOOKUP(Tabla4[[#This Row],[Codigo]],Tabla2[[Cod]:[Nombre ]],3,0)</f>
        <v>45621</v>
      </c>
      <c r="D525" s="6" t="str">
        <f>VLOOKUP(Tabla4[[#This Row],[Codigo]],Tabla2[[Cod]:[Nombre ]],4,0)</f>
        <v>TIS-1441</v>
      </c>
      <c r="E525" s="5" t="str">
        <f>VLOOKUP(Tabla4[[#This Row],[Codigo]],Tabla2[[Cod]:[Nombre ]],8,0)</f>
        <v>ROYCO SOLUCIONES SAS</v>
      </c>
      <c r="F525" s="5" t="str">
        <f>VLOOKUP(Tabla4[[#This Row],[Codigo]],Tabla2[[Cod]:[Nombre ]],6,0)</f>
        <v>OK</v>
      </c>
      <c r="G525" s="7" t="s">
        <v>416</v>
      </c>
      <c r="H525" s="21" t="s">
        <v>519</v>
      </c>
      <c r="I525" s="21" t="s">
        <v>665</v>
      </c>
      <c r="J525" s="163">
        <v>1</v>
      </c>
      <c r="K525" s="294">
        <v>175000</v>
      </c>
      <c r="L525" s="298"/>
      <c r="M525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525" s="292">
        <f>IFERROR(Tabla4[[#This Row],[Sub Total]]*VLOOKUP(Tabla4[[#This Row],[No]],Parametros!A:C,3,0),0)</f>
        <v>33250</v>
      </c>
      <c r="O525" s="292">
        <f>+Tabla4[[#This Row],[IVA]]+Tabla4[[#This Row],[Sub Total]]</f>
        <v>208250</v>
      </c>
    </row>
    <row r="526" spans="1:15" ht="36" x14ac:dyDescent="0.2">
      <c r="A526" s="6">
        <v>465</v>
      </c>
      <c r="B526" s="6" t="str">
        <f>VLOOKUP(Tabla4[[#This Row],[Codigo]],Tabla2[[Cod]:[Nombre ]],2,0)</f>
        <v>P-1454</v>
      </c>
      <c r="C526" s="53">
        <f>VLOOKUP(Tabla4[[#This Row],[Codigo]],Tabla2[[Cod]:[Nombre ]],3,0)</f>
        <v>45621</v>
      </c>
      <c r="D526" s="6" t="str">
        <f>VLOOKUP(Tabla4[[#This Row],[Codigo]],Tabla2[[Cod]:[Nombre ]],4,0)</f>
        <v>TIS-1442</v>
      </c>
      <c r="E526" s="5" t="str">
        <f>VLOOKUP(Tabla4[[#This Row],[Codigo]],Tabla2[[Cod]:[Nombre ]],8,0)</f>
        <v>STAFF SEGUROS AGENCIA LTDA</v>
      </c>
      <c r="F526" s="5" t="str">
        <f>VLOOKUP(Tabla4[[#This Row],[Codigo]],Tabla2[[Cod]:[Nombre ]],6,0)</f>
        <v>OK</v>
      </c>
      <c r="G526" s="7" t="s">
        <v>416</v>
      </c>
      <c r="H526" s="21" t="s">
        <v>519</v>
      </c>
      <c r="I526" s="21" t="s">
        <v>665</v>
      </c>
      <c r="J526" s="163">
        <v>1</v>
      </c>
      <c r="K526" s="294">
        <v>300000</v>
      </c>
      <c r="L526" s="298"/>
      <c r="M52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26" s="292">
        <f>IFERROR(Tabla4[[#This Row],[Sub Total]]*VLOOKUP(Tabla4[[#This Row],[No]],Parametros!A:C,3,0),0)</f>
        <v>57000</v>
      </c>
      <c r="O526" s="292">
        <f>+Tabla4[[#This Row],[IVA]]+Tabla4[[#This Row],[Sub Total]]</f>
        <v>357000</v>
      </c>
    </row>
    <row r="527" spans="1:15" ht="45" x14ac:dyDescent="0.2">
      <c r="A527" s="6">
        <v>466</v>
      </c>
      <c r="B527" s="6" t="str">
        <f>VLOOKUP(Tabla4[[#This Row],[Codigo]],Tabla2[[Cod]:[Nombre ]],2,0)</f>
        <v>P-1455</v>
      </c>
      <c r="C527" s="53">
        <f>VLOOKUP(Tabla4[[#This Row],[Codigo]],Tabla2[[Cod]:[Nombre ]],3,0)</f>
        <v>45621</v>
      </c>
      <c r="D527" s="6" t="str">
        <f>VLOOKUP(Tabla4[[#This Row],[Codigo]],Tabla2[[Cod]:[Nombre ]],4,0)</f>
        <v>TIS-1443</v>
      </c>
      <c r="E527" s="5" t="str">
        <f>VLOOKUP(Tabla4[[#This Row],[Codigo]],Tabla2[[Cod]:[Nombre ]],8,0)</f>
        <v>DIGITAL MEDIA TECHNOLOGIES COLOMBIA SAS</v>
      </c>
      <c r="F527" s="5" t="str">
        <f>VLOOKUP(Tabla4[[#This Row],[Codigo]],Tabla2[[Cod]:[Nombre ]],6,0)</f>
        <v>OK</v>
      </c>
      <c r="G527" s="7" t="s">
        <v>416</v>
      </c>
      <c r="H527" s="21" t="s">
        <v>519</v>
      </c>
      <c r="I527" s="21" t="s">
        <v>665</v>
      </c>
      <c r="J527" s="163">
        <v>1</v>
      </c>
      <c r="K527" s="294">
        <v>300000</v>
      </c>
      <c r="L527" s="298"/>
      <c r="M527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27" s="292">
        <f>IFERROR(Tabla4[[#This Row],[Sub Total]]*VLOOKUP(Tabla4[[#This Row],[No]],Parametros!A:C,3,0),0)</f>
        <v>57000</v>
      </c>
      <c r="O527" s="292">
        <f>+Tabla4[[#This Row],[IVA]]+Tabla4[[#This Row],[Sub Total]]</f>
        <v>357000</v>
      </c>
    </row>
    <row r="528" spans="1:15" ht="36" x14ac:dyDescent="0.2">
      <c r="A528" s="6">
        <v>467</v>
      </c>
      <c r="B528" s="6" t="str">
        <f>VLOOKUP(Tabla4[[#This Row],[Codigo]],Tabla2[[Cod]:[Nombre ]],2,0)</f>
        <v>P-1456</v>
      </c>
      <c r="C528" s="53">
        <f>VLOOKUP(Tabla4[[#This Row],[Codigo]],Tabla2[[Cod]:[Nombre ]],3,0)</f>
        <v>45621</v>
      </c>
      <c r="D528" s="6" t="str">
        <f>VLOOKUP(Tabla4[[#This Row],[Codigo]],Tabla2[[Cod]:[Nombre ]],4,0)</f>
        <v>TIS-1444</v>
      </c>
      <c r="E528" s="5" t="str">
        <f>VLOOKUP(Tabla4[[#This Row],[Codigo]],Tabla2[[Cod]:[Nombre ]],8,0)</f>
        <v>GENUINE TECH SAS</v>
      </c>
      <c r="F528" s="5" t="str">
        <f>VLOOKUP(Tabla4[[#This Row],[Codigo]],Tabla2[[Cod]:[Nombre ]],6,0)</f>
        <v>OK</v>
      </c>
      <c r="G528" s="7" t="s">
        <v>416</v>
      </c>
      <c r="H528" s="21" t="s">
        <v>519</v>
      </c>
      <c r="I528" s="21" t="s">
        <v>665</v>
      </c>
      <c r="J528" s="163">
        <v>1</v>
      </c>
      <c r="K528" s="294">
        <v>545454</v>
      </c>
      <c r="L528" s="298"/>
      <c r="M528" s="292">
        <f>IF(LEFT(Tabla4[[#This Row],[Electronica]],2)="NC",-Tabla4[[#This Row],[Cantidad]]*Tabla4[[#This Row],[Precio]]+Tabla4[[#This Row],[Dto]],Tabla4[[#This Row],[Cantidad]]*Tabla4[[#This Row],[Precio]]-Tabla4[[#This Row],[Dto]])</f>
        <v>545454</v>
      </c>
      <c r="N528" s="292">
        <f>IFERROR(Tabla4[[#This Row],[Sub Total]]*VLOOKUP(Tabla4[[#This Row],[No]],Parametros!A:C,3,0),0)</f>
        <v>103636.26</v>
      </c>
      <c r="O528" s="292">
        <f>+Tabla4[[#This Row],[IVA]]+Tabla4[[#This Row],[Sub Total]]</f>
        <v>649090.26</v>
      </c>
    </row>
    <row r="529" spans="1:15" ht="36" x14ac:dyDescent="0.2">
      <c r="A529" s="6">
        <v>468</v>
      </c>
      <c r="B529" s="6" t="str">
        <f>VLOOKUP(Tabla4[[#This Row],[Codigo]],Tabla2[[Cod]:[Nombre ]],2,0)</f>
        <v>P-1457</v>
      </c>
      <c r="C529" s="53">
        <f>VLOOKUP(Tabla4[[#This Row],[Codigo]],Tabla2[[Cod]:[Nombre ]],3,0)</f>
        <v>45621</v>
      </c>
      <c r="D529" s="6" t="str">
        <f>VLOOKUP(Tabla4[[#This Row],[Codigo]],Tabla2[[Cod]:[Nombre ]],4,0)</f>
        <v>TIS-1445</v>
      </c>
      <c r="E529" s="5" t="str">
        <f>VLOOKUP(Tabla4[[#This Row],[Codigo]],Tabla2[[Cod]:[Nombre ]],8,0)</f>
        <v>Inversiones Sajamib SAS</v>
      </c>
      <c r="F529" s="5" t="str">
        <f>VLOOKUP(Tabla4[[#This Row],[Codigo]],Tabla2[[Cod]:[Nombre ]],6,0)</f>
        <v>OK</v>
      </c>
      <c r="G529" s="7" t="s">
        <v>417</v>
      </c>
      <c r="H529" s="21" t="s">
        <v>525</v>
      </c>
      <c r="I529" s="21" t="s">
        <v>665</v>
      </c>
      <c r="J529" s="163">
        <v>1</v>
      </c>
      <c r="K529" s="294">
        <v>480000</v>
      </c>
      <c r="L529" s="298"/>
      <c r="M529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529" s="292">
        <f>IFERROR(Tabla4[[#This Row],[Sub Total]]*VLOOKUP(Tabla4[[#This Row],[No]],Parametros!A:C,3,0),0)</f>
        <v>0</v>
      </c>
      <c r="O529" s="292">
        <f>+Tabla4[[#This Row],[IVA]]+Tabla4[[#This Row],[Sub Total]]</f>
        <v>480000</v>
      </c>
    </row>
    <row r="530" spans="1:15" ht="36" x14ac:dyDescent="0.2">
      <c r="A530" s="6">
        <v>469</v>
      </c>
      <c r="B530" s="6" t="str">
        <f>VLOOKUP(Tabla4[[#This Row],[Codigo]],Tabla2[[Cod]:[Nombre ]],2,0)</f>
        <v>P-1458</v>
      </c>
      <c r="C530" s="53">
        <f>VLOOKUP(Tabla4[[#This Row],[Codigo]],Tabla2[[Cod]:[Nombre ]],3,0)</f>
        <v>45621</v>
      </c>
      <c r="D530" s="6" t="str">
        <f>VLOOKUP(Tabla4[[#This Row],[Codigo]],Tabla2[[Cod]:[Nombre ]],4,0)</f>
        <v>TIS-1446</v>
      </c>
      <c r="E530" s="5" t="str">
        <f>VLOOKUP(Tabla4[[#This Row],[Codigo]],Tabla2[[Cod]:[Nombre ]],8,0)</f>
        <v>ALVEAR ESCOBAR ASOCIADOS S.A.S</v>
      </c>
      <c r="F530" s="5" t="str">
        <f>VLOOKUP(Tabla4[[#This Row],[Codigo]],Tabla2[[Cod]:[Nombre ]],6,0)</f>
        <v>OK</v>
      </c>
      <c r="G530" s="7" t="s">
        <v>416</v>
      </c>
      <c r="H530" s="21" t="s">
        <v>519</v>
      </c>
      <c r="I530" s="21" t="s">
        <v>666</v>
      </c>
      <c r="J530" s="163">
        <v>1</v>
      </c>
      <c r="K530" s="294">
        <v>190350</v>
      </c>
      <c r="L530" s="298"/>
      <c r="M530" s="292">
        <f>IF(LEFT(Tabla4[[#This Row],[Electronica]],2)="NC",-Tabla4[[#This Row],[Cantidad]]*Tabla4[[#This Row],[Precio]]+Tabla4[[#This Row],[Dto]],Tabla4[[#This Row],[Cantidad]]*Tabla4[[#This Row],[Precio]]-Tabla4[[#This Row],[Dto]])</f>
        <v>190350</v>
      </c>
      <c r="N530" s="292">
        <f>IFERROR(Tabla4[[#This Row],[Sub Total]]*VLOOKUP(Tabla4[[#This Row],[No]],Parametros!A:C,3,0),0)</f>
        <v>36166.5</v>
      </c>
      <c r="O530" s="292">
        <f>+Tabla4[[#This Row],[IVA]]+Tabla4[[#This Row],[Sub Total]]</f>
        <v>226516.5</v>
      </c>
    </row>
    <row r="531" spans="1:15" ht="36" x14ac:dyDescent="0.2">
      <c r="A531" s="6">
        <v>470</v>
      </c>
      <c r="B531" s="6" t="str">
        <f>VLOOKUP(Tabla4[[#This Row],[Codigo]],Tabla2[[Cod]:[Nombre ]],2,0)</f>
        <v>P-1459</v>
      </c>
      <c r="C531" s="53">
        <f>VLOOKUP(Tabla4[[#This Row],[Codigo]],Tabla2[[Cod]:[Nombre ]],3,0)</f>
        <v>45632</v>
      </c>
      <c r="D531" s="6" t="str">
        <f>VLOOKUP(Tabla4[[#This Row],[Codigo]],Tabla2[[Cod]:[Nombre ]],4,0)</f>
        <v>TIS-1447</v>
      </c>
      <c r="E531" s="5" t="str">
        <f>VLOOKUP(Tabla4[[#This Row],[Codigo]],Tabla2[[Cod]:[Nombre ]],8,0)</f>
        <v>COMPAÑIA DE SEGUROS BOLIVAR S A</v>
      </c>
      <c r="F531" s="5" t="str">
        <f>VLOOKUP(Tabla4[[#This Row],[Codigo]],Tabla2[[Cod]:[Nombre ]],6,0)</f>
        <v>Anulado</v>
      </c>
      <c r="G531" s="7" t="s">
        <v>416</v>
      </c>
      <c r="H531" s="21" t="s">
        <v>519</v>
      </c>
      <c r="I531" s="21" t="s">
        <v>667</v>
      </c>
      <c r="J531" s="163">
        <v>1</v>
      </c>
      <c r="K531" s="294">
        <v>1280000</v>
      </c>
      <c r="L531" s="298"/>
      <c r="M531" s="292">
        <f>IF(LEFT(Tabla4[[#This Row],[Electronica]],2)="NC",-Tabla4[[#This Row],[Cantidad]]*Tabla4[[#This Row],[Precio]]+Tabla4[[#This Row],[Dto]],Tabla4[[#This Row],[Cantidad]]*Tabla4[[#This Row],[Precio]]-Tabla4[[#This Row],[Dto]])</f>
        <v>1280000</v>
      </c>
      <c r="N531" s="292">
        <f>IFERROR(Tabla4[[#This Row],[Sub Total]]*VLOOKUP(Tabla4[[#This Row],[No]],Parametros!A:C,3,0),0)</f>
        <v>243200</v>
      </c>
      <c r="O531" s="292">
        <f>+Tabla4[[#This Row],[IVA]]+Tabla4[[#This Row],[Sub Total]]</f>
        <v>1523200</v>
      </c>
    </row>
    <row r="532" spans="1:15" ht="36" x14ac:dyDescent="0.2">
      <c r="A532" s="6">
        <v>471</v>
      </c>
      <c r="B532" s="6" t="str">
        <f>VLOOKUP(Tabla4[[#This Row],[Codigo]],Tabla2[[Cod]:[Nombre ]],2,0)</f>
        <v>P-1460</v>
      </c>
      <c r="C532" s="53">
        <f>VLOOKUP(Tabla4[[#This Row],[Codigo]],Tabla2[[Cod]:[Nombre ]],3,0)</f>
        <v>45633</v>
      </c>
      <c r="D532" s="6" t="str">
        <f>VLOOKUP(Tabla4[[#This Row],[Codigo]],Tabla2[[Cod]:[Nombre ]],4,0)</f>
        <v>TIS-1448</v>
      </c>
      <c r="E532" s="5" t="str">
        <f>VLOOKUP(Tabla4[[#This Row],[Codigo]],Tabla2[[Cod]:[Nombre ]],8,0)</f>
        <v>COMPAÑIA DE SEGUROS BOLIVAR S A</v>
      </c>
      <c r="F532" s="5" t="str">
        <f>VLOOKUP(Tabla4[[#This Row],[Codigo]],Tabla2[[Cod]:[Nombre ]],6,0)</f>
        <v>Anulado</v>
      </c>
      <c r="G532" s="7" t="s">
        <v>416</v>
      </c>
      <c r="H532" s="21" t="s">
        <v>519</v>
      </c>
      <c r="I532" s="21" t="s">
        <v>668</v>
      </c>
      <c r="J532" s="163">
        <v>1</v>
      </c>
      <c r="K532" s="294">
        <v>8330523</v>
      </c>
      <c r="L532" s="298"/>
      <c r="M532" s="292">
        <f>IF(LEFT(Tabla4[[#This Row],[Electronica]],2)="NC",-Tabla4[[#This Row],[Cantidad]]*Tabla4[[#This Row],[Precio]]+Tabla4[[#This Row],[Dto]],Tabla4[[#This Row],[Cantidad]]*Tabla4[[#This Row],[Precio]]-Tabla4[[#This Row],[Dto]])</f>
        <v>8330523</v>
      </c>
      <c r="N532" s="292">
        <f>IFERROR(Tabla4[[#This Row],[Sub Total]]*VLOOKUP(Tabla4[[#This Row],[No]],Parametros!A:C,3,0),0)</f>
        <v>1582799.37</v>
      </c>
      <c r="O532" s="292">
        <f>+Tabla4[[#This Row],[IVA]]+Tabla4[[#This Row],[Sub Total]]</f>
        <v>9913322.370000001</v>
      </c>
    </row>
    <row r="533" spans="1:15" ht="36" x14ac:dyDescent="0.2">
      <c r="A533" s="6">
        <v>472</v>
      </c>
      <c r="B533" s="6" t="str">
        <f>VLOOKUP(Tabla4[[#This Row],[Codigo]],Tabla2[[Cod]:[Nombre ]],2,0)</f>
        <v>P-1461</v>
      </c>
      <c r="C533" s="53">
        <f>VLOOKUP(Tabla4[[#This Row],[Codigo]],Tabla2[[Cod]:[Nombre ]],3,0)</f>
        <v>45635</v>
      </c>
      <c r="D533" s="6" t="str">
        <f>VLOOKUP(Tabla4[[#This Row],[Codigo]],Tabla2[[Cod]:[Nombre ]],4,0)</f>
        <v>TIS-1449</v>
      </c>
      <c r="E533" s="5" t="str">
        <f>VLOOKUP(Tabla4[[#This Row],[Codigo]],Tabla2[[Cod]:[Nombre ]],8,0)</f>
        <v>Comercializadora ERZ SAS</v>
      </c>
      <c r="F533" s="5" t="str">
        <f>VLOOKUP(Tabla4[[#This Row],[Codigo]],Tabla2[[Cod]:[Nombre ]],6,0)</f>
        <v>OK</v>
      </c>
      <c r="G533" s="7" t="s">
        <v>416</v>
      </c>
      <c r="H533" s="21" t="s">
        <v>519</v>
      </c>
      <c r="I533" s="21" t="s">
        <v>669</v>
      </c>
      <c r="J533" s="163">
        <v>1</v>
      </c>
      <c r="K533" s="294">
        <v>260000</v>
      </c>
      <c r="L533" s="298"/>
      <c r="M533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533" s="292">
        <f>IFERROR(Tabla4[[#This Row],[Sub Total]]*VLOOKUP(Tabla4[[#This Row],[No]],Parametros!A:C,3,0),0)</f>
        <v>49400</v>
      </c>
      <c r="O533" s="292">
        <f>+Tabla4[[#This Row],[IVA]]+Tabla4[[#This Row],[Sub Total]]</f>
        <v>309400</v>
      </c>
    </row>
    <row r="534" spans="1:15" ht="36" x14ac:dyDescent="0.2">
      <c r="A534" s="6">
        <v>473</v>
      </c>
      <c r="B534" s="6" t="str">
        <f>VLOOKUP(Tabla4[[#This Row],[Codigo]],Tabla2[[Cod]:[Nombre ]],2,0)</f>
        <v>P-1462</v>
      </c>
      <c r="C534" s="53">
        <f>VLOOKUP(Tabla4[[#This Row],[Codigo]],Tabla2[[Cod]:[Nombre ]],3,0)</f>
        <v>45635</v>
      </c>
      <c r="D534" s="6" t="str">
        <f>VLOOKUP(Tabla4[[#This Row],[Codigo]],Tabla2[[Cod]:[Nombre ]],4,0)</f>
        <v>TIS-1450</v>
      </c>
      <c r="E534" s="5" t="str">
        <f>VLOOKUP(Tabla4[[#This Row],[Codigo]],Tabla2[[Cod]:[Nombre ]],8,0)</f>
        <v>ROYCO SOLUCIONES SAS</v>
      </c>
      <c r="F534" s="5" t="str">
        <f>VLOOKUP(Tabla4[[#This Row],[Codigo]],Tabla2[[Cod]:[Nombre ]],6,0)</f>
        <v>OK</v>
      </c>
      <c r="G534" s="7" t="s">
        <v>416</v>
      </c>
      <c r="H534" s="21" t="s">
        <v>519</v>
      </c>
      <c r="I534" s="21" t="s">
        <v>669</v>
      </c>
      <c r="J534" s="163">
        <v>1</v>
      </c>
      <c r="K534" s="294">
        <v>175000</v>
      </c>
      <c r="L534" s="298"/>
      <c r="M534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534" s="292">
        <f>IFERROR(Tabla4[[#This Row],[Sub Total]]*VLOOKUP(Tabla4[[#This Row],[No]],Parametros!A:C,3,0),0)</f>
        <v>33250</v>
      </c>
      <c r="O534" s="292">
        <f>+Tabla4[[#This Row],[IVA]]+Tabla4[[#This Row],[Sub Total]]</f>
        <v>208250</v>
      </c>
    </row>
    <row r="535" spans="1:15" ht="36" x14ac:dyDescent="0.2">
      <c r="A535" s="6">
        <v>474</v>
      </c>
      <c r="B535" s="6" t="str">
        <f>VLOOKUP(Tabla4[[#This Row],[Codigo]],Tabla2[[Cod]:[Nombre ]],2,0)</f>
        <v>P-1463</v>
      </c>
      <c r="C535" s="53">
        <f>VLOOKUP(Tabla4[[#This Row],[Codigo]],Tabla2[[Cod]:[Nombre ]],3,0)</f>
        <v>45635</v>
      </c>
      <c r="D535" s="6" t="str">
        <f>VLOOKUP(Tabla4[[#This Row],[Codigo]],Tabla2[[Cod]:[Nombre ]],4,0)</f>
        <v>TIS-1451</v>
      </c>
      <c r="E535" s="5" t="str">
        <f>VLOOKUP(Tabla4[[#This Row],[Codigo]],Tabla2[[Cod]:[Nombre ]],8,0)</f>
        <v>STAFF SEGUROS AGENCIA LTDA</v>
      </c>
      <c r="F535" s="5" t="str">
        <f>VLOOKUP(Tabla4[[#This Row],[Codigo]],Tabla2[[Cod]:[Nombre ]],6,0)</f>
        <v>OK</v>
      </c>
      <c r="G535" s="7" t="s">
        <v>416</v>
      </c>
      <c r="H535" s="21" t="s">
        <v>519</v>
      </c>
      <c r="I535" s="21" t="s">
        <v>669</v>
      </c>
      <c r="J535" s="163">
        <v>1</v>
      </c>
      <c r="K535" s="294">
        <v>300000</v>
      </c>
      <c r="L535" s="298"/>
      <c r="M535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35" s="292">
        <f>IFERROR(Tabla4[[#This Row],[Sub Total]]*VLOOKUP(Tabla4[[#This Row],[No]],Parametros!A:C,3,0),0)</f>
        <v>57000</v>
      </c>
      <c r="O535" s="292">
        <f>+Tabla4[[#This Row],[IVA]]+Tabla4[[#This Row],[Sub Total]]</f>
        <v>357000</v>
      </c>
    </row>
    <row r="536" spans="1:15" ht="45" x14ac:dyDescent="0.2">
      <c r="A536" s="6">
        <v>475</v>
      </c>
      <c r="B536" s="6" t="str">
        <f>VLOOKUP(Tabla4[[#This Row],[Codigo]],Tabla2[[Cod]:[Nombre ]],2,0)</f>
        <v>P-1464</v>
      </c>
      <c r="C536" s="53">
        <f>VLOOKUP(Tabla4[[#This Row],[Codigo]],Tabla2[[Cod]:[Nombre ]],3,0)</f>
        <v>45635</v>
      </c>
      <c r="D536" s="6" t="str">
        <f>VLOOKUP(Tabla4[[#This Row],[Codigo]],Tabla2[[Cod]:[Nombre ]],4,0)</f>
        <v>TIS-1452</v>
      </c>
      <c r="E536" s="5" t="str">
        <f>VLOOKUP(Tabla4[[#This Row],[Codigo]],Tabla2[[Cod]:[Nombre ]],8,0)</f>
        <v>DIGITAL MEDIA TECHNOLOGIES COLOMBIA SAS</v>
      </c>
      <c r="F536" s="5" t="str">
        <f>VLOOKUP(Tabla4[[#This Row],[Codigo]],Tabla2[[Cod]:[Nombre ]],6,0)</f>
        <v>OK</v>
      </c>
      <c r="G536" s="7" t="s">
        <v>416</v>
      </c>
      <c r="H536" s="21" t="s">
        <v>519</v>
      </c>
      <c r="I536" s="21" t="s">
        <v>669</v>
      </c>
      <c r="J536" s="163">
        <v>1</v>
      </c>
      <c r="K536" s="294">
        <v>300000</v>
      </c>
      <c r="L536" s="298"/>
      <c r="M53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36" s="292">
        <f>IFERROR(Tabla4[[#This Row],[Sub Total]]*VLOOKUP(Tabla4[[#This Row],[No]],Parametros!A:C,3,0),0)</f>
        <v>57000</v>
      </c>
      <c r="O536" s="292">
        <f>+Tabla4[[#This Row],[IVA]]+Tabla4[[#This Row],[Sub Total]]</f>
        <v>357000</v>
      </c>
    </row>
    <row r="537" spans="1:15" ht="36" x14ac:dyDescent="0.2">
      <c r="A537" s="6">
        <v>476</v>
      </c>
      <c r="B537" s="6" t="str">
        <f>VLOOKUP(Tabla4[[#This Row],[Codigo]],Tabla2[[Cod]:[Nombre ]],2,0)</f>
        <v>P-1465</v>
      </c>
      <c r="C537" s="53">
        <f>VLOOKUP(Tabla4[[#This Row],[Codigo]],Tabla2[[Cod]:[Nombre ]],3,0)</f>
        <v>45635</v>
      </c>
      <c r="D537" s="6" t="str">
        <f>VLOOKUP(Tabla4[[#This Row],[Codigo]],Tabla2[[Cod]:[Nombre ]],4,0)</f>
        <v>TIS-1453</v>
      </c>
      <c r="E537" s="5" t="str">
        <f>VLOOKUP(Tabla4[[#This Row],[Codigo]],Tabla2[[Cod]:[Nombre ]],8,0)</f>
        <v>Inversiones Sajamib SAS</v>
      </c>
      <c r="F537" s="5" t="str">
        <f>VLOOKUP(Tabla4[[#This Row],[Codigo]],Tabla2[[Cod]:[Nombre ]],6,0)</f>
        <v>OK</v>
      </c>
      <c r="G537" s="7" t="s">
        <v>417</v>
      </c>
      <c r="H537" s="21" t="s">
        <v>525</v>
      </c>
      <c r="I537" s="21" t="s">
        <v>670</v>
      </c>
      <c r="J537" s="163">
        <v>1</v>
      </c>
      <c r="K537" s="294">
        <v>480000</v>
      </c>
      <c r="L537" s="298"/>
      <c r="M537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537" s="292">
        <f>IFERROR(Tabla4[[#This Row],[Sub Total]]*VLOOKUP(Tabla4[[#This Row],[No]],Parametros!A:C,3,0),0)</f>
        <v>0</v>
      </c>
      <c r="O537" s="292">
        <f>+Tabla4[[#This Row],[IVA]]+Tabla4[[#This Row],[Sub Total]]</f>
        <v>480000</v>
      </c>
    </row>
    <row r="538" spans="1:15" ht="36" x14ac:dyDescent="0.2">
      <c r="A538" s="6">
        <v>477</v>
      </c>
      <c r="B538" s="6" t="str">
        <f>VLOOKUP(Tabla4[[#This Row],[Codigo]],Tabla2[[Cod]:[Nombre ]],2,0)</f>
        <v>P-1466</v>
      </c>
      <c r="C538" s="53">
        <f>VLOOKUP(Tabla4[[#This Row],[Codigo]],Tabla2[[Cod]:[Nombre ]],3,0)</f>
        <v>45635</v>
      </c>
      <c r="D538" s="6" t="str">
        <f>VLOOKUP(Tabla4[[#This Row],[Codigo]],Tabla2[[Cod]:[Nombre ]],4,0)</f>
        <v>TIS-1454</v>
      </c>
      <c r="E538" s="5" t="str">
        <f>VLOOKUP(Tabla4[[#This Row],[Codigo]],Tabla2[[Cod]:[Nombre ]],8,0)</f>
        <v>GENUINE TECH SAS</v>
      </c>
      <c r="F538" s="5" t="str">
        <f>VLOOKUP(Tabla4[[#This Row],[Codigo]],Tabla2[[Cod]:[Nombre ]],6,0)</f>
        <v>OK</v>
      </c>
      <c r="G538" s="7" t="s">
        <v>416</v>
      </c>
      <c r="H538" s="21" t="s">
        <v>519</v>
      </c>
      <c r="I538" s="21" t="s">
        <v>669</v>
      </c>
      <c r="J538" s="163">
        <v>1</v>
      </c>
      <c r="K538" s="294">
        <v>545454</v>
      </c>
      <c r="L538" s="298"/>
      <c r="M538" s="292">
        <f>IF(LEFT(Tabla4[[#This Row],[Electronica]],2)="NC",-Tabla4[[#This Row],[Cantidad]]*Tabla4[[#This Row],[Precio]]+Tabla4[[#This Row],[Dto]],Tabla4[[#This Row],[Cantidad]]*Tabla4[[#This Row],[Precio]]-Tabla4[[#This Row],[Dto]])</f>
        <v>545454</v>
      </c>
      <c r="N538" s="292">
        <f>IFERROR(Tabla4[[#This Row],[Sub Total]]*VLOOKUP(Tabla4[[#This Row],[No]],Parametros!A:C,3,0),0)</f>
        <v>103636.26</v>
      </c>
      <c r="O538" s="292">
        <f>+Tabla4[[#This Row],[IVA]]+Tabla4[[#This Row],[Sub Total]]</f>
        <v>649090.26</v>
      </c>
    </row>
    <row r="539" spans="1:15" ht="48" x14ac:dyDescent="0.2">
      <c r="A539" s="6">
        <v>478</v>
      </c>
      <c r="B539" s="6" t="str">
        <f>VLOOKUP(Tabla4[[#This Row],[Codigo]],Tabla2[[Cod]:[Nombre ]],2,0)</f>
        <v>P-1467</v>
      </c>
      <c r="C539" s="53">
        <f>VLOOKUP(Tabla4[[#This Row],[Codigo]],Tabla2[[Cod]:[Nombre ]],3,0)</f>
        <v>45635</v>
      </c>
      <c r="D539" s="6" t="str">
        <f>VLOOKUP(Tabla4[[#This Row],[Codigo]],Tabla2[[Cod]:[Nombre ]],4,0)</f>
        <v>NC-40</v>
      </c>
      <c r="E539" s="5" t="str">
        <f>VLOOKUP(Tabla4[[#This Row],[Codigo]],Tabla2[[Cod]:[Nombre ]],8,0)</f>
        <v>B2B TAX LEGAL S.A.S. BIC</v>
      </c>
      <c r="F539" s="5" t="str">
        <f>VLOOKUP(Tabla4[[#This Row],[Codigo]],Tabla2[[Cod]:[Nombre ]],6,0)</f>
        <v>OK</v>
      </c>
      <c r="G539" s="7" t="s">
        <v>412</v>
      </c>
      <c r="H539" s="21" t="s">
        <v>594</v>
      </c>
      <c r="I539" s="21" t="s">
        <v>671</v>
      </c>
      <c r="J539" s="163">
        <v>1</v>
      </c>
      <c r="K539" s="294">
        <v>1000000</v>
      </c>
      <c r="L539" s="298"/>
      <c r="M539" s="292">
        <f>IF(LEFT(Tabla4[[#This Row],[Electronica]],2)="NC",-Tabla4[[#This Row],[Cantidad]]*Tabla4[[#This Row],[Precio]]+Tabla4[[#This Row],[Dto]],Tabla4[[#This Row],[Cantidad]]*Tabla4[[#This Row],[Precio]]-Tabla4[[#This Row],[Dto]])</f>
        <v>-1000000</v>
      </c>
      <c r="N539" s="292">
        <f>IFERROR(Tabla4[[#This Row],[Sub Total]]*VLOOKUP(Tabla4[[#This Row],[No]],Parametros!A:C,3,0),0)</f>
        <v>-190000</v>
      </c>
      <c r="O539" s="292">
        <f>+Tabla4[[#This Row],[IVA]]+Tabla4[[#This Row],[Sub Total]]</f>
        <v>-1190000</v>
      </c>
    </row>
    <row r="540" spans="1:15" x14ac:dyDescent="0.2">
      <c r="A540" s="6">
        <v>478</v>
      </c>
      <c r="B540" s="6" t="str">
        <f>VLOOKUP(Tabla4[[#This Row],[Codigo]],Tabla2[[Cod]:[Nombre ]],2,0)</f>
        <v>P-1467</v>
      </c>
      <c r="C540" s="53">
        <f>VLOOKUP(Tabla4[[#This Row],[Codigo]],Tabla2[[Cod]:[Nombre ]],3,0)</f>
        <v>45635</v>
      </c>
      <c r="D540" s="6" t="str">
        <f>VLOOKUP(Tabla4[[#This Row],[Codigo]],Tabla2[[Cod]:[Nombre ]],4,0)</f>
        <v>NC-40</v>
      </c>
      <c r="E540" s="5" t="str">
        <f>VLOOKUP(Tabla4[[#This Row],[Codigo]],Tabla2[[Cod]:[Nombre ]],8,0)</f>
        <v>B2B TAX LEGAL S.A.S. BIC</v>
      </c>
      <c r="F540" s="5" t="str">
        <f>VLOOKUP(Tabla4[[#This Row],[Codigo]],Tabla2[[Cod]:[Nombre ]],6,0)</f>
        <v>OK</v>
      </c>
      <c r="G540" s="7" t="s">
        <v>433</v>
      </c>
      <c r="H540" s="21" t="s">
        <v>517</v>
      </c>
      <c r="I540" s="21"/>
      <c r="J540" s="163">
        <v>3</v>
      </c>
      <c r="K540" s="294">
        <v>2408000</v>
      </c>
      <c r="L540" s="298"/>
      <c r="M540" s="292">
        <f>IF(LEFT(Tabla4[[#This Row],[Electronica]],2)="NC",-Tabla4[[#This Row],[Cantidad]]*Tabla4[[#This Row],[Precio]]+Tabla4[[#This Row],[Dto]],Tabla4[[#This Row],[Cantidad]]*Tabla4[[#This Row],[Precio]]-Tabla4[[#This Row],[Dto]])</f>
        <v>-7224000</v>
      </c>
      <c r="N540" s="292">
        <f>IFERROR(Tabla4[[#This Row],[Sub Total]]*VLOOKUP(Tabla4[[#This Row],[No]],Parametros!A:C,3,0),0)</f>
        <v>-1372560</v>
      </c>
      <c r="O540" s="292">
        <f>+Tabla4[[#This Row],[IVA]]+Tabla4[[#This Row],[Sub Total]]</f>
        <v>-8596560</v>
      </c>
    </row>
    <row r="541" spans="1:15" ht="24" x14ac:dyDescent="0.2">
      <c r="A541" s="6">
        <v>479</v>
      </c>
      <c r="B541" s="6" t="str">
        <f>VLOOKUP(Tabla4[[#This Row],[Codigo]],Tabla2[[Cod]:[Nombre ]],2,0)</f>
        <v>P-1468</v>
      </c>
      <c r="C541" s="53">
        <f>VLOOKUP(Tabla4[[#This Row],[Codigo]],Tabla2[[Cod]:[Nombre ]],3,0)</f>
        <v>45635</v>
      </c>
      <c r="D541" s="6" t="str">
        <f>VLOOKUP(Tabla4[[#This Row],[Codigo]],Tabla2[[Cod]:[Nombre ]],4,0)</f>
        <v>TIS-1455</v>
      </c>
      <c r="E541" s="5" t="str">
        <f>VLOOKUP(Tabla4[[#This Row],[Codigo]],Tabla2[[Cod]:[Nombre ]],8,0)</f>
        <v>B2B TAX LEGAL S.A.S. BIC</v>
      </c>
      <c r="F541" s="5" t="str">
        <f>VLOOKUP(Tabla4[[#This Row],[Codigo]],Tabla2[[Cod]:[Nombre ]],6,0)</f>
        <v>OK</v>
      </c>
      <c r="G541" s="7" t="s">
        <v>412</v>
      </c>
      <c r="H541" s="21" t="s">
        <v>594</v>
      </c>
      <c r="I541" s="21" t="s">
        <v>672</v>
      </c>
      <c r="J541" s="163">
        <v>1</v>
      </c>
      <c r="K541" s="294">
        <v>1200000</v>
      </c>
      <c r="L541" s="298"/>
      <c r="M541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541" s="292">
        <f>IFERROR(Tabla4[[#This Row],[Sub Total]]*VLOOKUP(Tabla4[[#This Row],[No]],Parametros!A:C,3,0),0)</f>
        <v>228000</v>
      </c>
      <c r="O541" s="292">
        <f>+Tabla4[[#This Row],[IVA]]+Tabla4[[#This Row],[Sub Total]]</f>
        <v>1428000</v>
      </c>
    </row>
    <row r="542" spans="1:15" x14ac:dyDescent="0.2">
      <c r="A542" s="6">
        <v>479</v>
      </c>
      <c r="B542" s="6" t="str">
        <f>VLOOKUP(Tabla4[[#This Row],[Codigo]],Tabla2[[Cod]:[Nombre ]],2,0)</f>
        <v>P-1468</v>
      </c>
      <c r="C542" s="53">
        <f>VLOOKUP(Tabla4[[#This Row],[Codigo]],Tabla2[[Cod]:[Nombre ]],3,0)</f>
        <v>45635</v>
      </c>
      <c r="D542" s="6" t="str">
        <f>VLOOKUP(Tabla4[[#This Row],[Codigo]],Tabla2[[Cod]:[Nombre ]],4,0)</f>
        <v>TIS-1455</v>
      </c>
      <c r="E542" s="5" t="str">
        <f>VLOOKUP(Tabla4[[#This Row],[Codigo]],Tabla2[[Cod]:[Nombre ]],8,0)</f>
        <v>B2B TAX LEGAL S.A.S. BIC</v>
      </c>
      <c r="F542" s="5" t="str">
        <f>VLOOKUP(Tabla4[[#This Row],[Codigo]],Tabla2[[Cod]:[Nombre ]],6,0)</f>
        <v>OK</v>
      </c>
      <c r="G542" s="7" t="s">
        <v>433</v>
      </c>
      <c r="H542" s="21" t="s">
        <v>517</v>
      </c>
      <c r="I542" s="21"/>
      <c r="J542" s="163">
        <v>2</v>
      </c>
      <c r="K542" s="294">
        <v>800000</v>
      </c>
      <c r="L542" s="298"/>
      <c r="M542" s="292">
        <f>IF(LEFT(Tabla4[[#This Row],[Electronica]],2)="NC",-Tabla4[[#This Row],[Cantidad]]*Tabla4[[#This Row],[Precio]]+Tabla4[[#This Row],[Dto]],Tabla4[[#This Row],[Cantidad]]*Tabla4[[#This Row],[Precio]]-Tabla4[[#This Row],[Dto]])</f>
        <v>1600000</v>
      </c>
      <c r="N542" s="292">
        <f>IFERROR(Tabla4[[#This Row],[Sub Total]]*VLOOKUP(Tabla4[[#This Row],[No]],Parametros!A:C,3,0),0)</f>
        <v>304000</v>
      </c>
      <c r="O542" s="292">
        <f>+Tabla4[[#This Row],[IVA]]+Tabla4[[#This Row],[Sub Total]]</f>
        <v>1904000</v>
      </c>
    </row>
    <row r="543" spans="1:15" ht="36" x14ac:dyDescent="0.2">
      <c r="A543" s="6">
        <v>480</v>
      </c>
      <c r="B543" s="6" t="str">
        <f>VLOOKUP(Tabla4[[#This Row],[Codigo]],Tabla2[[Cod]:[Nombre ]],2,0)</f>
        <v>P-1469</v>
      </c>
      <c r="C543" s="53">
        <f>VLOOKUP(Tabla4[[#This Row],[Codigo]],Tabla2[[Cod]:[Nombre ]],3,0)</f>
        <v>45636</v>
      </c>
      <c r="D543" s="6" t="str">
        <f>VLOOKUP(Tabla4[[#This Row],[Codigo]],Tabla2[[Cod]:[Nombre ]],4,0)</f>
        <v>TIS-1456</v>
      </c>
      <c r="E543" s="5" t="str">
        <f>VLOOKUP(Tabla4[[#This Row],[Codigo]],Tabla2[[Cod]:[Nombre ]],8,0)</f>
        <v>COMPAÑIA DE SEGUROS BOLIVAR S A</v>
      </c>
      <c r="F543" s="5" t="str">
        <f>VLOOKUP(Tabla4[[#This Row],[Codigo]],Tabla2[[Cod]:[Nombre ]],6,0)</f>
        <v>OK</v>
      </c>
      <c r="G543" s="7" t="s">
        <v>416</v>
      </c>
      <c r="H543" s="21" t="s">
        <v>519</v>
      </c>
      <c r="I543" s="21" t="s">
        <v>668</v>
      </c>
      <c r="J543" s="163">
        <v>1</v>
      </c>
      <c r="K543" s="294">
        <v>779748</v>
      </c>
      <c r="L543" s="298"/>
      <c r="M543" s="292">
        <f>IF(LEFT(Tabla4[[#This Row],[Electronica]],2)="NC",-Tabla4[[#This Row],[Cantidad]]*Tabla4[[#This Row],[Precio]]+Tabla4[[#This Row],[Dto]],Tabla4[[#This Row],[Cantidad]]*Tabla4[[#This Row],[Precio]]-Tabla4[[#This Row],[Dto]])</f>
        <v>779748</v>
      </c>
      <c r="N543" s="292">
        <f>IFERROR(Tabla4[[#This Row],[Sub Total]]*VLOOKUP(Tabla4[[#This Row],[No]],Parametros!A:C,3,0),0)</f>
        <v>148152.12</v>
      </c>
      <c r="O543" s="292">
        <f>+Tabla4[[#This Row],[IVA]]+Tabla4[[#This Row],[Sub Total]]</f>
        <v>927900.12</v>
      </c>
    </row>
    <row r="544" spans="1:15" ht="36" x14ac:dyDescent="0.2">
      <c r="A544" s="6">
        <v>481</v>
      </c>
      <c r="B544" s="6" t="str">
        <f>VLOOKUP(Tabla4[[#This Row],[Codigo]],Tabla2[[Cod]:[Nombre ]],2,0)</f>
        <v>P-1470</v>
      </c>
      <c r="C544" s="53">
        <f>VLOOKUP(Tabla4[[#This Row],[Codigo]],Tabla2[[Cod]:[Nombre ]],3,0)</f>
        <v>45637</v>
      </c>
      <c r="D544" s="6" t="str">
        <f>VLOOKUP(Tabla4[[#This Row],[Codigo]],Tabla2[[Cod]:[Nombre ]],4,0)</f>
        <v>TIS-1457</v>
      </c>
      <c r="E544" s="5" t="str">
        <f>VLOOKUP(Tabla4[[#This Row],[Codigo]],Tabla2[[Cod]:[Nombre ]],8,0)</f>
        <v>COMPAÑIA DE SEGUROS BOLIVAR S A</v>
      </c>
      <c r="F544" s="5" t="str">
        <f>VLOOKUP(Tabla4[[#This Row],[Codigo]],Tabla2[[Cod]:[Nombre ]],6,0)</f>
        <v>OK</v>
      </c>
      <c r="G544" s="7" t="s">
        <v>416</v>
      </c>
      <c r="H544" s="21" t="s">
        <v>519</v>
      </c>
      <c r="I544" s="21" t="s">
        <v>668</v>
      </c>
      <c r="J544" s="163">
        <v>1</v>
      </c>
      <c r="K544" s="294">
        <v>220000</v>
      </c>
      <c r="L544" s="298"/>
      <c r="M544" s="292">
        <f>IF(LEFT(Tabla4[[#This Row],[Electronica]],2)="NC",-Tabla4[[#This Row],[Cantidad]]*Tabla4[[#This Row],[Precio]]+Tabla4[[#This Row],[Dto]],Tabla4[[#This Row],[Cantidad]]*Tabla4[[#This Row],[Precio]]-Tabla4[[#This Row],[Dto]])</f>
        <v>220000</v>
      </c>
      <c r="N544" s="292">
        <f>IFERROR(Tabla4[[#This Row],[Sub Total]]*VLOOKUP(Tabla4[[#This Row],[No]],Parametros!A:C,3,0),0)</f>
        <v>41800</v>
      </c>
      <c r="O544" s="292">
        <f>+Tabla4[[#This Row],[IVA]]+Tabla4[[#This Row],[Sub Total]]</f>
        <v>261800</v>
      </c>
    </row>
    <row r="545" spans="1:15" ht="24" x14ac:dyDescent="0.2">
      <c r="A545" s="6">
        <v>482</v>
      </c>
      <c r="B545" s="6" t="str">
        <f>VLOOKUP(Tabla4[[#This Row],[Codigo]],Tabla2[[Cod]:[Nombre ]],2,0)</f>
        <v>P-1471</v>
      </c>
      <c r="C545" s="53">
        <f>VLOOKUP(Tabla4[[#This Row],[Codigo]],Tabla2[[Cod]:[Nombre ]],3,0)</f>
        <v>45638</v>
      </c>
      <c r="D545" s="6" t="str">
        <f>VLOOKUP(Tabla4[[#This Row],[Codigo]],Tabla2[[Cod]:[Nombre ]],4,0)</f>
        <v>NC-41</v>
      </c>
      <c r="E545" s="5" t="str">
        <f>VLOOKUP(Tabla4[[#This Row],[Codigo]],Tabla2[[Cod]:[Nombre ]],8,0)</f>
        <v>B2B TAX LEGAL S.A.S. BIC</v>
      </c>
      <c r="F545" s="5" t="str">
        <f>VLOOKUP(Tabla4[[#This Row],[Codigo]],Tabla2[[Cod]:[Nombre ]],6,0)</f>
        <v>OK</v>
      </c>
      <c r="G545" s="7" t="s">
        <v>412</v>
      </c>
      <c r="H545" s="21" t="s">
        <v>594</v>
      </c>
      <c r="I545" s="21" t="s">
        <v>673</v>
      </c>
      <c r="J545" s="163">
        <v>1</v>
      </c>
      <c r="K545" s="294">
        <v>1200000</v>
      </c>
      <c r="L545" s="298"/>
      <c r="M545" s="292">
        <f>IF(LEFT(Tabla4[[#This Row],[Electronica]],2)="NC",-Tabla4[[#This Row],[Cantidad]]*Tabla4[[#This Row],[Precio]]+Tabla4[[#This Row],[Dto]],Tabla4[[#This Row],[Cantidad]]*Tabla4[[#This Row],[Precio]]-Tabla4[[#This Row],[Dto]])</f>
        <v>-1200000</v>
      </c>
      <c r="N545" s="292">
        <f>IFERROR(Tabla4[[#This Row],[Sub Total]]*VLOOKUP(Tabla4[[#This Row],[No]],Parametros!A:C,3,0),0)</f>
        <v>-228000</v>
      </c>
      <c r="O545" s="292">
        <f>+Tabla4[[#This Row],[IVA]]+Tabla4[[#This Row],[Sub Total]]</f>
        <v>-1428000</v>
      </c>
    </row>
    <row r="546" spans="1:15" x14ac:dyDescent="0.2">
      <c r="A546" s="6">
        <v>482</v>
      </c>
      <c r="B546" s="6" t="str">
        <f>VLOOKUP(Tabla4[[#This Row],[Codigo]],Tabla2[[Cod]:[Nombre ]],2,0)</f>
        <v>P-1471</v>
      </c>
      <c r="C546" s="53">
        <f>VLOOKUP(Tabla4[[#This Row],[Codigo]],Tabla2[[Cod]:[Nombre ]],3,0)</f>
        <v>45638</v>
      </c>
      <c r="D546" s="6" t="str">
        <f>VLOOKUP(Tabla4[[#This Row],[Codigo]],Tabla2[[Cod]:[Nombre ]],4,0)</f>
        <v>NC-41</v>
      </c>
      <c r="E546" s="5" t="str">
        <f>VLOOKUP(Tabla4[[#This Row],[Codigo]],Tabla2[[Cod]:[Nombre ]],8,0)</f>
        <v>B2B TAX LEGAL S.A.S. BIC</v>
      </c>
      <c r="F546" s="5" t="str">
        <f>VLOOKUP(Tabla4[[#This Row],[Codigo]],Tabla2[[Cod]:[Nombre ]],6,0)</f>
        <v>OK</v>
      </c>
      <c r="G546" s="7" t="s">
        <v>433</v>
      </c>
      <c r="H546" s="21" t="s">
        <v>517</v>
      </c>
      <c r="I546" s="21"/>
      <c r="J546" s="163">
        <v>3</v>
      </c>
      <c r="K546" s="294">
        <v>800000</v>
      </c>
      <c r="L546" s="298"/>
      <c r="M546" s="292">
        <f>IF(LEFT(Tabla4[[#This Row],[Electronica]],2)="NC",-Tabla4[[#This Row],[Cantidad]]*Tabla4[[#This Row],[Precio]]+Tabla4[[#This Row],[Dto]],Tabla4[[#This Row],[Cantidad]]*Tabla4[[#This Row],[Precio]]-Tabla4[[#This Row],[Dto]])</f>
        <v>-2400000</v>
      </c>
      <c r="N546" s="292">
        <f>IFERROR(Tabla4[[#This Row],[Sub Total]]*VLOOKUP(Tabla4[[#This Row],[No]],Parametros!A:C,3,0),0)</f>
        <v>-456000</v>
      </c>
      <c r="O546" s="292">
        <f>+Tabla4[[#This Row],[IVA]]+Tabla4[[#This Row],[Sub Total]]</f>
        <v>-2856000</v>
      </c>
    </row>
    <row r="547" spans="1:15" ht="24" x14ac:dyDescent="0.2">
      <c r="A547" s="6">
        <v>483</v>
      </c>
      <c r="B547" s="6" t="str">
        <f>VLOOKUP(Tabla4[[#This Row],[Codigo]],Tabla2[[Cod]:[Nombre ]],2,0)</f>
        <v>P-1472</v>
      </c>
      <c r="C547" s="53">
        <f>VLOOKUP(Tabla4[[#This Row],[Codigo]],Tabla2[[Cod]:[Nombre ]],3,0)</f>
        <v>45638</v>
      </c>
      <c r="D547" s="6" t="str">
        <f>VLOOKUP(Tabla4[[#This Row],[Codigo]],Tabla2[[Cod]:[Nombre ]],4,0)</f>
        <v>ND1</v>
      </c>
      <c r="E547" s="5" t="str">
        <f>VLOOKUP(Tabla4[[#This Row],[Codigo]],Tabla2[[Cod]:[Nombre ]],8,0)</f>
        <v>B2B TAX LEGAL S.A.S. BIC</v>
      </c>
      <c r="F547" s="5" t="str">
        <f>VLOOKUP(Tabla4[[#This Row],[Codigo]],Tabla2[[Cod]:[Nombre ]],6,0)</f>
        <v>OK</v>
      </c>
      <c r="G547" s="7" t="s">
        <v>412</v>
      </c>
      <c r="H547" s="21" t="s">
        <v>594</v>
      </c>
      <c r="I547" s="21" t="s">
        <v>674</v>
      </c>
      <c r="J547" s="163">
        <v>1</v>
      </c>
      <c r="K547" s="294">
        <v>1000000</v>
      </c>
      <c r="L547" s="298"/>
      <c r="M547" s="292">
        <f>IF(LEFT(Tabla4[[#This Row],[Electronica]],2)="NC",-Tabla4[[#This Row],[Cantidad]]*Tabla4[[#This Row],[Precio]]+Tabla4[[#This Row],[Dto]],Tabla4[[#This Row],[Cantidad]]*Tabla4[[#This Row],[Precio]]-Tabla4[[#This Row],[Dto]])</f>
        <v>1000000</v>
      </c>
      <c r="N547" s="292">
        <f>IFERROR(Tabla4[[#This Row],[Sub Total]]*VLOOKUP(Tabla4[[#This Row],[No]],Parametros!A:C,3,0),0)</f>
        <v>190000</v>
      </c>
      <c r="O547" s="292">
        <f>+Tabla4[[#This Row],[IVA]]+Tabla4[[#This Row],[Sub Total]]</f>
        <v>1190000</v>
      </c>
    </row>
    <row r="548" spans="1:15" ht="24" x14ac:dyDescent="0.2">
      <c r="A548" s="6">
        <v>483</v>
      </c>
      <c r="B548" s="6" t="str">
        <f>VLOOKUP(Tabla4[[#This Row],[Codigo]],Tabla2[[Cod]:[Nombre ]],2,0)</f>
        <v>P-1472</v>
      </c>
      <c r="C548" s="53">
        <f>VLOOKUP(Tabla4[[#This Row],[Codigo]],Tabla2[[Cod]:[Nombre ]],3,0)</f>
        <v>45638</v>
      </c>
      <c r="D548" s="6" t="str">
        <f>VLOOKUP(Tabla4[[#This Row],[Codigo]],Tabla2[[Cod]:[Nombre ]],4,0)</f>
        <v>ND1</v>
      </c>
      <c r="E548" s="5" t="str">
        <f>VLOOKUP(Tabla4[[#This Row],[Codigo]],Tabla2[[Cod]:[Nombre ]],8,0)</f>
        <v>B2B TAX LEGAL S.A.S. BIC</v>
      </c>
      <c r="F548" s="5" t="str">
        <f>VLOOKUP(Tabla4[[#This Row],[Codigo]],Tabla2[[Cod]:[Nombre ]],6,0)</f>
        <v>OK</v>
      </c>
      <c r="G548" s="7" t="s">
        <v>433</v>
      </c>
      <c r="H548" s="21" t="s">
        <v>517</v>
      </c>
      <c r="I548" s="21" t="s">
        <v>674</v>
      </c>
      <c r="J548" s="163">
        <v>3</v>
      </c>
      <c r="K548" s="294">
        <v>2408000</v>
      </c>
      <c r="L548" s="298"/>
      <c r="M548" s="292">
        <f>IF(LEFT(Tabla4[[#This Row],[Electronica]],2)="NC",-Tabla4[[#This Row],[Cantidad]]*Tabla4[[#This Row],[Precio]]+Tabla4[[#This Row],[Dto]],Tabla4[[#This Row],[Cantidad]]*Tabla4[[#This Row],[Precio]]-Tabla4[[#This Row],[Dto]])</f>
        <v>7224000</v>
      </c>
      <c r="N548" s="292">
        <f>IFERROR(Tabla4[[#This Row],[Sub Total]]*VLOOKUP(Tabla4[[#This Row],[No]],Parametros!A:C,3,0),0)</f>
        <v>1372560</v>
      </c>
      <c r="O548" s="292">
        <f>+Tabla4[[#This Row],[IVA]]+Tabla4[[#This Row],[Sub Total]]</f>
        <v>8596560</v>
      </c>
    </row>
    <row r="549" spans="1:15" ht="36" x14ac:dyDescent="0.2">
      <c r="A549" s="6">
        <v>484</v>
      </c>
      <c r="B549" s="6" t="str">
        <f>VLOOKUP(Tabla4[[#This Row],[Codigo]],Tabla2[[Cod]:[Nombre ]],2,0)</f>
        <v>P-1473</v>
      </c>
      <c r="C549" s="53">
        <f>VLOOKUP(Tabla4[[#This Row],[Codigo]],Tabla2[[Cod]:[Nombre ]],3,0)</f>
        <v>45645</v>
      </c>
      <c r="D549" s="6" t="str">
        <f>VLOOKUP(Tabla4[[#This Row],[Codigo]],Tabla2[[Cod]:[Nombre ]],4,0)</f>
        <v>NC42</v>
      </c>
      <c r="E549" s="5" t="str">
        <f>VLOOKUP(Tabla4[[#This Row],[Codigo]],Tabla2[[Cod]:[Nombre ]],8,0)</f>
        <v>COMPAÑIA DE SEGUROS BOLIVAR S A</v>
      </c>
      <c r="F549" s="5" t="str">
        <f>VLOOKUP(Tabla4[[#This Row],[Codigo]],Tabla2[[Cod]:[Nombre ]],6,0)</f>
        <v>OK</v>
      </c>
      <c r="G549" s="7" t="s">
        <v>416</v>
      </c>
      <c r="H549" s="21" t="s">
        <v>519</v>
      </c>
      <c r="I549" s="21" t="s">
        <v>668</v>
      </c>
      <c r="J549" s="163">
        <v>1</v>
      </c>
      <c r="K549" s="294">
        <v>8330523</v>
      </c>
      <c r="L549" s="298"/>
      <c r="M549" s="292">
        <f>IF(LEFT(Tabla4[[#This Row],[Electronica]],2)="NC",-Tabla4[[#This Row],[Cantidad]]*Tabla4[[#This Row],[Precio]]+Tabla4[[#This Row],[Dto]],Tabla4[[#This Row],[Cantidad]]*Tabla4[[#This Row],[Precio]]-Tabla4[[#This Row],[Dto]])</f>
        <v>-8330523</v>
      </c>
      <c r="N549" s="292">
        <f>IFERROR(Tabla4[[#This Row],[Sub Total]]*VLOOKUP(Tabla4[[#This Row],[No]],Parametros!A:C,3,0),0)</f>
        <v>-1582799.37</v>
      </c>
      <c r="O549" s="292">
        <f>+Tabla4[[#This Row],[IVA]]+Tabla4[[#This Row],[Sub Total]]</f>
        <v>-9913322.370000001</v>
      </c>
    </row>
    <row r="550" spans="1:15" ht="36" x14ac:dyDescent="0.2">
      <c r="A550" s="6">
        <v>485</v>
      </c>
      <c r="B550" s="6" t="str">
        <f>VLOOKUP(Tabla4[[#This Row],[Codigo]],Tabla2[[Cod]:[Nombre ]],2,0)</f>
        <v>P-1474</v>
      </c>
      <c r="C550" s="53">
        <f>VLOOKUP(Tabla4[[#This Row],[Codigo]],Tabla2[[Cod]:[Nombre ]],3,0)</f>
        <v>45743</v>
      </c>
      <c r="D550" s="6" t="str">
        <f>VLOOKUP(Tabla4[[#This Row],[Codigo]],Tabla2[[Cod]:[Nombre ]],4,0)</f>
        <v>NC44</v>
      </c>
      <c r="E550" s="5" t="str">
        <f>VLOOKUP(Tabla4[[#This Row],[Codigo]],Tabla2[[Cod]:[Nombre ]],8,0)</f>
        <v>COMPAÑIA DE SEGUROS BOLIVAR S A</v>
      </c>
      <c r="F550" s="5" t="str">
        <f>VLOOKUP(Tabla4[[#This Row],[Codigo]],Tabla2[[Cod]:[Nombre ]],6,0)</f>
        <v>OK</v>
      </c>
      <c r="G550" s="7" t="s">
        <v>416</v>
      </c>
      <c r="H550" s="21" t="s">
        <v>519</v>
      </c>
      <c r="I550" s="21" t="s">
        <v>668</v>
      </c>
      <c r="J550" s="163">
        <v>1</v>
      </c>
      <c r="K550" s="294">
        <v>779748</v>
      </c>
      <c r="L550" s="298"/>
      <c r="M550" s="292">
        <f>IF(LEFT(Tabla4[[#This Row],[Electronica]],2)="NC",-Tabla4[[#This Row],[Cantidad]]*Tabla4[[#This Row],[Precio]]+Tabla4[[#This Row],[Dto]],Tabla4[[#This Row],[Cantidad]]*Tabla4[[#This Row],[Precio]]-Tabla4[[#This Row],[Dto]])</f>
        <v>-779748</v>
      </c>
      <c r="N550" s="292">
        <f>IFERROR(Tabla4[[#This Row],[Sub Total]]*VLOOKUP(Tabla4[[#This Row],[No]],Parametros!A:C,3,0),0)</f>
        <v>-148152.12</v>
      </c>
      <c r="O550" s="292">
        <f>+Tabla4[[#This Row],[IVA]]+Tabla4[[#This Row],[Sub Total]]</f>
        <v>-927900.12</v>
      </c>
    </row>
    <row r="551" spans="1:15" ht="36" x14ac:dyDescent="0.2">
      <c r="A551" s="6">
        <v>486</v>
      </c>
      <c r="B551" s="6" t="str">
        <f>VLOOKUP(Tabla4[[#This Row],[Codigo]],Tabla2[[Cod]:[Nombre ]],2,0)</f>
        <v>P-1475</v>
      </c>
      <c r="C551" s="53">
        <f>VLOOKUP(Tabla4[[#This Row],[Codigo]],Tabla2[[Cod]:[Nombre ]],3,0)</f>
        <v>45743</v>
      </c>
      <c r="D551" s="6" t="str">
        <f>VLOOKUP(Tabla4[[#This Row],[Codigo]],Tabla2[[Cod]:[Nombre ]],4,0)</f>
        <v>NC45</v>
      </c>
      <c r="E551" s="5" t="str">
        <f>VLOOKUP(Tabla4[[#This Row],[Codigo]],Tabla2[[Cod]:[Nombre ]],8,0)</f>
        <v>COMPAÑIA DE SEGUROS BOLIVAR S A</v>
      </c>
      <c r="F551" s="5" t="str">
        <f>VLOOKUP(Tabla4[[#This Row],[Codigo]],Tabla2[[Cod]:[Nombre ]],6,0)</f>
        <v>OK</v>
      </c>
      <c r="G551" s="7" t="s">
        <v>416</v>
      </c>
      <c r="H551" s="21" t="s">
        <v>519</v>
      </c>
      <c r="I551" s="21" t="s">
        <v>667</v>
      </c>
      <c r="J551" s="163">
        <v>1</v>
      </c>
      <c r="K551" s="294">
        <v>1280000</v>
      </c>
      <c r="L551" s="298"/>
      <c r="M551" s="292">
        <f>IF(LEFT(Tabla4[[#This Row],[Electronica]],2)="NC",-Tabla4[[#This Row],[Cantidad]]*Tabla4[[#This Row],[Precio]]+Tabla4[[#This Row],[Dto]],Tabla4[[#This Row],[Cantidad]]*Tabla4[[#This Row],[Precio]]-Tabla4[[#This Row],[Dto]])</f>
        <v>-1280000</v>
      </c>
      <c r="N551" s="292">
        <f>IFERROR(Tabla4[[#This Row],[Sub Total]]*VLOOKUP(Tabla4[[#This Row],[No]],Parametros!A:C,3,0),0)</f>
        <v>-243200</v>
      </c>
      <c r="O551" s="292">
        <f>+Tabla4[[#This Row],[IVA]]+Tabla4[[#This Row],[Sub Total]]</f>
        <v>-1523200</v>
      </c>
    </row>
    <row r="552" spans="1:15" ht="36" x14ac:dyDescent="0.2">
      <c r="A552" s="6">
        <v>487</v>
      </c>
      <c r="B552" s="6" t="str">
        <f>VLOOKUP(Tabla4[[#This Row],[Codigo]],Tabla2[[Cod]:[Nombre ]],2,0)</f>
        <v>P-1476</v>
      </c>
      <c r="C552" s="53">
        <f>VLOOKUP(Tabla4[[#This Row],[Codigo]],Tabla2[[Cod]:[Nombre ]],3,0)</f>
        <v>45743</v>
      </c>
      <c r="D552" s="6" t="str">
        <f>VLOOKUP(Tabla4[[#This Row],[Codigo]],Tabla2[[Cod]:[Nombre ]],4,0)</f>
        <v>TIS-1458</v>
      </c>
      <c r="E552" s="5" t="str">
        <f>VLOOKUP(Tabla4[[#This Row],[Codigo]],Tabla2[[Cod]:[Nombre ]],8,0)</f>
        <v>Comercializadora ERZ SAS</v>
      </c>
      <c r="F552" s="5" t="str">
        <f>VLOOKUP(Tabla4[[#This Row],[Codigo]],Tabla2[[Cod]:[Nombre ]],6,0)</f>
        <v>OK</v>
      </c>
      <c r="G552" s="7" t="s">
        <v>416</v>
      </c>
      <c r="H552" s="21" t="s">
        <v>519</v>
      </c>
      <c r="I552" s="21" t="s">
        <v>675</v>
      </c>
      <c r="J552" s="163">
        <v>1</v>
      </c>
      <c r="K552" s="294">
        <v>260000</v>
      </c>
      <c r="L552" s="298"/>
      <c r="M552" s="292">
        <f>IF(LEFT(Tabla4[[#This Row],[Electronica]],2)="NC",-Tabla4[[#This Row],[Cantidad]]*Tabla4[[#This Row],[Precio]]+Tabla4[[#This Row],[Dto]],Tabla4[[#This Row],[Cantidad]]*Tabla4[[#This Row],[Precio]]-Tabla4[[#This Row],[Dto]])</f>
        <v>260000</v>
      </c>
      <c r="N552" s="292">
        <f>IFERROR(Tabla4[[#This Row],[Sub Total]]*VLOOKUP(Tabla4[[#This Row],[No]],Parametros!A:C,3,0),0)</f>
        <v>49400</v>
      </c>
      <c r="O552" s="292">
        <f>+Tabla4[[#This Row],[IVA]]+Tabla4[[#This Row],[Sub Total]]</f>
        <v>309400</v>
      </c>
    </row>
    <row r="553" spans="1:15" ht="36" x14ac:dyDescent="0.2">
      <c r="A553" s="6">
        <v>488</v>
      </c>
      <c r="B553" s="6" t="str">
        <f>VLOOKUP(Tabla4[[#This Row],[Codigo]],Tabla2[[Cod]:[Nombre ]],2,0)</f>
        <v>P-1477</v>
      </c>
      <c r="C553" s="53">
        <f>VLOOKUP(Tabla4[[#This Row],[Codigo]],Tabla2[[Cod]:[Nombre ]],3,0)</f>
        <v>45743</v>
      </c>
      <c r="D553" s="6" t="str">
        <f>VLOOKUP(Tabla4[[#This Row],[Codigo]],Tabla2[[Cod]:[Nombre ]],4,0)</f>
        <v>TIS-1459</v>
      </c>
      <c r="E553" s="5" t="str">
        <f>VLOOKUP(Tabla4[[#This Row],[Codigo]],Tabla2[[Cod]:[Nombre ]],8,0)</f>
        <v>ROYCO SOLUCIONES SAS</v>
      </c>
      <c r="F553" s="5" t="str">
        <f>VLOOKUP(Tabla4[[#This Row],[Codigo]],Tabla2[[Cod]:[Nombre ]],6,0)</f>
        <v>OK</v>
      </c>
      <c r="G553" s="7" t="s">
        <v>416</v>
      </c>
      <c r="H553" s="21" t="s">
        <v>519</v>
      </c>
      <c r="I553" s="21" t="s">
        <v>675</v>
      </c>
      <c r="J553" s="163">
        <v>1</v>
      </c>
      <c r="K553" s="294">
        <v>175000</v>
      </c>
      <c r="L553" s="298"/>
      <c r="M553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553" s="292">
        <f>IFERROR(Tabla4[[#This Row],[Sub Total]]*VLOOKUP(Tabla4[[#This Row],[No]],Parametros!A:C,3,0),0)</f>
        <v>33250</v>
      </c>
      <c r="O553" s="292">
        <f>+Tabla4[[#This Row],[IVA]]+Tabla4[[#This Row],[Sub Total]]</f>
        <v>208250</v>
      </c>
    </row>
    <row r="554" spans="1:15" ht="36" x14ac:dyDescent="0.2">
      <c r="A554" s="6">
        <v>489</v>
      </c>
      <c r="B554" s="6" t="str">
        <f>VLOOKUP(Tabla4[[#This Row],[Codigo]],Tabla2[[Cod]:[Nombre ]],2,0)</f>
        <v>P-1478</v>
      </c>
      <c r="C554" s="53">
        <f>VLOOKUP(Tabla4[[#This Row],[Codigo]],Tabla2[[Cod]:[Nombre ]],3,0)</f>
        <v>45743</v>
      </c>
      <c r="D554" s="6" t="str">
        <f>VLOOKUP(Tabla4[[#This Row],[Codigo]],Tabla2[[Cod]:[Nombre ]],4,0)</f>
        <v>TIS-1460</v>
      </c>
      <c r="E554" s="5" t="str">
        <f>VLOOKUP(Tabla4[[#This Row],[Codigo]],Tabla2[[Cod]:[Nombre ]],8,0)</f>
        <v>STAFF SEGUROS AGENCIA LTDA</v>
      </c>
      <c r="F554" s="5" t="str">
        <f>VLOOKUP(Tabla4[[#This Row],[Codigo]],Tabla2[[Cod]:[Nombre ]],6,0)</f>
        <v>OK</v>
      </c>
      <c r="G554" s="7" t="s">
        <v>416</v>
      </c>
      <c r="H554" s="21" t="s">
        <v>519</v>
      </c>
      <c r="I554" s="21" t="s">
        <v>675</v>
      </c>
      <c r="J554" s="163">
        <v>1</v>
      </c>
      <c r="K554" s="294">
        <v>300000</v>
      </c>
      <c r="L554" s="298"/>
      <c r="M554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54" s="292">
        <f>IFERROR(Tabla4[[#This Row],[Sub Total]]*VLOOKUP(Tabla4[[#This Row],[No]],Parametros!A:C,3,0),0)</f>
        <v>57000</v>
      </c>
      <c r="O554" s="292">
        <f>+Tabla4[[#This Row],[IVA]]+Tabla4[[#This Row],[Sub Total]]</f>
        <v>357000</v>
      </c>
    </row>
    <row r="555" spans="1:15" ht="45" x14ac:dyDescent="0.2">
      <c r="A555" s="6">
        <v>490</v>
      </c>
      <c r="B555" s="6" t="str">
        <f>VLOOKUP(Tabla4[[#This Row],[Codigo]],Tabla2[[Cod]:[Nombre ]],2,0)</f>
        <v>P-1479</v>
      </c>
      <c r="C555" s="53">
        <f>VLOOKUP(Tabla4[[#This Row],[Codigo]],Tabla2[[Cod]:[Nombre ]],3,0)</f>
        <v>45743</v>
      </c>
      <c r="D555" s="6" t="str">
        <f>VLOOKUP(Tabla4[[#This Row],[Codigo]],Tabla2[[Cod]:[Nombre ]],4,0)</f>
        <v>TIS-1461</v>
      </c>
      <c r="E555" s="5" t="str">
        <f>VLOOKUP(Tabla4[[#This Row],[Codigo]],Tabla2[[Cod]:[Nombre ]],8,0)</f>
        <v>DIGITAL MEDIA TECHNOLOGIES COLOMBIA SAS</v>
      </c>
      <c r="F555" s="5" t="str">
        <f>VLOOKUP(Tabla4[[#This Row],[Codigo]],Tabla2[[Cod]:[Nombre ]],6,0)</f>
        <v>OK</v>
      </c>
      <c r="G555" s="7" t="s">
        <v>416</v>
      </c>
      <c r="H555" s="21" t="s">
        <v>519</v>
      </c>
      <c r="I555" s="21" t="s">
        <v>675</v>
      </c>
      <c r="J555" s="163">
        <v>1</v>
      </c>
      <c r="K555" s="294">
        <v>300000</v>
      </c>
      <c r="L555" s="298"/>
      <c r="M555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55" s="292">
        <f>IFERROR(Tabla4[[#This Row],[Sub Total]]*VLOOKUP(Tabla4[[#This Row],[No]],Parametros!A:C,3,0),0)</f>
        <v>57000</v>
      </c>
      <c r="O555" s="292">
        <f>+Tabla4[[#This Row],[IVA]]+Tabla4[[#This Row],[Sub Total]]</f>
        <v>357000</v>
      </c>
    </row>
    <row r="556" spans="1:15" ht="30" x14ac:dyDescent="0.2">
      <c r="A556" s="6">
        <v>491</v>
      </c>
      <c r="B556" s="6" t="str">
        <f>VLOOKUP(Tabla4[[#This Row],[Codigo]],Tabla2[[Cod]:[Nombre ]],2,0)</f>
        <v>P-1480</v>
      </c>
      <c r="C556" s="53">
        <f>VLOOKUP(Tabla4[[#This Row],[Codigo]],Tabla2[[Cod]:[Nombre ]],3,0)</f>
        <v>45743</v>
      </c>
      <c r="D556" s="6" t="str">
        <f>VLOOKUP(Tabla4[[#This Row],[Codigo]],Tabla2[[Cod]:[Nombre ]],4,0)</f>
        <v>TIS-1462</v>
      </c>
      <c r="E556" s="5" t="str">
        <f>VLOOKUP(Tabla4[[#This Row],[Codigo]],Tabla2[[Cod]:[Nombre ]],8,0)</f>
        <v>STAFF SEGUROS AGENCIA LTDA</v>
      </c>
      <c r="F556" s="5" t="str">
        <f>VLOOKUP(Tabla4[[#This Row],[Codigo]],Tabla2[[Cod]:[Nombre ]],6,0)</f>
        <v>OK</v>
      </c>
      <c r="G556" s="7" t="s">
        <v>415</v>
      </c>
      <c r="H556" s="21" t="s">
        <v>605</v>
      </c>
      <c r="I556" s="21" t="s">
        <v>676</v>
      </c>
      <c r="J556" s="163">
        <v>3</v>
      </c>
      <c r="K556" s="294">
        <v>300000</v>
      </c>
      <c r="L556" s="298"/>
      <c r="M556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556" s="292">
        <f>IFERROR(Tabla4[[#This Row],[Sub Total]]*VLOOKUP(Tabla4[[#This Row],[No]],Parametros!A:C,3,0),0)</f>
        <v>171000</v>
      </c>
      <c r="O556" s="292">
        <f>+Tabla4[[#This Row],[IVA]]+Tabla4[[#This Row],[Sub Total]]</f>
        <v>1071000</v>
      </c>
    </row>
    <row r="557" spans="1:15" ht="36" x14ac:dyDescent="0.2">
      <c r="A557" s="6">
        <v>492</v>
      </c>
      <c r="B557" s="6" t="str">
        <f>VLOOKUP(Tabla4[[#This Row],[Codigo]],Tabla2[[Cod]:[Nombre ]],2,0)</f>
        <v>P-1481</v>
      </c>
      <c r="C557" s="53">
        <f>VLOOKUP(Tabla4[[#This Row],[Codigo]],Tabla2[[Cod]:[Nombre ]],3,0)</f>
        <v>45743</v>
      </c>
      <c r="D557" s="6" t="str">
        <f>VLOOKUP(Tabla4[[#This Row],[Codigo]],Tabla2[[Cod]:[Nombre ]],4,0)</f>
        <v>TIS-1463</v>
      </c>
      <c r="E557" s="5" t="str">
        <f>VLOOKUP(Tabla4[[#This Row],[Codigo]],Tabla2[[Cod]:[Nombre ]],8,0)</f>
        <v>Inversiones Sajamib SAS</v>
      </c>
      <c r="F557" s="5" t="str">
        <f>VLOOKUP(Tabla4[[#This Row],[Codigo]],Tabla2[[Cod]:[Nombre ]],6,0)</f>
        <v>OK</v>
      </c>
      <c r="G557" s="7" t="s">
        <v>417</v>
      </c>
      <c r="H557" s="21" t="s">
        <v>525</v>
      </c>
      <c r="I557" s="21" t="s">
        <v>675</v>
      </c>
      <c r="J557" s="163">
        <v>1</v>
      </c>
      <c r="K557" s="294">
        <v>480000</v>
      </c>
      <c r="L557" s="298"/>
      <c r="M557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557" s="292">
        <f>IFERROR(Tabla4[[#This Row],[Sub Total]]*VLOOKUP(Tabla4[[#This Row],[No]],Parametros!A:C,3,0),0)</f>
        <v>0</v>
      </c>
      <c r="O557" s="292">
        <f>+Tabla4[[#This Row],[IVA]]+Tabla4[[#This Row],[Sub Total]]</f>
        <v>480000</v>
      </c>
    </row>
    <row r="558" spans="1:15" ht="36" x14ac:dyDescent="0.2">
      <c r="A558" s="6">
        <v>493</v>
      </c>
      <c r="B558" s="6" t="str">
        <f>VLOOKUP(Tabla4[[#This Row],[Codigo]],Tabla2[[Cod]:[Nombre ]],2,0)</f>
        <v>P-1482</v>
      </c>
      <c r="C558" s="53">
        <f>VLOOKUP(Tabla4[[#This Row],[Codigo]],Tabla2[[Cod]:[Nombre ]],3,0)</f>
        <v>45743</v>
      </c>
      <c r="D558" s="6" t="str">
        <f>VLOOKUP(Tabla4[[#This Row],[Codigo]],Tabla2[[Cod]:[Nombre ]],4,0)</f>
        <v>TIS-1464</v>
      </c>
      <c r="E558" s="5" t="str">
        <f>VLOOKUP(Tabla4[[#This Row],[Codigo]],Tabla2[[Cod]:[Nombre ]],8,0)</f>
        <v>GENUINE TECH SAS</v>
      </c>
      <c r="F558" s="5" t="str">
        <f>VLOOKUP(Tabla4[[#This Row],[Codigo]],Tabla2[[Cod]:[Nombre ]],6,0)</f>
        <v>OK</v>
      </c>
      <c r="G558" s="7" t="s">
        <v>416</v>
      </c>
      <c r="H558" s="21" t="s">
        <v>519</v>
      </c>
      <c r="I558" s="21" t="s">
        <v>675</v>
      </c>
      <c r="J558" s="163">
        <v>1</v>
      </c>
      <c r="K558" s="294">
        <v>545454</v>
      </c>
      <c r="L558" s="298"/>
      <c r="M558" s="292">
        <f>IF(LEFT(Tabla4[[#This Row],[Electronica]],2)="NC",-Tabla4[[#This Row],[Cantidad]]*Tabla4[[#This Row],[Precio]]+Tabla4[[#This Row],[Dto]],Tabla4[[#This Row],[Cantidad]]*Tabla4[[#This Row],[Precio]]-Tabla4[[#This Row],[Dto]])</f>
        <v>545454</v>
      </c>
      <c r="N558" s="292">
        <f>IFERROR(Tabla4[[#This Row],[Sub Total]]*VLOOKUP(Tabla4[[#This Row],[No]],Parametros!A:C,3,0),0)</f>
        <v>103636.26</v>
      </c>
      <c r="O558" s="292">
        <f>+Tabla4[[#This Row],[IVA]]+Tabla4[[#This Row],[Sub Total]]</f>
        <v>649090.26</v>
      </c>
    </row>
    <row r="559" spans="1:15" ht="36" x14ac:dyDescent="0.2">
      <c r="A559" s="6">
        <v>494</v>
      </c>
      <c r="B559" s="6" t="str">
        <f>VLOOKUP(Tabla4[[#This Row],[Codigo]],Tabla2[[Cod]:[Nombre ]],2,0)</f>
        <v>P-1483</v>
      </c>
      <c r="C559" s="53">
        <f>VLOOKUP(Tabla4[[#This Row],[Codigo]],Tabla2[[Cod]:[Nombre ]],3,0)</f>
        <v>45743</v>
      </c>
      <c r="D559" s="6" t="str">
        <f>VLOOKUP(Tabla4[[#This Row],[Codigo]],Tabla2[[Cod]:[Nombre ]],4,0)</f>
        <v>TIS-1465</v>
      </c>
      <c r="E559" s="5" t="str">
        <f>VLOOKUP(Tabla4[[#This Row],[Codigo]],Tabla2[[Cod]:[Nombre ]],8,0)</f>
        <v>SMART ENERGY SOLUTIONS SAS</v>
      </c>
      <c r="F559" s="5" t="str">
        <f>VLOOKUP(Tabla4[[#This Row],[Codigo]],Tabla2[[Cod]:[Nombre ]],6,0)</f>
        <v>OK</v>
      </c>
      <c r="G559" s="7" t="s">
        <v>433</v>
      </c>
      <c r="H559" s="21" t="s">
        <v>517</v>
      </c>
      <c r="I559" s="21" t="s">
        <v>677</v>
      </c>
      <c r="J559" s="163">
        <v>1</v>
      </c>
      <c r="K559" s="294">
        <v>700000</v>
      </c>
      <c r="L559" s="298"/>
      <c r="M559" s="292">
        <f>IF(LEFT(Tabla4[[#This Row],[Electronica]],2)="NC",-Tabla4[[#This Row],[Cantidad]]*Tabla4[[#This Row],[Precio]]+Tabla4[[#This Row],[Dto]],Tabla4[[#This Row],[Cantidad]]*Tabla4[[#This Row],[Precio]]-Tabla4[[#This Row],[Dto]])</f>
        <v>700000</v>
      </c>
      <c r="N559" s="292">
        <f>IFERROR(Tabla4[[#This Row],[Sub Total]]*VLOOKUP(Tabla4[[#This Row],[No]],Parametros!A:C,3,0),0)</f>
        <v>133000</v>
      </c>
      <c r="O559" s="292">
        <f>+Tabla4[[#This Row],[IVA]]+Tabla4[[#This Row],[Sub Total]]</f>
        <v>833000</v>
      </c>
    </row>
    <row r="560" spans="1:15" ht="36" x14ac:dyDescent="0.2">
      <c r="A560" s="6">
        <v>495</v>
      </c>
      <c r="B560" s="6" t="str">
        <f>VLOOKUP(Tabla4[[#This Row],[Codigo]],Tabla2[[Cod]:[Nombre ]],2,0)</f>
        <v>P-1484</v>
      </c>
      <c r="C560" s="53">
        <f>VLOOKUP(Tabla4[[#This Row],[Codigo]],Tabla2[[Cod]:[Nombre ]],3,0)</f>
        <v>45743</v>
      </c>
      <c r="D560" s="6" t="str">
        <f>VLOOKUP(Tabla4[[#This Row],[Codigo]],Tabla2[[Cod]:[Nombre ]],4,0)</f>
        <v>TIS-1466</v>
      </c>
      <c r="E560" s="5" t="str">
        <f>VLOOKUP(Tabla4[[#This Row],[Codigo]],Tabla2[[Cod]:[Nombre ]],8,0)</f>
        <v>HF DOTACIONES SAS</v>
      </c>
      <c r="F560" s="5" t="str">
        <f>VLOOKUP(Tabla4[[#This Row],[Codigo]],Tabla2[[Cod]:[Nombre ]],6,0)</f>
        <v>OK</v>
      </c>
      <c r="G560" s="7" t="s">
        <v>416</v>
      </c>
      <c r="H560" s="21" t="s">
        <v>519</v>
      </c>
      <c r="I560" s="21" t="s">
        <v>678</v>
      </c>
      <c r="J560" s="163">
        <v>1</v>
      </c>
      <c r="K560" s="294">
        <v>700000</v>
      </c>
      <c r="L560" s="298"/>
      <c r="M560" s="292">
        <f>IF(LEFT(Tabla4[[#This Row],[Electronica]],2)="NC",-Tabla4[[#This Row],[Cantidad]]*Tabla4[[#This Row],[Precio]]+Tabla4[[#This Row],[Dto]],Tabla4[[#This Row],[Cantidad]]*Tabla4[[#This Row],[Precio]]-Tabla4[[#This Row],[Dto]])</f>
        <v>700000</v>
      </c>
      <c r="N560" s="292">
        <f>IFERROR(Tabla4[[#This Row],[Sub Total]]*VLOOKUP(Tabla4[[#This Row],[No]],Parametros!A:C,3,0),0)</f>
        <v>133000</v>
      </c>
      <c r="O560" s="292">
        <f>+Tabla4[[#This Row],[IVA]]+Tabla4[[#This Row],[Sub Total]]</f>
        <v>833000</v>
      </c>
    </row>
    <row r="561" spans="1:15" ht="30" x14ac:dyDescent="0.2">
      <c r="A561" s="6">
        <v>496</v>
      </c>
      <c r="B561" s="6" t="str">
        <f>VLOOKUP(Tabla4[[#This Row],[Codigo]],Tabla2[[Cod]:[Nombre ]],2,0)</f>
        <v>P-1485</v>
      </c>
      <c r="C561" s="53">
        <f>VLOOKUP(Tabla4[[#This Row],[Codigo]],Tabla2[[Cod]:[Nombre ]],3,0)</f>
        <v>45743</v>
      </c>
      <c r="D561" s="6" t="str">
        <f>VLOOKUP(Tabla4[[#This Row],[Codigo]],Tabla2[[Cod]:[Nombre ]],4,0)</f>
        <v>TIS-1467</v>
      </c>
      <c r="E561" s="5" t="str">
        <f>VLOOKUP(Tabla4[[#This Row],[Codigo]],Tabla2[[Cod]:[Nombre ]],8,0)</f>
        <v>TRANSPORTES ESPECIALES ALIADOS S.A.S</v>
      </c>
      <c r="F561" s="5" t="str">
        <f>VLOOKUP(Tabla4[[#This Row],[Codigo]],Tabla2[[Cod]:[Nombre ]],6,0)</f>
        <v>OK</v>
      </c>
      <c r="G561" s="7" t="s">
        <v>282</v>
      </c>
      <c r="H561" s="21" t="s">
        <v>16</v>
      </c>
      <c r="I561" s="21" t="s">
        <v>679</v>
      </c>
      <c r="J561" s="163">
        <v>338</v>
      </c>
      <c r="K561" s="294">
        <v>25000</v>
      </c>
      <c r="L561" s="298"/>
      <c r="M561" s="292">
        <f>IF(LEFT(Tabla4[[#This Row],[Electronica]],2)="NC",-Tabla4[[#This Row],[Cantidad]]*Tabla4[[#This Row],[Precio]]+Tabla4[[#This Row],[Dto]],Tabla4[[#This Row],[Cantidad]]*Tabla4[[#This Row],[Precio]]-Tabla4[[#This Row],[Dto]])</f>
        <v>8450000</v>
      </c>
      <c r="N561" s="292">
        <f>IFERROR(Tabla4[[#This Row],[Sub Total]]*VLOOKUP(Tabla4[[#This Row],[No]],Parametros!A:C,3,0),0)</f>
        <v>1605500</v>
      </c>
      <c r="O561" s="292">
        <f>+Tabla4[[#This Row],[IVA]]+Tabla4[[#This Row],[Sub Total]]</f>
        <v>10055500</v>
      </c>
    </row>
    <row r="562" spans="1:15" ht="36" x14ac:dyDescent="0.2">
      <c r="A562" s="6">
        <v>497</v>
      </c>
      <c r="B562" s="6" t="str">
        <f>VLOOKUP(Tabla4[[#This Row],[Codigo]],Tabla2[[Cod]:[Nombre ]],2,0)</f>
        <v>P-1486</v>
      </c>
      <c r="C562" s="53">
        <f>VLOOKUP(Tabla4[[#This Row],[Codigo]],Tabla2[[Cod]:[Nombre ]],3,0)</f>
        <v>45743</v>
      </c>
      <c r="D562" s="6" t="str">
        <f>VLOOKUP(Tabla4[[#This Row],[Codigo]],Tabla2[[Cod]:[Nombre ]],4,0)</f>
        <v>TIS-1468</v>
      </c>
      <c r="E562" s="5" t="str">
        <f>VLOOKUP(Tabla4[[#This Row],[Codigo]],Tabla2[[Cod]:[Nombre ]],8,0)</f>
        <v>COMPAÑIA DE SEGUROS BOLIVAR S A</v>
      </c>
      <c r="F562" s="5" t="str">
        <f>VLOOKUP(Tabla4[[#This Row],[Codigo]],Tabla2[[Cod]:[Nombre ]],6,0)</f>
        <v>OK</v>
      </c>
      <c r="G562" s="7" t="s">
        <v>416</v>
      </c>
      <c r="H562" s="21" t="s">
        <v>519</v>
      </c>
      <c r="I562" s="21" t="s">
        <v>668</v>
      </c>
      <c r="J562" s="163">
        <v>1</v>
      </c>
      <c r="K562" s="294">
        <v>9330271</v>
      </c>
      <c r="L562" s="298"/>
      <c r="M562" s="292">
        <f>IF(LEFT(Tabla4[[#This Row],[Electronica]],2)="NC",-Tabla4[[#This Row],[Cantidad]]*Tabla4[[#This Row],[Precio]]+Tabla4[[#This Row],[Dto]],Tabla4[[#This Row],[Cantidad]]*Tabla4[[#This Row],[Precio]]-Tabla4[[#This Row],[Dto]])</f>
        <v>9330271</v>
      </c>
      <c r="N562" s="292">
        <f>IFERROR(Tabla4[[#This Row],[Sub Total]]*VLOOKUP(Tabla4[[#This Row],[No]],Parametros!A:C,3,0),0)</f>
        <v>1772751.49</v>
      </c>
      <c r="O562" s="292">
        <f>+Tabla4[[#This Row],[IVA]]+Tabla4[[#This Row],[Sub Total]]</f>
        <v>11103022.49</v>
      </c>
    </row>
    <row r="563" spans="1:15" ht="36" x14ac:dyDescent="0.2">
      <c r="A563" s="6">
        <v>498</v>
      </c>
      <c r="B563" s="6" t="str">
        <f>VLOOKUP(Tabla4[[#This Row],[Codigo]],Tabla2[[Cod]:[Nombre ]],2,0)</f>
        <v>P-1487</v>
      </c>
      <c r="C563" s="53">
        <f>VLOOKUP(Tabla4[[#This Row],[Codigo]],Tabla2[[Cod]:[Nombre ]],3,0)</f>
        <v>45743</v>
      </c>
      <c r="D563" s="6" t="str">
        <f>VLOOKUP(Tabla4[[#This Row],[Codigo]],Tabla2[[Cod]:[Nombre ]],4,0)</f>
        <v>TIS-1469</v>
      </c>
      <c r="E563" s="5" t="str">
        <f>VLOOKUP(Tabla4[[#This Row],[Codigo]],Tabla2[[Cod]:[Nombre ]],8,0)</f>
        <v>COMPAÑIA DE SEGUROS BOLIVAR S A</v>
      </c>
      <c r="F563" s="5" t="str">
        <f>VLOOKUP(Tabla4[[#This Row],[Codigo]],Tabla2[[Cod]:[Nombre ]],6,0)</f>
        <v>Anulado</v>
      </c>
      <c r="G563" s="7" t="s">
        <v>416</v>
      </c>
      <c r="H563" s="21" t="s">
        <v>519</v>
      </c>
      <c r="I563" s="21" t="s">
        <v>680</v>
      </c>
      <c r="J563" s="163">
        <v>1</v>
      </c>
      <c r="K563" s="294">
        <v>1552842</v>
      </c>
      <c r="L563" s="298"/>
      <c r="M563" s="292">
        <f>IF(LEFT(Tabla4[[#This Row],[Electronica]],2)="NC",-Tabla4[[#This Row],[Cantidad]]*Tabla4[[#This Row],[Precio]]+Tabla4[[#This Row],[Dto]],Tabla4[[#This Row],[Cantidad]]*Tabla4[[#This Row],[Precio]]-Tabla4[[#This Row],[Dto]])</f>
        <v>1552842</v>
      </c>
      <c r="N563" s="292">
        <f>IFERROR(Tabla4[[#This Row],[Sub Total]]*VLOOKUP(Tabla4[[#This Row],[No]],Parametros!A:C,3,0),0)</f>
        <v>295039.98</v>
      </c>
      <c r="O563" s="292">
        <f>+Tabla4[[#This Row],[IVA]]+Tabla4[[#This Row],[Sub Total]]</f>
        <v>1847881.98</v>
      </c>
    </row>
    <row r="564" spans="1:15" ht="24" x14ac:dyDescent="0.2">
      <c r="A564" s="6">
        <v>499</v>
      </c>
      <c r="B564" s="6" t="str">
        <f>VLOOKUP(Tabla4[[#This Row],[Codigo]],Tabla2[[Cod]:[Nombre ]],2,0)</f>
        <v>P-1488</v>
      </c>
      <c r="C564" s="53">
        <f>VLOOKUP(Tabla4[[#This Row],[Codigo]],Tabla2[[Cod]:[Nombre ]],3,0)</f>
        <v>45743</v>
      </c>
      <c r="D564" s="6" t="str">
        <f>VLOOKUP(Tabla4[[#This Row],[Codigo]],Tabla2[[Cod]:[Nombre ]],4,0)</f>
        <v>TIS-1470</v>
      </c>
      <c r="E564" s="5" t="str">
        <f>VLOOKUP(Tabla4[[#This Row],[Codigo]],Tabla2[[Cod]:[Nombre ]],8,0)</f>
        <v>ECO DESIGN SERVICES SAS</v>
      </c>
      <c r="F564" s="5" t="str">
        <f>VLOOKUP(Tabla4[[#This Row],[Codigo]],Tabla2[[Cod]:[Nombre ]],6,0)</f>
        <v>OK</v>
      </c>
      <c r="G564" s="7" t="s">
        <v>282</v>
      </c>
      <c r="H564" s="21" t="s">
        <v>16</v>
      </c>
      <c r="I564" s="21" t="s">
        <v>681</v>
      </c>
      <c r="J564" s="163">
        <v>15</v>
      </c>
      <c r="K564" s="294">
        <v>48000</v>
      </c>
      <c r="L564" s="298"/>
      <c r="M564" s="292">
        <f>IF(LEFT(Tabla4[[#This Row],[Electronica]],2)="NC",-Tabla4[[#This Row],[Cantidad]]*Tabla4[[#This Row],[Precio]]+Tabla4[[#This Row],[Dto]],Tabla4[[#This Row],[Cantidad]]*Tabla4[[#This Row],[Precio]]-Tabla4[[#This Row],[Dto]])</f>
        <v>720000</v>
      </c>
      <c r="N564" s="292">
        <f>IFERROR(Tabla4[[#This Row],[Sub Total]]*VLOOKUP(Tabla4[[#This Row],[No]],Parametros!A:C,3,0),0)</f>
        <v>136800</v>
      </c>
      <c r="O564" s="292">
        <f>+Tabla4[[#This Row],[IVA]]+Tabla4[[#This Row],[Sub Total]]</f>
        <v>856800</v>
      </c>
    </row>
    <row r="565" spans="1:15" ht="36" x14ac:dyDescent="0.2">
      <c r="A565" s="6">
        <v>500</v>
      </c>
      <c r="B565" s="6" t="str">
        <f>VLOOKUP(Tabla4[[#This Row],[Codigo]],Tabla2[[Cod]:[Nombre ]],2,0)</f>
        <v>P-1489</v>
      </c>
      <c r="C565" s="53">
        <f>VLOOKUP(Tabla4[[#This Row],[Codigo]],Tabla2[[Cod]:[Nombre ]],3,0)</f>
        <v>45743</v>
      </c>
      <c r="D565" s="6" t="str">
        <f>VLOOKUP(Tabla4[[#This Row],[Codigo]],Tabla2[[Cod]:[Nombre ]],4,0)</f>
        <v>TIS-1471</v>
      </c>
      <c r="E565" s="5" t="str">
        <f>VLOOKUP(Tabla4[[#This Row],[Codigo]],Tabla2[[Cod]:[Nombre ]],8,0)</f>
        <v>Comercializadora ERZ SAS</v>
      </c>
      <c r="F565" s="5" t="str">
        <f>VLOOKUP(Tabla4[[#This Row],[Codigo]],Tabla2[[Cod]:[Nombre ]],6,0)</f>
        <v>OK</v>
      </c>
      <c r="G565" s="7" t="s">
        <v>416</v>
      </c>
      <c r="H565" s="21" t="s">
        <v>519</v>
      </c>
      <c r="I565" s="21" t="s">
        <v>682</v>
      </c>
      <c r="J565" s="163">
        <v>1</v>
      </c>
      <c r="K565" s="294">
        <v>300000</v>
      </c>
      <c r="L565" s="298"/>
      <c r="M565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65" s="292">
        <f>IFERROR(Tabla4[[#This Row],[Sub Total]]*VLOOKUP(Tabla4[[#This Row],[No]],Parametros!A:C,3,0),0)</f>
        <v>57000</v>
      </c>
      <c r="O565" s="292">
        <f>+Tabla4[[#This Row],[IVA]]+Tabla4[[#This Row],[Sub Total]]</f>
        <v>357000</v>
      </c>
    </row>
    <row r="566" spans="1:15" ht="45" x14ac:dyDescent="0.2">
      <c r="A566" s="6">
        <v>501</v>
      </c>
      <c r="B566" s="6" t="str">
        <f>VLOOKUP(Tabla4[[#This Row],[Codigo]],Tabla2[[Cod]:[Nombre ]],2,0)</f>
        <v>P-1490</v>
      </c>
      <c r="C566" s="53">
        <f>VLOOKUP(Tabla4[[#This Row],[Codigo]],Tabla2[[Cod]:[Nombre ]],3,0)</f>
        <v>45743</v>
      </c>
      <c r="D566" s="6" t="str">
        <f>VLOOKUP(Tabla4[[#This Row],[Codigo]],Tabla2[[Cod]:[Nombre ]],4,0)</f>
        <v>TIS-1472</v>
      </c>
      <c r="E566" s="5" t="str">
        <f>VLOOKUP(Tabla4[[#This Row],[Codigo]],Tabla2[[Cod]:[Nombre ]],8,0)</f>
        <v>DIGITAL MEDIA TECHNOLOGIES COLOMBIA SAS</v>
      </c>
      <c r="F566" s="5" t="str">
        <f>VLOOKUP(Tabla4[[#This Row],[Codigo]],Tabla2[[Cod]:[Nombre ]],6,0)</f>
        <v>OK</v>
      </c>
      <c r="G566" s="7" t="s">
        <v>416</v>
      </c>
      <c r="H566" s="21" t="s">
        <v>519</v>
      </c>
      <c r="I566" s="21" t="s">
        <v>682</v>
      </c>
      <c r="J566" s="163">
        <v>1</v>
      </c>
      <c r="K566" s="294">
        <v>300000</v>
      </c>
      <c r="L566" s="298"/>
      <c r="M56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66" s="292">
        <f>IFERROR(Tabla4[[#This Row],[Sub Total]]*VLOOKUP(Tabla4[[#This Row],[No]],Parametros!A:C,3,0),0)</f>
        <v>57000</v>
      </c>
      <c r="O566" s="292">
        <f>+Tabla4[[#This Row],[IVA]]+Tabla4[[#This Row],[Sub Total]]</f>
        <v>357000</v>
      </c>
    </row>
    <row r="567" spans="1:15" ht="36" x14ac:dyDescent="0.2">
      <c r="A567" s="6">
        <v>502</v>
      </c>
      <c r="B567" s="6" t="str">
        <f>VLOOKUP(Tabla4[[#This Row],[Codigo]],Tabla2[[Cod]:[Nombre ]],2,0)</f>
        <v>P-1491</v>
      </c>
      <c r="C567" s="53">
        <f>VLOOKUP(Tabla4[[#This Row],[Codigo]],Tabla2[[Cod]:[Nombre ]],3,0)</f>
        <v>45743</v>
      </c>
      <c r="D567" s="6" t="str">
        <f>VLOOKUP(Tabla4[[#This Row],[Codigo]],Tabla2[[Cod]:[Nombre ]],4,0)</f>
        <v>TIS-1473</v>
      </c>
      <c r="E567" s="5" t="str">
        <f>VLOOKUP(Tabla4[[#This Row],[Codigo]],Tabla2[[Cod]:[Nombre ]],8,0)</f>
        <v>Inversiones Sajamib SAS</v>
      </c>
      <c r="F567" s="5" t="str">
        <f>VLOOKUP(Tabla4[[#This Row],[Codigo]],Tabla2[[Cod]:[Nombre ]],6,0)</f>
        <v>OK</v>
      </c>
      <c r="G567" s="7" t="s">
        <v>417</v>
      </c>
      <c r="H567" s="21" t="s">
        <v>525</v>
      </c>
      <c r="I567" s="21" t="s">
        <v>683</v>
      </c>
      <c r="J567" s="163">
        <v>1</v>
      </c>
      <c r="K567" s="294">
        <v>480000</v>
      </c>
      <c r="L567" s="298"/>
      <c r="M567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567" s="292">
        <f>IFERROR(Tabla4[[#This Row],[Sub Total]]*VLOOKUP(Tabla4[[#This Row],[No]],Parametros!A:C,3,0),0)</f>
        <v>0</v>
      </c>
      <c r="O567" s="292">
        <f>+Tabla4[[#This Row],[IVA]]+Tabla4[[#This Row],[Sub Total]]</f>
        <v>480000</v>
      </c>
    </row>
    <row r="568" spans="1:15" ht="36" x14ac:dyDescent="0.2">
      <c r="A568" s="6">
        <v>503</v>
      </c>
      <c r="B568" s="6" t="str">
        <f>VLOOKUP(Tabla4[[#This Row],[Codigo]],Tabla2[[Cod]:[Nombre ]],2,0)</f>
        <v>P-1492</v>
      </c>
      <c r="C568" s="53">
        <f>VLOOKUP(Tabla4[[#This Row],[Codigo]],Tabla2[[Cod]:[Nombre ]],3,0)</f>
        <v>45743</v>
      </c>
      <c r="D568" s="6" t="str">
        <f>VLOOKUP(Tabla4[[#This Row],[Codigo]],Tabla2[[Cod]:[Nombre ]],4,0)</f>
        <v>TIS-1474</v>
      </c>
      <c r="E568" s="5" t="str">
        <f>VLOOKUP(Tabla4[[#This Row],[Codigo]],Tabla2[[Cod]:[Nombre ]],8,0)</f>
        <v>ROYCO SOLUCIONES SAS</v>
      </c>
      <c r="F568" s="5" t="str">
        <f>VLOOKUP(Tabla4[[#This Row],[Codigo]],Tabla2[[Cod]:[Nombre ]],6,0)</f>
        <v>OK</v>
      </c>
      <c r="G568" s="7" t="s">
        <v>416</v>
      </c>
      <c r="H568" s="21" t="s">
        <v>519</v>
      </c>
      <c r="I568" s="21" t="s">
        <v>682</v>
      </c>
      <c r="J568" s="163">
        <v>1</v>
      </c>
      <c r="K568" s="294">
        <v>175000</v>
      </c>
      <c r="L568" s="298"/>
      <c r="M568" s="292">
        <f>IF(LEFT(Tabla4[[#This Row],[Electronica]],2)="NC",-Tabla4[[#This Row],[Cantidad]]*Tabla4[[#This Row],[Precio]]+Tabla4[[#This Row],[Dto]],Tabla4[[#This Row],[Cantidad]]*Tabla4[[#This Row],[Precio]]-Tabla4[[#This Row],[Dto]])</f>
        <v>175000</v>
      </c>
      <c r="N568" s="292">
        <f>IFERROR(Tabla4[[#This Row],[Sub Total]]*VLOOKUP(Tabla4[[#This Row],[No]],Parametros!A:C,3,0),0)</f>
        <v>33250</v>
      </c>
      <c r="O568" s="292">
        <f>+Tabla4[[#This Row],[IVA]]+Tabla4[[#This Row],[Sub Total]]</f>
        <v>208250</v>
      </c>
    </row>
    <row r="569" spans="1:15" ht="24" x14ac:dyDescent="0.2">
      <c r="A569" s="6">
        <v>504</v>
      </c>
      <c r="B569" s="6" t="str">
        <f>VLOOKUP(Tabla4[[#This Row],[Codigo]],Tabla2[[Cod]:[Nombre ]],2,0)</f>
        <v>P-1493</v>
      </c>
      <c r="C569" s="53">
        <f>VLOOKUP(Tabla4[[#This Row],[Codigo]],Tabla2[[Cod]:[Nombre ]],3,0)</f>
        <v>45743</v>
      </c>
      <c r="D569" s="6" t="str">
        <f>VLOOKUP(Tabla4[[#This Row],[Codigo]],Tabla2[[Cod]:[Nombre ]],4,0)</f>
        <v>TIS-1475</v>
      </c>
      <c r="E569" s="5" t="str">
        <f>VLOOKUP(Tabla4[[#This Row],[Codigo]],Tabla2[[Cod]:[Nombre ]],8,0)</f>
        <v>FET GROUP SAS</v>
      </c>
      <c r="F569" s="5" t="str">
        <f>VLOOKUP(Tabla4[[#This Row],[Codigo]],Tabla2[[Cod]:[Nombre ]],6,0)</f>
        <v>OK</v>
      </c>
      <c r="G569" s="7" t="s">
        <v>420</v>
      </c>
      <c r="H569" s="21" t="s">
        <v>551</v>
      </c>
      <c r="I569" s="21" t="s">
        <v>684</v>
      </c>
      <c r="J569" s="163">
        <v>4</v>
      </c>
      <c r="K569" s="294">
        <v>200000</v>
      </c>
      <c r="L569" s="298"/>
      <c r="M569" s="292">
        <f>IF(LEFT(Tabla4[[#This Row],[Electronica]],2)="NC",-Tabla4[[#This Row],[Cantidad]]*Tabla4[[#This Row],[Precio]]+Tabla4[[#This Row],[Dto]],Tabla4[[#This Row],[Cantidad]]*Tabla4[[#This Row],[Precio]]-Tabla4[[#This Row],[Dto]])</f>
        <v>800000</v>
      </c>
      <c r="N569" s="292">
        <f>IFERROR(Tabla4[[#This Row],[Sub Total]]*VLOOKUP(Tabla4[[#This Row],[No]],Parametros!A:C,3,0),0)</f>
        <v>152000</v>
      </c>
      <c r="O569" s="292">
        <f>+Tabla4[[#This Row],[IVA]]+Tabla4[[#This Row],[Sub Total]]</f>
        <v>952000</v>
      </c>
    </row>
    <row r="570" spans="1:15" x14ac:dyDescent="0.2">
      <c r="A570" s="6">
        <v>504</v>
      </c>
      <c r="B570" s="6" t="str">
        <f>VLOOKUP(Tabla4[[#This Row],[Codigo]],Tabla2[[Cod]:[Nombre ]],2,0)</f>
        <v>P-1493</v>
      </c>
      <c r="C570" s="53">
        <f>VLOOKUP(Tabla4[[#This Row],[Codigo]],Tabla2[[Cod]:[Nombre ]],3,0)</f>
        <v>45743</v>
      </c>
      <c r="D570" s="6" t="str">
        <f>VLOOKUP(Tabla4[[#This Row],[Codigo]],Tabla2[[Cod]:[Nombre ]],4,0)</f>
        <v>TIS-1475</v>
      </c>
      <c r="E570" s="5" t="str">
        <f>VLOOKUP(Tabla4[[#This Row],[Codigo]],Tabla2[[Cod]:[Nombre ]],8,0)</f>
        <v>FET GROUP SAS</v>
      </c>
      <c r="F570" s="5" t="str">
        <f>VLOOKUP(Tabla4[[#This Row],[Codigo]],Tabla2[[Cod]:[Nombre ]],6,0)</f>
        <v>OK</v>
      </c>
      <c r="G570" s="7" t="s">
        <v>412</v>
      </c>
      <c r="H570" s="21" t="s">
        <v>594</v>
      </c>
      <c r="I570" s="21" t="s">
        <v>685</v>
      </c>
      <c r="J570" s="163">
        <v>1</v>
      </c>
      <c r="K570" s="294">
        <v>600000</v>
      </c>
      <c r="L570" s="298"/>
      <c r="M570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570" s="292">
        <f>IFERROR(Tabla4[[#This Row],[Sub Total]]*VLOOKUP(Tabla4[[#This Row],[No]],Parametros!A:C,3,0),0)</f>
        <v>114000</v>
      </c>
      <c r="O570" s="292">
        <f>+Tabla4[[#This Row],[IVA]]+Tabla4[[#This Row],[Sub Total]]</f>
        <v>714000</v>
      </c>
    </row>
    <row r="571" spans="1:15" ht="24" x14ac:dyDescent="0.2">
      <c r="A571" s="6">
        <v>504</v>
      </c>
      <c r="B571" s="6" t="str">
        <f>VLOOKUP(Tabla4[[#This Row],[Codigo]],Tabla2[[Cod]:[Nombre ]],2,0)</f>
        <v>P-1493</v>
      </c>
      <c r="C571" s="53">
        <f>VLOOKUP(Tabla4[[#This Row],[Codigo]],Tabla2[[Cod]:[Nombre ]],3,0)</f>
        <v>45743</v>
      </c>
      <c r="D571" s="6" t="str">
        <f>VLOOKUP(Tabla4[[#This Row],[Codigo]],Tabla2[[Cod]:[Nombre ]],4,0)</f>
        <v>TIS-1475</v>
      </c>
      <c r="E571" s="5" t="str">
        <f>VLOOKUP(Tabla4[[#This Row],[Codigo]],Tabla2[[Cod]:[Nombre ]],8,0)</f>
        <v>FET GROUP SAS</v>
      </c>
      <c r="F571" s="5" t="str">
        <f>VLOOKUP(Tabla4[[#This Row],[Codigo]],Tabla2[[Cod]:[Nombre ]],6,0)</f>
        <v>OK</v>
      </c>
      <c r="G571" s="7" t="s">
        <v>282</v>
      </c>
      <c r="H571" s="21" t="s">
        <v>16</v>
      </c>
      <c r="I571" s="21" t="s">
        <v>681</v>
      </c>
      <c r="J571" s="163">
        <v>21</v>
      </c>
      <c r="K571" s="294">
        <v>35000</v>
      </c>
      <c r="L571" s="298"/>
      <c r="M571" s="292">
        <f>IF(LEFT(Tabla4[[#This Row],[Electronica]],2)="NC",-Tabla4[[#This Row],[Cantidad]]*Tabla4[[#This Row],[Precio]]+Tabla4[[#This Row],[Dto]],Tabla4[[#This Row],[Cantidad]]*Tabla4[[#This Row],[Precio]]-Tabla4[[#This Row],[Dto]])</f>
        <v>735000</v>
      </c>
      <c r="N571" s="292">
        <f>IFERROR(Tabla4[[#This Row],[Sub Total]]*VLOOKUP(Tabla4[[#This Row],[No]],Parametros!A:C,3,0),0)</f>
        <v>139650</v>
      </c>
      <c r="O571" s="292">
        <f>+Tabla4[[#This Row],[IVA]]+Tabla4[[#This Row],[Sub Total]]</f>
        <v>874650</v>
      </c>
    </row>
    <row r="572" spans="1:15" ht="36" x14ac:dyDescent="0.2">
      <c r="A572" s="6">
        <v>505</v>
      </c>
      <c r="B572" s="6" t="str">
        <f>VLOOKUP(Tabla4[[#This Row],[Codigo]],Tabla2[[Cod]:[Nombre ]],2,0)</f>
        <v>P-1494</v>
      </c>
      <c r="C572" s="53">
        <f>VLOOKUP(Tabla4[[#This Row],[Codigo]],Tabla2[[Cod]:[Nombre ]],3,0)</f>
        <v>45744</v>
      </c>
      <c r="D572" s="6" t="str">
        <f>VLOOKUP(Tabla4[[#This Row],[Codigo]],Tabla2[[Cod]:[Nombre ]],4,0)</f>
        <v>TIS-1476</v>
      </c>
      <c r="E572" s="5" t="str">
        <f>VLOOKUP(Tabla4[[#This Row],[Codigo]],Tabla2[[Cod]:[Nombre ]],8,0)</f>
        <v>Comercializadora ERZ SAS</v>
      </c>
      <c r="F572" s="5" t="str">
        <f>VLOOKUP(Tabla4[[#This Row],[Codigo]],Tabla2[[Cod]:[Nombre ]],6,0)</f>
        <v>OK</v>
      </c>
      <c r="G572" s="7" t="s">
        <v>416</v>
      </c>
      <c r="H572" s="21" t="s">
        <v>519</v>
      </c>
      <c r="I572" s="21" t="s">
        <v>618</v>
      </c>
      <c r="J572" s="163">
        <v>1</v>
      </c>
      <c r="K572" s="294">
        <v>300000</v>
      </c>
      <c r="L572" s="298"/>
      <c r="M572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72" s="292">
        <f>IFERROR(Tabla4[[#This Row],[Sub Total]]*VLOOKUP(Tabla4[[#This Row],[No]],Parametros!A:C,3,0),0)</f>
        <v>57000</v>
      </c>
      <c r="O572" s="292">
        <f>+Tabla4[[#This Row],[IVA]]+Tabla4[[#This Row],[Sub Total]]</f>
        <v>357000</v>
      </c>
    </row>
    <row r="573" spans="1:15" ht="45" x14ac:dyDescent="0.2">
      <c r="A573" s="6">
        <v>506</v>
      </c>
      <c r="B573" s="6" t="str">
        <f>VLOOKUP(Tabla4[[#This Row],[Codigo]],Tabla2[[Cod]:[Nombre ]],2,0)</f>
        <v>P-1495</v>
      </c>
      <c r="C573" s="53">
        <f>VLOOKUP(Tabla4[[#This Row],[Codigo]],Tabla2[[Cod]:[Nombre ]],3,0)</f>
        <v>45744</v>
      </c>
      <c r="D573" s="6" t="str">
        <f>VLOOKUP(Tabla4[[#This Row],[Codigo]],Tabla2[[Cod]:[Nombre ]],4,0)</f>
        <v>TIS-1477</v>
      </c>
      <c r="E573" s="5" t="str">
        <f>VLOOKUP(Tabla4[[#This Row],[Codigo]],Tabla2[[Cod]:[Nombre ]],8,0)</f>
        <v>DIGITAL MEDIA TECHNOLOGIES COLOMBIA SAS</v>
      </c>
      <c r="F573" s="5" t="str">
        <f>VLOOKUP(Tabla4[[#This Row],[Codigo]],Tabla2[[Cod]:[Nombre ]],6,0)</f>
        <v>OK</v>
      </c>
      <c r="G573" s="7" t="s">
        <v>416</v>
      </c>
      <c r="H573" s="21" t="s">
        <v>519</v>
      </c>
      <c r="I573" s="21" t="s">
        <v>618</v>
      </c>
      <c r="J573" s="163">
        <v>1</v>
      </c>
      <c r="K573" s="294">
        <v>300000</v>
      </c>
      <c r="L573" s="298"/>
      <c r="M573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73" s="292">
        <f>IFERROR(Tabla4[[#This Row],[Sub Total]]*VLOOKUP(Tabla4[[#This Row],[No]],Parametros!A:C,3,0),0)</f>
        <v>57000</v>
      </c>
      <c r="O573" s="292">
        <f>+Tabla4[[#This Row],[IVA]]+Tabla4[[#This Row],[Sub Total]]</f>
        <v>357000</v>
      </c>
    </row>
    <row r="574" spans="1:15" ht="36" x14ac:dyDescent="0.2">
      <c r="A574" s="6">
        <v>507</v>
      </c>
      <c r="B574" s="6" t="str">
        <f>VLOOKUP(Tabla4[[#This Row],[Codigo]],Tabla2[[Cod]:[Nombre ]],2,0)</f>
        <v>P-1496</v>
      </c>
      <c r="C574" s="53">
        <f>VLOOKUP(Tabla4[[#This Row],[Codigo]],Tabla2[[Cod]:[Nombre ]],3,0)</f>
        <v>45744</v>
      </c>
      <c r="D574" s="6" t="str">
        <f>VLOOKUP(Tabla4[[#This Row],[Codigo]],Tabla2[[Cod]:[Nombre ]],4,0)</f>
        <v>TIS-1478</v>
      </c>
      <c r="E574" s="5" t="str">
        <f>VLOOKUP(Tabla4[[#This Row],[Codigo]],Tabla2[[Cod]:[Nombre ]],8,0)</f>
        <v>ROYCO SOLUCIONES SAS</v>
      </c>
      <c r="F574" s="5" t="str">
        <f>VLOOKUP(Tabla4[[#This Row],[Codigo]],Tabla2[[Cod]:[Nombre ]],6,0)</f>
        <v>OK</v>
      </c>
      <c r="G574" s="7" t="s">
        <v>416</v>
      </c>
      <c r="H574" s="21" t="s">
        <v>519</v>
      </c>
      <c r="I574" s="21" t="s">
        <v>686</v>
      </c>
      <c r="J574" s="163">
        <v>1</v>
      </c>
      <c r="K574" s="294">
        <v>250000</v>
      </c>
      <c r="L574" s="298"/>
      <c r="M574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574" s="292">
        <f>IFERROR(Tabla4[[#This Row],[Sub Total]]*VLOOKUP(Tabla4[[#This Row],[No]],Parametros!A:C,3,0),0)</f>
        <v>47500</v>
      </c>
      <c r="O574" s="292">
        <f>+Tabla4[[#This Row],[IVA]]+Tabla4[[#This Row],[Sub Total]]</f>
        <v>297500</v>
      </c>
    </row>
    <row r="575" spans="1:15" ht="36" x14ac:dyDescent="0.2">
      <c r="A575" s="6">
        <v>508</v>
      </c>
      <c r="B575" s="6" t="str">
        <f>VLOOKUP(Tabla4[[#This Row],[Codigo]],Tabla2[[Cod]:[Nombre ]],2,0)</f>
        <v>P-1497</v>
      </c>
      <c r="C575" s="53">
        <f>VLOOKUP(Tabla4[[#This Row],[Codigo]],Tabla2[[Cod]:[Nombre ]],3,0)</f>
        <v>45744</v>
      </c>
      <c r="D575" s="6" t="str">
        <f>VLOOKUP(Tabla4[[#This Row],[Codigo]],Tabla2[[Cod]:[Nombre ]],4,0)</f>
        <v>TIS-1479</v>
      </c>
      <c r="E575" s="5" t="str">
        <f>VLOOKUP(Tabla4[[#This Row],[Codigo]],Tabla2[[Cod]:[Nombre ]],8,0)</f>
        <v>Inversiones Sajamib SAS</v>
      </c>
      <c r="F575" s="5" t="str">
        <f>VLOOKUP(Tabla4[[#This Row],[Codigo]],Tabla2[[Cod]:[Nombre ]],6,0)</f>
        <v>OK</v>
      </c>
      <c r="G575" s="7" t="s">
        <v>417</v>
      </c>
      <c r="H575" s="21" t="s">
        <v>525</v>
      </c>
      <c r="I575" s="21" t="s">
        <v>687</v>
      </c>
      <c r="J575" s="163">
        <v>1</v>
      </c>
      <c r="K575" s="294">
        <v>480000</v>
      </c>
      <c r="L575" s="298"/>
      <c r="M575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575" s="292">
        <f>IFERROR(Tabla4[[#This Row],[Sub Total]]*VLOOKUP(Tabla4[[#This Row],[No]],Parametros!A:C,3,0),0)</f>
        <v>0</v>
      </c>
      <c r="O575" s="292">
        <f>+Tabla4[[#This Row],[IVA]]+Tabla4[[#This Row],[Sub Total]]</f>
        <v>480000</v>
      </c>
    </row>
    <row r="576" spans="1:15" ht="36" x14ac:dyDescent="0.2">
      <c r="A576" s="6">
        <v>509</v>
      </c>
      <c r="B576" s="6" t="str">
        <f>VLOOKUP(Tabla4[[#This Row],[Codigo]],Tabla2[[Cod]:[Nombre ]],2,0)</f>
        <v>P-1498</v>
      </c>
      <c r="C576" s="53">
        <f>VLOOKUP(Tabla4[[#This Row],[Codigo]],Tabla2[[Cod]:[Nombre ]],3,0)</f>
        <v>45744</v>
      </c>
      <c r="D576" s="6" t="str">
        <f>VLOOKUP(Tabla4[[#This Row],[Codigo]],Tabla2[[Cod]:[Nombre ]],4,0)</f>
        <v>TIS-1480</v>
      </c>
      <c r="E576" s="5" t="str">
        <f>VLOOKUP(Tabla4[[#This Row],[Codigo]],Tabla2[[Cod]:[Nombre ]],8,0)</f>
        <v>STAFF SEGUROS AGENCIA LTDA</v>
      </c>
      <c r="F576" s="5" t="str">
        <f>VLOOKUP(Tabla4[[#This Row],[Codigo]],Tabla2[[Cod]:[Nombre ]],6,0)</f>
        <v>OK</v>
      </c>
      <c r="G576" s="7" t="s">
        <v>417</v>
      </c>
      <c r="H576" s="21" t="s">
        <v>525</v>
      </c>
      <c r="I576" s="21" t="s">
        <v>688</v>
      </c>
      <c r="J576" s="163">
        <v>1</v>
      </c>
      <c r="K576" s="294">
        <v>1220000</v>
      </c>
      <c r="L576" s="298"/>
      <c r="M576" s="292">
        <f>IF(LEFT(Tabla4[[#This Row],[Electronica]],2)="NC",-Tabla4[[#This Row],[Cantidad]]*Tabla4[[#This Row],[Precio]]+Tabla4[[#This Row],[Dto]],Tabla4[[#This Row],[Cantidad]]*Tabla4[[#This Row],[Precio]]-Tabla4[[#This Row],[Dto]])</f>
        <v>1220000</v>
      </c>
      <c r="N576" s="292">
        <f>IFERROR(Tabla4[[#This Row],[Sub Total]]*VLOOKUP(Tabla4[[#This Row],[No]],Parametros!A:C,3,0),0)</f>
        <v>0</v>
      </c>
      <c r="O576" s="292">
        <f>+Tabla4[[#This Row],[IVA]]+Tabla4[[#This Row],[Sub Total]]</f>
        <v>1220000</v>
      </c>
    </row>
    <row r="577" spans="1:15" ht="24" x14ac:dyDescent="0.2">
      <c r="A577" s="6">
        <v>510</v>
      </c>
      <c r="B577" s="6" t="str">
        <f>VLOOKUP(Tabla4[[#This Row],[Codigo]],Tabla2[[Cod]:[Nombre ]],2,0)</f>
        <v>P-1499</v>
      </c>
      <c r="C577" s="53">
        <f>VLOOKUP(Tabla4[[#This Row],[Codigo]],Tabla2[[Cod]:[Nombre ]],3,0)</f>
        <v>45744</v>
      </c>
      <c r="D577" s="6" t="str">
        <f>VLOOKUP(Tabla4[[#This Row],[Codigo]],Tabla2[[Cod]:[Nombre ]],4,0)</f>
        <v>TIS-1481</v>
      </c>
      <c r="E577" s="5" t="str">
        <f>VLOOKUP(Tabla4[[#This Row],[Codigo]],Tabla2[[Cod]:[Nombre ]],8,0)</f>
        <v>CHOHO COLOMBIA SAS</v>
      </c>
      <c r="F577" s="5" t="str">
        <f>VLOOKUP(Tabla4[[#This Row],[Codigo]],Tabla2[[Cod]:[Nombre ]],6,0)</f>
        <v>OK</v>
      </c>
      <c r="G577" s="7" t="s">
        <v>433</v>
      </c>
      <c r="H577" s="21" t="s">
        <v>517</v>
      </c>
      <c r="I577" s="21" t="s">
        <v>689</v>
      </c>
      <c r="J577" s="163">
        <v>1</v>
      </c>
      <c r="K577" s="294">
        <v>825000</v>
      </c>
      <c r="L577" s="298"/>
      <c r="M577" s="292">
        <f>IF(LEFT(Tabla4[[#This Row],[Electronica]],2)="NC",-Tabla4[[#This Row],[Cantidad]]*Tabla4[[#This Row],[Precio]]+Tabla4[[#This Row],[Dto]],Tabla4[[#This Row],[Cantidad]]*Tabla4[[#This Row],[Precio]]-Tabla4[[#This Row],[Dto]])</f>
        <v>825000</v>
      </c>
      <c r="N577" s="292">
        <f>IFERROR(Tabla4[[#This Row],[Sub Total]]*VLOOKUP(Tabla4[[#This Row],[No]],Parametros!A:C,3,0),0)</f>
        <v>156750</v>
      </c>
      <c r="O577" s="292">
        <f>+Tabla4[[#This Row],[IVA]]+Tabla4[[#This Row],[Sub Total]]</f>
        <v>981750</v>
      </c>
    </row>
    <row r="578" spans="1:15" ht="24" x14ac:dyDescent="0.2">
      <c r="A578" s="6">
        <v>511</v>
      </c>
      <c r="B578" s="6" t="str">
        <f>VLOOKUP(Tabla4[[#This Row],[Codigo]],Tabla2[[Cod]:[Nombre ]],2,0)</f>
        <v>P-1500</v>
      </c>
      <c r="C578" s="53">
        <f>VLOOKUP(Tabla4[[#This Row],[Codigo]],Tabla2[[Cod]:[Nombre ]],3,0)</f>
        <v>45744</v>
      </c>
      <c r="D578" s="6" t="str">
        <f>VLOOKUP(Tabla4[[#This Row],[Codigo]],Tabla2[[Cod]:[Nombre ]],4,0)</f>
        <v>TIS-1482</v>
      </c>
      <c r="E578" s="5" t="str">
        <f>VLOOKUP(Tabla4[[#This Row],[Codigo]],Tabla2[[Cod]:[Nombre ]],8,0)</f>
        <v>BTG DE ANTIOQUIA</v>
      </c>
      <c r="F578" s="5" t="str">
        <f>VLOOKUP(Tabla4[[#This Row],[Codigo]],Tabla2[[Cod]:[Nombre ]],6,0)</f>
        <v>OK</v>
      </c>
      <c r="G578" s="7" t="s">
        <v>433</v>
      </c>
      <c r="H578" s="21" t="s">
        <v>517</v>
      </c>
      <c r="I578" s="21" t="s">
        <v>622</v>
      </c>
      <c r="J578" s="163">
        <v>1</v>
      </c>
      <c r="K578" s="294">
        <v>750000</v>
      </c>
      <c r="L578" s="298"/>
      <c r="M578" s="292">
        <f>IF(LEFT(Tabla4[[#This Row],[Electronica]],2)="NC",-Tabla4[[#This Row],[Cantidad]]*Tabla4[[#This Row],[Precio]]+Tabla4[[#This Row],[Dto]],Tabla4[[#This Row],[Cantidad]]*Tabla4[[#This Row],[Precio]]-Tabla4[[#This Row],[Dto]])</f>
        <v>750000</v>
      </c>
      <c r="N578" s="292">
        <f>IFERROR(Tabla4[[#This Row],[Sub Total]]*VLOOKUP(Tabla4[[#This Row],[No]],Parametros!A:C,3,0),0)</f>
        <v>142500</v>
      </c>
      <c r="O578" s="292">
        <f>+Tabla4[[#This Row],[IVA]]+Tabla4[[#This Row],[Sub Total]]</f>
        <v>892500</v>
      </c>
    </row>
    <row r="579" spans="1:15" ht="24" x14ac:dyDescent="0.2">
      <c r="A579" s="6">
        <v>512</v>
      </c>
      <c r="B579" s="6" t="str">
        <f>VLOOKUP(Tabla4[[#This Row],[Codigo]],Tabla2[[Cod]:[Nombre ]],2,0)</f>
        <v>P-1501</v>
      </c>
      <c r="C579" s="53">
        <f>VLOOKUP(Tabla4[[#This Row],[Codigo]],Tabla2[[Cod]:[Nombre ]],3,0)</f>
        <v>45744</v>
      </c>
      <c r="D579" s="6" t="str">
        <f>VLOOKUP(Tabla4[[#This Row],[Codigo]],Tabla2[[Cod]:[Nombre ]],4,0)</f>
        <v>TIS-1483</v>
      </c>
      <c r="E579" s="5" t="str">
        <f>VLOOKUP(Tabla4[[#This Row],[Codigo]],Tabla2[[Cod]:[Nombre ]],8,0)</f>
        <v>H &amp; S FRANQUICIAS SAS</v>
      </c>
      <c r="F579" s="5" t="str">
        <f>VLOOKUP(Tabla4[[#This Row],[Codigo]],Tabla2[[Cod]:[Nombre ]],6,0)</f>
        <v>OK</v>
      </c>
      <c r="G579" s="7" t="s">
        <v>420</v>
      </c>
      <c r="H579" s="21" t="s">
        <v>551</v>
      </c>
      <c r="I579" s="21" t="s">
        <v>690</v>
      </c>
      <c r="J579" s="163">
        <v>6</v>
      </c>
      <c r="K579" s="294">
        <v>330000</v>
      </c>
      <c r="L579" s="298"/>
      <c r="M579" s="292">
        <f>IF(LEFT(Tabla4[[#This Row],[Electronica]],2)="NC",-Tabla4[[#This Row],[Cantidad]]*Tabla4[[#This Row],[Precio]]+Tabla4[[#This Row],[Dto]],Tabla4[[#This Row],[Cantidad]]*Tabla4[[#This Row],[Precio]]-Tabla4[[#This Row],[Dto]])</f>
        <v>1980000</v>
      </c>
      <c r="N579" s="292">
        <f>IFERROR(Tabla4[[#This Row],[Sub Total]]*VLOOKUP(Tabla4[[#This Row],[No]],Parametros!A:C,3,0),0)</f>
        <v>376200</v>
      </c>
      <c r="O579" s="292">
        <f>+Tabla4[[#This Row],[IVA]]+Tabla4[[#This Row],[Sub Total]]</f>
        <v>2356200</v>
      </c>
    </row>
    <row r="580" spans="1:15" ht="45" x14ac:dyDescent="0.2">
      <c r="A580" s="6">
        <v>513</v>
      </c>
      <c r="B580" s="6" t="str">
        <f>VLOOKUP(Tabla4[[#This Row],[Codigo]],Tabla2[[Cod]:[Nombre ]],2,0)</f>
        <v>P-1502</v>
      </c>
      <c r="C580" s="53">
        <f>VLOOKUP(Tabla4[[#This Row],[Codigo]],Tabla2[[Cod]:[Nombre ]],3,0)</f>
        <v>45744</v>
      </c>
      <c r="D580" s="6" t="str">
        <f>VLOOKUP(Tabla4[[#This Row],[Codigo]],Tabla2[[Cod]:[Nombre ]],4,0)</f>
        <v>TIS-1484</v>
      </c>
      <c r="E580" s="5" t="str">
        <f>VLOOKUP(Tabla4[[#This Row],[Codigo]],Tabla2[[Cod]:[Nombre ]],8,0)</f>
        <v>FIDEICOMISOS SOCIEDAD FIDUCIARIA DE OCCIDENTE SA</v>
      </c>
      <c r="F580" s="5" t="str">
        <f>VLOOKUP(Tabla4[[#This Row],[Codigo]],Tabla2[[Cod]:[Nombre ]],6,0)</f>
        <v>OK</v>
      </c>
      <c r="G580" s="7" t="s">
        <v>282</v>
      </c>
      <c r="H580" s="21" t="s">
        <v>16</v>
      </c>
      <c r="I580" s="21" t="s">
        <v>691</v>
      </c>
      <c r="J580" s="163">
        <v>257</v>
      </c>
      <c r="K580" s="294">
        <v>29800</v>
      </c>
      <c r="L580" s="298"/>
      <c r="M580" s="292">
        <f>IF(LEFT(Tabla4[[#This Row],[Electronica]],2)="NC",-Tabla4[[#This Row],[Cantidad]]*Tabla4[[#This Row],[Precio]]+Tabla4[[#This Row],[Dto]],Tabla4[[#This Row],[Cantidad]]*Tabla4[[#This Row],[Precio]]-Tabla4[[#This Row],[Dto]])</f>
        <v>7658600</v>
      </c>
      <c r="N580" s="292">
        <f>IFERROR(Tabla4[[#This Row],[Sub Total]]*VLOOKUP(Tabla4[[#This Row],[No]],Parametros!A:C,3,0),0)</f>
        <v>1455134</v>
      </c>
      <c r="O580" s="292">
        <f>+Tabla4[[#This Row],[IVA]]+Tabla4[[#This Row],[Sub Total]]</f>
        <v>9113734</v>
      </c>
    </row>
    <row r="581" spans="1:15" ht="36" x14ac:dyDescent="0.2">
      <c r="A581" s="6">
        <v>514</v>
      </c>
      <c r="B581" s="6" t="str">
        <f>VLOOKUP(Tabla4[[#This Row],[Codigo]],Tabla2[[Cod]:[Nombre ]],2,0)</f>
        <v>P-1503</v>
      </c>
      <c r="C581" s="53">
        <f>VLOOKUP(Tabla4[[#This Row],[Codigo]],Tabla2[[Cod]:[Nombre ]],3,0)</f>
        <v>45744</v>
      </c>
      <c r="D581" s="6" t="str">
        <f>VLOOKUP(Tabla4[[#This Row],[Codigo]],Tabla2[[Cod]:[Nombre ]],4,0)</f>
        <v>NC-43</v>
      </c>
      <c r="E581" s="5" t="str">
        <f>VLOOKUP(Tabla4[[#This Row],[Codigo]],Tabla2[[Cod]:[Nombre ]],8,0)</f>
        <v>COMPAÑIA DE SEGUROS BOLIVAR S A</v>
      </c>
      <c r="F581" s="5" t="str">
        <f>VLOOKUP(Tabla4[[#This Row],[Codigo]],Tabla2[[Cod]:[Nombre ]],6,0)</f>
        <v>OK</v>
      </c>
      <c r="G581" s="7" t="s">
        <v>416</v>
      </c>
      <c r="H581" s="21" t="s">
        <v>519</v>
      </c>
      <c r="I581" s="21" t="s">
        <v>668</v>
      </c>
      <c r="J581" s="163">
        <v>1</v>
      </c>
      <c r="K581" s="294">
        <v>220000</v>
      </c>
      <c r="L581" s="298"/>
      <c r="M581" s="292">
        <f>IF(LEFT(Tabla4[[#This Row],[Electronica]],2)="NC",-Tabla4[[#This Row],[Cantidad]]*Tabla4[[#This Row],[Precio]]+Tabla4[[#This Row],[Dto]],Tabla4[[#This Row],[Cantidad]]*Tabla4[[#This Row],[Precio]]-Tabla4[[#This Row],[Dto]])</f>
        <v>-220000</v>
      </c>
      <c r="N581" s="292">
        <f>IFERROR(Tabla4[[#This Row],[Sub Total]]*VLOOKUP(Tabla4[[#This Row],[No]],Parametros!A:C,3,0),0)</f>
        <v>-41800</v>
      </c>
      <c r="O581" s="292">
        <f>+Tabla4[[#This Row],[IVA]]+Tabla4[[#This Row],[Sub Total]]</f>
        <v>-261800</v>
      </c>
    </row>
    <row r="582" spans="1:15" ht="36" x14ac:dyDescent="0.2">
      <c r="A582" s="6">
        <v>515</v>
      </c>
      <c r="B582" s="6" t="str">
        <f>VLOOKUP(Tabla4[[#This Row],[Codigo]],Tabla2[[Cod]:[Nombre ]],2,0)</f>
        <v>P-1504</v>
      </c>
      <c r="C582" s="53">
        <f>VLOOKUP(Tabla4[[#This Row],[Codigo]],Tabla2[[Cod]:[Nombre ]],3,0)</f>
        <v>45749</v>
      </c>
      <c r="D582" s="6" t="str">
        <f>VLOOKUP(Tabla4[[#This Row],[Codigo]],Tabla2[[Cod]:[Nombre ]],4,0)</f>
        <v>TIS-1360</v>
      </c>
      <c r="E582" s="5" t="str">
        <f>VLOOKUP(Tabla4[[#This Row],[Codigo]],Tabla2[[Cod]:[Nombre ]],8,0)</f>
        <v>BIO ENDOSCOPE LTDA</v>
      </c>
      <c r="F582" s="5" t="str">
        <f>VLOOKUP(Tabla4[[#This Row],[Codigo]],Tabla2[[Cod]:[Nombre ]],6,0)</f>
        <v>OK</v>
      </c>
      <c r="G582" s="7" t="s">
        <v>416</v>
      </c>
      <c r="H582" s="21" t="s">
        <v>519</v>
      </c>
      <c r="I582" s="21" t="s">
        <v>619</v>
      </c>
      <c r="J582" s="163">
        <v>1</v>
      </c>
      <c r="K582" s="294">
        <v>400000</v>
      </c>
      <c r="L582" s="298"/>
      <c r="M582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582" s="292">
        <f>IFERROR(Tabla4[[#This Row],[Sub Total]]*VLOOKUP(Tabla4[[#This Row],[No]],Parametros!A:C,3,0),0)</f>
        <v>76000</v>
      </c>
      <c r="O582" s="292">
        <f>+Tabla4[[#This Row],[IVA]]+Tabla4[[#This Row],[Sub Total]]</f>
        <v>476000</v>
      </c>
    </row>
    <row r="583" spans="1:15" ht="36" x14ac:dyDescent="0.2">
      <c r="A583" s="6">
        <v>516</v>
      </c>
      <c r="B583" s="6" t="str">
        <f>VLOOKUP(Tabla4[[#This Row],[Codigo]],Tabla2[[Cod]:[Nombre ]],2,0)</f>
        <v>P-1505</v>
      </c>
      <c r="C583" s="53">
        <f>VLOOKUP(Tabla4[[#This Row],[Codigo]],Tabla2[[Cod]:[Nombre ]],3,0)</f>
        <v>45757</v>
      </c>
      <c r="D583" s="6" t="str">
        <f>VLOOKUP(Tabla4[[#This Row],[Codigo]],Tabla2[[Cod]:[Nombre ]],4,0)</f>
        <v>TIS-1485</v>
      </c>
      <c r="E583" s="5" t="str">
        <f>VLOOKUP(Tabla4[[#This Row],[Codigo]],Tabla2[[Cod]:[Nombre ]],8,0)</f>
        <v>Comercializadora ERZ SAS</v>
      </c>
      <c r="F583" s="5" t="str">
        <f>VLOOKUP(Tabla4[[#This Row],[Codigo]],Tabla2[[Cod]:[Nombre ]],6,0)</f>
        <v>OK</v>
      </c>
      <c r="G583" s="7" t="s">
        <v>416</v>
      </c>
      <c r="H583" s="21" t="s">
        <v>519</v>
      </c>
      <c r="I583" s="21" t="s">
        <v>692</v>
      </c>
      <c r="J583" s="163">
        <v>1</v>
      </c>
      <c r="K583" s="294">
        <v>300000</v>
      </c>
      <c r="L583" s="298"/>
      <c r="M583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83" s="292">
        <f>IFERROR(Tabla4[[#This Row],[Sub Total]]*VLOOKUP(Tabla4[[#This Row],[No]],Parametros!A:C,3,0),0)</f>
        <v>57000</v>
      </c>
      <c r="O583" s="292">
        <f>+Tabla4[[#This Row],[IVA]]+Tabla4[[#This Row],[Sub Total]]</f>
        <v>357000</v>
      </c>
    </row>
    <row r="584" spans="1:15" ht="45" x14ac:dyDescent="0.2">
      <c r="A584" s="6">
        <v>517</v>
      </c>
      <c r="B584" s="6" t="str">
        <f>VLOOKUP(Tabla4[[#This Row],[Codigo]],Tabla2[[Cod]:[Nombre ]],2,0)</f>
        <v>P-1506</v>
      </c>
      <c r="C584" s="53">
        <f>VLOOKUP(Tabla4[[#This Row],[Codigo]],Tabla2[[Cod]:[Nombre ]],3,0)</f>
        <v>45757</v>
      </c>
      <c r="D584" s="6" t="str">
        <f>VLOOKUP(Tabla4[[#This Row],[Codigo]],Tabla2[[Cod]:[Nombre ]],4,0)</f>
        <v>TIS-1486</v>
      </c>
      <c r="E584" s="5" t="str">
        <f>VLOOKUP(Tabla4[[#This Row],[Codigo]],Tabla2[[Cod]:[Nombre ]],8,0)</f>
        <v>DIGITAL MEDIA TECHNOLOGIES COLOMBIA SAS</v>
      </c>
      <c r="F584" s="5" t="str">
        <f>VLOOKUP(Tabla4[[#This Row],[Codigo]],Tabla2[[Cod]:[Nombre ]],6,0)</f>
        <v>OK</v>
      </c>
      <c r="G584" s="7" t="s">
        <v>416</v>
      </c>
      <c r="H584" s="21" t="s">
        <v>519</v>
      </c>
      <c r="I584" s="21" t="s">
        <v>692</v>
      </c>
      <c r="J584" s="163">
        <v>1</v>
      </c>
      <c r="K584" s="294">
        <v>300000</v>
      </c>
      <c r="L584" s="298"/>
      <c r="M584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84" s="292">
        <f>IFERROR(Tabla4[[#This Row],[Sub Total]]*VLOOKUP(Tabla4[[#This Row],[No]],Parametros!A:C,3,0),0)</f>
        <v>57000</v>
      </c>
      <c r="O584" s="292">
        <f>+Tabla4[[#This Row],[IVA]]+Tabla4[[#This Row],[Sub Total]]</f>
        <v>357000</v>
      </c>
    </row>
    <row r="585" spans="1:15" ht="36" x14ac:dyDescent="0.2">
      <c r="A585" s="6">
        <v>518</v>
      </c>
      <c r="B585" s="6" t="str">
        <f>VLOOKUP(Tabla4[[#This Row],[Codigo]],Tabla2[[Cod]:[Nombre ]],2,0)</f>
        <v>P-1507</v>
      </c>
      <c r="C585" s="53">
        <f>VLOOKUP(Tabla4[[#This Row],[Codigo]],Tabla2[[Cod]:[Nombre ]],3,0)</f>
        <v>45757</v>
      </c>
      <c r="D585" s="6" t="str">
        <f>VLOOKUP(Tabla4[[#This Row],[Codigo]],Tabla2[[Cod]:[Nombre ]],4,0)</f>
        <v>TIS-1487</v>
      </c>
      <c r="E585" s="5" t="str">
        <f>VLOOKUP(Tabla4[[#This Row],[Codigo]],Tabla2[[Cod]:[Nombre ]],8,0)</f>
        <v>ROYCO SOLUCIONES SAS</v>
      </c>
      <c r="F585" s="5" t="str">
        <f>VLOOKUP(Tabla4[[#This Row],[Codigo]],Tabla2[[Cod]:[Nombre ]],6,0)</f>
        <v>OK</v>
      </c>
      <c r="G585" s="7" t="s">
        <v>416</v>
      </c>
      <c r="H585" s="21" t="s">
        <v>519</v>
      </c>
      <c r="I585" s="21" t="s">
        <v>692</v>
      </c>
      <c r="J585" s="163">
        <v>1</v>
      </c>
      <c r="K585" s="294">
        <v>250000</v>
      </c>
      <c r="L585" s="298"/>
      <c r="M585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585" s="292">
        <f>IFERROR(Tabla4[[#This Row],[Sub Total]]*VLOOKUP(Tabla4[[#This Row],[No]],Parametros!A:C,3,0),0)</f>
        <v>47500</v>
      </c>
      <c r="O585" s="292">
        <f>+Tabla4[[#This Row],[IVA]]+Tabla4[[#This Row],[Sub Total]]</f>
        <v>297500</v>
      </c>
    </row>
    <row r="586" spans="1:15" ht="36" x14ac:dyDescent="0.2">
      <c r="A586" s="6">
        <v>519</v>
      </c>
      <c r="B586" s="6" t="str">
        <f>VLOOKUP(Tabla4[[#This Row],[Codigo]],Tabla2[[Cod]:[Nombre ]],2,0)</f>
        <v>P-1508</v>
      </c>
      <c r="C586" s="53">
        <f>VLOOKUP(Tabla4[[#This Row],[Codigo]],Tabla2[[Cod]:[Nombre ]],3,0)</f>
        <v>45757</v>
      </c>
      <c r="D586" s="6" t="str">
        <f>VLOOKUP(Tabla4[[#This Row],[Codigo]],Tabla2[[Cod]:[Nombre ]],4,0)</f>
        <v>TIS-1488</v>
      </c>
      <c r="E586" s="5" t="str">
        <f>VLOOKUP(Tabla4[[#This Row],[Codigo]],Tabla2[[Cod]:[Nombre ]],8,0)</f>
        <v>Inversiones Sajamib SAS</v>
      </c>
      <c r="F586" s="5" t="str">
        <f>VLOOKUP(Tabla4[[#This Row],[Codigo]],Tabla2[[Cod]:[Nombre ]],6,0)</f>
        <v>OK</v>
      </c>
      <c r="G586" s="7" t="s">
        <v>417</v>
      </c>
      <c r="H586" s="21" t="s">
        <v>525</v>
      </c>
      <c r="I586" s="21" t="s">
        <v>693</v>
      </c>
      <c r="J586" s="163">
        <v>1</v>
      </c>
      <c r="K586" s="294">
        <v>480000</v>
      </c>
      <c r="L586" s="298"/>
      <c r="M586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586" s="292">
        <f>IFERROR(Tabla4[[#This Row],[Sub Total]]*VLOOKUP(Tabla4[[#This Row],[No]],Parametros!A:C,3,0),0)</f>
        <v>0</v>
      </c>
      <c r="O586" s="292">
        <f>+Tabla4[[#This Row],[IVA]]+Tabla4[[#This Row],[Sub Total]]</f>
        <v>480000</v>
      </c>
    </row>
    <row r="587" spans="1:15" ht="36" x14ac:dyDescent="0.2">
      <c r="A587" s="6">
        <v>520</v>
      </c>
      <c r="B587" s="6" t="str">
        <f>VLOOKUP(Tabla4[[#This Row],[Codigo]],Tabla2[[Cod]:[Nombre ]],2,0)</f>
        <v>P-1509</v>
      </c>
      <c r="C587" s="53">
        <f>VLOOKUP(Tabla4[[#This Row],[Codigo]],Tabla2[[Cod]:[Nombre ]],3,0)</f>
        <v>45757</v>
      </c>
      <c r="D587" s="6" t="str">
        <f>VLOOKUP(Tabla4[[#This Row],[Codigo]],Tabla2[[Cod]:[Nombre ]],4,0)</f>
        <v>TIS-1489</v>
      </c>
      <c r="E587" s="5" t="str">
        <f>VLOOKUP(Tabla4[[#This Row],[Codigo]],Tabla2[[Cod]:[Nombre ]],8,0)</f>
        <v>STAFF SEGUROS AGENCIA LTDA</v>
      </c>
      <c r="F587" s="5" t="str">
        <f>VLOOKUP(Tabla4[[#This Row],[Codigo]],Tabla2[[Cod]:[Nombre ]],6,0)</f>
        <v>OK</v>
      </c>
      <c r="G587" s="7" t="s">
        <v>417</v>
      </c>
      <c r="H587" s="21" t="s">
        <v>525</v>
      </c>
      <c r="I587" s="21" t="s">
        <v>693</v>
      </c>
      <c r="J587" s="163">
        <v>1</v>
      </c>
      <c r="K587" s="294">
        <v>1350000</v>
      </c>
      <c r="L587" s="298"/>
      <c r="M587" s="292">
        <f>IF(LEFT(Tabla4[[#This Row],[Electronica]],2)="NC",-Tabla4[[#This Row],[Cantidad]]*Tabla4[[#This Row],[Precio]]+Tabla4[[#This Row],[Dto]],Tabla4[[#This Row],[Cantidad]]*Tabla4[[#This Row],[Precio]]-Tabla4[[#This Row],[Dto]])</f>
        <v>1350000</v>
      </c>
      <c r="N587" s="292">
        <f>IFERROR(Tabla4[[#This Row],[Sub Total]]*VLOOKUP(Tabla4[[#This Row],[No]],Parametros!A:C,3,0),0)</f>
        <v>0</v>
      </c>
      <c r="O587" s="292">
        <f>+Tabla4[[#This Row],[IVA]]+Tabla4[[#This Row],[Sub Total]]</f>
        <v>1350000</v>
      </c>
    </row>
    <row r="588" spans="1:15" ht="36" x14ac:dyDescent="0.2">
      <c r="A588" s="6">
        <v>521</v>
      </c>
      <c r="B588" s="6" t="str">
        <f>VLOOKUP(Tabla4[[#This Row],[Codigo]],Tabla2[[Cod]:[Nombre ]],2,0)</f>
        <v>P-1510</v>
      </c>
      <c r="C588" s="53">
        <f>VLOOKUP(Tabla4[[#This Row],[Codigo]],Tabla2[[Cod]:[Nombre ]],3,0)</f>
        <v>45757</v>
      </c>
      <c r="D588" s="6" t="str">
        <f>VLOOKUP(Tabla4[[#This Row],[Codigo]],Tabla2[[Cod]:[Nombre ]],4,0)</f>
        <v>TIS-1490</v>
      </c>
      <c r="E588" s="5" t="str">
        <f>VLOOKUP(Tabla4[[#This Row],[Codigo]],Tabla2[[Cod]:[Nombre ]],8,0)</f>
        <v>CAVACOR S.A.S</v>
      </c>
      <c r="F588" s="5" t="str">
        <f>VLOOKUP(Tabla4[[#This Row],[Codigo]],Tabla2[[Cod]:[Nombre ]],6,0)</f>
        <v>OK</v>
      </c>
      <c r="G588" s="7" t="s">
        <v>416</v>
      </c>
      <c r="H588" s="21" t="s">
        <v>519</v>
      </c>
      <c r="I588" s="21" t="s">
        <v>619</v>
      </c>
      <c r="J588" s="163">
        <v>1</v>
      </c>
      <c r="K588" s="294">
        <v>1000000</v>
      </c>
      <c r="L588" s="298"/>
      <c r="M588" s="292">
        <f>IF(LEFT(Tabla4[[#This Row],[Electronica]],2)="NC",-Tabla4[[#This Row],[Cantidad]]*Tabla4[[#This Row],[Precio]]+Tabla4[[#This Row],[Dto]],Tabla4[[#This Row],[Cantidad]]*Tabla4[[#This Row],[Precio]]-Tabla4[[#This Row],[Dto]])</f>
        <v>1000000</v>
      </c>
      <c r="N588" s="292">
        <f>IFERROR(Tabla4[[#This Row],[Sub Total]]*VLOOKUP(Tabla4[[#This Row],[No]],Parametros!A:C,3,0),0)</f>
        <v>190000</v>
      </c>
      <c r="O588" s="292">
        <f>+Tabla4[[#This Row],[IVA]]+Tabla4[[#This Row],[Sub Total]]</f>
        <v>1190000</v>
      </c>
    </row>
    <row r="589" spans="1:15" ht="30" x14ac:dyDescent="0.2">
      <c r="A589" s="6">
        <v>522</v>
      </c>
      <c r="B589" s="6" t="str">
        <f>VLOOKUP(Tabla4[[#This Row],[Codigo]],Tabla2[[Cod]:[Nombre ]],2,0)</f>
        <v>P-1511</v>
      </c>
      <c r="C589" s="53">
        <f>VLOOKUP(Tabla4[[#This Row],[Codigo]],Tabla2[[Cod]:[Nombre ]],3,0)</f>
        <v>45763</v>
      </c>
      <c r="D589" s="6" t="str">
        <f>VLOOKUP(Tabla4[[#This Row],[Codigo]],Tabla2[[Cod]:[Nombre ]],4,0)</f>
        <v>TIS-1492</v>
      </c>
      <c r="E589" s="5" t="str">
        <f>VLOOKUP(Tabla4[[#This Row],[Codigo]],Tabla2[[Cod]:[Nombre ]],8,0)</f>
        <v>SUPPLYING TOTAL TALENT SAS</v>
      </c>
      <c r="F589" s="5" t="str">
        <f>VLOOKUP(Tabla4[[#This Row],[Codigo]],Tabla2[[Cod]:[Nombre ]],6,0)</f>
        <v>OK</v>
      </c>
      <c r="G589" s="7" t="s">
        <v>282</v>
      </c>
      <c r="H589" s="21" t="s">
        <v>16</v>
      </c>
      <c r="I589" s="21" t="s">
        <v>645</v>
      </c>
      <c r="J589" s="163">
        <v>8</v>
      </c>
      <c r="K589" s="294">
        <v>40000</v>
      </c>
      <c r="L589" s="298"/>
      <c r="M589" s="292">
        <f>IF(LEFT(Tabla4[[#This Row],[Electronica]],2)="NC",-Tabla4[[#This Row],[Cantidad]]*Tabla4[[#This Row],[Precio]]+Tabla4[[#This Row],[Dto]],Tabla4[[#This Row],[Cantidad]]*Tabla4[[#This Row],[Precio]]-Tabla4[[#This Row],[Dto]])</f>
        <v>320000</v>
      </c>
      <c r="N589" s="292">
        <f>IFERROR(Tabla4[[#This Row],[Sub Total]]*VLOOKUP(Tabla4[[#This Row],[No]],Parametros!A:C,3,0),0)</f>
        <v>60800</v>
      </c>
      <c r="O589" s="292">
        <f>+Tabla4[[#This Row],[IVA]]+Tabla4[[#This Row],[Sub Total]]</f>
        <v>380800</v>
      </c>
    </row>
    <row r="590" spans="1:15" ht="24" x14ac:dyDescent="0.2">
      <c r="A590" s="6">
        <v>523</v>
      </c>
      <c r="B590" s="6" t="str">
        <f>VLOOKUP(Tabla4[[#This Row],[Codigo]],Tabla2[[Cod]:[Nombre ]],2,0)</f>
        <v>P-1512</v>
      </c>
      <c r="C590" s="53">
        <f>VLOOKUP(Tabla4[[#This Row],[Codigo]],Tabla2[[Cod]:[Nombre ]],3,0)</f>
        <v>45763</v>
      </c>
      <c r="D590" s="6" t="str">
        <f>VLOOKUP(Tabla4[[#This Row],[Codigo]],Tabla2[[Cod]:[Nombre ]],4,0)</f>
        <v>TIS-1493</v>
      </c>
      <c r="E590" s="5" t="str">
        <f>VLOOKUP(Tabla4[[#This Row],[Codigo]],Tabla2[[Cod]:[Nombre ]],8,0)</f>
        <v>Banco de Bogota S.A.</v>
      </c>
      <c r="F590" s="5" t="str">
        <f>VLOOKUP(Tabla4[[#This Row],[Codigo]],Tabla2[[Cod]:[Nombre ]],6,0)</f>
        <v>OK</v>
      </c>
      <c r="G590" s="7" t="s">
        <v>282</v>
      </c>
      <c r="H590" s="21" t="s">
        <v>16</v>
      </c>
      <c r="I590" s="21" t="s">
        <v>694</v>
      </c>
      <c r="J590" s="163">
        <v>1</v>
      </c>
      <c r="K590" s="294">
        <v>22489987.260000002</v>
      </c>
      <c r="L590" s="298"/>
      <c r="M590" s="292">
        <f>IF(LEFT(Tabla4[[#This Row],[Electronica]],2)="NC",-Tabla4[[#This Row],[Cantidad]]*Tabla4[[#This Row],[Precio]]+Tabla4[[#This Row],[Dto]],Tabla4[[#This Row],[Cantidad]]*Tabla4[[#This Row],[Precio]]-Tabla4[[#This Row],[Dto]])</f>
        <v>22489987.260000002</v>
      </c>
      <c r="N590" s="292">
        <f>IFERROR(Tabla4[[#This Row],[Sub Total]]*VLOOKUP(Tabla4[[#This Row],[No]],Parametros!A:C,3,0),0)</f>
        <v>4273097.5794000002</v>
      </c>
      <c r="O590" s="292">
        <f>+Tabla4[[#This Row],[IVA]]+Tabla4[[#This Row],[Sub Total]]</f>
        <v>26763084.839400001</v>
      </c>
    </row>
    <row r="591" spans="1:15" ht="36" x14ac:dyDescent="0.2">
      <c r="A591" s="6">
        <v>524</v>
      </c>
      <c r="B591" s="6" t="str">
        <f>VLOOKUP(Tabla4[[#This Row],[Codigo]],Tabla2[[Cod]:[Nombre ]],2,0)</f>
        <v>P-1513</v>
      </c>
      <c r="C591" s="53">
        <f>VLOOKUP(Tabla4[[#This Row],[Codigo]],Tabla2[[Cod]:[Nombre ]],3,0)</f>
        <v>45769</v>
      </c>
      <c r="D591" s="6" t="str">
        <f>VLOOKUP(Tabla4[[#This Row],[Codigo]],Tabla2[[Cod]:[Nombre ]],4,0)</f>
        <v>TIS-1491</v>
      </c>
      <c r="E591" s="5" t="str">
        <f>VLOOKUP(Tabla4[[#This Row],[Codigo]],Tabla2[[Cod]:[Nombre ]],8,0)</f>
        <v>Comercializadora ERZ SAS</v>
      </c>
      <c r="F591" s="5" t="str">
        <f>VLOOKUP(Tabla4[[#This Row],[Codigo]],Tabla2[[Cod]:[Nombre ]],6,0)</f>
        <v>OK</v>
      </c>
      <c r="G591" s="7" t="s">
        <v>416</v>
      </c>
      <c r="H591" s="21" t="s">
        <v>519</v>
      </c>
      <c r="I591" s="21" t="s">
        <v>695</v>
      </c>
      <c r="J591" s="163">
        <v>1</v>
      </c>
      <c r="K591" s="294">
        <v>1000000</v>
      </c>
      <c r="L591" s="298"/>
      <c r="M591" s="292">
        <f>IF(LEFT(Tabla4[[#This Row],[Electronica]],2)="NC",-Tabla4[[#This Row],[Cantidad]]*Tabla4[[#This Row],[Precio]]+Tabla4[[#This Row],[Dto]],Tabla4[[#This Row],[Cantidad]]*Tabla4[[#This Row],[Precio]]-Tabla4[[#This Row],[Dto]])</f>
        <v>1000000</v>
      </c>
      <c r="N591" s="292">
        <f>IFERROR(Tabla4[[#This Row],[Sub Total]]*VLOOKUP(Tabla4[[#This Row],[No]],Parametros!A:C,3,0),0)</f>
        <v>190000</v>
      </c>
      <c r="O591" s="292">
        <f>+Tabla4[[#This Row],[IVA]]+Tabla4[[#This Row],[Sub Total]]</f>
        <v>1190000</v>
      </c>
    </row>
    <row r="592" spans="1:15" ht="36" x14ac:dyDescent="0.2">
      <c r="A592" s="6">
        <v>525</v>
      </c>
      <c r="B592" s="6" t="str">
        <f>VLOOKUP(Tabla4[[#This Row],[Codigo]],Tabla2[[Cod]:[Nombre ]],2,0)</f>
        <v>P-1514</v>
      </c>
      <c r="C592" s="53">
        <f>VLOOKUP(Tabla4[[#This Row],[Codigo]],Tabla2[[Cod]:[Nombre ]],3,0)</f>
        <v>45777</v>
      </c>
      <c r="D592" s="6" t="str">
        <f>VLOOKUP(Tabla4[[#This Row],[Codigo]],Tabla2[[Cod]:[Nombre ]],4,0)</f>
        <v>TIS-1494</v>
      </c>
      <c r="E592" s="5" t="str">
        <f>VLOOKUP(Tabla4[[#This Row],[Codigo]],Tabla2[[Cod]:[Nombre ]],8,0)</f>
        <v>HUTERCOL S.A.S.</v>
      </c>
      <c r="F592" s="5" t="str">
        <f>VLOOKUP(Tabla4[[#This Row],[Codigo]],Tabla2[[Cod]:[Nombre ]],6,0)</f>
        <v>OK</v>
      </c>
      <c r="G592" s="7" t="s">
        <v>416</v>
      </c>
      <c r="H592" s="21" t="s">
        <v>519</v>
      </c>
      <c r="I592" s="21" t="s">
        <v>696</v>
      </c>
      <c r="J592" s="163">
        <v>1</v>
      </c>
      <c r="K592" s="294">
        <v>1500000</v>
      </c>
      <c r="L592" s="298"/>
      <c r="M592" s="292">
        <f>IF(LEFT(Tabla4[[#This Row],[Electronica]],2)="NC",-Tabla4[[#This Row],[Cantidad]]*Tabla4[[#This Row],[Precio]]+Tabla4[[#This Row],[Dto]],Tabla4[[#This Row],[Cantidad]]*Tabla4[[#This Row],[Precio]]-Tabla4[[#This Row],[Dto]])</f>
        <v>1500000</v>
      </c>
      <c r="N592" s="292">
        <f>IFERROR(Tabla4[[#This Row],[Sub Total]]*VLOOKUP(Tabla4[[#This Row],[No]],Parametros!A:C,3,0),0)</f>
        <v>285000</v>
      </c>
      <c r="O592" s="292">
        <f>+Tabla4[[#This Row],[IVA]]+Tabla4[[#This Row],[Sub Total]]</f>
        <v>1785000</v>
      </c>
    </row>
    <row r="593" spans="1:15" ht="36" x14ac:dyDescent="0.2">
      <c r="A593" s="6">
        <v>526</v>
      </c>
      <c r="B593" s="6" t="str">
        <f>VLOOKUP(Tabla4[[#This Row],[Codigo]],Tabla2[[Cod]:[Nombre ]],2,0)</f>
        <v>P-1515</v>
      </c>
      <c r="C593" s="53">
        <f>VLOOKUP(Tabla4[[#This Row],[Codigo]],Tabla2[[Cod]:[Nombre ]],3,0)</f>
        <v>45784</v>
      </c>
      <c r="D593" s="6">
        <f>VLOOKUP(Tabla4[[#This Row],[Codigo]],Tabla2[[Cod]:[Nombre ]],4,0)</f>
        <v>0</v>
      </c>
      <c r="E593" s="5" t="str">
        <f>VLOOKUP(Tabla4[[#This Row],[Codigo]],Tabla2[[Cod]:[Nombre ]],8,0)</f>
        <v>AND TOPOGRAFIA E INGENIERIA SAS</v>
      </c>
      <c r="F593" s="5" t="str">
        <f>VLOOKUP(Tabla4[[#This Row],[Codigo]],Tabla2[[Cod]:[Nombre ]],6,0)</f>
        <v>Anulado</v>
      </c>
      <c r="G593" s="7" t="s">
        <v>417</v>
      </c>
      <c r="H593" s="21" t="s">
        <v>525</v>
      </c>
      <c r="I593" s="21" t="s">
        <v>697</v>
      </c>
      <c r="J593" s="163">
        <v>1</v>
      </c>
      <c r="K593" s="294">
        <v>900000</v>
      </c>
      <c r="L593" s="298"/>
      <c r="M593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593" s="292">
        <f>IFERROR(Tabla4[[#This Row],[Sub Total]]*VLOOKUP(Tabla4[[#This Row],[No]],Parametros!A:C,3,0),0)</f>
        <v>0</v>
      </c>
      <c r="O593" s="292">
        <f>+Tabla4[[#This Row],[IVA]]+Tabla4[[#This Row],[Sub Total]]</f>
        <v>900000</v>
      </c>
    </row>
    <row r="594" spans="1:15" ht="36" x14ac:dyDescent="0.2">
      <c r="A594" s="6">
        <v>527</v>
      </c>
      <c r="B594" s="6" t="str">
        <f>VLOOKUP(Tabla4[[#This Row],[Codigo]],Tabla2[[Cod]:[Nombre ]],2,0)</f>
        <v>P-1516</v>
      </c>
      <c r="C594" s="53">
        <f>VLOOKUP(Tabla4[[#This Row],[Codigo]],Tabla2[[Cod]:[Nombre ]],3,0)</f>
        <v>45791</v>
      </c>
      <c r="D594" s="6" t="str">
        <f>VLOOKUP(Tabla4[[#This Row],[Codigo]],Tabla2[[Cod]:[Nombre ]],4,0)</f>
        <v>TIS-1495</v>
      </c>
      <c r="E594" s="5" t="str">
        <f>VLOOKUP(Tabla4[[#This Row],[Codigo]],Tabla2[[Cod]:[Nombre ]],8,0)</f>
        <v>CONTROLAR SALUD INTEGRAL SAS</v>
      </c>
      <c r="F594" s="5" t="str">
        <f>VLOOKUP(Tabla4[[#This Row],[Codigo]],Tabla2[[Cod]:[Nombre ]],6,0)</f>
        <v>OK</v>
      </c>
      <c r="G594" s="7" t="s">
        <v>417</v>
      </c>
      <c r="H594" s="21" t="s">
        <v>525</v>
      </c>
      <c r="I594" s="21" t="s">
        <v>698</v>
      </c>
      <c r="J594" s="163">
        <v>1</v>
      </c>
      <c r="K594" s="294">
        <v>3559975</v>
      </c>
      <c r="L594" s="298"/>
      <c r="M594" s="292">
        <f>IF(LEFT(Tabla4[[#This Row],[Electronica]],2)="NC",-Tabla4[[#This Row],[Cantidad]]*Tabla4[[#This Row],[Precio]]+Tabla4[[#This Row],[Dto]],Tabla4[[#This Row],[Cantidad]]*Tabla4[[#This Row],[Precio]]-Tabla4[[#This Row],[Dto]])</f>
        <v>3559975</v>
      </c>
      <c r="N594" s="292">
        <f>IFERROR(Tabla4[[#This Row],[Sub Total]]*VLOOKUP(Tabla4[[#This Row],[No]],Parametros!A:C,3,0),0)</f>
        <v>0</v>
      </c>
      <c r="O594" s="292">
        <f>+Tabla4[[#This Row],[IVA]]+Tabla4[[#This Row],[Sub Total]]</f>
        <v>3559975</v>
      </c>
    </row>
    <row r="595" spans="1:15" ht="24" x14ac:dyDescent="0.2">
      <c r="A595" s="6">
        <v>528</v>
      </c>
      <c r="B595" s="6" t="str">
        <f>VLOOKUP(Tabla4[[#This Row],[Codigo]],Tabla2[[Cod]:[Nombre ]],2,0)</f>
        <v>P-1517</v>
      </c>
      <c r="C595" s="53">
        <f>VLOOKUP(Tabla4[[#This Row],[Codigo]],Tabla2[[Cod]:[Nombre ]],3,0)</f>
        <v>45791</v>
      </c>
      <c r="D595" s="6" t="str">
        <f>VLOOKUP(Tabla4[[#This Row],[Codigo]],Tabla2[[Cod]:[Nombre ]],4,0)</f>
        <v>TIS-1496</v>
      </c>
      <c r="E595" s="5" t="str">
        <f>VLOOKUP(Tabla4[[#This Row],[Codigo]],Tabla2[[Cod]:[Nombre ]],8,0)</f>
        <v>Banco de Bogota S.A.</v>
      </c>
      <c r="F595" s="5" t="str">
        <f>VLOOKUP(Tabla4[[#This Row],[Codigo]],Tabla2[[Cod]:[Nombre ]],6,0)</f>
        <v>OK</v>
      </c>
      <c r="G595" s="7" t="s">
        <v>282</v>
      </c>
      <c r="H595" s="21" t="s">
        <v>16</v>
      </c>
      <c r="I595" s="21" t="s">
        <v>694</v>
      </c>
      <c r="J595" s="163">
        <v>1</v>
      </c>
      <c r="K595" s="294">
        <v>26763084.84</v>
      </c>
      <c r="L595" s="298"/>
      <c r="M595" s="292">
        <f>IF(LEFT(Tabla4[[#This Row],[Electronica]],2)="NC",-Tabla4[[#This Row],[Cantidad]]*Tabla4[[#This Row],[Precio]]+Tabla4[[#This Row],[Dto]],Tabla4[[#This Row],[Cantidad]]*Tabla4[[#This Row],[Precio]]-Tabla4[[#This Row],[Dto]])</f>
        <v>26763084.84</v>
      </c>
      <c r="N595" s="292">
        <f>IFERROR(Tabla4[[#This Row],[Sub Total]]*VLOOKUP(Tabla4[[#This Row],[No]],Parametros!A:C,3,0),0)</f>
        <v>5084986.1195999999</v>
      </c>
      <c r="O595" s="292">
        <f>+Tabla4[[#This Row],[IVA]]+Tabla4[[#This Row],[Sub Total]]</f>
        <v>31848070.959600002</v>
      </c>
    </row>
    <row r="596" spans="1:15" ht="36" x14ac:dyDescent="0.2">
      <c r="A596" s="6">
        <v>529</v>
      </c>
      <c r="B596" s="6" t="str">
        <f>VLOOKUP(Tabla4[[#This Row],[Codigo]],Tabla2[[Cod]:[Nombre ]],2,0)</f>
        <v>P-1518</v>
      </c>
      <c r="C596" s="53">
        <f>VLOOKUP(Tabla4[[#This Row],[Codigo]],Tabla2[[Cod]:[Nombre ]],3,0)</f>
        <v>45797</v>
      </c>
      <c r="D596" s="6" t="str">
        <f>VLOOKUP(Tabla4[[#This Row],[Codigo]],Tabla2[[Cod]:[Nombre ]],4,0)</f>
        <v>TIS-1500</v>
      </c>
      <c r="E596" s="5" t="str">
        <f>VLOOKUP(Tabla4[[#This Row],[Codigo]],Tabla2[[Cod]:[Nombre ]],8,0)</f>
        <v>ROYCO SOLUCIONES SAS</v>
      </c>
      <c r="F596" s="5" t="str">
        <f>VLOOKUP(Tabla4[[#This Row],[Codigo]],Tabla2[[Cod]:[Nombre ]],6,0)</f>
        <v>OK</v>
      </c>
      <c r="G596" s="7" t="s">
        <v>416</v>
      </c>
      <c r="H596" s="21" t="s">
        <v>519</v>
      </c>
      <c r="I596" s="21" t="s">
        <v>699</v>
      </c>
      <c r="J596" s="163">
        <v>1</v>
      </c>
      <c r="K596" s="294">
        <v>250000</v>
      </c>
      <c r="L596" s="298"/>
      <c r="M596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596" s="292">
        <f>IFERROR(Tabla4[[#This Row],[Sub Total]]*VLOOKUP(Tabla4[[#This Row],[No]],Parametros!A:C,3,0),0)</f>
        <v>47500</v>
      </c>
      <c r="O596" s="292">
        <f>+Tabla4[[#This Row],[IVA]]+Tabla4[[#This Row],[Sub Total]]</f>
        <v>297500</v>
      </c>
    </row>
    <row r="597" spans="1:15" ht="36" x14ac:dyDescent="0.2">
      <c r="A597" s="6">
        <v>530</v>
      </c>
      <c r="B597" s="6" t="str">
        <f>VLOOKUP(Tabla4[[#This Row],[Codigo]],Tabla2[[Cod]:[Nombre ]],2,0)</f>
        <v>P-1519</v>
      </c>
      <c r="C597" s="53">
        <f>VLOOKUP(Tabla4[[#This Row],[Codigo]],Tabla2[[Cod]:[Nombre ]],3,0)</f>
        <v>45797</v>
      </c>
      <c r="D597" s="6" t="str">
        <f>VLOOKUP(Tabla4[[#This Row],[Codigo]],Tabla2[[Cod]:[Nombre ]],4,0)</f>
        <v>TIS-1498</v>
      </c>
      <c r="E597" s="5" t="str">
        <f>VLOOKUP(Tabla4[[#This Row],[Codigo]],Tabla2[[Cod]:[Nombre ]],8,0)</f>
        <v>Comercializadora ERZ SAS</v>
      </c>
      <c r="F597" s="5" t="str">
        <f>VLOOKUP(Tabla4[[#This Row],[Codigo]],Tabla2[[Cod]:[Nombre ]],6,0)</f>
        <v>OK</v>
      </c>
      <c r="G597" s="7" t="s">
        <v>416</v>
      </c>
      <c r="H597" s="21" t="s">
        <v>519</v>
      </c>
      <c r="I597" s="21" t="s">
        <v>699</v>
      </c>
      <c r="J597" s="163">
        <v>1</v>
      </c>
      <c r="K597" s="294">
        <v>300000</v>
      </c>
      <c r="L597" s="298"/>
      <c r="M597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97" s="292">
        <f>IFERROR(Tabla4[[#This Row],[Sub Total]]*VLOOKUP(Tabla4[[#This Row],[No]],Parametros!A:C,3,0),0)</f>
        <v>57000</v>
      </c>
      <c r="O597" s="292">
        <f>+Tabla4[[#This Row],[IVA]]+Tabla4[[#This Row],[Sub Total]]</f>
        <v>357000</v>
      </c>
    </row>
    <row r="598" spans="1:15" ht="45" x14ac:dyDescent="0.2">
      <c r="A598" s="6">
        <v>531</v>
      </c>
      <c r="B598" s="6" t="str">
        <f>VLOOKUP(Tabla4[[#This Row],[Codigo]],Tabla2[[Cod]:[Nombre ]],2,0)</f>
        <v>P-1520</v>
      </c>
      <c r="C598" s="53">
        <f>VLOOKUP(Tabla4[[#This Row],[Codigo]],Tabla2[[Cod]:[Nombre ]],3,0)</f>
        <v>45797</v>
      </c>
      <c r="D598" s="6" t="str">
        <f>VLOOKUP(Tabla4[[#This Row],[Codigo]],Tabla2[[Cod]:[Nombre ]],4,0)</f>
        <v>TIS-1499</v>
      </c>
      <c r="E598" s="5" t="str">
        <f>VLOOKUP(Tabla4[[#This Row],[Codigo]],Tabla2[[Cod]:[Nombre ]],8,0)</f>
        <v>DIGITAL MEDIA TECHNOLOGIES COLOMBIA SAS</v>
      </c>
      <c r="F598" s="5" t="str">
        <f>VLOOKUP(Tabla4[[#This Row],[Codigo]],Tabla2[[Cod]:[Nombre ]],6,0)</f>
        <v>OK</v>
      </c>
      <c r="G598" s="7" t="s">
        <v>416</v>
      </c>
      <c r="H598" s="21" t="s">
        <v>519</v>
      </c>
      <c r="I598" s="21" t="s">
        <v>699</v>
      </c>
      <c r="J598" s="163">
        <v>1</v>
      </c>
      <c r="K598" s="294">
        <v>300000</v>
      </c>
      <c r="L598" s="298"/>
      <c r="M598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598" s="292">
        <f>IFERROR(Tabla4[[#This Row],[Sub Total]]*VLOOKUP(Tabla4[[#This Row],[No]],Parametros!A:C,3,0),0)</f>
        <v>57000</v>
      </c>
      <c r="O598" s="292">
        <f>+Tabla4[[#This Row],[IVA]]+Tabla4[[#This Row],[Sub Total]]</f>
        <v>357000</v>
      </c>
    </row>
    <row r="599" spans="1:15" ht="36" x14ac:dyDescent="0.2">
      <c r="A599" s="6">
        <v>532</v>
      </c>
      <c r="B599" s="6" t="str">
        <f>VLOOKUP(Tabla4[[#This Row],[Codigo]],Tabla2[[Cod]:[Nombre ]],2,0)</f>
        <v>P-1521</v>
      </c>
      <c r="C599" s="53">
        <f>VLOOKUP(Tabla4[[#This Row],[Codigo]],Tabla2[[Cod]:[Nombre ]],3,0)</f>
        <v>45797</v>
      </c>
      <c r="D599" s="6" t="str">
        <f>VLOOKUP(Tabla4[[#This Row],[Codigo]],Tabla2[[Cod]:[Nombre ]],4,0)</f>
        <v>TIS-1501</v>
      </c>
      <c r="E599" s="5" t="str">
        <f>VLOOKUP(Tabla4[[#This Row],[Codigo]],Tabla2[[Cod]:[Nombre ]],8,0)</f>
        <v>Inversiones Sajamib SAS</v>
      </c>
      <c r="F599" s="5" t="str">
        <f>VLOOKUP(Tabla4[[#This Row],[Codigo]],Tabla2[[Cod]:[Nombre ]],6,0)</f>
        <v>OK</v>
      </c>
      <c r="G599" s="7" t="s">
        <v>417</v>
      </c>
      <c r="H599" s="21" t="s">
        <v>525</v>
      </c>
      <c r="I599" s="21" t="s">
        <v>687</v>
      </c>
      <c r="J599" s="163">
        <v>1</v>
      </c>
      <c r="K599" s="294">
        <v>480000</v>
      </c>
      <c r="L599" s="298"/>
      <c r="M599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599" s="292">
        <f>IFERROR(Tabla4[[#This Row],[Sub Total]]*VLOOKUP(Tabla4[[#This Row],[No]],Parametros!A:C,3,0),0)</f>
        <v>0</v>
      </c>
      <c r="O599" s="292">
        <f>+Tabla4[[#This Row],[IVA]]+Tabla4[[#This Row],[Sub Total]]</f>
        <v>480000</v>
      </c>
    </row>
    <row r="600" spans="1:15" ht="36" x14ac:dyDescent="0.2">
      <c r="A600" s="6">
        <v>533</v>
      </c>
      <c r="B600" s="6" t="str">
        <f>VLOOKUP(Tabla4[[#This Row],[Codigo]],Tabla2[[Cod]:[Nombre ]],2,0)</f>
        <v>P-1522</v>
      </c>
      <c r="C600" s="53">
        <f>VLOOKUP(Tabla4[[#This Row],[Codigo]],Tabla2[[Cod]:[Nombre ]],3,0)</f>
        <v>45797</v>
      </c>
      <c r="D600" s="6" t="str">
        <f>VLOOKUP(Tabla4[[#This Row],[Codigo]],Tabla2[[Cod]:[Nombre ]],4,0)</f>
        <v>TIS-1502</v>
      </c>
      <c r="E600" s="5" t="str">
        <f>VLOOKUP(Tabla4[[#This Row],[Codigo]],Tabla2[[Cod]:[Nombre ]],8,0)</f>
        <v>STAFF SEGUROS AGENCIA LTDA</v>
      </c>
      <c r="F600" s="5" t="str">
        <f>VLOOKUP(Tabla4[[#This Row],[Codigo]],Tabla2[[Cod]:[Nombre ]],6,0)</f>
        <v>OK</v>
      </c>
      <c r="G600" s="7" t="s">
        <v>417</v>
      </c>
      <c r="H600" s="21" t="s">
        <v>525</v>
      </c>
      <c r="I600" s="21" t="s">
        <v>700</v>
      </c>
      <c r="J600" s="163">
        <v>1</v>
      </c>
      <c r="K600" s="294">
        <v>2105000</v>
      </c>
      <c r="L600" s="298"/>
      <c r="M600" s="292">
        <f>IF(LEFT(Tabla4[[#This Row],[Electronica]],2)="NC",-Tabla4[[#This Row],[Cantidad]]*Tabla4[[#This Row],[Precio]]+Tabla4[[#This Row],[Dto]],Tabla4[[#This Row],[Cantidad]]*Tabla4[[#This Row],[Precio]]-Tabla4[[#This Row],[Dto]])</f>
        <v>2105000</v>
      </c>
      <c r="N600" s="292">
        <f>IFERROR(Tabla4[[#This Row],[Sub Total]]*VLOOKUP(Tabla4[[#This Row],[No]],Parametros!A:C,3,0),0)</f>
        <v>0</v>
      </c>
      <c r="O600" s="292">
        <f>+Tabla4[[#This Row],[IVA]]+Tabla4[[#This Row],[Sub Total]]</f>
        <v>2105000</v>
      </c>
    </row>
    <row r="601" spans="1:15" ht="24" x14ac:dyDescent="0.2">
      <c r="A601" s="6">
        <v>534</v>
      </c>
      <c r="B601" s="6" t="str">
        <f>VLOOKUP(Tabla4[[#This Row],[Codigo]],Tabla2[[Cod]:[Nombre ]],2,0)</f>
        <v>P-1523</v>
      </c>
      <c r="C601" s="53">
        <f>VLOOKUP(Tabla4[[#This Row],[Codigo]],Tabla2[[Cod]:[Nombre ]],3,0)</f>
        <v>45797</v>
      </c>
      <c r="D601" s="6" t="str">
        <f>VLOOKUP(Tabla4[[#This Row],[Codigo]],Tabla2[[Cod]:[Nombre ]],4,0)</f>
        <v>TIS-1503</v>
      </c>
      <c r="E601" s="5" t="str">
        <f>VLOOKUP(Tabla4[[#This Row],[Codigo]],Tabla2[[Cod]:[Nombre ]],8,0)</f>
        <v>SEGUROS CUBEROS LTDA</v>
      </c>
      <c r="F601" s="5" t="str">
        <f>VLOOKUP(Tabla4[[#This Row],[Codigo]],Tabla2[[Cod]:[Nombre ]],6,0)</f>
        <v>OK</v>
      </c>
      <c r="G601" s="7" t="s">
        <v>415</v>
      </c>
      <c r="H601" s="21" t="s">
        <v>605</v>
      </c>
      <c r="I601" s="21" t="s">
        <v>701</v>
      </c>
      <c r="J601" s="163">
        <v>1</v>
      </c>
      <c r="K601" s="294">
        <v>250000</v>
      </c>
      <c r="L601" s="298"/>
      <c r="M601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601" s="292">
        <f>IFERROR(Tabla4[[#This Row],[Sub Total]]*VLOOKUP(Tabla4[[#This Row],[No]],Parametros!A:C,3,0),0)</f>
        <v>47500</v>
      </c>
      <c r="O601" s="292">
        <f>+Tabla4[[#This Row],[IVA]]+Tabla4[[#This Row],[Sub Total]]</f>
        <v>297500</v>
      </c>
    </row>
    <row r="602" spans="1:15" ht="30" x14ac:dyDescent="0.2">
      <c r="A602" s="6">
        <v>535</v>
      </c>
      <c r="B602" s="6" t="str">
        <f>VLOOKUP(Tabla4[[#This Row],[Codigo]],Tabla2[[Cod]:[Nombre ]],2,0)</f>
        <v>P-1524</v>
      </c>
      <c r="C602" s="53">
        <f>VLOOKUP(Tabla4[[#This Row],[Codigo]],Tabla2[[Cod]:[Nombre ]],3,0)</f>
        <v>45804</v>
      </c>
      <c r="D602" s="6" t="str">
        <f>VLOOKUP(Tabla4[[#This Row],[Codigo]],Tabla2[[Cod]:[Nombre ]],4,0)</f>
        <v>TIS-1504</v>
      </c>
      <c r="E602" s="5" t="str">
        <f>VLOOKUP(Tabla4[[#This Row],[Codigo]],Tabla2[[Cod]:[Nombre ]],8,0)</f>
        <v>EVAL.COM CONSULTING SAS</v>
      </c>
      <c r="F602" s="5" t="str">
        <f>VLOOKUP(Tabla4[[#This Row],[Codigo]],Tabla2[[Cod]:[Nombre ]],6,0)</f>
        <v>OK</v>
      </c>
      <c r="G602" s="7" t="s">
        <v>415</v>
      </c>
      <c r="H602" s="21" t="s">
        <v>605</v>
      </c>
      <c r="I602" s="21" t="s">
        <v>655</v>
      </c>
      <c r="J602" s="163">
        <v>4</v>
      </c>
      <c r="K602" s="294">
        <v>200000</v>
      </c>
      <c r="L602" s="298"/>
      <c r="M602" s="292">
        <f>IF(LEFT(Tabla4[[#This Row],[Electronica]],2)="NC",-Tabla4[[#This Row],[Cantidad]]*Tabla4[[#This Row],[Precio]]+Tabla4[[#This Row],[Dto]],Tabla4[[#This Row],[Cantidad]]*Tabla4[[#This Row],[Precio]]-Tabla4[[#This Row],[Dto]])</f>
        <v>800000</v>
      </c>
      <c r="N602" s="292">
        <f>IFERROR(Tabla4[[#This Row],[Sub Total]]*VLOOKUP(Tabla4[[#This Row],[No]],Parametros!A:C,3,0),0)</f>
        <v>152000</v>
      </c>
      <c r="O602" s="292">
        <f>+Tabla4[[#This Row],[IVA]]+Tabla4[[#This Row],[Sub Total]]</f>
        <v>952000</v>
      </c>
    </row>
    <row r="603" spans="1:15" ht="24" x14ac:dyDescent="0.2">
      <c r="A603" s="6">
        <v>536</v>
      </c>
      <c r="B603" s="6" t="str">
        <f>VLOOKUP(Tabla4[[#This Row],[Codigo]],Tabla2[[Cod]:[Nombre ]],2,0)</f>
        <v>P-1525</v>
      </c>
      <c r="C603" s="53">
        <f>VLOOKUP(Tabla4[[#This Row],[Codigo]],Tabla2[[Cod]:[Nombre ]],3,0)</f>
        <v>45804</v>
      </c>
      <c r="D603" s="6" t="str">
        <f>VLOOKUP(Tabla4[[#This Row],[Codigo]],Tabla2[[Cod]:[Nombre ]],4,0)</f>
        <v>TIS-1505</v>
      </c>
      <c r="E603" s="5" t="str">
        <f>VLOOKUP(Tabla4[[#This Row],[Codigo]],Tabla2[[Cod]:[Nombre ]],8,0)</f>
        <v>BLISTECO S.A.S.</v>
      </c>
      <c r="F603" s="5" t="str">
        <f>VLOOKUP(Tabla4[[#This Row],[Codigo]],Tabla2[[Cod]:[Nombre ]],6,0)</f>
        <v>OK</v>
      </c>
      <c r="G603" s="7" t="s">
        <v>282</v>
      </c>
      <c r="H603" s="21" t="s">
        <v>16</v>
      </c>
      <c r="I603" s="21" t="s">
        <v>645</v>
      </c>
      <c r="J603" s="163">
        <v>155</v>
      </c>
      <c r="K603" s="294">
        <v>30000</v>
      </c>
      <c r="L603" s="298"/>
      <c r="M603" s="292">
        <f>IF(LEFT(Tabla4[[#This Row],[Electronica]],2)="NC",-Tabla4[[#This Row],[Cantidad]]*Tabla4[[#This Row],[Precio]]+Tabla4[[#This Row],[Dto]],Tabla4[[#This Row],[Cantidad]]*Tabla4[[#This Row],[Precio]]-Tabla4[[#This Row],[Dto]])</f>
        <v>4650000</v>
      </c>
      <c r="N603" s="292">
        <f>IFERROR(Tabla4[[#This Row],[Sub Total]]*VLOOKUP(Tabla4[[#This Row],[No]],Parametros!A:C,3,0),0)</f>
        <v>883500</v>
      </c>
      <c r="O603" s="292">
        <f>+Tabla4[[#This Row],[IVA]]+Tabla4[[#This Row],[Sub Total]]</f>
        <v>5533500</v>
      </c>
    </row>
    <row r="604" spans="1:15" ht="45" x14ac:dyDescent="0.2">
      <c r="A604" s="6">
        <v>537</v>
      </c>
      <c r="B604" s="6" t="str">
        <f>VLOOKUP(Tabla4[[#This Row],[Codigo]],Tabla2[[Cod]:[Nombre ]],2,0)</f>
        <v>P-1526</v>
      </c>
      <c r="C604" s="53">
        <f>VLOOKUP(Tabla4[[#This Row],[Codigo]],Tabla2[[Cod]:[Nombre ]],3,0)</f>
        <v>45804</v>
      </c>
      <c r="D604" s="6" t="str">
        <f>VLOOKUP(Tabla4[[#This Row],[Codigo]],Tabla2[[Cod]:[Nombre ]],4,0)</f>
        <v>TIS-1506</v>
      </c>
      <c r="E604" s="5" t="str">
        <f>VLOOKUP(Tabla4[[#This Row],[Codigo]],Tabla2[[Cod]:[Nombre ]],8,0)</f>
        <v>FUNDACION DE EDUCACION SUPERIOR SAN JOSE FESSANJOSE</v>
      </c>
      <c r="F604" s="5" t="str">
        <f>VLOOKUP(Tabla4[[#This Row],[Codigo]],Tabla2[[Cod]:[Nombre ]],6,0)</f>
        <v>OK</v>
      </c>
      <c r="G604" s="7" t="s">
        <v>282</v>
      </c>
      <c r="H604" s="21" t="s">
        <v>16</v>
      </c>
      <c r="I604" s="21" t="s">
        <v>645</v>
      </c>
      <c r="J604" s="163">
        <v>250</v>
      </c>
      <c r="K604" s="294">
        <v>25000</v>
      </c>
      <c r="L604" s="298"/>
      <c r="M604" s="292">
        <f>IF(LEFT(Tabla4[[#This Row],[Electronica]],2)="NC",-Tabla4[[#This Row],[Cantidad]]*Tabla4[[#This Row],[Precio]]+Tabla4[[#This Row],[Dto]],Tabla4[[#This Row],[Cantidad]]*Tabla4[[#This Row],[Precio]]-Tabla4[[#This Row],[Dto]])</f>
        <v>6250000</v>
      </c>
      <c r="N604" s="292">
        <f>IFERROR(Tabla4[[#This Row],[Sub Total]]*VLOOKUP(Tabla4[[#This Row],[No]],Parametros!A:C,3,0),0)</f>
        <v>1187500</v>
      </c>
      <c r="O604" s="292">
        <f>+Tabla4[[#This Row],[IVA]]+Tabla4[[#This Row],[Sub Total]]</f>
        <v>7437500</v>
      </c>
    </row>
    <row r="605" spans="1:15" ht="24" x14ac:dyDescent="0.2">
      <c r="A605" s="6">
        <v>538</v>
      </c>
      <c r="B605" s="6" t="str">
        <f>VLOOKUP(Tabla4[[#This Row],[Codigo]],Tabla2[[Cod]:[Nombre ]],2,0)</f>
        <v>P-1527</v>
      </c>
      <c r="C605" s="53">
        <f>VLOOKUP(Tabla4[[#This Row],[Codigo]],Tabla2[[Cod]:[Nombre ]],3,0)</f>
        <v>45804</v>
      </c>
      <c r="D605" s="6">
        <f>VLOOKUP(Tabla4[[#This Row],[Codigo]],Tabla2[[Cod]:[Nombre ]],4,0)</f>
        <v>0</v>
      </c>
      <c r="E605" s="5" t="str">
        <f>VLOOKUP(Tabla4[[#This Row],[Codigo]],Tabla2[[Cod]:[Nombre ]],8,0)</f>
        <v>SIMTEC LB S.A.S.</v>
      </c>
      <c r="F605" s="5" t="str">
        <f>VLOOKUP(Tabla4[[#This Row],[Codigo]],Tabla2[[Cod]:[Nombre ]],6,0)</f>
        <v>OK</v>
      </c>
      <c r="G605" s="7" t="s">
        <v>282</v>
      </c>
      <c r="H605" s="21" t="s">
        <v>16</v>
      </c>
      <c r="I605" s="21" t="s">
        <v>702</v>
      </c>
      <c r="J605" s="163">
        <v>1</v>
      </c>
      <c r="K605" s="294">
        <v>700000</v>
      </c>
      <c r="L605" s="298"/>
      <c r="M605" s="292">
        <f>IF(LEFT(Tabla4[[#This Row],[Electronica]],2)="NC",-Tabla4[[#This Row],[Cantidad]]*Tabla4[[#This Row],[Precio]]+Tabla4[[#This Row],[Dto]],Tabla4[[#This Row],[Cantidad]]*Tabla4[[#This Row],[Precio]]-Tabla4[[#This Row],[Dto]])</f>
        <v>700000</v>
      </c>
      <c r="N605" s="292">
        <f>IFERROR(Tabla4[[#This Row],[Sub Total]]*VLOOKUP(Tabla4[[#This Row],[No]],Parametros!A:C,3,0),0)</f>
        <v>133000</v>
      </c>
      <c r="O605" s="292">
        <f>+Tabla4[[#This Row],[IVA]]+Tabla4[[#This Row],[Sub Total]]</f>
        <v>833000</v>
      </c>
    </row>
    <row r="606" spans="1:15" ht="45" x14ac:dyDescent="0.2">
      <c r="A606" s="6">
        <v>539</v>
      </c>
      <c r="B606" s="6" t="str">
        <f>VLOOKUP(Tabla4[[#This Row],[Codigo]],Tabla2[[Cod]:[Nombre ]],2,0)</f>
        <v>P-1528</v>
      </c>
      <c r="C606" s="53">
        <f>VLOOKUP(Tabla4[[#This Row],[Codigo]],Tabla2[[Cod]:[Nombre ]],3,0)</f>
        <v>45841</v>
      </c>
      <c r="D606" s="6" t="str">
        <f>VLOOKUP(Tabla4[[#This Row],[Codigo]],Tabla2[[Cod]:[Nombre ]],4,0)</f>
        <v>TIS-1509</v>
      </c>
      <c r="E606" s="5" t="str">
        <f>VLOOKUP(Tabla4[[#This Row],[Codigo]],Tabla2[[Cod]:[Nombre ]],8,0)</f>
        <v>DIGITAL MEDIA TECHNOLOGIES COLOMBIA SAS</v>
      </c>
      <c r="F606" s="5" t="str">
        <f>VLOOKUP(Tabla4[[#This Row],[Codigo]],Tabla2[[Cod]:[Nombre ]],6,0)</f>
        <v>OK</v>
      </c>
      <c r="G606" s="7" t="s">
        <v>416</v>
      </c>
      <c r="H606" s="21" t="s">
        <v>519</v>
      </c>
      <c r="I606" s="21" t="s">
        <v>703</v>
      </c>
      <c r="J606" s="163">
        <v>1</v>
      </c>
      <c r="K606" s="294">
        <v>300000</v>
      </c>
      <c r="L606" s="298"/>
      <c r="M60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06" s="292">
        <f>IFERROR(Tabla4[[#This Row],[Sub Total]]*VLOOKUP(Tabla4[[#This Row],[No]],Parametros!A:C,3,0),0)</f>
        <v>57000</v>
      </c>
      <c r="O606" s="292">
        <f>+Tabla4[[#This Row],[IVA]]+Tabla4[[#This Row],[Sub Total]]</f>
        <v>357000</v>
      </c>
    </row>
    <row r="607" spans="1:15" ht="36" x14ac:dyDescent="0.2">
      <c r="A607" s="6">
        <v>540</v>
      </c>
      <c r="B607" s="6" t="str">
        <f>VLOOKUP(Tabla4[[#This Row],[Codigo]],Tabla2[[Cod]:[Nombre ]],2,0)</f>
        <v>P-1529</v>
      </c>
      <c r="C607" s="53">
        <f>VLOOKUP(Tabla4[[#This Row],[Codigo]],Tabla2[[Cod]:[Nombre ]],3,0)</f>
        <v>45841</v>
      </c>
      <c r="D607" s="6" t="str">
        <f>VLOOKUP(Tabla4[[#This Row],[Codigo]],Tabla2[[Cod]:[Nombre ]],4,0)</f>
        <v>TIS-1508</v>
      </c>
      <c r="E607" s="5" t="str">
        <f>VLOOKUP(Tabla4[[#This Row],[Codigo]],Tabla2[[Cod]:[Nombre ]],8,0)</f>
        <v>Comercializadora ERZ SAS</v>
      </c>
      <c r="F607" s="5" t="str">
        <f>VLOOKUP(Tabla4[[#This Row],[Codigo]],Tabla2[[Cod]:[Nombre ]],6,0)</f>
        <v>OK</v>
      </c>
      <c r="G607" s="7" t="s">
        <v>416</v>
      </c>
      <c r="H607" s="21" t="s">
        <v>519</v>
      </c>
      <c r="I607" s="21" t="s">
        <v>704</v>
      </c>
      <c r="J607" s="163">
        <v>1</v>
      </c>
      <c r="K607" s="294">
        <v>300000</v>
      </c>
      <c r="L607" s="298"/>
      <c r="M607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07" s="292">
        <f>IFERROR(Tabla4[[#This Row],[Sub Total]]*VLOOKUP(Tabla4[[#This Row],[No]],Parametros!A:C,3,0),0)</f>
        <v>57000</v>
      </c>
      <c r="O607" s="292">
        <f>+Tabla4[[#This Row],[IVA]]+Tabla4[[#This Row],[Sub Total]]</f>
        <v>357000</v>
      </c>
    </row>
    <row r="608" spans="1:15" ht="36" x14ac:dyDescent="0.2">
      <c r="A608" s="6">
        <v>541</v>
      </c>
      <c r="B608" s="6" t="str">
        <f>VLOOKUP(Tabla4[[#This Row],[Codigo]],Tabla2[[Cod]:[Nombre ]],2,0)</f>
        <v>P-1530</v>
      </c>
      <c r="C608" s="53">
        <f>VLOOKUP(Tabla4[[#This Row],[Codigo]],Tabla2[[Cod]:[Nombre ]],3,0)</f>
        <v>45841</v>
      </c>
      <c r="D608" s="6" t="str">
        <f>VLOOKUP(Tabla4[[#This Row],[Codigo]],Tabla2[[Cod]:[Nombre ]],4,0)</f>
        <v>TIS-1510</v>
      </c>
      <c r="E608" s="5" t="str">
        <f>VLOOKUP(Tabla4[[#This Row],[Codigo]],Tabla2[[Cod]:[Nombre ]],8,0)</f>
        <v>ROYCO SOLUCIONES SAS</v>
      </c>
      <c r="F608" s="5" t="str">
        <f>VLOOKUP(Tabla4[[#This Row],[Codigo]],Tabla2[[Cod]:[Nombre ]],6,0)</f>
        <v>OK</v>
      </c>
      <c r="G608" s="7" t="s">
        <v>416</v>
      </c>
      <c r="H608" s="21" t="s">
        <v>519</v>
      </c>
      <c r="I608" s="21" t="s">
        <v>704</v>
      </c>
      <c r="J608" s="163">
        <v>1</v>
      </c>
      <c r="K608" s="294">
        <v>300000</v>
      </c>
      <c r="L608" s="298"/>
      <c r="M608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08" s="292">
        <f>IFERROR(Tabla4[[#This Row],[Sub Total]]*VLOOKUP(Tabla4[[#This Row],[No]],Parametros!A:C,3,0),0)</f>
        <v>57000</v>
      </c>
      <c r="O608" s="292">
        <f>+Tabla4[[#This Row],[IVA]]+Tabla4[[#This Row],[Sub Total]]</f>
        <v>357000</v>
      </c>
    </row>
    <row r="609" spans="1:15" ht="36" x14ac:dyDescent="0.2">
      <c r="A609" s="6">
        <v>542</v>
      </c>
      <c r="B609" s="6" t="str">
        <f>VLOOKUP(Tabla4[[#This Row],[Codigo]],Tabla2[[Cod]:[Nombre ]],2,0)</f>
        <v>P-1531</v>
      </c>
      <c r="C609" s="53">
        <f>VLOOKUP(Tabla4[[#This Row],[Codigo]],Tabla2[[Cod]:[Nombre ]],3,0)</f>
        <v>45841</v>
      </c>
      <c r="D609" s="6" t="str">
        <f>VLOOKUP(Tabla4[[#This Row],[Codigo]],Tabla2[[Cod]:[Nombre ]],4,0)</f>
        <v>TIS-1511</v>
      </c>
      <c r="E609" s="5" t="str">
        <f>VLOOKUP(Tabla4[[#This Row],[Codigo]],Tabla2[[Cod]:[Nombre ]],8,0)</f>
        <v>Inversiones Sajamib SAS</v>
      </c>
      <c r="F609" s="5" t="str">
        <f>VLOOKUP(Tabla4[[#This Row],[Codigo]],Tabla2[[Cod]:[Nombre ]],6,0)</f>
        <v>OK</v>
      </c>
      <c r="G609" s="7" t="s">
        <v>417</v>
      </c>
      <c r="H609" s="21" t="s">
        <v>525</v>
      </c>
      <c r="I609" s="21" t="s">
        <v>705</v>
      </c>
      <c r="J609" s="163">
        <v>1</v>
      </c>
      <c r="K609" s="294">
        <v>480000</v>
      </c>
      <c r="L609" s="298"/>
      <c r="M609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609" s="292">
        <f>IFERROR(Tabla4[[#This Row],[Sub Total]]*VLOOKUP(Tabla4[[#This Row],[No]],Parametros!A:C,3,0),0)</f>
        <v>0</v>
      </c>
      <c r="O609" s="292">
        <f>+Tabla4[[#This Row],[IVA]]+Tabla4[[#This Row],[Sub Total]]</f>
        <v>480000</v>
      </c>
    </row>
    <row r="610" spans="1:15" ht="48" x14ac:dyDescent="0.2">
      <c r="A610" s="6">
        <v>543</v>
      </c>
      <c r="B610" s="6" t="str">
        <f>VLOOKUP(Tabla4[[#This Row],[Codigo]],Tabla2[[Cod]:[Nombre ]],2,0)</f>
        <v>P-1532</v>
      </c>
      <c r="C610" s="53">
        <f>VLOOKUP(Tabla4[[#This Row],[Codigo]],Tabla2[[Cod]:[Nombre ]],3,0)</f>
        <v>45841</v>
      </c>
      <c r="D610" s="6" t="str">
        <f>VLOOKUP(Tabla4[[#This Row],[Codigo]],Tabla2[[Cod]:[Nombre ]],4,0)</f>
        <v>TIS-1512</v>
      </c>
      <c r="E610" s="5" t="str">
        <f>VLOOKUP(Tabla4[[#This Row],[Codigo]],Tabla2[[Cod]:[Nombre ]],8,0)</f>
        <v>STAFF SEGUROS AGENCIA LTDA</v>
      </c>
      <c r="F610" s="5" t="str">
        <f>VLOOKUP(Tabla4[[#This Row],[Codigo]],Tabla2[[Cod]:[Nombre ]],6,0)</f>
        <v>OK</v>
      </c>
      <c r="G610" s="7" t="s">
        <v>417</v>
      </c>
      <c r="H610" s="21" t="s">
        <v>525</v>
      </c>
      <c r="I610" s="21" t="s">
        <v>706</v>
      </c>
      <c r="J610" s="163">
        <v>1</v>
      </c>
      <c r="K610" s="294">
        <v>1200000</v>
      </c>
      <c r="L610" s="298"/>
      <c r="M610" s="292">
        <f>IF(LEFT(Tabla4[[#This Row],[Electronica]],2)="NC",-Tabla4[[#This Row],[Cantidad]]*Tabla4[[#This Row],[Precio]]+Tabla4[[#This Row],[Dto]],Tabla4[[#This Row],[Cantidad]]*Tabla4[[#This Row],[Precio]]-Tabla4[[#This Row],[Dto]])</f>
        <v>1200000</v>
      </c>
      <c r="N610" s="292">
        <f>IFERROR(Tabla4[[#This Row],[Sub Total]]*VLOOKUP(Tabla4[[#This Row],[No]],Parametros!A:C,3,0),0)</f>
        <v>0</v>
      </c>
      <c r="O610" s="292">
        <f>+Tabla4[[#This Row],[IVA]]+Tabla4[[#This Row],[Sub Total]]</f>
        <v>1200000</v>
      </c>
    </row>
    <row r="611" spans="1:15" ht="24" x14ac:dyDescent="0.2">
      <c r="A611" s="6">
        <v>544</v>
      </c>
      <c r="B611" s="6" t="str">
        <f>VLOOKUP(Tabla4[[#This Row],[Codigo]],Tabla2[[Cod]:[Nombre ]],2,0)</f>
        <v>P-1533</v>
      </c>
      <c r="C611" s="53">
        <f>VLOOKUP(Tabla4[[#This Row],[Codigo]],Tabla2[[Cod]:[Nombre ]],3,0)</f>
        <v>45841</v>
      </c>
      <c r="D611" s="6" t="str">
        <f>VLOOKUP(Tabla4[[#This Row],[Codigo]],Tabla2[[Cod]:[Nombre ]],4,0)</f>
        <v>TIS- 1513</v>
      </c>
      <c r="E611" s="5" t="str">
        <f>VLOOKUP(Tabla4[[#This Row],[Codigo]],Tabla2[[Cod]:[Nombre ]],8,0)</f>
        <v>Banco de Bogota S.A.</v>
      </c>
      <c r="F611" s="5" t="str">
        <f>VLOOKUP(Tabla4[[#This Row],[Codigo]],Tabla2[[Cod]:[Nombre ]],6,0)</f>
        <v>OK</v>
      </c>
      <c r="G611" s="7" t="s">
        <v>282</v>
      </c>
      <c r="H611" s="21" t="s">
        <v>16</v>
      </c>
      <c r="I611" s="21" t="s">
        <v>694</v>
      </c>
      <c r="J611" s="163">
        <v>1</v>
      </c>
      <c r="K611" s="294">
        <v>26763084.84</v>
      </c>
      <c r="L611" s="298"/>
      <c r="M611" s="292">
        <f>IF(LEFT(Tabla4[[#This Row],[Electronica]],2)="NC",-Tabla4[[#This Row],[Cantidad]]*Tabla4[[#This Row],[Precio]]+Tabla4[[#This Row],[Dto]],Tabla4[[#This Row],[Cantidad]]*Tabla4[[#This Row],[Precio]]-Tabla4[[#This Row],[Dto]])</f>
        <v>26763084.84</v>
      </c>
      <c r="N611" s="292">
        <f>IFERROR(Tabla4[[#This Row],[Sub Total]]*VLOOKUP(Tabla4[[#This Row],[No]],Parametros!A:C,3,0),0)</f>
        <v>5084986.1195999999</v>
      </c>
      <c r="O611" s="292">
        <f>+Tabla4[[#This Row],[IVA]]+Tabla4[[#This Row],[Sub Total]]</f>
        <v>31848070.959600002</v>
      </c>
    </row>
    <row r="612" spans="1:15" ht="36" x14ac:dyDescent="0.2">
      <c r="A612" s="6">
        <v>545</v>
      </c>
      <c r="B612" s="6" t="str">
        <f>VLOOKUP(Tabla4[[#This Row],[Codigo]],Tabla2[[Cod]:[Nombre ]],2,0)</f>
        <v>P-1534</v>
      </c>
      <c r="C612" s="53">
        <f>VLOOKUP(Tabla4[[#This Row],[Codigo]],Tabla2[[Cod]:[Nombre ]],3,0)</f>
        <v>45841</v>
      </c>
      <c r="D612" s="6" t="str">
        <f>VLOOKUP(Tabla4[[#This Row],[Codigo]],Tabla2[[Cod]:[Nombre ]],4,0)</f>
        <v>TIS-1514</v>
      </c>
      <c r="E612" s="5" t="str">
        <f>VLOOKUP(Tabla4[[#This Row],[Codigo]],Tabla2[[Cod]:[Nombre ]],8,0)</f>
        <v>Comercializadora ERZ SAS</v>
      </c>
      <c r="F612" s="5" t="str">
        <f>VLOOKUP(Tabla4[[#This Row],[Codigo]],Tabla2[[Cod]:[Nombre ]],6,0)</f>
        <v>OK</v>
      </c>
      <c r="G612" s="7" t="s">
        <v>416</v>
      </c>
      <c r="H612" s="21" t="s">
        <v>519</v>
      </c>
      <c r="I612" s="21" t="s">
        <v>707</v>
      </c>
      <c r="J612" s="163">
        <v>1</v>
      </c>
      <c r="K612" s="294">
        <v>300000</v>
      </c>
      <c r="L612" s="298"/>
      <c r="M612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12" s="292">
        <f>IFERROR(Tabla4[[#This Row],[Sub Total]]*VLOOKUP(Tabla4[[#This Row],[No]],Parametros!A:C,3,0),0)</f>
        <v>57000</v>
      </c>
      <c r="O612" s="292">
        <f>+Tabla4[[#This Row],[IVA]]+Tabla4[[#This Row],[Sub Total]]</f>
        <v>357000</v>
      </c>
    </row>
    <row r="613" spans="1:15" ht="36" x14ac:dyDescent="0.2">
      <c r="A613" s="6">
        <v>546</v>
      </c>
      <c r="B613" s="6" t="str">
        <f>VLOOKUP(Tabla4[[#This Row],[Codigo]],Tabla2[[Cod]:[Nombre ]],2,0)</f>
        <v>P-1535</v>
      </c>
      <c r="C613" s="53">
        <f>VLOOKUP(Tabla4[[#This Row],[Codigo]],Tabla2[[Cod]:[Nombre ]],3,0)</f>
        <v>45841</v>
      </c>
      <c r="D613" s="6" t="str">
        <f>VLOOKUP(Tabla4[[#This Row],[Codigo]],Tabla2[[Cod]:[Nombre ]],4,0)</f>
        <v>TIS-1515</v>
      </c>
      <c r="E613" s="5" t="str">
        <f>VLOOKUP(Tabla4[[#This Row],[Codigo]],Tabla2[[Cod]:[Nombre ]],8,0)</f>
        <v>ROYCO SOLUCIONES SAS</v>
      </c>
      <c r="F613" s="5" t="str">
        <f>VLOOKUP(Tabla4[[#This Row],[Codigo]],Tabla2[[Cod]:[Nombre ]],6,0)</f>
        <v>OK</v>
      </c>
      <c r="G613" s="7" t="s">
        <v>416</v>
      </c>
      <c r="H613" s="21" t="s">
        <v>519</v>
      </c>
      <c r="I613" s="21" t="s">
        <v>707</v>
      </c>
      <c r="J613" s="163">
        <v>1</v>
      </c>
      <c r="K613" s="294">
        <v>250000</v>
      </c>
      <c r="L613" s="298"/>
      <c r="M613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613" s="292">
        <f>IFERROR(Tabla4[[#This Row],[Sub Total]]*VLOOKUP(Tabla4[[#This Row],[No]],Parametros!A:C,3,0),0)</f>
        <v>47500</v>
      </c>
      <c r="O613" s="292">
        <f>+Tabla4[[#This Row],[IVA]]+Tabla4[[#This Row],[Sub Total]]</f>
        <v>297500</v>
      </c>
    </row>
    <row r="614" spans="1:15" ht="36" x14ac:dyDescent="0.2">
      <c r="A614" s="6">
        <v>547</v>
      </c>
      <c r="B614" s="6" t="str">
        <f>VLOOKUP(Tabla4[[#This Row],[Codigo]],Tabla2[[Cod]:[Nombre ]],2,0)</f>
        <v>P-1536</v>
      </c>
      <c r="C614" s="53">
        <f>VLOOKUP(Tabla4[[#This Row],[Codigo]],Tabla2[[Cod]:[Nombre ]],3,0)</f>
        <v>45841</v>
      </c>
      <c r="D614" s="6" t="str">
        <f>VLOOKUP(Tabla4[[#This Row],[Codigo]],Tabla2[[Cod]:[Nombre ]],4,0)</f>
        <v>TIS- 1516</v>
      </c>
      <c r="E614" s="5" t="str">
        <f>VLOOKUP(Tabla4[[#This Row],[Codigo]],Tabla2[[Cod]:[Nombre ]],8,0)</f>
        <v>Inversiones Sajamib SAS</v>
      </c>
      <c r="F614" s="5" t="str">
        <f>VLOOKUP(Tabla4[[#This Row],[Codigo]],Tabla2[[Cod]:[Nombre ]],6,0)</f>
        <v>OK</v>
      </c>
      <c r="G614" s="7" t="s">
        <v>417</v>
      </c>
      <c r="H614" s="21" t="s">
        <v>525</v>
      </c>
      <c r="I614" s="21" t="s">
        <v>708</v>
      </c>
      <c r="J614" s="163">
        <v>1</v>
      </c>
      <c r="K614" s="294">
        <v>480000</v>
      </c>
      <c r="L614" s="298"/>
      <c r="M614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614" s="292">
        <f>IFERROR(Tabla4[[#This Row],[Sub Total]]*VLOOKUP(Tabla4[[#This Row],[No]],Parametros!A:C,3,0),0)</f>
        <v>0</v>
      </c>
      <c r="O614" s="292">
        <f>+Tabla4[[#This Row],[IVA]]+Tabla4[[#This Row],[Sub Total]]</f>
        <v>480000</v>
      </c>
    </row>
    <row r="615" spans="1:15" ht="45" x14ac:dyDescent="0.2">
      <c r="A615" s="6">
        <v>548</v>
      </c>
      <c r="B615" s="6" t="str">
        <f>VLOOKUP(Tabla4[[#This Row],[Codigo]],Tabla2[[Cod]:[Nombre ]],2,0)</f>
        <v>P-1537</v>
      </c>
      <c r="C615" s="53">
        <f>VLOOKUP(Tabla4[[#This Row],[Codigo]],Tabla2[[Cod]:[Nombre ]],3,0)</f>
        <v>45841</v>
      </c>
      <c r="D615" s="6" t="str">
        <f>VLOOKUP(Tabla4[[#This Row],[Codigo]],Tabla2[[Cod]:[Nombre ]],4,0)</f>
        <v>TIS-1517</v>
      </c>
      <c r="E615" s="5" t="str">
        <f>VLOOKUP(Tabla4[[#This Row],[Codigo]],Tabla2[[Cod]:[Nombre ]],8,0)</f>
        <v>DIGITAL MEDIA TECHNOLOGIES COLOMBIA SAS</v>
      </c>
      <c r="F615" s="5" t="str">
        <f>VLOOKUP(Tabla4[[#This Row],[Codigo]],Tabla2[[Cod]:[Nombre ]],6,0)</f>
        <v>OK</v>
      </c>
      <c r="G615" s="7" t="s">
        <v>416</v>
      </c>
      <c r="H615" s="21" t="s">
        <v>519</v>
      </c>
      <c r="I615" s="21" t="s">
        <v>707</v>
      </c>
      <c r="J615" s="163">
        <v>1</v>
      </c>
      <c r="K615" s="294">
        <v>300000</v>
      </c>
      <c r="L615" s="298"/>
      <c r="M615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15" s="292">
        <f>IFERROR(Tabla4[[#This Row],[Sub Total]]*VLOOKUP(Tabla4[[#This Row],[No]],Parametros!A:C,3,0),0)</f>
        <v>57000</v>
      </c>
      <c r="O615" s="292">
        <f>+Tabla4[[#This Row],[IVA]]+Tabla4[[#This Row],[Sub Total]]</f>
        <v>357000</v>
      </c>
    </row>
    <row r="616" spans="1:15" ht="36" x14ac:dyDescent="0.2">
      <c r="A616" s="6">
        <v>549</v>
      </c>
      <c r="B616" s="6" t="str">
        <f>VLOOKUP(Tabla4[[#This Row],[Codigo]],Tabla2[[Cod]:[Nombre ]],2,0)</f>
        <v>P-1538</v>
      </c>
      <c r="C616" s="53">
        <f>VLOOKUP(Tabla4[[#This Row],[Codigo]],Tabla2[[Cod]:[Nombre ]],3,0)</f>
        <v>45841</v>
      </c>
      <c r="D616" s="6" t="str">
        <f>VLOOKUP(Tabla4[[#This Row],[Codigo]],Tabla2[[Cod]:[Nombre ]],4,0)</f>
        <v>TIS.1518</v>
      </c>
      <c r="E616" s="5" t="str">
        <f>VLOOKUP(Tabla4[[#This Row],[Codigo]],Tabla2[[Cod]:[Nombre ]],8,0)</f>
        <v>STAFF SEGUROS AGENCIA LTDA</v>
      </c>
      <c r="F616" s="5" t="str">
        <f>VLOOKUP(Tabla4[[#This Row],[Codigo]],Tabla2[[Cod]:[Nombre ]],6,0)</f>
        <v>OK</v>
      </c>
      <c r="G616" s="7" t="s">
        <v>417</v>
      </c>
      <c r="H616" s="21" t="s">
        <v>525</v>
      </c>
      <c r="I616" s="21" t="s">
        <v>708</v>
      </c>
      <c r="J616" s="163">
        <v>1</v>
      </c>
      <c r="K616" s="294">
        <v>1360000</v>
      </c>
      <c r="L616" s="298"/>
      <c r="M616" s="292">
        <f>IF(LEFT(Tabla4[[#This Row],[Electronica]],2)="NC",-Tabla4[[#This Row],[Cantidad]]*Tabla4[[#This Row],[Precio]]+Tabla4[[#This Row],[Dto]],Tabla4[[#This Row],[Cantidad]]*Tabla4[[#This Row],[Precio]]-Tabla4[[#This Row],[Dto]])</f>
        <v>1360000</v>
      </c>
      <c r="N616" s="292">
        <f>IFERROR(Tabla4[[#This Row],[Sub Total]]*VLOOKUP(Tabla4[[#This Row],[No]],Parametros!A:C,3,0),0)</f>
        <v>0</v>
      </c>
      <c r="O616" s="292">
        <f>+Tabla4[[#This Row],[IVA]]+Tabla4[[#This Row],[Sub Total]]</f>
        <v>1360000</v>
      </c>
    </row>
    <row r="617" spans="1:15" ht="30" x14ac:dyDescent="0.2">
      <c r="A617" s="6">
        <v>550</v>
      </c>
      <c r="B617" s="6" t="str">
        <f>VLOOKUP(Tabla4[[#This Row],[Codigo]],Tabla2[[Cod]:[Nombre ]],2,0)</f>
        <v>P-1539</v>
      </c>
      <c r="C617" s="53">
        <f>VLOOKUP(Tabla4[[#This Row],[Codigo]],Tabla2[[Cod]:[Nombre ]],3,0)</f>
        <v>45841</v>
      </c>
      <c r="D617" s="6" t="str">
        <f>VLOOKUP(Tabla4[[#This Row],[Codigo]],Tabla2[[Cod]:[Nombre ]],4,0)</f>
        <v>TIS-1519</v>
      </c>
      <c r="E617" s="5" t="str">
        <f>VLOOKUP(Tabla4[[#This Row],[Codigo]],Tabla2[[Cod]:[Nombre ]],8,0)</f>
        <v>AND TOPOGRAFIA E INGENIERIA SAS</v>
      </c>
      <c r="F617" s="5" t="str">
        <f>VLOOKUP(Tabla4[[#This Row],[Codigo]],Tabla2[[Cod]:[Nombre ]],6,0)</f>
        <v>OK</v>
      </c>
      <c r="G617" s="7">
        <v>19</v>
      </c>
      <c r="H617" s="21" t="s">
        <v>602</v>
      </c>
      <c r="I617" s="21" t="s">
        <v>709</v>
      </c>
      <c r="J617" s="163">
        <v>1</v>
      </c>
      <c r="K617" s="294">
        <v>1800000</v>
      </c>
      <c r="L617" s="298"/>
      <c r="M617" s="292">
        <f>IF(LEFT(Tabla4[[#This Row],[Electronica]],2)="NC",-Tabla4[[#This Row],[Cantidad]]*Tabla4[[#This Row],[Precio]]+Tabla4[[#This Row],[Dto]],Tabla4[[#This Row],[Cantidad]]*Tabla4[[#This Row],[Precio]]-Tabla4[[#This Row],[Dto]])</f>
        <v>1800000</v>
      </c>
      <c r="N617" s="292">
        <f>IFERROR(Tabla4[[#This Row],[Sub Total]]*VLOOKUP(Tabla4[[#This Row],[No]],Parametros!A:C,3,0),0)</f>
        <v>0</v>
      </c>
      <c r="O617" s="292">
        <f>+Tabla4[[#This Row],[IVA]]+Tabla4[[#This Row],[Sub Total]]</f>
        <v>1800000</v>
      </c>
    </row>
    <row r="618" spans="1:15" ht="30" x14ac:dyDescent="0.2">
      <c r="A618" s="6">
        <v>551</v>
      </c>
      <c r="B618" s="6" t="str">
        <f>VLOOKUP(Tabla4[[#This Row],[Codigo]],Tabla2[[Cod]:[Nombre ]],2,0)</f>
        <v>P-1540</v>
      </c>
      <c r="C618" s="53">
        <f>VLOOKUP(Tabla4[[#This Row],[Codigo]],Tabla2[[Cod]:[Nombre ]],3,0)</f>
        <v>45841</v>
      </c>
      <c r="D618" s="6" t="str">
        <f>VLOOKUP(Tabla4[[#This Row],[Codigo]],Tabla2[[Cod]:[Nombre ]],4,0)</f>
        <v>TIS-1520</v>
      </c>
      <c r="E618" s="5" t="str">
        <f>VLOOKUP(Tabla4[[#This Row],[Codigo]],Tabla2[[Cod]:[Nombre ]],8,0)</f>
        <v>CONTROLAR SALUD INTEGRAL SAS</v>
      </c>
      <c r="F618" s="5" t="str">
        <f>VLOOKUP(Tabla4[[#This Row],[Codigo]],Tabla2[[Cod]:[Nombre ]],6,0)</f>
        <v>OK</v>
      </c>
      <c r="G618" s="7">
        <v>12</v>
      </c>
      <c r="H618" s="21" t="s">
        <v>608</v>
      </c>
      <c r="I618" s="21" t="s">
        <v>710</v>
      </c>
      <c r="J618" s="163">
        <v>1</v>
      </c>
      <c r="K618" s="294">
        <v>730000</v>
      </c>
      <c r="L618" s="298"/>
      <c r="M618" s="292">
        <f>IF(LEFT(Tabla4[[#This Row],[Electronica]],2)="NC",-Tabla4[[#This Row],[Cantidad]]*Tabla4[[#This Row],[Precio]]+Tabla4[[#This Row],[Dto]],Tabla4[[#This Row],[Cantidad]]*Tabla4[[#This Row],[Precio]]-Tabla4[[#This Row],[Dto]])</f>
        <v>730000</v>
      </c>
      <c r="N618" s="292">
        <f>IFERROR(Tabla4[[#This Row],[Sub Total]]*VLOOKUP(Tabla4[[#This Row],[No]],Parametros!A:C,3,0),0)</f>
        <v>0</v>
      </c>
      <c r="O618" s="292">
        <f>+Tabla4[[#This Row],[IVA]]+Tabla4[[#This Row],[Sub Total]]</f>
        <v>730000</v>
      </c>
    </row>
    <row r="619" spans="1:15" ht="24" x14ac:dyDescent="0.2">
      <c r="A619" s="6">
        <v>552</v>
      </c>
      <c r="B619" s="6" t="str">
        <f>VLOOKUP(Tabla4[[#This Row],[Codigo]],Tabla2[[Cod]:[Nombre ]],2,0)</f>
        <v>P-1541</v>
      </c>
      <c r="C619" s="53">
        <f>VLOOKUP(Tabla4[[#This Row],[Codigo]],Tabla2[[Cod]:[Nombre ]],3,0)</f>
        <v>45841</v>
      </c>
      <c r="D619" s="6" t="str">
        <f>VLOOKUP(Tabla4[[#This Row],[Codigo]],Tabla2[[Cod]:[Nombre ]],4,0)</f>
        <v>TIS-1521</v>
      </c>
      <c r="E619" s="5" t="str">
        <f>VLOOKUP(Tabla4[[#This Row],[Codigo]],Tabla2[[Cod]:[Nombre ]],8,0)</f>
        <v>SUPPLYTEC SAS</v>
      </c>
      <c r="F619" s="5" t="str">
        <f>VLOOKUP(Tabla4[[#This Row],[Codigo]],Tabla2[[Cod]:[Nombre ]],6,0)</f>
        <v>OK</v>
      </c>
      <c r="G619" s="7" t="s">
        <v>282</v>
      </c>
      <c r="H619" s="21" t="s">
        <v>16</v>
      </c>
      <c r="I619" s="21" t="s">
        <v>711</v>
      </c>
      <c r="J619" s="163">
        <v>37</v>
      </c>
      <c r="K619" s="294">
        <v>30000</v>
      </c>
      <c r="L619" s="298"/>
      <c r="M619" s="292">
        <f>IF(LEFT(Tabla4[[#This Row],[Electronica]],2)="NC",-Tabla4[[#This Row],[Cantidad]]*Tabla4[[#This Row],[Precio]]+Tabla4[[#This Row],[Dto]],Tabla4[[#This Row],[Cantidad]]*Tabla4[[#This Row],[Precio]]-Tabla4[[#This Row],[Dto]])</f>
        <v>1110000</v>
      </c>
      <c r="N619" s="292">
        <f>IFERROR(Tabla4[[#This Row],[Sub Total]]*VLOOKUP(Tabla4[[#This Row],[No]],Parametros!A:C,3,0),0)</f>
        <v>210900</v>
      </c>
      <c r="O619" s="292">
        <f>+Tabla4[[#This Row],[IVA]]+Tabla4[[#This Row],[Sub Total]]</f>
        <v>1320900</v>
      </c>
    </row>
    <row r="620" spans="1:15" ht="60" x14ac:dyDescent="0.2">
      <c r="A620" s="6">
        <v>553</v>
      </c>
      <c r="B620" s="6" t="str">
        <f>VLOOKUP(Tabla4[[#This Row],[Codigo]],Tabla2[[Cod]:[Nombre ]],2,0)</f>
        <v>P-1542</v>
      </c>
      <c r="C620" s="53">
        <f>VLOOKUP(Tabla4[[#This Row],[Codigo]],Tabla2[[Cod]:[Nombre ]],3,0)</f>
        <v>45841</v>
      </c>
      <c r="D620" s="6" t="str">
        <f>VLOOKUP(Tabla4[[#This Row],[Codigo]],Tabla2[[Cod]:[Nombre ]],4,0)</f>
        <v>TIS-1522</v>
      </c>
      <c r="E620" s="5" t="str">
        <f>VLOOKUP(Tabla4[[#This Row],[Codigo]],Tabla2[[Cod]:[Nombre ]],8,0)</f>
        <v>COMERCIALIZADORA INTERNACIONAL DYNAMIC TRADING CORPORATION S.A.S</v>
      </c>
      <c r="F620" s="5" t="str">
        <f>VLOOKUP(Tabla4[[#This Row],[Codigo]],Tabla2[[Cod]:[Nombre ]],6,0)</f>
        <v>OK</v>
      </c>
      <c r="G620" s="7" t="s">
        <v>282</v>
      </c>
      <c r="H620" s="21" t="s">
        <v>16</v>
      </c>
      <c r="I620" s="21" t="s">
        <v>711</v>
      </c>
      <c r="J620" s="163">
        <v>10</v>
      </c>
      <c r="K620" s="294">
        <v>30000</v>
      </c>
      <c r="L620" s="298"/>
      <c r="M620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20" s="292">
        <f>IFERROR(Tabla4[[#This Row],[Sub Total]]*VLOOKUP(Tabla4[[#This Row],[No]],Parametros!A:C,3,0),0)</f>
        <v>57000</v>
      </c>
      <c r="O620" s="292">
        <f>+Tabla4[[#This Row],[IVA]]+Tabla4[[#This Row],[Sub Total]]</f>
        <v>357000</v>
      </c>
    </row>
    <row r="621" spans="1:15" ht="24" x14ac:dyDescent="0.2">
      <c r="A621" s="6">
        <v>554</v>
      </c>
      <c r="B621" s="6" t="str">
        <f>VLOOKUP(Tabla4[[#This Row],[Codigo]],Tabla2[[Cod]:[Nombre ]],2,0)</f>
        <v>P-1543</v>
      </c>
      <c r="C621" s="53">
        <f>VLOOKUP(Tabla4[[#This Row],[Codigo]],Tabla2[[Cod]:[Nombre ]],3,0)</f>
        <v>45852</v>
      </c>
      <c r="D621" s="6" t="str">
        <f>VLOOKUP(Tabla4[[#This Row],[Codigo]],Tabla2[[Cod]:[Nombre ]],4,0)</f>
        <v>TIS-1523</v>
      </c>
      <c r="E621" s="5" t="str">
        <f>VLOOKUP(Tabla4[[#This Row],[Codigo]],Tabla2[[Cod]:[Nombre ]],8,0)</f>
        <v>Banco de Bogota S.A.</v>
      </c>
      <c r="F621" s="5" t="str">
        <f>VLOOKUP(Tabla4[[#This Row],[Codigo]],Tabla2[[Cod]:[Nombre ]],6,0)</f>
        <v>Anulado</v>
      </c>
      <c r="G621" s="7" t="s">
        <v>282</v>
      </c>
      <c r="H621" s="21" t="s">
        <v>16</v>
      </c>
      <c r="I621" s="21" t="s">
        <v>694</v>
      </c>
      <c r="J621" s="163">
        <v>1</v>
      </c>
      <c r="K621" s="294">
        <v>26763085</v>
      </c>
      <c r="L621" s="298"/>
      <c r="M621" s="292">
        <f>IF(LEFT(Tabla4[[#This Row],[Electronica]],2)="NC",-Tabla4[[#This Row],[Cantidad]]*Tabla4[[#This Row],[Precio]]+Tabla4[[#This Row],[Dto]],Tabla4[[#This Row],[Cantidad]]*Tabla4[[#This Row],[Precio]]-Tabla4[[#This Row],[Dto]])</f>
        <v>26763085</v>
      </c>
      <c r="N621" s="292">
        <f>IFERROR(Tabla4[[#This Row],[Sub Total]]*VLOOKUP(Tabla4[[#This Row],[No]],Parametros!A:C,3,0),0)</f>
        <v>5084986.1500000004</v>
      </c>
      <c r="O621" s="292">
        <f>+Tabla4[[#This Row],[IVA]]+Tabla4[[#This Row],[Sub Total]]</f>
        <v>31848071.149999999</v>
      </c>
    </row>
    <row r="622" spans="1:15" ht="24" x14ac:dyDescent="0.2">
      <c r="A622" s="6">
        <v>555</v>
      </c>
      <c r="B622" s="6" t="str">
        <f>VLOOKUP(Tabla4[[#This Row],[Codigo]],Tabla2[[Cod]:[Nombre ]],2,0)</f>
        <v>P-1544</v>
      </c>
      <c r="C622" s="53">
        <f>VLOOKUP(Tabla4[[#This Row],[Codigo]],Tabla2[[Cod]:[Nombre ]],3,0)</f>
        <v>45852</v>
      </c>
      <c r="D622" s="6" t="str">
        <f>VLOOKUP(Tabla4[[#This Row],[Codigo]],Tabla2[[Cod]:[Nombre ]],4,0)</f>
        <v>TIS-1524</v>
      </c>
      <c r="E622" s="5" t="str">
        <f>VLOOKUP(Tabla4[[#This Row],[Codigo]],Tabla2[[Cod]:[Nombre ]],8,0)</f>
        <v>ACTIVOS SAS</v>
      </c>
      <c r="F622" s="5" t="str">
        <f>VLOOKUP(Tabla4[[#This Row],[Codigo]],Tabla2[[Cod]:[Nombre ]],6,0)</f>
        <v>OK</v>
      </c>
      <c r="G622" s="7" t="s">
        <v>282</v>
      </c>
      <c r="H622" s="21" t="s">
        <v>16</v>
      </c>
      <c r="I622" s="21" t="s">
        <v>712</v>
      </c>
      <c r="J622" s="163">
        <v>675</v>
      </c>
      <c r="K622" s="294">
        <v>29000</v>
      </c>
      <c r="L622" s="298"/>
      <c r="M622" s="292">
        <f>IF(LEFT(Tabla4[[#This Row],[Electronica]],2)="NC",-Tabla4[[#This Row],[Cantidad]]*Tabla4[[#This Row],[Precio]]+Tabla4[[#This Row],[Dto]],Tabla4[[#This Row],[Cantidad]]*Tabla4[[#This Row],[Precio]]-Tabla4[[#This Row],[Dto]])</f>
        <v>19575000</v>
      </c>
      <c r="N622" s="292">
        <f>IFERROR(Tabla4[[#This Row],[Sub Total]]*VLOOKUP(Tabla4[[#This Row],[No]],Parametros!A:C,3,0),0)</f>
        <v>3719250</v>
      </c>
      <c r="O622" s="292">
        <f>+Tabla4[[#This Row],[IVA]]+Tabla4[[#This Row],[Sub Total]]</f>
        <v>23294250</v>
      </c>
    </row>
    <row r="623" spans="1:15" ht="24" x14ac:dyDescent="0.2">
      <c r="A623" s="6">
        <v>556</v>
      </c>
      <c r="B623" s="6" t="str">
        <f>VLOOKUP(Tabla4[[#This Row],[Codigo]],Tabla2[[Cod]:[Nombre ]],2,0)</f>
        <v>P-1545</v>
      </c>
      <c r="C623" s="53">
        <f>VLOOKUP(Tabla4[[#This Row],[Codigo]],Tabla2[[Cod]:[Nombre ]],3,0)</f>
        <v>45855</v>
      </c>
      <c r="D623" s="6" t="str">
        <f>VLOOKUP(Tabla4[[#This Row],[Codigo]],Tabla2[[Cod]:[Nombre ]],4,0)</f>
        <v>TIS-1525</v>
      </c>
      <c r="E623" s="5" t="str">
        <f>VLOOKUP(Tabla4[[#This Row],[Codigo]],Tabla2[[Cod]:[Nombre ]],8,0)</f>
        <v>CHECOREPUESTOS S A S</v>
      </c>
      <c r="F623" s="5" t="str">
        <f>VLOOKUP(Tabla4[[#This Row],[Codigo]],Tabla2[[Cod]:[Nombre ]],6,0)</f>
        <v>OK</v>
      </c>
      <c r="G623" s="7" t="s">
        <v>282</v>
      </c>
      <c r="H623" s="21" t="s">
        <v>16</v>
      </c>
      <c r="I623" s="21" t="s">
        <v>681</v>
      </c>
      <c r="J623" s="163">
        <v>4</v>
      </c>
      <c r="K623" s="294">
        <v>100000</v>
      </c>
      <c r="L623" s="298"/>
      <c r="M623" s="292">
        <f>IF(LEFT(Tabla4[[#This Row],[Electronica]],2)="NC",-Tabla4[[#This Row],[Cantidad]]*Tabla4[[#This Row],[Precio]]+Tabla4[[#This Row],[Dto]],Tabla4[[#This Row],[Cantidad]]*Tabla4[[#This Row],[Precio]]-Tabla4[[#This Row],[Dto]])</f>
        <v>400000</v>
      </c>
      <c r="N623" s="292">
        <f>IFERROR(Tabla4[[#This Row],[Sub Total]]*VLOOKUP(Tabla4[[#This Row],[No]],Parametros!A:C,3,0),0)</f>
        <v>76000</v>
      </c>
      <c r="O623" s="292">
        <f>+Tabla4[[#This Row],[IVA]]+Tabla4[[#This Row],[Sub Total]]</f>
        <v>476000</v>
      </c>
    </row>
    <row r="624" spans="1:15" ht="24" x14ac:dyDescent="0.2">
      <c r="A624" s="6">
        <v>556</v>
      </c>
      <c r="B624" s="6" t="str">
        <f>VLOOKUP(Tabla4[[#This Row],[Codigo]],Tabla2[[Cod]:[Nombre ]],2,0)</f>
        <v>P-1545</v>
      </c>
      <c r="C624" s="53">
        <f>VLOOKUP(Tabla4[[#This Row],[Codigo]],Tabla2[[Cod]:[Nombre ]],3,0)</f>
        <v>45855</v>
      </c>
      <c r="D624" s="6" t="str">
        <f>VLOOKUP(Tabla4[[#This Row],[Codigo]],Tabla2[[Cod]:[Nombre ]],4,0)</f>
        <v>TIS-1525</v>
      </c>
      <c r="E624" s="5" t="str">
        <f>VLOOKUP(Tabla4[[#This Row],[Codigo]],Tabla2[[Cod]:[Nombre ]],8,0)</f>
        <v>CHECOREPUESTOS S A S</v>
      </c>
      <c r="F624" s="5" t="str">
        <f>VLOOKUP(Tabla4[[#This Row],[Codigo]],Tabla2[[Cod]:[Nombre ]],6,0)</f>
        <v>OK</v>
      </c>
      <c r="G624" s="7" t="s">
        <v>420</v>
      </c>
      <c r="H624" s="21" t="s">
        <v>551</v>
      </c>
      <c r="I624" s="21" t="s">
        <v>684</v>
      </c>
      <c r="J624" s="163">
        <v>2</v>
      </c>
      <c r="K624" s="294">
        <v>330000</v>
      </c>
      <c r="L624" s="298"/>
      <c r="M624" s="292">
        <f>IF(LEFT(Tabla4[[#This Row],[Electronica]],2)="NC",-Tabla4[[#This Row],[Cantidad]]*Tabla4[[#This Row],[Precio]]+Tabla4[[#This Row],[Dto]],Tabla4[[#This Row],[Cantidad]]*Tabla4[[#This Row],[Precio]]-Tabla4[[#This Row],[Dto]])</f>
        <v>660000</v>
      </c>
      <c r="N624" s="292">
        <f>IFERROR(Tabla4[[#This Row],[Sub Total]]*VLOOKUP(Tabla4[[#This Row],[No]],Parametros!A:C,3,0),0)</f>
        <v>125400</v>
      </c>
      <c r="O624" s="292">
        <f>+Tabla4[[#This Row],[IVA]]+Tabla4[[#This Row],[Sub Total]]</f>
        <v>785400</v>
      </c>
    </row>
    <row r="625" spans="1:15" ht="24" x14ac:dyDescent="0.2">
      <c r="A625" s="6">
        <v>557</v>
      </c>
      <c r="B625" s="6" t="str">
        <f>VLOOKUP(Tabla4[[#This Row],[Codigo]],Tabla2[[Cod]:[Nombre ]],2,0)</f>
        <v>P-1546</v>
      </c>
      <c r="C625" s="53">
        <f>VLOOKUP(Tabla4[[#This Row],[Codigo]],Tabla2[[Cod]:[Nombre ]],3,0)</f>
        <v>45855</v>
      </c>
      <c r="D625" s="6" t="str">
        <f>VLOOKUP(Tabla4[[#This Row],[Codigo]],Tabla2[[Cod]:[Nombre ]],4,0)</f>
        <v>TIS-1526</v>
      </c>
      <c r="E625" s="5" t="str">
        <f>VLOOKUP(Tabla4[[#This Row],[Codigo]],Tabla2[[Cod]:[Nombre ]],8,0)</f>
        <v>AEQUALES SAS</v>
      </c>
      <c r="F625" s="5" t="str">
        <f>VLOOKUP(Tabla4[[#This Row],[Codigo]],Tabla2[[Cod]:[Nombre ]],6,0)</f>
        <v>OK</v>
      </c>
      <c r="G625" s="7" t="s">
        <v>420</v>
      </c>
      <c r="H625" s="21" t="s">
        <v>551</v>
      </c>
      <c r="I625" s="21" t="s">
        <v>684</v>
      </c>
      <c r="J625" s="163">
        <v>7</v>
      </c>
      <c r="K625" s="294">
        <v>200000</v>
      </c>
      <c r="L625" s="298"/>
      <c r="M625" s="292">
        <f>IF(LEFT(Tabla4[[#This Row],[Electronica]],2)="NC",-Tabla4[[#This Row],[Cantidad]]*Tabla4[[#This Row],[Precio]]+Tabla4[[#This Row],[Dto]],Tabla4[[#This Row],[Cantidad]]*Tabla4[[#This Row],[Precio]]-Tabla4[[#This Row],[Dto]])</f>
        <v>1400000</v>
      </c>
      <c r="N625" s="292">
        <f>IFERROR(Tabla4[[#This Row],[Sub Total]]*VLOOKUP(Tabla4[[#This Row],[No]],Parametros!A:C,3,0),0)</f>
        <v>266000</v>
      </c>
      <c r="O625" s="292">
        <f>+Tabla4[[#This Row],[IVA]]+Tabla4[[#This Row],[Sub Total]]</f>
        <v>1666000</v>
      </c>
    </row>
    <row r="626" spans="1:15" ht="24" x14ac:dyDescent="0.2">
      <c r="A626" s="6">
        <v>558</v>
      </c>
      <c r="B626" s="6" t="str">
        <f>VLOOKUP(Tabla4[[#This Row],[Codigo]],Tabla2[[Cod]:[Nombre ]],2,0)</f>
        <v>P-1547</v>
      </c>
      <c r="C626" s="53">
        <f>VLOOKUP(Tabla4[[#This Row],[Codigo]],Tabla2[[Cod]:[Nombre ]],3,0)</f>
        <v>45863</v>
      </c>
      <c r="D626" s="6" t="str">
        <f>VLOOKUP(Tabla4[[#This Row],[Codigo]],Tabla2[[Cod]:[Nombre ]],4,0)</f>
        <v>TIS-1526</v>
      </c>
      <c r="E626" s="5" t="str">
        <f>VLOOKUP(Tabla4[[#This Row],[Codigo]],Tabla2[[Cod]:[Nombre ]],8,0)</f>
        <v>AEQUALES SAS</v>
      </c>
      <c r="F626" s="5" t="str">
        <f>VLOOKUP(Tabla4[[#This Row],[Codigo]],Tabla2[[Cod]:[Nombre ]],6,0)</f>
        <v>Anulado</v>
      </c>
      <c r="G626" s="7" t="s">
        <v>420</v>
      </c>
      <c r="H626" s="21" t="s">
        <v>551</v>
      </c>
      <c r="I626" s="21" t="s">
        <v>684</v>
      </c>
      <c r="J626" s="163">
        <v>7</v>
      </c>
      <c r="K626" s="294">
        <v>200000</v>
      </c>
      <c r="L626" s="298"/>
      <c r="M626" s="292">
        <f>IF(LEFT(Tabla4[[#This Row],[Electronica]],2)="NC",-Tabla4[[#This Row],[Cantidad]]*Tabla4[[#This Row],[Precio]]+Tabla4[[#This Row],[Dto]],Tabla4[[#This Row],[Cantidad]]*Tabla4[[#This Row],[Precio]]-Tabla4[[#This Row],[Dto]])</f>
        <v>1400000</v>
      </c>
      <c r="N626" s="292">
        <f>IFERROR(Tabla4[[#This Row],[Sub Total]]*VLOOKUP(Tabla4[[#This Row],[No]],Parametros!A:C,3,0),0)</f>
        <v>266000</v>
      </c>
      <c r="O626" s="292">
        <f>+Tabla4[[#This Row],[IVA]]+Tabla4[[#This Row],[Sub Total]]</f>
        <v>1666000</v>
      </c>
    </row>
    <row r="627" spans="1:15" ht="36" x14ac:dyDescent="0.2">
      <c r="A627" s="6">
        <v>559</v>
      </c>
      <c r="B627" s="6" t="str">
        <f>VLOOKUP(Tabla4[[#This Row],[Codigo]],Tabla2[[Cod]:[Nombre ]],2,0)</f>
        <v>P-1548</v>
      </c>
      <c r="C627" s="53">
        <f>VLOOKUP(Tabla4[[#This Row],[Codigo]],Tabla2[[Cod]:[Nombre ]],3,0)</f>
        <v>45877</v>
      </c>
      <c r="D627" s="6" t="str">
        <f>VLOOKUP(Tabla4[[#This Row],[Codigo]],Tabla2[[Cod]:[Nombre ]],4,0)</f>
        <v>TIS-1527</v>
      </c>
      <c r="E627" s="5" t="str">
        <f>VLOOKUP(Tabla4[[#This Row],[Codigo]],Tabla2[[Cod]:[Nombre ]],8,0)</f>
        <v>Comercializadora ERZ SAS</v>
      </c>
      <c r="F627" s="5" t="str">
        <f>VLOOKUP(Tabla4[[#This Row],[Codigo]],Tabla2[[Cod]:[Nombre ]],6,0)</f>
        <v>OK</v>
      </c>
      <c r="G627" s="7" t="s">
        <v>416</v>
      </c>
      <c r="H627" s="21" t="s">
        <v>519</v>
      </c>
      <c r="I627" s="21" t="s">
        <v>713</v>
      </c>
      <c r="J627" s="163">
        <v>1</v>
      </c>
      <c r="K627" s="294">
        <v>300000</v>
      </c>
      <c r="L627" s="298"/>
      <c r="M627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27" s="292">
        <f>IFERROR(Tabla4[[#This Row],[Sub Total]]*VLOOKUP(Tabla4[[#This Row],[No]],Parametros!A:C,3,0),0)</f>
        <v>57000</v>
      </c>
      <c r="O627" s="292">
        <f>+Tabla4[[#This Row],[IVA]]+Tabla4[[#This Row],[Sub Total]]</f>
        <v>357000</v>
      </c>
    </row>
    <row r="628" spans="1:15" ht="45" x14ac:dyDescent="0.2">
      <c r="A628" s="6">
        <v>560</v>
      </c>
      <c r="B628" s="6" t="str">
        <f>VLOOKUP(Tabla4[[#This Row],[Codigo]],Tabla2[[Cod]:[Nombre ]],2,0)</f>
        <v>P-1549</v>
      </c>
      <c r="C628" s="53">
        <f>VLOOKUP(Tabla4[[#This Row],[Codigo]],Tabla2[[Cod]:[Nombre ]],3,0)</f>
        <v>45877</v>
      </c>
      <c r="D628" s="6" t="str">
        <f>VLOOKUP(Tabla4[[#This Row],[Codigo]],Tabla2[[Cod]:[Nombre ]],4,0)</f>
        <v>TIS-1528</v>
      </c>
      <c r="E628" s="5" t="str">
        <f>VLOOKUP(Tabla4[[#This Row],[Codigo]],Tabla2[[Cod]:[Nombre ]],8,0)</f>
        <v>DIGITAL MEDIA TECHNOLOGIES COLOMBIA SAS</v>
      </c>
      <c r="F628" s="5" t="str">
        <f>VLOOKUP(Tabla4[[#This Row],[Codigo]],Tabla2[[Cod]:[Nombre ]],6,0)</f>
        <v>OK</v>
      </c>
      <c r="G628" s="7" t="s">
        <v>416</v>
      </c>
      <c r="H628" s="21" t="s">
        <v>519</v>
      </c>
      <c r="I628" s="21" t="s">
        <v>713</v>
      </c>
      <c r="J628" s="163">
        <v>1</v>
      </c>
      <c r="K628" s="294">
        <v>300000</v>
      </c>
      <c r="L628" s="298"/>
      <c r="M628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28" s="292">
        <f>IFERROR(Tabla4[[#This Row],[Sub Total]]*VLOOKUP(Tabla4[[#This Row],[No]],Parametros!A:C,3,0),0)</f>
        <v>57000</v>
      </c>
      <c r="O628" s="292">
        <f>+Tabla4[[#This Row],[IVA]]+Tabla4[[#This Row],[Sub Total]]</f>
        <v>357000</v>
      </c>
    </row>
    <row r="629" spans="1:15" ht="36" x14ac:dyDescent="0.2">
      <c r="A629" s="6">
        <v>561</v>
      </c>
      <c r="B629" s="6" t="str">
        <f>VLOOKUP(Tabla4[[#This Row],[Codigo]],Tabla2[[Cod]:[Nombre ]],2,0)</f>
        <v>P-1550</v>
      </c>
      <c r="C629" s="53">
        <f>VLOOKUP(Tabla4[[#This Row],[Codigo]],Tabla2[[Cod]:[Nombre ]],3,0)</f>
        <v>45877</v>
      </c>
      <c r="D629" s="6" t="str">
        <f>VLOOKUP(Tabla4[[#This Row],[Codigo]],Tabla2[[Cod]:[Nombre ]],4,0)</f>
        <v>TIS-1529</v>
      </c>
      <c r="E629" s="5" t="str">
        <f>VLOOKUP(Tabla4[[#This Row],[Codigo]],Tabla2[[Cod]:[Nombre ]],8,0)</f>
        <v>ROYCO SOLUCIONES SAS</v>
      </c>
      <c r="F629" s="5" t="str">
        <f>VLOOKUP(Tabla4[[#This Row],[Codigo]],Tabla2[[Cod]:[Nombre ]],6,0)</f>
        <v>OK</v>
      </c>
      <c r="G629" s="7" t="s">
        <v>416</v>
      </c>
      <c r="H629" s="21" t="s">
        <v>519</v>
      </c>
      <c r="I629" s="21" t="s">
        <v>713</v>
      </c>
      <c r="J629" s="163">
        <v>1</v>
      </c>
      <c r="K629" s="294">
        <v>200000</v>
      </c>
      <c r="L629" s="298"/>
      <c r="M629" s="292">
        <f>IF(LEFT(Tabla4[[#This Row],[Electronica]],2)="NC",-Tabla4[[#This Row],[Cantidad]]*Tabla4[[#This Row],[Precio]]+Tabla4[[#This Row],[Dto]],Tabla4[[#This Row],[Cantidad]]*Tabla4[[#This Row],[Precio]]-Tabla4[[#This Row],[Dto]])</f>
        <v>200000</v>
      </c>
      <c r="N629" s="292">
        <f>IFERROR(Tabla4[[#This Row],[Sub Total]]*VLOOKUP(Tabla4[[#This Row],[No]],Parametros!A:C,3,0),0)</f>
        <v>38000</v>
      </c>
      <c r="O629" s="292">
        <f>+Tabla4[[#This Row],[IVA]]+Tabla4[[#This Row],[Sub Total]]</f>
        <v>238000</v>
      </c>
    </row>
    <row r="630" spans="1:15" ht="36" x14ac:dyDescent="0.2">
      <c r="A630" s="6">
        <v>562</v>
      </c>
      <c r="B630" s="6" t="str">
        <f>VLOOKUP(Tabla4[[#This Row],[Codigo]],Tabla2[[Cod]:[Nombre ]],2,0)</f>
        <v>P-1551</v>
      </c>
      <c r="C630" s="53">
        <f>VLOOKUP(Tabla4[[#This Row],[Codigo]],Tabla2[[Cod]:[Nombre ]],3,0)</f>
        <v>45877</v>
      </c>
      <c r="D630" s="6" t="str">
        <f>VLOOKUP(Tabla4[[#This Row],[Codigo]],Tabla2[[Cod]:[Nombre ]],4,0)</f>
        <v>TIS-1530</v>
      </c>
      <c r="E630" s="5" t="str">
        <f>VLOOKUP(Tabla4[[#This Row],[Codigo]],Tabla2[[Cod]:[Nombre ]],8,0)</f>
        <v>AND TOPOGRAFIA E INGENIERIA SAS</v>
      </c>
      <c r="F630" s="5" t="str">
        <f>VLOOKUP(Tabla4[[#This Row],[Codigo]],Tabla2[[Cod]:[Nombre ]],6,0)</f>
        <v>OK</v>
      </c>
      <c r="G630" s="7" t="s">
        <v>417</v>
      </c>
      <c r="H630" s="21" t="s">
        <v>525</v>
      </c>
      <c r="I630" s="21" t="s">
        <v>714</v>
      </c>
      <c r="J630" s="163">
        <v>1</v>
      </c>
      <c r="K630" s="294">
        <v>300000</v>
      </c>
      <c r="L630" s="298"/>
      <c r="M630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30" s="292">
        <f>IFERROR(Tabla4[[#This Row],[Sub Total]]*VLOOKUP(Tabla4[[#This Row],[No]],Parametros!A:C,3,0),0)</f>
        <v>0</v>
      </c>
      <c r="O630" s="292">
        <f>+Tabla4[[#This Row],[IVA]]+Tabla4[[#This Row],[Sub Total]]</f>
        <v>300000</v>
      </c>
    </row>
    <row r="631" spans="1:15" ht="36" x14ac:dyDescent="0.2">
      <c r="A631" s="6">
        <v>563</v>
      </c>
      <c r="B631" s="6" t="str">
        <f>VLOOKUP(Tabla4[[#This Row],[Codigo]],Tabla2[[Cod]:[Nombre ]],2,0)</f>
        <v>P-1552</v>
      </c>
      <c r="C631" s="53">
        <f>VLOOKUP(Tabla4[[#This Row],[Codigo]],Tabla2[[Cod]:[Nombre ]],3,0)</f>
        <v>45877</v>
      </c>
      <c r="D631" s="6" t="str">
        <f>VLOOKUP(Tabla4[[#This Row],[Codigo]],Tabla2[[Cod]:[Nombre ]],4,0)</f>
        <v>TIS-1531</v>
      </c>
      <c r="E631" s="5" t="str">
        <f>VLOOKUP(Tabla4[[#This Row],[Codigo]],Tabla2[[Cod]:[Nombre ]],8,0)</f>
        <v>Inversiones Sajamib SAS</v>
      </c>
      <c r="F631" s="5" t="str">
        <f>VLOOKUP(Tabla4[[#This Row],[Codigo]],Tabla2[[Cod]:[Nombre ]],6,0)</f>
        <v>OK</v>
      </c>
      <c r="G631" s="7" t="s">
        <v>417</v>
      </c>
      <c r="H631" s="21" t="s">
        <v>525</v>
      </c>
      <c r="I631" s="21" t="s">
        <v>714</v>
      </c>
      <c r="J631" s="163">
        <v>1</v>
      </c>
      <c r="K631" s="294">
        <v>480000</v>
      </c>
      <c r="L631" s="298"/>
      <c r="M631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631" s="292">
        <f>IFERROR(Tabla4[[#This Row],[Sub Total]]*VLOOKUP(Tabla4[[#This Row],[No]],Parametros!A:C,3,0),0)</f>
        <v>0</v>
      </c>
      <c r="O631" s="292">
        <f>+Tabla4[[#This Row],[IVA]]+Tabla4[[#This Row],[Sub Total]]</f>
        <v>480000</v>
      </c>
    </row>
    <row r="632" spans="1:15" ht="36" x14ac:dyDescent="0.2">
      <c r="A632" s="6">
        <v>564</v>
      </c>
      <c r="B632" s="6" t="str">
        <f>VLOOKUP(Tabla4[[#This Row],[Codigo]],Tabla2[[Cod]:[Nombre ]],2,0)</f>
        <v>P-1553</v>
      </c>
      <c r="C632" s="53">
        <f>VLOOKUP(Tabla4[[#This Row],[Codigo]],Tabla2[[Cod]:[Nombre ]],3,0)</f>
        <v>45877</v>
      </c>
      <c r="D632" s="6" t="str">
        <f>VLOOKUP(Tabla4[[#This Row],[Codigo]],Tabla2[[Cod]:[Nombre ]],4,0)</f>
        <v>TIS-1532</v>
      </c>
      <c r="E632" s="5" t="str">
        <f>VLOOKUP(Tabla4[[#This Row],[Codigo]],Tabla2[[Cod]:[Nombre ]],8,0)</f>
        <v>STAFF SEGUROS AGENCIA LTDA</v>
      </c>
      <c r="F632" s="5" t="str">
        <f>VLOOKUP(Tabla4[[#This Row],[Codigo]],Tabla2[[Cod]:[Nombre ]],6,0)</f>
        <v>OK</v>
      </c>
      <c r="G632" s="7" t="s">
        <v>417</v>
      </c>
      <c r="H632" s="21" t="s">
        <v>525</v>
      </c>
      <c r="I632" s="21" t="s">
        <v>714</v>
      </c>
      <c r="J632" s="163">
        <v>1</v>
      </c>
      <c r="K632" s="294">
        <v>1790000</v>
      </c>
      <c r="L632" s="298"/>
      <c r="M632" s="292">
        <f>IF(LEFT(Tabla4[[#This Row],[Electronica]],2)="NC",-Tabla4[[#This Row],[Cantidad]]*Tabla4[[#This Row],[Precio]]+Tabla4[[#This Row],[Dto]],Tabla4[[#This Row],[Cantidad]]*Tabla4[[#This Row],[Precio]]-Tabla4[[#This Row],[Dto]])</f>
        <v>1790000</v>
      </c>
      <c r="N632" s="292">
        <f>IFERROR(Tabla4[[#This Row],[Sub Total]]*VLOOKUP(Tabla4[[#This Row],[No]],Parametros!A:C,3,0),0)</f>
        <v>0</v>
      </c>
      <c r="O632" s="292">
        <f>+Tabla4[[#This Row],[IVA]]+Tabla4[[#This Row],[Sub Total]]</f>
        <v>1790000</v>
      </c>
    </row>
    <row r="633" spans="1:15" ht="45" x14ac:dyDescent="0.2">
      <c r="A633" s="6">
        <v>565</v>
      </c>
      <c r="B633" s="6" t="str">
        <f>VLOOKUP(Tabla4[[#This Row],[Codigo]],Tabla2[[Cod]:[Nombre ]],2,0)</f>
        <v>P-1554</v>
      </c>
      <c r="C633" s="53">
        <f>VLOOKUP(Tabla4[[#This Row],[Codigo]],Tabla2[[Cod]:[Nombre ]],3,0)</f>
        <v>45877</v>
      </c>
      <c r="D633" s="6" t="str">
        <f>VLOOKUP(Tabla4[[#This Row],[Codigo]],Tabla2[[Cod]:[Nombre ]],4,0)</f>
        <v>TIS-1533</v>
      </c>
      <c r="E633" s="5" t="str">
        <f>VLOOKUP(Tabla4[[#This Row],[Codigo]],Tabla2[[Cod]:[Nombre ]],8,0)</f>
        <v>CENTRO DE ATENCION E INVESTIGACION MEDICA S.A.S.</v>
      </c>
      <c r="F633" s="5" t="str">
        <f>VLOOKUP(Tabla4[[#This Row],[Codigo]],Tabla2[[Cod]:[Nombre ]],6,0)</f>
        <v>OK</v>
      </c>
      <c r="G633" s="7" t="s">
        <v>416</v>
      </c>
      <c r="H633" s="21" t="s">
        <v>519</v>
      </c>
      <c r="I633" s="21" t="s">
        <v>713</v>
      </c>
      <c r="J633" s="163">
        <v>1</v>
      </c>
      <c r="K633" s="294">
        <v>1500000</v>
      </c>
      <c r="L633" s="298"/>
      <c r="M633" s="292">
        <f>IF(LEFT(Tabla4[[#This Row],[Electronica]],2)="NC",-Tabla4[[#This Row],[Cantidad]]*Tabla4[[#This Row],[Precio]]+Tabla4[[#This Row],[Dto]],Tabla4[[#This Row],[Cantidad]]*Tabla4[[#This Row],[Precio]]-Tabla4[[#This Row],[Dto]])</f>
        <v>1500000</v>
      </c>
      <c r="N633" s="292">
        <f>IFERROR(Tabla4[[#This Row],[Sub Total]]*VLOOKUP(Tabla4[[#This Row],[No]],Parametros!A:C,3,0),0)</f>
        <v>285000</v>
      </c>
      <c r="O633" s="292">
        <f>+Tabla4[[#This Row],[IVA]]+Tabla4[[#This Row],[Sub Total]]</f>
        <v>1785000</v>
      </c>
    </row>
    <row r="634" spans="1:15" ht="24" x14ac:dyDescent="0.2">
      <c r="A634" s="6">
        <v>566</v>
      </c>
      <c r="B634" s="6" t="str">
        <f>VLOOKUP(Tabla4[[#This Row],[Codigo]],Tabla2[[Cod]:[Nombre ]],2,0)</f>
        <v>P-1555</v>
      </c>
      <c r="C634" s="53">
        <f>VLOOKUP(Tabla4[[#This Row],[Codigo]],Tabla2[[Cod]:[Nombre ]],3,0)</f>
        <v>45884</v>
      </c>
      <c r="D634" s="6" t="str">
        <f>VLOOKUP(Tabla4[[#This Row],[Codigo]],Tabla2[[Cod]:[Nombre ]],4,0)</f>
        <v>TIS-1536</v>
      </c>
      <c r="E634" s="5" t="str">
        <f>VLOOKUP(Tabla4[[#This Row],[Codigo]],Tabla2[[Cod]:[Nombre ]],8,0)</f>
        <v>SIMTEC LB S.A.S.</v>
      </c>
      <c r="F634" s="5" t="s">
        <v>231</v>
      </c>
      <c r="G634" s="7" t="s">
        <v>282</v>
      </c>
      <c r="H634" s="21" t="s">
        <v>16</v>
      </c>
      <c r="I634" s="21" t="s">
        <v>712</v>
      </c>
      <c r="J634" s="163">
        <v>35</v>
      </c>
      <c r="K634" s="294">
        <v>35000</v>
      </c>
      <c r="L634" s="298"/>
      <c r="M634" s="292">
        <f>IF(LEFT(Tabla4[[#This Row],[Electronica]],2)="NC",-Tabla4[[#This Row],[Cantidad]]*Tabla4[[#This Row],[Precio]]+Tabla4[[#This Row],[Dto]],Tabla4[[#This Row],[Cantidad]]*Tabla4[[#This Row],[Precio]]-Tabla4[[#This Row],[Dto]])</f>
        <v>1225000</v>
      </c>
      <c r="N634" s="292">
        <f>IFERROR(Tabla4[[#This Row],[Sub Total]]*VLOOKUP(Tabla4[[#This Row],[No]],Parametros!A:C,3,0),0)</f>
        <v>232750</v>
      </c>
      <c r="O634" s="292">
        <f>+Tabla4[[#This Row],[IVA]]+Tabla4[[#This Row],[Sub Total]]</f>
        <v>1457750</v>
      </c>
    </row>
    <row r="635" spans="1:15" x14ac:dyDescent="0.2">
      <c r="A635" s="6">
        <v>567</v>
      </c>
      <c r="B635" s="6" t="str">
        <f>VLOOKUP(Tabla4[[#This Row],[Codigo]],Tabla2[[Cod]:[Nombre ]],2,0)</f>
        <v>P-1556</v>
      </c>
      <c r="C635" s="53">
        <f>VLOOKUP(Tabla4[[#This Row],[Codigo]],Tabla2[[Cod]:[Nombre ]],3,0)</f>
        <v>45884</v>
      </c>
      <c r="D635" s="6" t="str">
        <f>VLOOKUP(Tabla4[[#This Row],[Codigo]],Tabla2[[Cod]:[Nombre ]],4,0)</f>
        <v>TIS-1537</v>
      </c>
      <c r="E635" s="5" t="str">
        <f>VLOOKUP(Tabla4[[#This Row],[Codigo]],Tabla2[[Cod]:[Nombre ]],8,0)</f>
        <v>CHOHO COLOMBIA SAS</v>
      </c>
      <c r="F635" s="5" t="s">
        <v>231</v>
      </c>
      <c r="G635" s="7" t="s">
        <v>433</v>
      </c>
      <c r="H635" s="21" t="s">
        <v>517</v>
      </c>
      <c r="I635" s="21" t="s">
        <v>715</v>
      </c>
      <c r="J635" s="163">
        <v>1</v>
      </c>
      <c r="K635" s="294">
        <v>825000</v>
      </c>
      <c r="L635" s="298"/>
      <c r="M635" s="292">
        <f>IF(LEFT(Tabla4[[#This Row],[Electronica]],2)="NC",-Tabla4[[#This Row],[Cantidad]]*Tabla4[[#This Row],[Precio]]+Tabla4[[#This Row],[Dto]],Tabla4[[#This Row],[Cantidad]]*Tabla4[[#This Row],[Precio]]-Tabla4[[#This Row],[Dto]])</f>
        <v>825000</v>
      </c>
      <c r="N635" s="292">
        <f>IFERROR(Tabla4[[#This Row],[Sub Total]]*VLOOKUP(Tabla4[[#This Row],[No]],Parametros!A:C,3,0),0)</f>
        <v>156750</v>
      </c>
      <c r="O635" s="292">
        <f>+Tabla4[[#This Row],[IVA]]+Tabla4[[#This Row],[Sub Total]]</f>
        <v>981750</v>
      </c>
    </row>
    <row r="636" spans="1:15" ht="24" x14ac:dyDescent="0.2">
      <c r="A636" s="6">
        <v>568</v>
      </c>
      <c r="B636" s="6" t="str">
        <f>VLOOKUP(Tabla4[[#This Row],[Codigo]],Tabla2[[Cod]:[Nombre ]],2,0)</f>
        <v>P-1557</v>
      </c>
      <c r="C636" s="53">
        <f>VLOOKUP(Tabla4[[#This Row],[Codigo]],Tabla2[[Cod]:[Nombre ]],3,0)</f>
        <v>45884</v>
      </c>
      <c r="D636" s="6" t="str">
        <f>VLOOKUP(Tabla4[[#This Row],[Codigo]],Tabla2[[Cod]:[Nombre ]],4,0)</f>
        <v>TIS-1538</v>
      </c>
      <c r="E636" s="5" t="str">
        <f>VLOOKUP(Tabla4[[#This Row],[Codigo]],Tabla2[[Cod]:[Nombre ]],8,0)</f>
        <v>CAVELIER ABOGADOS S.A.S.</v>
      </c>
      <c r="F636" s="5" t="s">
        <v>231</v>
      </c>
      <c r="G636" s="7" t="s">
        <v>282</v>
      </c>
      <c r="H636" s="21" t="s">
        <v>16</v>
      </c>
      <c r="I636" s="21" t="s">
        <v>712</v>
      </c>
      <c r="J636" s="163">
        <v>78</v>
      </c>
      <c r="K636" s="294">
        <v>30000</v>
      </c>
      <c r="L636" s="298"/>
      <c r="M636" s="292">
        <f>IF(LEFT(Tabla4[[#This Row],[Electronica]],2)="NC",-Tabla4[[#This Row],[Cantidad]]*Tabla4[[#This Row],[Precio]]+Tabla4[[#This Row],[Dto]],Tabla4[[#This Row],[Cantidad]]*Tabla4[[#This Row],[Precio]]-Tabla4[[#This Row],[Dto]])</f>
        <v>2340000</v>
      </c>
      <c r="N636" s="292">
        <f>IFERROR(Tabla4[[#This Row],[Sub Total]]*VLOOKUP(Tabla4[[#This Row],[No]],Parametros!A:C,3,0),0)</f>
        <v>444600</v>
      </c>
      <c r="O636" s="292">
        <f>+Tabla4[[#This Row],[IVA]]+Tabla4[[#This Row],[Sub Total]]</f>
        <v>2784600</v>
      </c>
    </row>
    <row r="637" spans="1:15" ht="24" x14ac:dyDescent="0.2">
      <c r="A637" s="6">
        <v>569</v>
      </c>
      <c r="B637" s="6" t="str">
        <f>VLOOKUP(Tabla4[[#This Row],[Codigo]],Tabla2[[Cod]:[Nombre ]],2,0)</f>
        <v>P-1558</v>
      </c>
      <c r="C637" s="53">
        <f>VLOOKUP(Tabla4[[#This Row],[Codigo]],Tabla2[[Cod]:[Nombre ]],3,0)</f>
        <v>45884</v>
      </c>
      <c r="D637" s="6" t="str">
        <f>VLOOKUP(Tabla4[[#This Row],[Codigo]],Tabla2[[Cod]:[Nombre ]],4,0)</f>
        <v>NC-47</v>
      </c>
      <c r="E637" s="5" t="str">
        <f>VLOOKUP(Tabla4[[#This Row],[Codigo]],Tabla2[[Cod]:[Nombre ]],8,0)</f>
        <v>Banco de Bogota S.A.</v>
      </c>
      <c r="F637" s="5" t="s">
        <v>716</v>
      </c>
      <c r="G637" s="7" t="s">
        <v>282</v>
      </c>
      <c r="H637" s="21" t="s">
        <v>16</v>
      </c>
      <c r="I637" s="21" t="s">
        <v>717</v>
      </c>
      <c r="J637" s="163">
        <v>1</v>
      </c>
      <c r="K637" s="294">
        <v>26763084.84</v>
      </c>
      <c r="L637" s="298"/>
      <c r="M637" s="292">
        <f>IF(LEFT(Tabla4[[#This Row],[Electronica]],2)="NC",-Tabla4[[#This Row],[Cantidad]]*Tabla4[[#This Row],[Precio]]+Tabla4[[#This Row],[Dto]],Tabla4[[#This Row],[Cantidad]]*Tabla4[[#This Row],[Precio]]-Tabla4[[#This Row],[Dto]])</f>
        <v>-26763084.84</v>
      </c>
      <c r="N637" s="292">
        <f>IFERROR(Tabla4[[#This Row],[Sub Total]]*VLOOKUP(Tabla4[[#This Row],[No]],Parametros!A:C,3,0),0)</f>
        <v>-5084986.1195999999</v>
      </c>
      <c r="O637" s="292">
        <f>+Tabla4[[#This Row],[IVA]]+Tabla4[[#This Row],[Sub Total]]</f>
        <v>-31848070.959600002</v>
      </c>
    </row>
    <row r="638" spans="1:15" ht="24" x14ac:dyDescent="0.2">
      <c r="A638" s="6">
        <v>570</v>
      </c>
      <c r="B638" s="6" t="str">
        <f>VLOOKUP(Tabla4[[#This Row],[Codigo]],Tabla2[[Cod]:[Nombre ]],2,0)</f>
        <v>P-1559</v>
      </c>
      <c r="C638" s="53">
        <f>VLOOKUP(Tabla4[[#This Row],[Codigo]],Tabla2[[Cod]:[Nombre ]],3,0)</f>
        <v>45884</v>
      </c>
      <c r="D638" s="6" t="str">
        <f>VLOOKUP(Tabla4[[#This Row],[Codigo]],Tabla2[[Cod]:[Nombre ]],4,0)</f>
        <v>TIS-1539</v>
      </c>
      <c r="E638" s="5" t="str">
        <f>VLOOKUP(Tabla4[[#This Row],[Codigo]],Tabla2[[Cod]:[Nombre ]],8,0)</f>
        <v>Banco de Bogota S.A.</v>
      </c>
      <c r="F638" s="5" t="s">
        <v>231</v>
      </c>
      <c r="G638" s="7" t="s">
        <v>282</v>
      </c>
      <c r="H638" s="21" t="s">
        <v>16</v>
      </c>
      <c r="I638" s="21" t="s">
        <v>694</v>
      </c>
      <c r="J638" s="163">
        <v>1</v>
      </c>
      <c r="K638" s="294">
        <v>56000000</v>
      </c>
      <c r="L638" s="298"/>
      <c r="M638" s="292">
        <f>IF(LEFT(Tabla4[[#This Row],[Electronica]],2)="NC",-Tabla4[[#This Row],[Cantidad]]*Tabla4[[#This Row],[Precio]]+Tabla4[[#This Row],[Dto]],Tabla4[[#This Row],[Cantidad]]*Tabla4[[#This Row],[Precio]]-Tabla4[[#This Row],[Dto]])</f>
        <v>56000000</v>
      </c>
      <c r="N638" s="292">
        <f>IFERROR(Tabla4[[#This Row],[Sub Total]]*VLOOKUP(Tabla4[[#This Row],[No]],Parametros!A:C,3,0),0)</f>
        <v>10640000</v>
      </c>
      <c r="O638" s="292">
        <f>+Tabla4[[#This Row],[IVA]]+Tabla4[[#This Row],[Sub Total]]</f>
        <v>66640000</v>
      </c>
    </row>
    <row r="639" spans="1:15" ht="24" x14ac:dyDescent="0.2">
      <c r="A639" s="6">
        <v>571</v>
      </c>
      <c r="B639" s="6" t="str">
        <f>VLOOKUP(Tabla4[[#This Row],[Codigo]],Tabla2[[Cod]:[Nombre ]],2,0)</f>
        <v>P-1560</v>
      </c>
      <c r="C639" s="53">
        <f>VLOOKUP(Tabla4[[#This Row],[Codigo]],Tabla2[[Cod]:[Nombre ]],3,0)</f>
        <v>45884</v>
      </c>
      <c r="D639" s="6" t="str">
        <f>VLOOKUP(Tabla4[[#This Row],[Codigo]],Tabla2[[Cod]:[Nombre ]],4,0)</f>
        <v>TIS-1535</v>
      </c>
      <c r="E639" s="5" t="str">
        <f>VLOOKUP(Tabla4[[#This Row],[Codigo]],Tabla2[[Cod]:[Nombre ]],8,0)</f>
        <v>SIMTEC LB S.A.S.</v>
      </c>
      <c r="F639" s="5" t="s">
        <v>716</v>
      </c>
      <c r="G639" s="7" t="s">
        <v>282</v>
      </c>
      <c r="H639" s="21" t="s">
        <v>16</v>
      </c>
      <c r="I639" s="21" t="s">
        <v>712</v>
      </c>
      <c r="J639" s="163">
        <v>35</v>
      </c>
      <c r="K639" s="294">
        <v>35000</v>
      </c>
      <c r="L639" s="298"/>
      <c r="M639" s="292">
        <f>IF(LEFT(Tabla4[[#This Row],[Electronica]],2)="NC",-Tabla4[[#This Row],[Cantidad]]*Tabla4[[#This Row],[Precio]]+Tabla4[[#This Row],[Dto]],Tabla4[[#This Row],[Cantidad]]*Tabla4[[#This Row],[Precio]]-Tabla4[[#This Row],[Dto]])</f>
        <v>1225000</v>
      </c>
      <c r="N639" s="292">
        <f>IFERROR(Tabla4[[#This Row],[Sub Total]]*VLOOKUP(Tabla4[[#This Row],[No]],Parametros!A:C,3,0),0)</f>
        <v>232750</v>
      </c>
      <c r="O639" s="292">
        <f>+Tabla4[[#This Row],[IVA]]+Tabla4[[#This Row],[Sub Total]]</f>
        <v>1457750</v>
      </c>
    </row>
    <row r="640" spans="1:15" ht="36" x14ac:dyDescent="0.2">
      <c r="A640" s="6">
        <v>572</v>
      </c>
      <c r="B640" s="6" t="str">
        <f>VLOOKUP(Tabla4[[#This Row],[Codigo]],Tabla2[[Cod]:[Nombre ]],2,0)</f>
        <v>P-1561</v>
      </c>
      <c r="C640" s="53">
        <f>VLOOKUP(Tabla4[[#This Row],[Codigo]],Tabla2[[Cod]:[Nombre ]],3,0)</f>
        <v>45884</v>
      </c>
      <c r="D640" s="6" t="str">
        <f>VLOOKUP(Tabla4[[#This Row],[Codigo]],Tabla2[[Cod]:[Nombre ]],4,0)</f>
        <v>NC46</v>
      </c>
      <c r="E640" s="5" t="str">
        <f>VLOOKUP(Tabla4[[#This Row],[Codigo]],Tabla2[[Cod]:[Nombre ]],8,0)</f>
        <v>SIMTEC LB S.A.S.</v>
      </c>
      <c r="F640" s="5" t="s">
        <v>231</v>
      </c>
      <c r="G640" s="7" t="s">
        <v>282</v>
      </c>
      <c r="H640" s="21" t="s">
        <v>16</v>
      </c>
      <c r="I640" s="21" t="s">
        <v>718</v>
      </c>
      <c r="J640" s="163">
        <v>35</v>
      </c>
      <c r="K640" s="294">
        <v>35000</v>
      </c>
      <c r="L640" s="298"/>
      <c r="M640" s="292">
        <f>IF(LEFT(Tabla4[[#This Row],[Electronica]],2)="NC",-Tabla4[[#This Row],[Cantidad]]*Tabla4[[#This Row],[Precio]]+Tabla4[[#This Row],[Dto]],Tabla4[[#This Row],[Cantidad]]*Tabla4[[#This Row],[Precio]]-Tabla4[[#This Row],[Dto]])</f>
        <v>-1225000</v>
      </c>
      <c r="N640" s="292">
        <f>IFERROR(Tabla4[[#This Row],[Sub Total]]*VLOOKUP(Tabla4[[#This Row],[No]],Parametros!A:C,3,0),0)</f>
        <v>-232750</v>
      </c>
      <c r="O640" s="292">
        <f>+Tabla4[[#This Row],[IVA]]+Tabla4[[#This Row],[Sub Total]]</f>
        <v>-1457750</v>
      </c>
    </row>
    <row r="641" spans="1:15" ht="36" x14ac:dyDescent="0.2">
      <c r="A641" s="6">
        <v>573</v>
      </c>
      <c r="B641" s="6" t="str">
        <f>VLOOKUP(Tabla4[[#This Row],[Codigo]],Tabla2[[Cod]:[Nombre ]],2,0)</f>
        <v>P-1562</v>
      </c>
      <c r="C641" s="53">
        <f>VLOOKUP(Tabla4[[#This Row],[Codigo]],Tabla2[[Cod]:[Nombre ]],3,0)</f>
        <v>45903</v>
      </c>
      <c r="D641" s="6" t="str">
        <f>VLOOKUP(Tabla4[[#This Row],[Codigo]],Tabla2[[Cod]:[Nombre ]],4,0)</f>
        <v>TIS-1542</v>
      </c>
      <c r="E641" s="5" t="str">
        <f>VLOOKUP(Tabla4[[#This Row],[Codigo]],Tabla2[[Cod]:[Nombre ]],8,0)</f>
        <v>Comercializadora ERZ SAS</v>
      </c>
      <c r="F641" s="5" t="str">
        <f>VLOOKUP(Tabla4[[#This Row],[Codigo]],Tabla2[[Cod]:[Nombre ]],6,0)</f>
        <v>OK</v>
      </c>
      <c r="G641" s="7" t="s">
        <v>416</v>
      </c>
      <c r="H641" s="21" t="s">
        <v>519</v>
      </c>
      <c r="I641" s="21" t="s">
        <v>719</v>
      </c>
      <c r="J641" s="163">
        <v>1</v>
      </c>
      <c r="K641" s="294">
        <v>300000</v>
      </c>
      <c r="L641" s="298"/>
      <c r="M641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41" s="292">
        <f>IFERROR(Tabla4[[#This Row],[Sub Total]]*VLOOKUP(Tabla4[[#This Row],[No]],Parametros!A:C,3,0),0)</f>
        <v>57000</v>
      </c>
      <c r="O641" s="292">
        <f>+Tabla4[[#This Row],[IVA]]+Tabla4[[#This Row],[Sub Total]]</f>
        <v>357000</v>
      </c>
    </row>
    <row r="642" spans="1:15" ht="45" x14ac:dyDescent="0.2">
      <c r="A642" s="6">
        <v>574</v>
      </c>
      <c r="B642" s="6" t="str">
        <f>VLOOKUP(Tabla4[[#This Row],[Codigo]],Tabla2[[Cod]:[Nombre ]],2,0)</f>
        <v>P-1563</v>
      </c>
      <c r="C642" s="53">
        <f>VLOOKUP(Tabla4[[#This Row],[Codigo]],Tabla2[[Cod]:[Nombre ]],3,0)</f>
        <v>45903</v>
      </c>
      <c r="D642" s="6" t="str">
        <f>VLOOKUP(Tabla4[[#This Row],[Codigo]],Tabla2[[Cod]:[Nombre ]],4,0)</f>
        <v>TIS-1543</v>
      </c>
      <c r="E642" s="5" t="str">
        <f>VLOOKUP(Tabla4[[#This Row],[Codigo]],Tabla2[[Cod]:[Nombre ]],8,0)</f>
        <v>DIGITAL MEDIA TECHNOLOGIES COLOMBIA SAS</v>
      </c>
      <c r="F642" s="5" t="str">
        <f>VLOOKUP(Tabla4[[#This Row],[Codigo]],Tabla2[[Cod]:[Nombre ]],6,0)</f>
        <v>OK</v>
      </c>
      <c r="G642" s="7" t="s">
        <v>416</v>
      </c>
      <c r="H642" s="21" t="s">
        <v>519</v>
      </c>
      <c r="I642" s="21" t="s">
        <v>720</v>
      </c>
      <c r="J642" s="163">
        <v>1</v>
      </c>
      <c r="K642" s="294">
        <v>300000</v>
      </c>
      <c r="L642" s="298"/>
      <c r="M642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42" s="292">
        <f>IFERROR(Tabla4[[#This Row],[Sub Total]]*VLOOKUP(Tabla4[[#This Row],[No]],Parametros!A:C,3,0),0)</f>
        <v>57000</v>
      </c>
      <c r="O642" s="292">
        <f>+Tabla4[[#This Row],[IVA]]+Tabla4[[#This Row],[Sub Total]]</f>
        <v>357000</v>
      </c>
    </row>
    <row r="643" spans="1:15" ht="36" x14ac:dyDescent="0.2">
      <c r="A643" s="6">
        <v>575</v>
      </c>
      <c r="B643" s="6" t="str">
        <f>VLOOKUP(Tabla4[[#This Row],[Codigo]],Tabla2[[Cod]:[Nombre ]],2,0)</f>
        <v>P-1564</v>
      </c>
      <c r="C643" s="53">
        <f>VLOOKUP(Tabla4[[#This Row],[Codigo]],Tabla2[[Cod]:[Nombre ]],3,0)</f>
        <v>45903</v>
      </c>
      <c r="D643" s="6" t="str">
        <f>VLOOKUP(Tabla4[[#This Row],[Codigo]],Tabla2[[Cod]:[Nombre ]],4,0)</f>
        <v>TIS-1544</v>
      </c>
      <c r="E643" s="5" t="str">
        <f>VLOOKUP(Tabla4[[#This Row],[Codigo]],Tabla2[[Cod]:[Nombre ]],8,0)</f>
        <v>AND TOPOGRAFIA E INGENIERIA SAS</v>
      </c>
      <c r="F643" s="5" t="str">
        <f>VLOOKUP(Tabla4[[#This Row],[Codigo]],Tabla2[[Cod]:[Nombre ]],6,0)</f>
        <v>OK</v>
      </c>
      <c r="G643" s="7" t="s">
        <v>417</v>
      </c>
      <c r="H643" s="21" t="s">
        <v>525</v>
      </c>
      <c r="I643" s="21" t="s">
        <v>721</v>
      </c>
      <c r="J643" s="163">
        <v>1</v>
      </c>
      <c r="K643" s="294">
        <v>300000</v>
      </c>
      <c r="L643" s="298"/>
      <c r="M643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43" s="292">
        <f>IFERROR(Tabla4[[#This Row],[Sub Total]]*VLOOKUP(Tabla4[[#This Row],[No]],Parametros!A:C,3,0),0)</f>
        <v>0</v>
      </c>
      <c r="O643" s="292">
        <f>+Tabla4[[#This Row],[IVA]]+Tabla4[[#This Row],[Sub Total]]</f>
        <v>300000</v>
      </c>
    </row>
    <row r="644" spans="1:15" ht="36" x14ac:dyDescent="0.2">
      <c r="A644" s="6">
        <v>576</v>
      </c>
      <c r="B644" s="6" t="str">
        <f>VLOOKUP(Tabla4[[#This Row],[Codigo]],Tabla2[[Cod]:[Nombre ]],2,0)</f>
        <v>P-1565</v>
      </c>
      <c r="C644" s="53">
        <f>VLOOKUP(Tabla4[[#This Row],[Codigo]],Tabla2[[Cod]:[Nombre ]],3,0)</f>
        <v>45903</v>
      </c>
      <c r="D644" s="6" t="str">
        <f>VLOOKUP(Tabla4[[#This Row],[Codigo]],Tabla2[[Cod]:[Nombre ]],4,0)</f>
        <v>TIS-1545</v>
      </c>
      <c r="E644" s="5" t="str">
        <f>VLOOKUP(Tabla4[[#This Row],[Codigo]],Tabla2[[Cod]:[Nombre ]],8,0)</f>
        <v>ROYCO SOLUCIONES SAS</v>
      </c>
      <c r="F644" s="5">
        <f>VLOOKUP(Tabla4[[#This Row],[Codigo]],Tabla2[[Cod]:[Nombre ]],6,0)</f>
        <v>0</v>
      </c>
      <c r="G644" s="7" t="s">
        <v>416</v>
      </c>
      <c r="H644" s="21" t="s">
        <v>519</v>
      </c>
      <c r="I644" s="21" t="s">
        <v>722</v>
      </c>
      <c r="J644" s="163">
        <v>1</v>
      </c>
      <c r="K644" s="294">
        <v>250000</v>
      </c>
      <c r="L644" s="298"/>
      <c r="M644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644" s="292">
        <f>IFERROR(Tabla4[[#This Row],[Sub Total]]*VLOOKUP(Tabla4[[#This Row],[No]],Parametros!A:C,3,0),0)</f>
        <v>47500</v>
      </c>
      <c r="O644" s="292">
        <f>+Tabla4[[#This Row],[IVA]]+Tabla4[[#This Row],[Sub Total]]</f>
        <v>297500</v>
      </c>
    </row>
    <row r="645" spans="1:15" ht="36" x14ac:dyDescent="0.2">
      <c r="A645" s="6">
        <v>577</v>
      </c>
      <c r="B645" s="6" t="str">
        <f>VLOOKUP(Tabla4[[#This Row],[Codigo]],Tabla2[[Cod]:[Nombre ]],2,0)</f>
        <v>P-1566</v>
      </c>
      <c r="C645" s="53">
        <f>VLOOKUP(Tabla4[[#This Row],[Codigo]],Tabla2[[Cod]:[Nombre ]],3,0)</f>
        <v>45903</v>
      </c>
      <c r="D645" s="6" t="str">
        <f>VLOOKUP(Tabla4[[#This Row],[Codigo]],Tabla2[[Cod]:[Nombre ]],4,0)</f>
        <v>TIS-1546</v>
      </c>
      <c r="E645" s="5" t="str">
        <f>VLOOKUP(Tabla4[[#This Row],[Codigo]],Tabla2[[Cod]:[Nombre ]],8,0)</f>
        <v>Inversiones Sajamib SAS</v>
      </c>
      <c r="F645" s="5" t="str">
        <f>VLOOKUP(Tabla4[[#This Row],[Codigo]],Tabla2[[Cod]:[Nombre ]],6,0)</f>
        <v>OK</v>
      </c>
      <c r="G645" s="7" t="s">
        <v>417</v>
      </c>
      <c r="H645" s="21" t="s">
        <v>525</v>
      </c>
      <c r="I645" s="21" t="s">
        <v>714</v>
      </c>
      <c r="J645" s="163">
        <v>1</v>
      </c>
      <c r="K645" s="294">
        <v>480000</v>
      </c>
      <c r="L645" s="298"/>
      <c r="M645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645" s="292">
        <f>IFERROR(Tabla4[[#This Row],[Sub Total]]*VLOOKUP(Tabla4[[#This Row],[No]],Parametros!A:C,3,0),0)</f>
        <v>0</v>
      </c>
      <c r="O645" s="292">
        <f>+Tabla4[[#This Row],[IVA]]+Tabla4[[#This Row],[Sub Total]]</f>
        <v>480000</v>
      </c>
    </row>
    <row r="646" spans="1:15" ht="36" x14ac:dyDescent="0.2">
      <c r="A646" s="6">
        <v>578</v>
      </c>
      <c r="B646" s="6" t="str">
        <f>VLOOKUP(Tabla4[[#This Row],[Codigo]],Tabla2[[Cod]:[Nombre ]],2,0)</f>
        <v>P-1567</v>
      </c>
      <c r="C646" s="53">
        <f>VLOOKUP(Tabla4[[#This Row],[Codigo]],Tabla2[[Cod]:[Nombre ]],3,0)</f>
        <v>45903</v>
      </c>
      <c r="D646" s="6" t="str">
        <f>VLOOKUP(Tabla4[[#This Row],[Codigo]],Tabla2[[Cod]:[Nombre ]],4,0)</f>
        <v>TIS-1547</v>
      </c>
      <c r="E646" s="5" t="str">
        <f>VLOOKUP(Tabla4[[#This Row],[Codigo]],Tabla2[[Cod]:[Nombre ]],8,0)</f>
        <v>STAFF SEGUROS AGENCIA LTDA</v>
      </c>
      <c r="F646" s="5" t="str">
        <f>VLOOKUP(Tabla4[[#This Row],[Codigo]],Tabla2[[Cod]:[Nombre ]],6,0)</f>
        <v>OK</v>
      </c>
      <c r="G646" s="7" t="s">
        <v>417</v>
      </c>
      <c r="H646" s="21" t="s">
        <v>525</v>
      </c>
      <c r="I646" s="21" t="s">
        <v>723</v>
      </c>
      <c r="J646" s="163">
        <v>1</v>
      </c>
      <c r="K646" s="294">
        <v>1495000</v>
      </c>
      <c r="L646" s="298"/>
      <c r="M646" s="292">
        <f>IF(LEFT(Tabla4[[#This Row],[Electronica]],2)="NC",-Tabla4[[#This Row],[Cantidad]]*Tabla4[[#This Row],[Precio]]+Tabla4[[#This Row],[Dto]],Tabla4[[#This Row],[Cantidad]]*Tabla4[[#This Row],[Precio]]-Tabla4[[#This Row],[Dto]])</f>
        <v>1495000</v>
      </c>
      <c r="N646" s="292">
        <f>IFERROR(Tabla4[[#This Row],[Sub Total]]*VLOOKUP(Tabla4[[#This Row],[No]],Parametros!A:C,3,0),0)</f>
        <v>0</v>
      </c>
      <c r="O646" s="292">
        <f>+Tabla4[[#This Row],[IVA]]+Tabla4[[#This Row],[Sub Total]]</f>
        <v>1495000</v>
      </c>
    </row>
    <row r="647" spans="1:15" ht="45" x14ac:dyDescent="0.2">
      <c r="A647" s="6">
        <v>579</v>
      </c>
      <c r="B647" s="6" t="str">
        <f>VLOOKUP(Tabla4[[#This Row],[Codigo]],Tabla2[[Cod]:[Nombre ]],2,0)</f>
        <v>P-1568</v>
      </c>
      <c r="C647" s="53">
        <f>VLOOKUP(Tabla4[[#This Row],[Codigo]],Tabla2[[Cod]:[Nombre ]],3,0)</f>
        <v>45903</v>
      </c>
      <c r="D647" s="6" t="str">
        <f>VLOOKUP(Tabla4[[#This Row],[Codigo]],Tabla2[[Cod]:[Nombre ]],4,0)</f>
        <v>TIS-1548</v>
      </c>
      <c r="E647" s="5" t="str">
        <f>VLOOKUP(Tabla4[[#This Row],[Codigo]],Tabla2[[Cod]:[Nombre ]],8,0)</f>
        <v>CENTRO DE ATENCION E INVESTIGACION MEDICA S.A.S.</v>
      </c>
      <c r="F647" s="5" t="str">
        <f>VLOOKUP(Tabla4[[#This Row],[Codigo]],Tabla2[[Cod]:[Nombre ]],6,0)</f>
        <v>OK</v>
      </c>
      <c r="G647" s="7" t="s">
        <v>416</v>
      </c>
      <c r="H647" s="21" t="s">
        <v>519</v>
      </c>
      <c r="I647" s="21" t="s">
        <v>724</v>
      </c>
      <c r="J647" s="163">
        <v>1</v>
      </c>
      <c r="K647" s="294">
        <v>1500000</v>
      </c>
      <c r="L647" s="298"/>
      <c r="M647" s="292">
        <f>IF(LEFT(Tabla4[[#This Row],[Electronica]],2)="NC",-Tabla4[[#This Row],[Cantidad]]*Tabla4[[#This Row],[Precio]]+Tabla4[[#This Row],[Dto]],Tabla4[[#This Row],[Cantidad]]*Tabla4[[#This Row],[Precio]]-Tabla4[[#This Row],[Dto]])</f>
        <v>1500000</v>
      </c>
      <c r="N647" s="292">
        <f>IFERROR(Tabla4[[#This Row],[Sub Total]]*VLOOKUP(Tabla4[[#This Row],[No]],Parametros!A:C,3,0),0)</f>
        <v>285000</v>
      </c>
      <c r="O647" s="292">
        <f>+Tabla4[[#This Row],[IVA]]+Tabla4[[#This Row],[Sub Total]]</f>
        <v>1785000</v>
      </c>
    </row>
    <row r="648" spans="1:15" ht="36" x14ac:dyDescent="0.2">
      <c r="A648" s="6">
        <v>580</v>
      </c>
      <c r="B648" s="6" t="str">
        <f>VLOOKUP(Tabla4[[#This Row],[Codigo]],Tabla2[[Cod]:[Nombre ]],2,0)</f>
        <v>P-1569</v>
      </c>
      <c r="C648" s="53">
        <f>VLOOKUP(Tabla4[[#This Row],[Codigo]],Tabla2[[Cod]:[Nombre ]],3,0)</f>
        <v>45904</v>
      </c>
      <c r="D648" s="6" t="str">
        <f>VLOOKUP(Tabla4[[#This Row],[Codigo]],Tabla2[[Cod]:[Nombre ]],4,0)</f>
        <v>TIS-1541</v>
      </c>
      <c r="E648" s="5" t="str">
        <f>VLOOKUP(Tabla4[[#This Row],[Codigo]],Tabla2[[Cod]:[Nombre ]],8,0)</f>
        <v>GENUINE LAB S.A.S.</v>
      </c>
      <c r="F648" s="5" t="str">
        <f>VLOOKUP(Tabla4[[#This Row],[Codigo]],Tabla2[[Cod]:[Nombre ]],6,0)</f>
        <v>OK</v>
      </c>
      <c r="G648" s="7" t="s">
        <v>416</v>
      </c>
      <c r="H648" s="21" t="s">
        <v>519</v>
      </c>
      <c r="I648" s="21" t="s">
        <v>725</v>
      </c>
      <c r="J648" s="163">
        <v>1</v>
      </c>
      <c r="K648" s="294">
        <v>900000</v>
      </c>
      <c r="L648" s="298"/>
      <c r="M648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648" s="292">
        <f>IFERROR(Tabla4[[#This Row],[Sub Total]]*VLOOKUP(Tabla4[[#This Row],[No]],Parametros!A:C,3,0),0)</f>
        <v>171000</v>
      </c>
      <c r="O648" s="292">
        <f>+Tabla4[[#This Row],[IVA]]+Tabla4[[#This Row],[Sub Total]]</f>
        <v>1071000</v>
      </c>
    </row>
    <row r="649" spans="1:15" ht="30" x14ac:dyDescent="0.2">
      <c r="A649" s="6">
        <v>581</v>
      </c>
      <c r="B649" s="6" t="str">
        <f>VLOOKUP(Tabla4[[#This Row],[Codigo]],Tabla2[[Cod]:[Nombre ]],2,0)</f>
        <v>P-1570</v>
      </c>
      <c r="C649" s="53">
        <f>VLOOKUP(Tabla4[[#This Row],[Codigo]],Tabla2[[Cod]:[Nombre ]],3,0)</f>
        <v>45904</v>
      </c>
      <c r="D649" s="6" t="str">
        <f>VLOOKUP(Tabla4[[#This Row],[Codigo]],Tabla2[[Cod]:[Nombre ]],4,0)</f>
        <v>TIS-1540</v>
      </c>
      <c r="E649" s="5" t="str">
        <f>VLOOKUP(Tabla4[[#This Row],[Codigo]],Tabla2[[Cod]:[Nombre ]],8,0)</f>
        <v>SOLUCIONES CREATIVAS Y TURÍSTICAS</v>
      </c>
      <c r="F649" s="5" t="str">
        <f>VLOOKUP(Tabla4[[#This Row],[Codigo]],Tabla2[[Cod]:[Nombre ]],6,0)</f>
        <v>OK</v>
      </c>
      <c r="G649" s="7">
        <v>13</v>
      </c>
      <c r="H649" s="21" t="s">
        <v>596</v>
      </c>
      <c r="I649" s="21" t="s">
        <v>725</v>
      </c>
      <c r="J649" s="163">
        <v>1</v>
      </c>
      <c r="K649" s="294">
        <v>1260505</v>
      </c>
      <c r="L649" s="298"/>
      <c r="M649" s="292">
        <f>IF(LEFT(Tabla4[[#This Row],[Electronica]],2)="NC",-Tabla4[[#This Row],[Cantidad]]*Tabla4[[#This Row],[Precio]]+Tabla4[[#This Row],[Dto]],Tabla4[[#This Row],[Cantidad]]*Tabla4[[#This Row],[Precio]]-Tabla4[[#This Row],[Dto]])</f>
        <v>1260505</v>
      </c>
      <c r="N649" s="292">
        <f>IFERROR(Tabla4[[#This Row],[Sub Total]]*VLOOKUP(Tabla4[[#This Row],[No]],Parametros!A:C,3,0),0)</f>
        <v>239495.95</v>
      </c>
      <c r="O649" s="292">
        <f>+Tabla4[[#This Row],[IVA]]+Tabla4[[#This Row],[Sub Total]]</f>
        <v>1500000.95</v>
      </c>
    </row>
    <row r="650" spans="1:15" ht="30" x14ac:dyDescent="0.2">
      <c r="A650" s="6">
        <v>582</v>
      </c>
      <c r="B650" s="6" t="str">
        <f>VLOOKUP(Tabla4[[#This Row],[Codigo]],Tabla2[[Cod]:[Nombre ]],2,0)</f>
        <v>P-1571</v>
      </c>
      <c r="C650" s="53">
        <f>VLOOKUP(Tabla4[[#This Row],[Codigo]],Tabla2[[Cod]:[Nombre ]],3,0)</f>
        <v>45910</v>
      </c>
      <c r="D650" s="6" t="str">
        <f>VLOOKUP(Tabla4[[#This Row],[Codigo]],Tabla2[[Cod]:[Nombre ]],4,0)</f>
        <v>TIS-1559</v>
      </c>
      <c r="E650" s="5" t="str">
        <f>VLOOKUP(Tabla4[[#This Row],[Codigo]],Tabla2[[Cod]:[Nombre ]],8,0)</f>
        <v>ELKIN EDUARDO ORTIZ ORTIZ</v>
      </c>
      <c r="F650" s="5" t="str">
        <f>VLOOKUP(Tabla4[[#This Row],[Codigo]],Tabla2[[Cod]:[Nombre ]],6,0)</f>
        <v>OK</v>
      </c>
      <c r="G650" s="7" t="s">
        <v>420</v>
      </c>
      <c r="H650" s="21" t="s">
        <v>551</v>
      </c>
      <c r="I650" s="21" t="s">
        <v>726</v>
      </c>
      <c r="J650" s="163">
        <v>1</v>
      </c>
      <c r="K650" s="294">
        <v>4950000</v>
      </c>
      <c r="L650" s="298"/>
      <c r="M650" s="292">
        <f>IF(LEFT(Tabla4[[#This Row],[Electronica]],2)="NC",-Tabla4[[#This Row],[Cantidad]]*Tabla4[[#This Row],[Precio]]+Tabla4[[#This Row],[Dto]],Tabla4[[#This Row],[Cantidad]]*Tabla4[[#This Row],[Precio]]-Tabla4[[#This Row],[Dto]])</f>
        <v>4950000</v>
      </c>
      <c r="N650" s="292">
        <f>IFERROR(Tabla4[[#This Row],[Sub Total]]*VLOOKUP(Tabla4[[#This Row],[No]],Parametros!A:C,3,0),0)</f>
        <v>940500</v>
      </c>
      <c r="O650" s="292">
        <f>+Tabla4[[#This Row],[IVA]]+Tabla4[[#This Row],[Sub Total]]</f>
        <v>5890500</v>
      </c>
    </row>
    <row r="651" spans="1:15" ht="24" x14ac:dyDescent="0.2">
      <c r="A651" s="6">
        <v>583</v>
      </c>
      <c r="B651" s="6" t="str">
        <f>VLOOKUP(Tabla4[[#This Row],[Codigo]],Tabla2[[Cod]:[Nombre ]],2,0)</f>
        <v>P-1572</v>
      </c>
      <c r="C651" s="53">
        <f>VLOOKUP(Tabla4[[#This Row],[Codigo]],Tabla2[[Cod]:[Nombre ]],3,0)</f>
        <v>45910</v>
      </c>
      <c r="D651" s="6" t="str">
        <f>VLOOKUP(Tabla4[[#This Row],[Codigo]],Tabla2[[Cod]:[Nombre ]],4,0)</f>
        <v>TIS-1497</v>
      </c>
      <c r="E651" s="5" t="str">
        <f>VLOOKUP(Tabla4[[#This Row],[Codigo]],Tabla2[[Cod]:[Nombre ]],8,0)</f>
        <v>GAMBLER GROUP S.A.S.</v>
      </c>
      <c r="F651" s="5" t="str">
        <f>VLOOKUP(Tabla4[[#This Row],[Codigo]],Tabla2[[Cod]:[Nombre ]],6,0)</f>
        <v>OK</v>
      </c>
      <c r="G651" s="7" t="s">
        <v>282</v>
      </c>
      <c r="H651" s="21" t="s">
        <v>16</v>
      </c>
      <c r="I651" s="21" t="s">
        <v>727</v>
      </c>
      <c r="J651" s="163">
        <v>46</v>
      </c>
      <c r="K651" s="294">
        <v>32000</v>
      </c>
      <c r="L651" s="298"/>
      <c r="M651" s="292">
        <f>IF(LEFT(Tabla4[[#This Row],[Electronica]],2)="NC",-Tabla4[[#This Row],[Cantidad]]*Tabla4[[#This Row],[Precio]]+Tabla4[[#This Row],[Dto]],Tabla4[[#This Row],[Cantidad]]*Tabla4[[#This Row],[Precio]]-Tabla4[[#This Row],[Dto]])</f>
        <v>1472000</v>
      </c>
      <c r="N651" s="292">
        <f>IFERROR(Tabla4[[#This Row],[Sub Total]]*VLOOKUP(Tabla4[[#This Row],[No]],Parametros!A:C,3,0),0)</f>
        <v>279680</v>
      </c>
      <c r="O651" s="292">
        <f>+Tabla4[[#This Row],[IVA]]+Tabla4[[#This Row],[Sub Total]]</f>
        <v>1751680</v>
      </c>
    </row>
    <row r="652" spans="1:15" ht="24" x14ac:dyDescent="0.2">
      <c r="A652" s="6">
        <v>583</v>
      </c>
      <c r="B652" s="6" t="str">
        <f>VLOOKUP(Tabla4[[#This Row],[Codigo]],Tabla2[[Cod]:[Nombre ]],2,0)</f>
        <v>P-1572</v>
      </c>
      <c r="C652" s="53">
        <f>VLOOKUP(Tabla4[[#This Row],[Codigo]],Tabla2[[Cod]:[Nombre ]],3,0)</f>
        <v>45910</v>
      </c>
      <c r="D652" s="6" t="str">
        <f>VLOOKUP(Tabla4[[#This Row],[Codigo]],Tabla2[[Cod]:[Nombre ]],4,0)</f>
        <v>TIS-1497</v>
      </c>
      <c r="E652" s="5" t="str">
        <f>VLOOKUP(Tabla4[[#This Row],[Codigo]],Tabla2[[Cod]:[Nombre ]],8,0)</f>
        <v>GAMBLER GROUP S.A.S.</v>
      </c>
      <c r="F652" s="5" t="str">
        <f>VLOOKUP(Tabla4[[#This Row],[Codigo]],Tabla2[[Cod]:[Nombre ]],6,0)</f>
        <v>OK</v>
      </c>
      <c r="G652" s="7" t="s">
        <v>420</v>
      </c>
      <c r="H652" s="21" t="s">
        <v>551</v>
      </c>
      <c r="I652" s="21" t="s">
        <v>727</v>
      </c>
      <c r="J652" s="163">
        <v>3</v>
      </c>
      <c r="K652" s="294">
        <v>220000</v>
      </c>
      <c r="L652" s="298"/>
      <c r="M652" s="292">
        <f>IF(LEFT(Tabla4[[#This Row],[Electronica]],2)="NC",-Tabla4[[#This Row],[Cantidad]]*Tabla4[[#This Row],[Precio]]+Tabla4[[#This Row],[Dto]],Tabla4[[#This Row],[Cantidad]]*Tabla4[[#This Row],[Precio]]-Tabla4[[#This Row],[Dto]])</f>
        <v>660000</v>
      </c>
      <c r="N652" s="292">
        <f>IFERROR(Tabla4[[#This Row],[Sub Total]]*VLOOKUP(Tabla4[[#This Row],[No]],Parametros!A:C,3,0),0)</f>
        <v>125400</v>
      </c>
      <c r="O652" s="292">
        <f>+Tabla4[[#This Row],[IVA]]+Tabla4[[#This Row],[Sub Total]]</f>
        <v>785400</v>
      </c>
    </row>
    <row r="653" spans="1:15" ht="30" x14ac:dyDescent="0.2">
      <c r="A653" s="6">
        <v>584</v>
      </c>
      <c r="B653" s="6" t="str">
        <f>VLOOKUP(Tabla4[[#This Row],[Codigo]],Tabla2[[Cod]:[Nombre ]],2,0)</f>
        <v>P-1573</v>
      </c>
      <c r="C653" s="53">
        <f>VLOOKUP(Tabla4[[#This Row],[Codigo]],Tabla2[[Cod]:[Nombre ]],3,0)</f>
        <v>45915</v>
      </c>
      <c r="D653" s="6" t="s">
        <v>728</v>
      </c>
      <c r="E653" s="5" t="str">
        <f>VLOOKUP(Tabla4[[#This Row],[Codigo]],Tabla2[[Cod]:[Nombre ]],8,0)</f>
        <v>BIENESTAR SEGUROS &amp; CIA LTDA</v>
      </c>
      <c r="F653" s="5" t="str">
        <f>VLOOKUP(Tabla4[[#This Row],[Codigo]],Tabla2[[Cod]:[Nombre ]],6,0)</f>
        <v>OK</v>
      </c>
      <c r="G653" s="7" t="s">
        <v>433</v>
      </c>
      <c r="H653" s="21" t="s">
        <v>517</v>
      </c>
      <c r="I653" s="21" t="s">
        <v>729</v>
      </c>
      <c r="J653" s="163">
        <v>42</v>
      </c>
      <c r="K653" s="294">
        <v>45000</v>
      </c>
      <c r="L653" s="298"/>
      <c r="M653" s="292">
        <f>IF(LEFT(Tabla4[[#This Row],[Electronica]],2)="NC",-Tabla4[[#This Row],[Cantidad]]*Tabla4[[#This Row],[Precio]]+Tabla4[[#This Row],[Dto]],Tabla4[[#This Row],[Cantidad]]*Tabla4[[#This Row],[Precio]]-Tabla4[[#This Row],[Dto]])</f>
        <v>1890000</v>
      </c>
      <c r="N653" s="292">
        <f>IFERROR(Tabla4[[#This Row],[Sub Total]]*VLOOKUP(Tabla4[[#This Row],[No]],Parametros!A:C,3,0),0)</f>
        <v>359100</v>
      </c>
      <c r="O653" s="292">
        <f>+Tabla4[[#This Row],[IVA]]+Tabla4[[#This Row],[Sub Total]]</f>
        <v>2249100</v>
      </c>
    </row>
    <row r="654" spans="1:15" ht="24" x14ac:dyDescent="0.2">
      <c r="A654" s="6">
        <v>585</v>
      </c>
      <c r="B654" s="6" t="str">
        <f>VLOOKUP(Tabla4[[#This Row],[Codigo]],Tabla2[[Cod]:[Nombre ]],2,0)</f>
        <v>P-1574</v>
      </c>
      <c r="C654" s="53">
        <f>VLOOKUP(Tabla4[[#This Row],[Codigo]],Tabla2[[Cod]:[Nombre ]],3,0)</f>
        <v>45918</v>
      </c>
      <c r="D654" s="6" t="str">
        <f>VLOOKUP(Tabla4[[#This Row],[Codigo]],Tabla2[[Cod]:[Nombre ]],4,0)</f>
        <v>TIS-1550</v>
      </c>
      <c r="E654" s="5" t="str">
        <f>VLOOKUP(Tabla4[[#This Row],[Codigo]],Tabla2[[Cod]:[Nombre ]],8,0)</f>
        <v>MARKET TEAM S.A.S.</v>
      </c>
      <c r="F654" s="5" t="str">
        <f>VLOOKUP(Tabla4[[#This Row],[Codigo]],Tabla2[[Cod]:[Nombre ]],6,0)</f>
        <v>OK</v>
      </c>
      <c r="G654" s="7" t="s">
        <v>282</v>
      </c>
      <c r="H654" s="21" t="s">
        <v>16</v>
      </c>
      <c r="I654" s="21" t="s">
        <v>730</v>
      </c>
      <c r="J654" s="163">
        <v>125</v>
      </c>
      <c r="K654" s="294">
        <v>30000</v>
      </c>
      <c r="L654" s="298"/>
      <c r="M654" s="292">
        <f>IF(LEFT(Tabla4[[#This Row],[Electronica]],2)="NC",-Tabla4[[#This Row],[Cantidad]]*Tabla4[[#This Row],[Precio]]+Tabla4[[#This Row],[Dto]],Tabla4[[#This Row],[Cantidad]]*Tabla4[[#This Row],[Precio]]-Tabla4[[#This Row],[Dto]])</f>
        <v>3750000</v>
      </c>
      <c r="N654" s="292">
        <f>IFERROR(Tabla4[[#This Row],[Sub Total]]*VLOOKUP(Tabla4[[#This Row],[No]],Parametros!A:C,3,0),0)</f>
        <v>712500</v>
      </c>
      <c r="O654" s="292">
        <f>+Tabla4[[#This Row],[IVA]]+Tabla4[[#This Row],[Sub Total]]</f>
        <v>4462500</v>
      </c>
    </row>
    <row r="655" spans="1:15" ht="36" x14ac:dyDescent="0.2">
      <c r="A655" s="6">
        <v>586</v>
      </c>
      <c r="B655" s="6" t="str">
        <f>VLOOKUP(Tabla4[[#This Row],[Codigo]],Tabla2[[Cod]:[Nombre ]],2,0)</f>
        <v>P-1575</v>
      </c>
      <c r="C655" s="53">
        <f>VLOOKUP(Tabla4[[#This Row],[Codigo]],Tabla2[[Cod]:[Nombre ]],3,0)</f>
        <v>45931</v>
      </c>
      <c r="D655" s="6" t="str">
        <f>VLOOKUP(Tabla4[[#This Row],[Codigo]],Tabla2[[Cod]:[Nombre ]],4,0)</f>
        <v>TIS-1551</v>
      </c>
      <c r="E655" s="5" t="str">
        <f>VLOOKUP(Tabla4[[#This Row],[Codigo]],Tabla2[[Cod]:[Nombre ]],8,0)</f>
        <v>Comercializadora ERZ SAS</v>
      </c>
      <c r="F655" s="5" t="str">
        <f>VLOOKUP(Tabla4[[#This Row],[Codigo]],Tabla2[[Cod]:[Nombre ]],6,0)</f>
        <v>OK</v>
      </c>
      <c r="G655" s="7" t="s">
        <v>416</v>
      </c>
      <c r="H655" s="21" t="s">
        <v>519</v>
      </c>
      <c r="I655" s="21" t="s">
        <v>731</v>
      </c>
      <c r="J655" s="163">
        <v>1</v>
      </c>
      <c r="K655" s="294">
        <v>300000</v>
      </c>
      <c r="L655" s="298"/>
      <c r="M655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55" s="292">
        <f>IFERROR(Tabla4[[#This Row],[Sub Total]]*VLOOKUP(Tabla4[[#This Row],[No]],Parametros!A:C,3,0),0)</f>
        <v>57000</v>
      </c>
      <c r="O655" s="292">
        <f>+Tabla4[[#This Row],[IVA]]+Tabla4[[#This Row],[Sub Total]]</f>
        <v>357000</v>
      </c>
    </row>
    <row r="656" spans="1:15" ht="45" x14ac:dyDescent="0.2">
      <c r="A656" s="6">
        <v>587</v>
      </c>
      <c r="B656" s="6" t="str">
        <f>VLOOKUP(Tabla4[[#This Row],[Codigo]],Tabla2[[Cod]:[Nombre ]],2,0)</f>
        <v>P-1576</v>
      </c>
      <c r="C656" s="53">
        <f>VLOOKUP(Tabla4[[#This Row],[Codigo]],Tabla2[[Cod]:[Nombre ]],3,0)</f>
        <v>45931</v>
      </c>
      <c r="D656" s="6" t="str">
        <f>VLOOKUP(Tabla4[[#This Row],[Codigo]],Tabla2[[Cod]:[Nombre ]],4,0)</f>
        <v>TIS-1552</v>
      </c>
      <c r="E656" s="5" t="str">
        <f>VLOOKUP(Tabla4[[#This Row],[Codigo]],Tabla2[[Cod]:[Nombre ]],8,0)</f>
        <v>DIGITAL MEDIA TECHNOLOGIES COLOMBIA SAS</v>
      </c>
      <c r="F656" s="5" t="str">
        <f>VLOOKUP(Tabla4[[#This Row],[Codigo]],Tabla2[[Cod]:[Nombre ]],6,0)</f>
        <v>OK</v>
      </c>
      <c r="G656" s="7" t="s">
        <v>416</v>
      </c>
      <c r="H656" s="21" t="s">
        <v>519</v>
      </c>
      <c r="I656" s="21" t="s">
        <v>732</v>
      </c>
      <c r="J656" s="163">
        <v>1</v>
      </c>
      <c r="K656" s="294">
        <v>300000</v>
      </c>
      <c r="L656" s="298"/>
      <c r="M65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56" s="292">
        <f>IFERROR(Tabla4[[#This Row],[Sub Total]]*VLOOKUP(Tabla4[[#This Row],[No]],Parametros!A:C,3,0),0)</f>
        <v>57000</v>
      </c>
      <c r="O656" s="292">
        <f>+Tabla4[[#This Row],[IVA]]+Tabla4[[#This Row],[Sub Total]]</f>
        <v>357000</v>
      </c>
    </row>
    <row r="657" spans="1:15" ht="36" x14ac:dyDescent="0.2">
      <c r="A657" s="6">
        <v>588</v>
      </c>
      <c r="B657" s="6" t="str">
        <f>VLOOKUP(Tabla4[[#This Row],[Codigo]],Tabla2[[Cod]:[Nombre ]],2,0)</f>
        <v>P-1577</v>
      </c>
      <c r="C657" s="53">
        <f>VLOOKUP(Tabla4[[#This Row],[Codigo]],Tabla2[[Cod]:[Nombre ]],3,0)</f>
        <v>45931</v>
      </c>
      <c r="D657" s="6" t="str">
        <f>VLOOKUP(Tabla4[[#This Row],[Codigo]],Tabla2[[Cod]:[Nombre ]],4,0)</f>
        <v>TIS-1553</v>
      </c>
      <c r="E657" s="5" t="str">
        <f>VLOOKUP(Tabla4[[#This Row],[Codigo]],Tabla2[[Cod]:[Nombre ]],8,0)</f>
        <v>ROYCO SOLUCIONES SAS</v>
      </c>
      <c r="F657" s="5" t="str">
        <f>VLOOKUP(Tabla4[[#This Row],[Codigo]],Tabla2[[Cod]:[Nombre ]],6,0)</f>
        <v>OK</v>
      </c>
      <c r="G657" s="7" t="s">
        <v>416</v>
      </c>
      <c r="H657" s="21" t="s">
        <v>519</v>
      </c>
      <c r="I657" s="21" t="s">
        <v>731</v>
      </c>
      <c r="J657" s="163">
        <v>1</v>
      </c>
      <c r="K657" s="294">
        <v>250000</v>
      </c>
      <c r="L657" s="298"/>
      <c r="M657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657" s="292">
        <f>IFERROR(Tabla4[[#This Row],[Sub Total]]*VLOOKUP(Tabla4[[#This Row],[No]],Parametros!A:C,3,0),0)</f>
        <v>47500</v>
      </c>
      <c r="O657" s="292">
        <f>+Tabla4[[#This Row],[IVA]]+Tabla4[[#This Row],[Sub Total]]</f>
        <v>297500</v>
      </c>
    </row>
    <row r="658" spans="1:15" ht="36" x14ac:dyDescent="0.2">
      <c r="A658" s="6">
        <v>589</v>
      </c>
      <c r="B658" s="6" t="str">
        <f>VLOOKUP(Tabla4[[#This Row],[Codigo]],Tabla2[[Cod]:[Nombre ]],2,0)</f>
        <v>P-1578</v>
      </c>
      <c r="C658" s="53">
        <f>VLOOKUP(Tabla4[[#This Row],[Codigo]],Tabla2[[Cod]:[Nombre ]],3,0)</f>
        <v>45931</v>
      </c>
      <c r="D658" s="6" t="str">
        <f>VLOOKUP(Tabla4[[#This Row],[Codigo]],Tabla2[[Cod]:[Nombre ]],4,0)</f>
        <v>TIS-1554</v>
      </c>
      <c r="E658" s="5" t="str">
        <f>VLOOKUP(Tabla4[[#This Row],[Codigo]],Tabla2[[Cod]:[Nombre ]],8,0)</f>
        <v>HUTERCOL S.A.S.</v>
      </c>
      <c r="F658" s="5" t="str">
        <f>VLOOKUP(Tabla4[[#This Row],[Codigo]],Tabla2[[Cod]:[Nombre ]],6,0)</f>
        <v>OK</v>
      </c>
      <c r="G658" s="7" t="s">
        <v>416</v>
      </c>
      <c r="H658" s="21" t="s">
        <v>519</v>
      </c>
      <c r="I658" s="21" t="s">
        <v>733</v>
      </c>
      <c r="J658" s="163">
        <v>1</v>
      </c>
      <c r="K658" s="294">
        <v>1500000</v>
      </c>
      <c r="L658" s="298"/>
      <c r="M658" s="292">
        <f>IF(LEFT(Tabla4[[#This Row],[Electronica]],2)="NC",-Tabla4[[#This Row],[Cantidad]]*Tabla4[[#This Row],[Precio]]+Tabla4[[#This Row],[Dto]],Tabla4[[#This Row],[Cantidad]]*Tabla4[[#This Row],[Precio]]-Tabla4[[#This Row],[Dto]])</f>
        <v>1500000</v>
      </c>
      <c r="N658" s="292">
        <f>IFERROR(Tabla4[[#This Row],[Sub Total]]*VLOOKUP(Tabla4[[#This Row],[No]],Parametros!A:C,3,0),0)</f>
        <v>285000</v>
      </c>
      <c r="O658" s="292">
        <f>+Tabla4[[#This Row],[IVA]]+Tabla4[[#This Row],[Sub Total]]</f>
        <v>1785000</v>
      </c>
    </row>
    <row r="659" spans="1:15" ht="36" x14ac:dyDescent="0.2">
      <c r="A659" s="6">
        <v>590</v>
      </c>
      <c r="B659" s="6" t="str">
        <f>VLOOKUP(Tabla4[[#This Row],[Codigo]],Tabla2[[Cod]:[Nombre ]],2,0)</f>
        <v>P-1579</v>
      </c>
      <c r="C659" s="53">
        <f>VLOOKUP(Tabla4[[#This Row],[Codigo]],Tabla2[[Cod]:[Nombre ]],3,0)</f>
        <v>45931</v>
      </c>
      <c r="D659" s="6" t="str">
        <f>VLOOKUP(Tabla4[[#This Row],[Codigo]],Tabla2[[Cod]:[Nombre ]],4,0)</f>
        <v>TIS-1556</v>
      </c>
      <c r="E659" s="5" t="str">
        <f>VLOOKUP(Tabla4[[#This Row],[Codigo]],Tabla2[[Cod]:[Nombre ]],8,0)</f>
        <v>Inversiones Sajamib SAS</v>
      </c>
      <c r="F659" s="5" t="str">
        <f>VLOOKUP(Tabla4[[#This Row],[Codigo]],Tabla2[[Cod]:[Nombre ]],6,0)</f>
        <v>OK</v>
      </c>
      <c r="G659" s="7" t="s">
        <v>417</v>
      </c>
      <c r="H659" s="21" t="s">
        <v>525</v>
      </c>
      <c r="I659" s="21" t="s">
        <v>734</v>
      </c>
      <c r="J659" s="163">
        <v>1</v>
      </c>
      <c r="K659" s="294">
        <v>480000</v>
      </c>
      <c r="L659" s="298"/>
      <c r="M659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659" s="292">
        <f>IFERROR(Tabla4[[#This Row],[Sub Total]]*VLOOKUP(Tabla4[[#This Row],[No]],Parametros!A:C,3,0),0)</f>
        <v>0</v>
      </c>
      <c r="O659" s="292">
        <f>+Tabla4[[#This Row],[IVA]]+Tabla4[[#This Row],[Sub Total]]</f>
        <v>480000</v>
      </c>
    </row>
    <row r="660" spans="1:15" ht="36" x14ac:dyDescent="0.2">
      <c r="A660" s="6">
        <v>591</v>
      </c>
      <c r="B660" s="6" t="str">
        <f>VLOOKUP(Tabla4[[#This Row],[Codigo]],Tabla2[[Cod]:[Nombre ]],2,0)</f>
        <v>P-1580</v>
      </c>
      <c r="C660" s="53">
        <f>VLOOKUP(Tabla4[[#This Row],[Codigo]],Tabla2[[Cod]:[Nombre ]],3,0)</f>
        <v>45931</v>
      </c>
      <c r="D660" s="6" t="str">
        <f>VLOOKUP(Tabla4[[#This Row],[Codigo]],Tabla2[[Cod]:[Nombre ]],4,0)</f>
        <v>TIS-1557</v>
      </c>
      <c r="E660" s="5" t="str">
        <f>VLOOKUP(Tabla4[[#This Row],[Codigo]],Tabla2[[Cod]:[Nombre ]],8,0)</f>
        <v>SOLUCIONES CREATIVAS Y TURÍSTICAS</v>
      </c>
      <c r="F660" s="5" t="str">
        <f>VLOOKUP(Tabla4[[#This Row],[Codigo]],Tabla2[[Cod]:[Nombre ]],6,0)</f>
        <v>OK</v>
      </c>
      <c r="G660" s="7" t="s">
        <v>416</v>
      </c>
      <c r="H660" s="21" t="s">
        <v>519</v>
      </c>
      <c r="I660" s="21" t="s">
        <v>725</v>
      </c>
      <c r="J660" s="163">
        <v>1</v>
      </c>
      <c r="K660" s="294">
        <v>934874</v>
      </c>
      <c r="L660" s="298"/>
      <c r="M660" s="292">
        <f>IF(LEFT(Tabla4[[#This Row],[Electronica]],2)="NC",-Tabla4[[#This Row],[Cantidad]]*Tabla4[[#This Row],[Precio]]+Tabla4[[#This Row],[Dto]],Tabla4[[#This Row],[Cantidad]]*Tabla4[[#This Row],[Precio]]-Tabla4[[#This Row],[Dto]])</f>
        <v>934874</v>
      </c>
      <c r="N660" s="292">
        <f>IFERROR(Tabla4[[#This Row],[Sub Total]]*VLOOKUP(Tabla4[[#This Row],[No]],Parametros!A:C,3,0),0)</f>
        <v>177626.06</v>
      </c>
      <c r="O660" s="292">
        <f>+Tabla4[[#This Row],[IVA]]+Tabla4[[#This Row],[Sub Total]]</f>
        <v>1112500.06</v>
      </c>
    </row>
    <row r="661" spans="1:15" ht="45" x14ac:dyDescent="0.2">
      <c r="A661" s="6">
        <v>592</v>
      </c>
      <c r="B661" s="6" t="str">
        <f>VLOOKUP(Tabla4[[#This Row],[Codigo]],Tabla2[[Cod]:[Nombre ]],2,0)</f>
        <v>P-1581</v>
      </c>
      <c r="C661" s="53">
        <f>VLOOKUP(Tabla4[[#This Row],[Codigo]],Tabla2[[Cod]:[Nombre ]],3,0)</f>
        <v>45931</v>
      </c>
      <c r="D661" s="6" t="str">
        <f>VLOOKUP(Tabla4[[#This Row],[Codigo]],Tabla2[[Cod]:[Nombre ]],4,0)</f>
        <v>TIS-1558</v>
      </c>
      <c r="E661" s="5" t="str">
        <f>VLOOKUP(Tabla4[[#This Row],[Codigo]],Tabla2[[Cod]:[Nombre ]],8,0)</f>
        <v>CENTRO DE ATENCION E INVESTIGACION MEDICA S.A.S.</v>
      </c>
      <c r="F661" s="5" t="str">
        <f>VLOOKUP(Tabla4[[#This Row],[Codigo]],Tabla2[[Cod]:[Nombre ]],6,0)</f>
        <v>OK</v>
      </c>
      <c r="G661" s="7" t="s">
        <v>416</v>
      </c>
      <c r="H661" s="21" t="s">
        <v>519</v>
      </c>
      <c r="I661" s="21" t="s">
        <v>731</v>
      </c>
      <c r="J661" s="163">
        <v>1</v>
      </c>
      <c r="K661" s="294">
        <v>1500000</v>
      </c>
      <c r="L661" s="298"/>
      <c r="M661" s="292">
        <f>IF(LEFT(Tabla4[[#This Row],[Electronica]],2)="NC",-Tabla4[[#This Row],[Cantidad]]*Tabla4[[#This Row],[Precio]]+Tabla4[[#This Row],[Dto]],Tabla4[[#This Row],[Cantidad]]*Tabla4[[#This Row],[Precio]]-Tabla4[[#This Row],[Dto]])</f>
        <v>1500000</v>
      </c>
      <c r="N661" s="292">
        <f>IFERROR(Tabla4[[#This Row],[Sub Total]]*VLOOKUP(Tabla4[[#This Row],[No]],Parametros!A:C,3,0),0)</f>
        <v>285000</v>
      </c>
      <c r="O661" s="292">
        <f>+Tabla4[[#This Row],[IVA]]+Tabla4[[#This Row],[Sub Total]]</f>
        <v>1785000</v>
      </c>
    </row>
    <row r="662" spans="1:15" ht="45" x14ac:dyDescent="0.2">
      <c r="A662" s="6">
        <v>593</v>
      </c>
      <c r="B662" s="6" t="str">
        <f>VLOOKUP(Tabla4[[#This Row],[Codigo]],Tabla2[[Cod]:[Nombre ]],2,0)</f>
        <v>P-1582</v>
      </c>
      <c r="C662" s="53">
        <f>VLOOKUP(Tabla4[[#This Row],[Codigo]],Tabla2[[Cod]:[Nombre ]],3,0)</f>
        <v>45946</v>
      </c>
      <c r="D662" s="6" t="str">
        <f>VLOOKUP(Tabla4[[#This Row],[Codigo]],Tabla2[[Cod]:[Nombre ]],4,0)</f>
        <v>TIS-1561</v>
      </c>
      <c r="E662" s="5" t="str">
        <f>VLOOKUP(Tabla4[[#This Row],[Codigo]],Tabla2[[Cod]:[Nombre ]],8,0)</f>
        <v>FIDEICOMISOS SOCIEDAD FIDUCIARIA DE OCCIDENTE SA</v>
      </c>
      <c r="F662" s="5" t="str">
        <f>VLOOKUP(Tabla4[[#This Row],[Codigo]],Tabla2[[Cod]:[Nombre ]],6,0)</f>
        <v>OK</v>
      </c>
      <c r="G662" s="7" t="s">
        <v>415</v>
      </c>
      <c r="H662" s="21" t="s">
        <v>605</v>
      </c>
      <c r="I662" s="21" t="s">
        <v>735</v>
      </c>
      <c r="J662" s="163">
        <v>1</v>
      </c>
      <c r="K662" s="294">
        <v>9830000</v>
      </c>
      <c r="L662" s="298"/>
      <c r="M662" s="292">
        <f>IF(LEFT(Tabla4[[#This Row],[Electronica]],2)="NC",-Tabla4[[#This Row],[Cantidad]]*Tabla4[[#This Row],[Precio]]+Tabla4[[#This Row],[Dto]],Tabla4[[#This Row],[Cantidad]]*Tabla4[[#This Row],[Precio]]-Tabla4[[#This Row],[Dto]])</f>
        <v>9830000</v>
      </c>
      <c r="N662" s="292">
        <f>IFERROR(Tabla4[[#This Row],[Sub Total]]*VLOOKUP(Tabla4[[#This Row],[No]],Parametros!A:C,3,0),0)</f>
        <v>1867700</v>
      </c>
      <c r="O662" s="292">
        <f>+Tabla4[[#This Row],[IVA]]+Tabla4[[#This Row],[Sub Total]]</f>
        <v>11697700</v>
      </c>
    </row>
    <row r="663" spans="1:15" ht="24" x14ac:dyDescent="0.2">
      <c r="A663" s="6">
        <v>594</v>
      </c>
      <c r="B663" s="6" t="str">
        <f>VLOOKUP(Tabla4[[#This Row],[Codigo]],Tabla2[[Cod]:[Nombre ]],2,0)</f>
        <v>P-1583</v>
      </c>
      <c r="C663" s="53">
        <f>VLOOKUP(Tabla4[[#This Row],[Codigo]],Tabla2[[Cod]:[Nombre ]],3,0)</f>
        <v>45912</v>
      </c>
      <c r="D663" s="6" t="str">
        <f>VLOOKUP(Tabla4[[#This Row],[Codigo]],Tabla2[[Cod]:[Nombre ]],4,0)</f>
        <v>TIS-1549</v>
      </c>
      <c r="E663" s="5" t="str">
        <f>VLOOKUP(Tabla4[[#This Row],[Codigo]],Tabla2[[Cod]:[Nombre ]],8,0)</f>
        <v>Banco de Bogota S.A.</v>
      </c>
      <c r="F663" s="5" t="str">
        <f>VLOOKUP(Tabla4[[#This Row],[Codigo]],Tabla2[[Cod]:[Nombre ]],6,0)</f>
        <v>OK</v>
      </c>
      <c r="G663" s="7" t="s">
        <v>282</v>
      </c>
      <c r="H663" s="21" t="s">
        <v>16</v>
      </c>
      <c r="I663" s="21" t="s">
        <v>694</v>
      </c>
      <c r="J663" s="163">
        <v>1</v>
      </c>
      <c r="K663" s="294">
        <v>56000000</v>
      </c>
      <c r="L663" s="298"/>
      <c r="M663" s="292">
        <f>IF(LEFT(Tabla4[[#This Row],[Electronica]],2)="NC",-Tabla4[[#This Row],[Cantidad]]*Tabla4[[#This Row],[Precio]]+Tabla4[[#This Row],[Dto]],Tabla4[[#This Row],[Cantidad]]*Tabla4[[#This Row],[Precio]]-Tabla4[[#This Row],[Dto]])</f>
        <v>56000000</v>
      </c>
      <c r="N663" s="292">
        <f>IFERROR(Tabla4[[#This Row],[Sub Total]]*VLOOKUP(Tabla4[[#This Row],[No]],Parametros!A:C,3,0),0)</f>
        <v>10640000</v>
      </c>
      <c r="O663" s="292">
        <f>+Tabla4[[#This Row],[IVA]]+Tabla4[[#This Row],[Sub Total]]</f>
        <v>66640000</v>
      </c>
    </row>
    <row r="664" spans="1:15" ht="24" x14ac:dyDescent="0.2">
      <c r="A664" s="6">
        <v>595</v>
      </c>
      <c r="B664" s="6" t="str">
        <f>VLOOKUP(Tabla4[[#This Row],[Codigo]],Tabla2[[Cod]:[Nombre ]],2,0)</f>
        <v>P-1584</v>
      </c>
      <c r="C664" s="53">
        <f>VLOOKUP(Tabla4[[#This Row],[Codigo]],Tabla2[[Cod]:[Nombre ]],3,0)</f>
        <v>45947</v>
      </c>
      <c r="D664" s="6" t="str">
        <f>VLOOKUP(Tabla4[[#This Row],[Codigo]],Tabla2[[Cod]:[Nombre ]],4,0)</f>
        <v>TIS-1562</v>
      </c>
      <c r="E664" s="5" t="str">
        <f>VLOOKUP(Tabla4[[#This Row],[Codigo]],Tabla2[[Cod]:[Nombre ]],8,0)</f>
        <v>Banco de Bogota S.A.</v>
      </c>
      <c r="F664" s="5" t="str">
        <f>VLOOKUP(Tabla4[[#This Row],[Codigo]],Tabla2[[Cod]:[Nombre ]],6,0)</f>
        <v>OK</v>
      </c>
      <c r="G664" s="7" t="s">
        <v>282</v>
      </c>
      <c r="H664" s="21" t="s">
        <v>16</v>
      </c>
      <c r="I664" s="21" t="s">
        <v>694</v>
      </c>
      <c r="J664" s="163">
        <v>1</v>
      </c>
      <c r="K664" s="294">
        <v>56000000</v>
      </c>
      <c r="L664" s="298"/>
      <c r="M664" s="292">
        <f>IF(LEFT(Tabla4[[#This Row],[Electronica]],2)="NC",-Tabla4[[#This Row],[Cantidad]]*Tabla4[[#This Row],[Precio]]+Tabla4[[#This Row],[Dto]],Tabla4[[#This Row],[Cantidad]]*Tabla4[[#This Row],[Precio]]-Tabla4[[#This Row],[Dto]])</f>
        <v>56000000</v>
      </c>
      <c r="N664" s="292">
        <f>IFERROR(Tabla4[[#This Row],[Sub Total]]*VLOOKUP(Tabla4[[#This Row],[No]],Parametros!A:C,3,0),0)</f>
        <v>10640000</v>
      </c>
      <c r="O664" s="292">
        <f>+Tabla4[[#This Row],[IVA]]+Tabla4[[#This Row],[Sub Total]]</f>
        <v>66640000</v>
      </c>
    </row>
    <row r="665" spans="1:15" ht="36" x14ac:dyDescent="0.2">
      <c r="A665" s="6">
        <v>596</v>
      </c>
      <c r="B665" s="6" t="str">
        <f>VLOOKUP(Tabla4[[#This Row],[Codigo]],Tabla2[[Cod]:[Nombre ]],2,0)</f>
        <v>P-1585</v>
      </c>
      <c r="C665" s="53">
        <f>VLOOKUP(Tabla4[[#This Row],[Codigo]],Tabla2[[Cod]:[Nombre ]],3,0)</f>
        <v>45960</v>
      </c>
      <c r="D665" s="6" t="str">
        <f>VLOOKUP(Tabla4[[#This Row],[Codigo]],Tabla2[[Cod]:[Nombre ]],4,0)</f>
        <v>TIS-1563</v>
      </c>
      <c r="E665" s="5" t="str">
        <f>VLOOKUP(Tabla4[[#This Row],[Codigo]],Tabla2[[Cod]:[Nombre ]],8,0)</f>
        <v>ACTIVOS SAS</v>
      </c>
      <c r="F665" s="5" t="str">
        <f>VLOOKUP(Tabla4[[#This Row],[Codigo]],Tabla2[[Cod]:[Nombre ]],6,0)</f>
        <v>OK</v>
      </c>
      <c r="G665" s="7" t="s">
        <v>416</v>
      </c>
      <c r="H665" s="21" t="s">
        <v>519</v>
      </c>
      <c r="I665" s="21" t="s">
        <v>736</v>
      </c>
      <c r="J665" s="163">
        <v>1</v>
      </c>
      <c r="K665" s="294">
        <v>12800000</v>
      </c>
      <c r="L665" s="298"/>
      <c r="M665" s="292">
        <f>IF(LEFT(Tabla4[[#This Row],[Electronica]],2)="NC",-Tabla4[[#This Row],[Cantidad]]*Tabla4[[#This Row],[Precio]]+Tabla4[[#This Row],[Dto]],Tabla4[[#This Row],[Cantidad]]*Tabla4[[#This Row],[Precio]]-Tabla4[[#This Row],[Dto]])</f>
        <v>12800000</v>
      </c>
      <c r="N665" s="292">
        <f>IFERROR(Tabla4[[#This Row],[Sub Total]]*VLOOKUP(Tabla4[[#This Row],[No]],Parametros!A:C,3,0),0)</f>
        <v>2432000</v>
      </c>
      <c r="O665" s="292">
        <f>+Tabla4[[#This Row],[IVA]]+Tabla4[[#This Row],[Sub Total]]</f>
        <v>15232000</v>
      </c>
    </row>
    <row r="666" spans="1:15" ht="36" x14ac:dyDescent="0.2">
      <c r="A666" s="6">
        <v>596</v>
      </c>
      <c r="B666" s="6" t="str">
        <f>VLOOKUP(Tabla4[[#This Row],[Codigo]],Tabla2[[Cod]:[Nombre ]],2,0)</f>
        <v>P-1585</v>
      </c>
      <c r="C666" s="53">
        <f>VLOOKUP(Tabla4[[#This Row],[Codigo]],Tabla2[[Cod]:[Nombre ]],3,0)</f>
        <v>45960</v>
      </c>
      <c r="D666" s="6" t="str">
        <f>VLOOKUP(Tabla4[[#This Row],[Codigo]],Tabla2[[Cod]:[Nombre ]],4,0)</f>
        <v>TIS-1563</v>
      </c>
      <c r="E666" s="5" t="str">
        <f>VLOOKUP(Tabla4[[#This Row],[Codigo]],Tabla2[[Cod]:[Nombre ]],8,0)</f>
        <v>ACTIVOS SAS</v>
      </c>
      <c r="F666" s="5" t="str">
        <f>VLOOKUP(Tabla4[[#This Row],[Codigo]],Tabla2[[Cod]:[Nombre ]],6,0)</f>
        <v>OK</v>
      </c>
      <c r="G666" s="7" t="s">
        <v>416</v>
      </c>
      <c r="H666" s="21" t="s">
        <v>519</v>
      </c>
      <c r="I666" s="21" t="s">
        <v>737</v>
      </c>
      <c r="J666" s="163">
        <v>5</v>
      </c>
      <c r="K666" s="294">
        <v>1250000</v>
      </c>
      <c r="L666" s="298"/>
      <c r="M666" s="292">
        <f>IF(LEFT(Tabla4[[#This Row],[Electronica]],2)="NC",-Tabla4[[#This Row],[Cantidad]]*Tabla4[[#This Row],[Precio]]+Tabla4[[#This Row],[Dto]],Tabla4[[#This Row],[Cantidad]]*Tabla4[[#This Row],[Precio]]-Tabla4[[#This Row],[Dto]])</f>
        <v>6250000</v>
      </c>
      <c r="N666" s="292">
        <f>IFERROR(Tabla4[[#This Row],[Sub Total]]*VLOOKUP(Tabla4[[#This Row],[No]],Parametros!A:C,3,0),0)</f>
        <v>1187500</v>
      </c>
      <c r="O666" s="292">
        <f>+Tabla4[[#This Row],[IVA]]+Tabla4[[#This Row],[Sub Total]]</f>
        <v>7437500</v>
      </c>
    </row>
    <row r="667" spans="1:15" ht="24" x14ac:dyDescent="0.2">
      <c r="A667" s="6">
        <v>597</v>
      </c>
      <c r="B667" s="6" t="str">
        <f>VLOOKUP(Tabla4[[#This Row],[Codigo]],Tabla2[[Cod]:[Nombre ]],2,0)</f>
        <v>P-1586</v>
      </c>
      <c r="C667" s="53">
        <f>VLOOKUP(Tabla4[[#This Row],[Codigo]],Tabla2[[Cod]:[Nombre ]],3,0)</f>
        <v>45960</v>
      </c>
      <c r="D667" s="6" t="str">
        <f>VLOOKUP(Tabla4[[#This Row],[Codigo]],Tabla2[[Cod]:[Nombre ]],4,0)</f>
        <v>TIS-1564</v>
      </c>
      <c r="E667" s="5" t="str">
        <f>VLOOKUP(Tabla4[[#This Row],[Codigo]],Tabla2[[Cod]:[Nombre ]],8,0)</f>
        <v>JIREH SHAMMAH SAS</v>
      </c>
      <c r="F667" s="5" t="str">
        <f>VLOOKUP(Tabla4[[#This Row],[Codigo]],Tabla2[[Cod]:[Nombre ]],6,0)</f>
        <v>OK</v>
      </c>
      <c r="G667" s="7" t="s">
        <v>282</v>
      </c>
      <c r="H667" s="21" t="s">
        <v>16</v>
      </c>
      <c r="I667" s="21" t="s">
        <v>681</v>
      </c>
      <c r="J667" s="163">
        <v>4</v>
      </c>
      <c r="K667" s="294">
        <v>35000</v>
      </c>
      <c r="L667" s="298"/>
      <c r="M667" s="292">
        <f>IF(LEFT(Tabla4[[#This Row],[Electronica]],2)="NC",-Tabla4[[#This Row],[Cantidad]]*Tabla4[[#This Row],[Precio]]+Tabla4[[#This Row],[Dto]],Tabla4[[#This Row],[Cantidad]]*Tabla4[[#This Row],[Precio]]-Tabla4[[#This Row],[Dto]])</f>
        <v>140000</v>
      </c>
      <c r="N667" s="292">
        <f>IFERROR(Tabla4[[#This Row],[Sub Total]]*VLOOKUP(Tabla4[[#This Row],[No]],Parametros!A:C,3,0),0)</f>
        <v>26600</v>
      </c>
      <c r="O667" s="292">
        <f>+Tabla4[[#This Row],[IVA]]+Tabla4[[#This Row],[Sub Total]]</f>
        <v>166600</v>
      </c>
    </row>
    <row r="668" spans="1:15" ht="24" x14ac:dyDescent="0.2">
      <c r="A668" s="6">
        <v>598</v>
      </c>
      <c r="B668" s="6" t="str">
        <f>VLOOKUP(Tabla4[[#This Row],[Codigo]],Tabla2[[Cod]:[Nombre ]],2,0)</f>
        <v>P-1587</v>
      </c>
      <c r="C668" s="53">
        <f>VLOOKUP(Tabla4[[#This Row],[Codigo]],Tabla2[[Cod]:[Nombre ]],3,0)</f>
        <v>45960</v>
      </c>
      <c r="D668" s="6" t="str">
        <f>VLOOKUP(Tabla4[[#This Row],[Codigo]],Tabla2[[Cod]:[Nombre ]],4,0)</f>
        <v>TIS-1565</v>
      </c>
      <c r="E668" s="5" t="str">
        <f>VLOOKUP(Tabla4[[#This Row],[Codigo]],Tabla2[[Cod]:[Nombre ]],8,0)</f>
        <v>VALGASIN SAS ESP</v>
      </c>
      <c r="F668" s="5" t="str">
        <f>VLOOKUP(Tabla4[[#This Row],[Codigo]],Tabla2[[Cod]:[Nombre ]],6,0)</f>
        <v>OK</v>
      </c>
      <c r="G668" s="7" t="s">
        <v>282</v>
      </c>
      <c r="H668" s="21" t="s">
        <v>16</v>
      </c>
      <c r="I668" s="21" t="s">
        <v>681</v>
      </c>
      <c r="J668" s="163">
        <v>23</v>
      </c>
      <c r="K668" s="294">
        <v>35000</v>
      </c>
      <c r="L668" s="298"/>
      <c r="M668" s="292">
        <f>IF(LEFT(Tabla4[[#This Row],[Electronica]],2)="NC",-Tabla4[[#This Row],[Cantidad]]*Tabla4[[#This Row],[Precio]]+Tabla4[[#This Row],[Dto]],Tabla4[[#This Row],[Cantidad]]*Tabla4[[#This Row],[Precio]]-Tabla4[[#This Row],[Dto]])</f>
        <v>805000</v>
      </c>
      <c r="N668" s="292">
        <f>IFERROR(Tabla4[[#This Row],[Sub Total]]*VLOOKUP(Tabla4[[#This Row],[No]],Parametros!A:C,3,0),0)</f>
        <v>152950</v>
      </c>
      <c r="O668" s="292">
        <f>+Tabla4[[#This Row],[IVA]]+Tabla4[[#This Row],[Sub Total]]</f>
        <v>957950</v>
      </c>
    </row>
    <row r="669" spans="1:15" ht="45" x14ac:dyDescent="0.2">
      <c r="A669" s="6">
        <v>599</v>
      </c>
      <c r="B669" s="6" t="str">
        <f>VLOOKUP(Tabla4[[#This Row],[Codigo]],Tabla2[[Cod]:[Nombre ]],2,0)</f>
        <v>P-1588</v>
      </c>
      <c r="C669" s="53">
        <f>VLOOKUP(Tabla4[[#This Row],[Codigo]],Tabla2[[Cod]:[Nombre ]],3,0)</f>
        <v>45968</v>
      </c>
      <c r="D669" s="6" t="str">
        <f>VLOOKUP(Tabla4[[#This Row],[Codigo]],Tabla2[[Cod]:[Nombre ]],4,0)</f>
        <v>TIS-1567</v>
      </c>
      <c r="E669" s="5" t="str">
        <f>VLOOKUP(Tabla4[[#This Row],[Codigo]],Tabla2[[Cod]:[Nombre ]],8,0)</f>
        <v>DIGITAL MEDIA TECHNOLOGIES COLOMBIA SAS</v>
      </c>
      <c r="F669" s="5" t="str">
        <f>VLOOKUP(Tabla4[[#This Row],[Codigo]],Tabla2[[Cod]:[Nombre ]],6,0)</f>
        <v>OK</v>
      </c>
      <c r="G669" s="7" t="s">
        <v>416</v>
      </c>
      <c r="H669" s="21" t="s">
        <v>519</v>
      </c>
      <c r="I669" s="21" t="s">
        <v>738</v>
      </c>
      <c r="J669" s="163">
        <v>1</v>
      </c>
      <c r="K669" s="294">
        <v>300000</v>
      </c>
      <c r="L669" s="298"/>
      <c r="M669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69" s="292">
        <f>IFERROR(Tabla4[[#This Row],[Sub Total]]*VLOOKUP(Tabla4[[#This Row],[No]],Parametros!A:C,3,0),0)</f>
        <v>57000</v>
      </c>
      <c r="O669" s="292">
        <f>+Tabla4[[#This Row],[IVA]]+Tabla4[[#This Row],[Sub Total]]</f>
        <v>357000</v>
      </c>
    </row>
    <row r="670" spans="1:15" ht="36" x14ac:dyDescent="0.2">
      <c r="A670" s="6">
        <v>600</v>
      </c>
      <c r="B670" s="6" t="str">
        <f>VLOOKUP(Tabla4[[#This Row],[Codigo]],Tabla2[[Cod]:[Nombre ]],2,0)</f>
        <v>P-1589</v>
      </c>
      <c r="C670" s="53">
        <f>VLOOKUP(Tabla4[[#This Row],[Codigo]],Tabla2[[Cod]:[Nombre ]],3,0)</f>
        <v>45968</v>
      </c>
      <c r="D670" s="6" t="str">
        <f>VLOOKUP(Tabla4[[#This Row],[Codigo]],Tabla2[[Cod]:[Nombre ]],4,0)</f>
        <v>TIS-1568</v>
      </c>
      <c r="E670" s="5" t="str">
        <f>VLOOKUP(Tabla4[[#This Row],[Codigo]],Tabla2[[Cod]:[Nombre ]],8,0)</f>
        <v>ROYCO SOLUCIONES SAS</v>
      </c>
      <c r="F670" s="5" t="str">
        <f>VLOOKUP(Tabla4[[#This Row],[Codigo]],Tabla2[[Cod]:[Nombre ]],6,0)</f>
        <v>OK</v>
      </c>
      <c r="G670" s="7" t="s">
        <v>416</v>
      </c>
      <c r="H670" s="21" t="s">
        <v>519</v>
      </c>
      <c r="I670" s="21" t="s">
        <v>738</v>
      </c>
      <c r="J670" s="163">
        <v>1</v>
      </c>
      <c r="K670" s="294">
        <v>250000</v>
      </c>
      <c r="L670" s="298"/>
      <c r="M670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670" s="292">
        <f>IFERROR(Tabla4[[#This Row],[Sub Total]]*VLOOKUP(Tabla4[[#This Row],[No]],Parametros!A:C,3,0),0)</f>
        <v>47500</v>
      </c>
      <c r="O670" s="292">
        <f>+Tabla4[[#This Row],[IVA]]+Tabla4[[#This Row],[Sub Total]]</f>
        <v>297500</v>
      </c>
    </row>
    <row r="671" spans="1:15" ht="36" x14ac:dyDescent="0.2">
      <c r="A671" s="6">
        <v>601</v>
      </c>
      <c r="B671" s="6" t="str">
        <f>VLOOKUP(Tabla4[[#This Row],[Codigo]],Tabla2[[Cod]:[Nombre ]],2,0)</f>
        <v>P-1590</v>
      </c>
      <c r="C671" s="53">
        <f>VLOOKUP(Tabla4[[#This Row],[Codigo]],Tabla2[[Cod]:[Nombre ]],3,0)</f>
        <v>45968</v>
      </c>
      <c r="D671" s="6" t="str">
        <f>VLOOKUP(Tabla4[[#This Row],[Codigo]],Tabla2[[Cod]:[Nombre ]],4,0)</f>
        <v>TIS-1569</v>
      </c>
      <c r="E671" s="5" t="str">
        <f>VLOOKUP(Tabla4[[#This Row],[Codigo]],Tabla2[[Cod]:[Nombre ]],8,0)</f>
        <v>Inversiones Sajamib SAS</v>
      </c>
      <c r="F671" s="5" t="str">
        <f>VLOOKUP(Tabla4[[#This Row],[Codigo]],Tabla2[[Cod]:[Nombre ]],6,0)</f>
        <v>OK</v>
      </c>
      <c r="G671" s="7" t="s">
        <v>417</v>
      </c>
      <c r="H671" s="21" t="s">
        <v>525</v>
      </c>
      <c r="I671" s="21" t="s">
        <v>739</v>
      </c>
      <c r="J671" s="163">
        <v>1</v>
      </c>
      <c r="K671" s="294">
        <v>480000</v>
      </c>
      <c r="L671" s="298"/>
      <c r="M671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671" s="292">
        <f>IFERROR(Tabla4[[#This Row],[Sub Total]]*VLOOKUP(Tabla4[[#This Row],[No]],Parametros!A:C,3,0),0)</f>
        <v>0</v>
      </c>
      <c r="O671" s="292">
        <f>+Tabla4[[#This Row],[IVA]]+Tabla4[[#This Row],[Sub Total]]</f>
        <v>480000</v>
      </c>
    </row>
    <row r="672" spans="1:15" ht="45" x14ac:dyDescent="0.2">
      <c r="A672" s="6">
        <v>602</v>
      </c>
      <c r="B672" s="6" t="str">
        <f>VLOOKUP(Tabla4[[#This Row],[Codigo]],Tabla2[[Cod]:[Nombre ]],2,0)</f>
        <v>P-1591</v>
      </c>
      <c r="C672" s="53">
        <f>VLOOKUP(Tabla4[[#This Row],[Codigo]],Tabla2[[Cod]:[Nombre ]],3,0)</f>
        <v>45968</v>
      </c>
      <c r="D672" s="6" t="str">
        <f>VLOOKUP(Tabla4[[#This Row],[Codigo]],Tabla2[[Cod]:[Nombre ]],4,0)</f>
        <v>TIS-1570</v>
      </c>
      <c r="E672" s="5" t="str">
        <f>VLOOKUP(Tabla4[[#This Row],[Codigo]],Tabla2[[Cod]:[Nombre ]],8,0)</f>
        <v>CENTRO DE ATENCION E INVESTIGACION MEDICA S.A.S.</v>
      </c>
      <c r="F672" s="5" t="str">
        <f>VLOOKUP(Tabla4[[#This Row],[Codigo]],Tabla2[[Cod]:[Nombre ]],6,0)</f>
        <v>OK</v>
      </c>
      <c r="G672" s="7" t="s">
        <v>416</v>
      </c>
      <c r="H672" s="21" t="s">
        <v>519</v>
      </c>
      <c r="I672" s="21" t="s">
        <v>738</v>
      </c>
      <c r="J672" s="163">
        <v>1</v>
      </c>
      <c r="K672" s="294">
        <v>1500000</v>
      </c>
      <c r="L672" s="298"/>
      <c r="M672" s="292">
        <f>IF(LEFT(Tabla4[[#This Row],[Electronica]],2)="NC",-Tabla4[[#This Row],[Cantidad]]*Tabla4[[#This Row],[Precio]]+Tabla4[[#This Row],[Dto]],Tabla4[[#This Row],[Cantidad]]*Tabla4[[#This Row],[Precio]]-Tabla4[[#This Row],[Dto]])</f>
        <v>1500000</v>
      </c>
      <c r="N672" s="292">
        <f>IFERROR(Tabla4[[#This Row],[Sub Total]]*VLOOKUP(Tabla4[[#This Row],[No]],Parametros!A:C,3,0),0)</f>
        <v>285000</v>
      </c>
      <c r="O672" s="292">
        <f>+Tabla4[[#This Row],[IVA]]+Tabla4[[#This Row],[Sub Total]]</f>
        <v>1785000</v>
      </c>
    </row>
    <row r="673" spans="1:15" ht="36" x14ac:dyDescent="0.2">
      <c r="A673" s="6">
        <v>603</v>
      </c>
      <c r="B673" s="6" t="str">
        <f>VLOOKUP(Tabla4[[#This Row],[Codigo]],Tabla2[[Cod]:[Nombre ]],2,0)</f>
        <v>P-1592</v>
      </c>
      <c r="C673" s="53">
        <f>VLOOKUP(Tabla4[[#This Row],[Codigo]],Tabla2[[Cod]:[Nombre ]],3,0)</f>
        <v>45968</v>
      </c>
      <c r="D673" s="6" t="str">
        <f>VLOOKUP(Tabla4[[#This Row],[Codigo]],Tabla2[[Cod]:[Nombre ]],4,0)</f>
        <v>TIS-1571</v>
      </c>
      <c r="E673" s="5" t="str">
        <f>VLOOKUP(Tabla4[[#This Row],[Codigo]],Tabla2[[Cod]:[Nombre ]],8,0)</f>
        <v>AND TOPOGRAFIA E INGENIERIA SAS</v>
      </c>
      <c r="F673" s="5" t="str">
        <f>VLOOKUP(Tabla4[[#This Row],[Codigo]],Tabla2[[Cod]:[Nombre ]],6,0)</f>
        <v>OK</v>
      </c>
      <c r="G673" s="7" t="s">
        <v>417</v>
      </c>
      <c r="H673" s="21" t="s">
        <v>525</v>
      </c>
      <c r="I673" s="21" t="s">
        <v>739</v>
      </c>
      <c r="J673" s="163">
        <v>1</v>
      </c>
      <c r="K673" s="294">
        <v>300000</v>
      </c>
      <c r="L673" s="298"/>
      <c r="M673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73" s="292">
        <f>IFERROR(Tabla4[[#This Row],[Sub Total]]*VLOOKUP(Tabla4[[#This Row],[No]],Parametros!A:C,3,0),0)</f>
        <v>0</v>
      </c>
      <c r="O673" s="292">
        <f>+Tabla4[[#This Row],[IVA]]+Tabla4[[#This Row],[Sub Total]]</f>
        <v>300000</v>
      </c>
    </row>
    <row r="674" spans="1:15" ht="36" x14ac:dyDescent="0.2">
      <c r="A674" s="6">
        <v>604</v>
      </c>
      <c r="B674" s="6" t="str">
        <f>VLOOKUP(Tabla4[[#This Row],[Codigo]],Tabla2[[Cod]:[Nombre ]],2,0)</f>
        <v>P-1593</v>
      </c>
      <c r="C674" s="53">
        <f>VLOOKUP(Tabla4[[#This Row],[Codigo]],Tabla2[[Cod]:[Nombre ]],3,0)</f>
        <v>45968</v>
      </c>
      <c r="D674" s="6" t="str">
        <f>VLOOKUP(Tabla4[[#This Row],[Codigo]],Tabla2[[Cod]:[Nombre ]],4,0)</f>
        <v>TIS-1572</v>
      </c>
      <c r="E674" s="5" t="str">
        <f>VLOOKUP(Tabla4[[#This Row],[Codigo]],Tabla2[[Cod]:[Nombre ]],8,0)</f>
        <v>SOLUCIONES CREATIVAS Y TURÍSTICAS</v>
      </c>
      <c r="F674" s="5" t="str">
        <f>VLOOKUP(Tabla4[[#This Row],[Codigo]],Tabla2[[Cod]:[Nombre ]],6,0)</f>
        <v>OK</v>
      </c>
      <c r="G674" s="7" t="s">
        <v>416</v>
      </c>
      <c r="H674" s="21" t="s">
        <v>519</v>
      </c>
      <c r="I674" s="21" t="s">
        <v>740</v>
      </c>
      <c r="J674" s="163">
        <v>1</v>
      </c>
      <c r="K674" s="294">
        <v>934874</v>
      </c>
      <c r="L674" s="298"/>
      <c r="M674" s="292">
        <f>IF(LEFT(Tabla4[[#This Row],[Electronica]],2)="NC",-Tabla4[[#This Row],[Cantidad]]*Tabla4[[#This Row],[Precio]]+Tabla4[[#This Row],[Dto]],Tabla4[[#This Row],[Cantidad]]*Tabla4[[#This Row],[Precio]]-Tabla4[[#This Row],[Dto]])</f>
        <v>934874</v>
      </c>
      <c r="N674" s="292">
        <f>IFERROR(Tabla4[[#This Row],[Sub Total]]*VLOOKUP(Tabla4[[#This Row],[No]],Parametros!A:C,3,0),0)</f>
        <v>177626.06</v>
      </c>
      <c r="O674" s="292">
        <f>+Tabla4[[#This Row],[IVA]]+Tabla4[[#This Row],[Sub Total]]</f>
        <v>1112500.06</v>
      </c>
    </row>
    <row r="675" spans="1:15" ht="36" x14ac:dyDescent="0.2">
      <c r="A675" s="6">
        <v>605</v>
      </c>
      <c r="B675" s="6" t="str">
        <f>VLOOKUP(Tabla4[[#This Row],[Codigo]],Tabla2[[Cod]:[Nombre ]],2,0)</f>
        <v>P-1594</v>
      </c>
      <c r="C675" s="53">
        <f>VLOOKUP(Tabla4[[#This Row],[Codigo]],Tabla2[[Cod]:[Nombre ]],3,0)</f>
        <v>45968</v>
      </c>
      <c r="D675" s="6" t="str">
        <f>VLOOKUP(Tabla4[[#This Row],[Codigo]],Tabla2[[Cod]:[Nombre ]],4,0)</f>
        <v>TIS-1573</v>
      </c>
      <c r="E675" s="5" t="str">
        <f>VLOOKUP(Tabla4[[#This Row],[Codigo]],Tabla2[[Cod]:[Nombre ]],8,0)</f>
        <v>GENUINE LAB S.A.S.</v>
      </c>
      <c r="F675" s="5" t="str">
        <f>VLOOKUP(Tabla4[[#This Row],[Codigo]],Tabla2[[Cod]:[Nombre ]],6,0)</f>
        <v>OK</v>
      </c>
      <c r="G675" s="7" t="s">
        <v>416</v>
      </c>
      <c r="H675" s="21" t="s">
        <v>519</v>
      </c>
      <c r="I675" s="21" t="s">
        <v>738</v>
      </c>
      <c r="J675" s="163">
        <v>1</v>
      </c>
      <c r="K675" s="294">
        <v>442500</v>
      </c>
      <c r="L675" s="298"/>
      <c r="M675" s="292">
        <f>IF(LEFT(Tabla4[[#This Row],[Electronica]],2)="NC",-Tabla4[[#This Row],[Cantidad]]*Tabla4[[#This Row],[Precio]]+Tabla4[[#This Row],[Dto]],Tabla4[[#This Row],[Cantidad]]*Tabla4[[#This Row],[Precio]]-Tabla4[[#This Row],[Dto]])</f>
        <v>442500</v>
      </c>
      <c r="N675" s="292">
        <f>IFERROR(Tabla4[[#This Row],[Sub Total]]*VLOOKUP(Tabla4[[#This Row],[No]],Parametros!A:C,3,0),0)</f>
        <v>84075</v>
      </c>
      <c r="O675" s="292">
        <f>+Tabla4[[#This Row],[IVA]]+Tabla4[[#This Row],[Sub Total]]</f>
        <v>526575</v>
      </c>
    </row>
    <row r="676" spans="1:15" ht="36" x14ac:dyDescent="0.2">
      <c r="A676" s="6">
        <v>606</v>
      </c>
      <c r="B676" s="6" t="str">
        <f>VLOOKUP(Tabla4[[#This Row],[Codigo]],Tabla2[[Cod]:[Nombre ]],2,0)</f>
        <v>P-1595</v>
      </c>
      <c r="C676" s="53">
        <f>VLOOKUP(Tabla4[[#This Row],[Codigo]],Tabla2[[Cod]:[Nombre ]],3,0)</f>
        <v>45968</v>
      </c>
      <c r="D676" s="6" t="str">
        <f>VLOOKUP(Tabla4[[#This Row],[Codigo]],Tabla2[[Cod]:[Nombre ]],4,0)</f>
        <v>TIS-1574</v>
      </c>
      <c r="E676" s="5" t="str">
        <f>VLOOKUP(Tabla4[[#This Row],[Codigo]],Tabla2[[Cod]:[Nombre ]],8,0)</f>
        <v>STAFF SEGUROS AGENCIA LTDA</v>
      </c>
      <c r="F676" s="5" t="str">
        <f>VLOOKUP(Tabla4[[#This Row],[Codigo]],Tabla2[[Cod]:[Nombre ]],6,0)</f>
        <v>OK</v>
      </c>
      <c r="G676" s="7" t="s">
        <v>417</v>
      </c>
      <c r="H676" s="21" t="s">
        <v>525</v>
      </c>
      <c r="I676" s="21" t="s">
        <v>741</v>
      </c>
      <c r="J676" s="163">
        <v>1</v>
      </c>
      <c r="K676" s="294">
        <v>1572500</v>
      </c>
      <c r="L676" s="298"/>
      <c r="M676" s="292">
        <f>IF(LEFT(Tabla4[[#This Row],[Electronica]],2)="NC",-Tabla4[[#This Row],[Cantidad]]*Tabla4[[#This Row],[Precio]]+Tabla4[[#This Row],[Dto]],Tabla4[[#This Row],[Cantidad]]*Tabla4[[#This Row],[Precio]]-Tabla4[[#This Row],[Dto]])</f>
        <v>1572500</v>
      </c>
      <c r="N676" s="292">
        <f>IFERROR(Tabla4[[#This Row],[Sub Total]]*VLOOKUP(Tabla4[[#This Row],[No]],Parametros!A:C,3,0),0)</f>
        <v>0</v>
      </c>
      <c r="O676" s="292">
        <f>+Tabla4[[#This Row],[IVA]]+Tabla4[[#This Row],[Sub Total]]</f>
        <v>1572500</v>
      </c>
    </row>
    <row r="677" spans="1:15" ht="24" x14ac:dyDescent="0.2">
      <c r="A677" s="6">
        <v>607</v>
      </c>
      <c r="B677" s="6" t="str">
        <f>VLOOKUP(Tabla4[[#This Row],[Codigo]],Tabla2[[Cod]:[Nombre ]],2,0)</f>
        <v>P-1596</v>
      </c>
      <c r="C677" s="53">
        <f>VLOOKUP(Tabla4[[#This Row],[Codigo]],Tabla2[[Cod]:[Nombre ]],3,0)</f>
        <v>45974</v>
      </c>
      <c r="D677" s="6" t="str">
        <f>VLOOKUP(Tabla4[[#This Row],[Codigo]],Tabla2[[Cod]:[Nombre ]],4,0)</f>
        <v>Tis-1592</v>
      </c>
      <c r="E677" s="5" t="str">
        <f>VLOOKUP(Tabla4[[#This Row],[Codigo]],Tabla2[[Cod]:[Nombre ]],8,0)</f>
        <v>VORTICE S.A.S.</v>
      </c>
      <c r="F677" s="5" t="str">
        <f>VLOOKUP(Tabla4[[#This Row],[Codigo]],Tabla2[[Cod]:[Nombre ]],6,0)</f>
        <v>OK</v>
      </c>
      <c r="G677" s="7" t="s">
        <v>282</v>
      </c>
      <c r="H677" s="21" t="s">
        <v>16</v>
      </c>
      <c r="I677" s="21" t="s">
        <v>742</v>
      </c>
      <c r="J677" s="163">
        <v>33</v>
      </c>
      <c r="K677" s="294">
        <v>40000</v>
      </c>
      <c r="L677" s="298"/>
      <c r="M677" s="292">
        <f>IF(LEFT(Tabla4[[#This Row],[Electronica]],2)="NC",-Tabla4[[#This Row],[Cantidad]]*Tabla4[[#This Row],[Precio]]+Tabla4[[#This Row],[Dto]],Tabla4[[#This Row],[Cantidad]]*Tabla4[[#This Row],[Precio]]-Tabla4[[#This Row],[Dto]])</f>
        <v>1320000</v>
      </c>
      <c r="N677" s="292">
        <f>IFERROR(Tabla4[[#This Row],[Sub Total]]*VLOOKUP(Tabla4[[#This Row],[No]],Parametros!A:C,3,0),0)</f>
        <v>250800</v>
      </c>
      <c r="O677" s="292">
        <f>+Tabla4[[#This Row],[IVA]]+Tabla4[[#This Row],[Sub Total]]</f>
        <v>1570800</v>
      </c>
    </row>
    <row r="678" spans="1:15" x14ac:dyDescent="0.2">
      <c r="A678" s="6">
        <v>608</v>
      </c>
      <c r="B678" s="6" t="str">
        <f>VLOOKUP(Tabla4[[#This Row],[Codigo]],Tabla2[[Cod]:[Nombre ]],2,0)</f>
        <v>P-1597</v>
      </c>
      <c r="C678" s="53">
        <f>VLOOKUP(Tabla4[[#This Row],[Codigo]],Tabla2[[Cod]:[Nombre ]],3,0)</f>
        <v>45974</v>
      </c>
      <c r="D678" s="6" t="str">
        <f>VLOOKUP(Tabla4[[#This Row],[Codigo]],Tabla2[[Cod]:[Nombre ]],4,0)</f>
        <v>TIS-1590</v>
      </c>
      <c r="E678" s="5" t="str">
        <f>VLOOKUP(Tabla4[[#This Row],[Codigo]],Tabla2[[Cod]:[Nombre ]],8,0)</f>
        <v>DIPREM CO S.A.S.</v>
      </c>
      <c r="F678" s="5" t="str">
        <f>VLOOKUP(Tabla4[[#This Row],[Codigo]],Tabla2[[Cod]:[Nombre ]],6,0)</f>
        <v>OK</v>
      </c>
      <c r="G678" s="7" t="s">
        <v>433</v>
      </c>
      <c r="H678" s="21" t="s">
        <v>517</v>
      </c>
      <c r="I678" s="21" t="s">
        <v>743</v>
      </c>
      <c r="J678" s="163">
        <v>5</v>
      </c>
      <c r="K678" s="294">
        <v>120000</v>
      </c>
      <c r="L678" s="298"/>
      <c r="M678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678" s="292">
        <f>IFERROR(Tabla4[[#This Row],[Sub Total]]*VLOOKUP(Tabla4[[#This Row],[No]],Parametros!A:C,3,0),0)</f>
        <v>114000</v>
      </c>
      <c r="O678" s="292">
        <f>+Tabla4[[#This Row],[IVA]]+Tabla4[[#This Row],[Sub Total]]</f>
        <v>714000</v>
      </c>
    </row>
    <row r="679" spans="1:15" x14ac:dyDescent="0.2">
      <c r="A679" s="6">
        <v>608</v>
      </c>
      <c r="B679" s="6" t="str">
        <f>VLOOKUP(Tabla4[[#This Row],[Codigo]],Tabla2[[Cod]:[Nombre ]],2,0)</f>
        <v>P-1597</v>
      </c>
      <c r="C679" s="53">
        <f>VLOOKUP(Tabla4[[#This Row],[Codigo]],Tabla2[[Cod]:[Nombre ]],3,0)</f>
        <v>45974</v>
      </c>
      <c r="D679" s="6" t="str">
        <f>VLOOKUP(Tabla4[[#This Row],[Codigo]],Tabla2[[Cod]:[Nombre ]],4,0)</f>
        <v>TIS-1590</v>
      </c>
      <c r="E679" s="5" t="str">
        <f>VLOOKUP(Tabla4[[#This Row],[Codigo]],Tabla2[[Cod]:[Nombre ]],8,0)</f>
        <v>DIPREM CO S.A.S.</v>
      </c>
      <c r="F679" s="5" t="str">
        <f>VLOOKUP(Tabla4[[#This Row],[Codigo]],Tabla2[[Cod]:[Nombre ]],6,0)</f>
        <v>OK</v>
      </c>
      <c r="G679" s="7" t="s">
        <v>433</v>
      </c>
      <c r="H679" s="21" t="s">
        <v>517</v>
      </c>
      <c r="I679" s="21" t="s">
        <v>536</v>
      </c>
      <c r="J679" s="163">
        <v>10</v>
      </c>
      <c r="K679" s="294">
        <v>50000</v>
      </c>
      <c r="L679" s="298"/>
      <c r="M679" s="292">
        <f>IF(LEFT(Tabla4[[#This Row],[Electronica]],2)="NC",-Tabla4[[#This Row],[Cantidad]]*Tabla4[[#This Row],[Precio]]+Tabla4[[#This Row],[Dto]],Tabla4[[#This Row],[Cantidad]]*Tabla4[[#This Row],[Precio]]-Tabla4[[#This Row],[Dto]])</f>
        <v>500000</v>
      </c>
      <c r="N679" s="292">
        <f>IFERROR(Tabla4[[#This Row],[Sub Total]]*VLOOKUP(Tabla4[[#This Row],[No]],Parametros!A:C,3,0),0)</f>
        <v>95000</v>
      </c>
      <c r="O679" s="292">
        <f>+Tabla4[[#This Row],[IVA]]+Tabla4[[#This Row],[Sub Total]]</f>
        <v>595000</v>
      </c>
    </row>
    <row r="680" spans="1:15" ht="48" x14ac:dyDescent="0.2">
      <c r="A680" s="6">
        <v>609</v>
      </c>
      <c r="B680" s="6" t="str">
        <f>VLOOKUP(Tabla4[[#This Row],[Codigo]],Tabla2[[Cod]:[Nombre ]],2,0)</f>
        <v>P-1598</v>
      </c>
      <c r="C680" s="53">
        <f>VLOOKUP(Tabla4[[#This Row],[Codigo]],Tabla2[[Cod]:[Nombre ]],3,0)</f>
        <v>45979</v>
      </c>
      <c r="D680" s="6" t="str">
        <f>VLOOKUP(Tabla4[[#This Row],[Codigo]],Tabla2[[Cod]:[Nombre ]],4,0)</f>
        <v>TIS-1575</v>
      </c>
      <c r="E680" s="5" t="str">
        <f>VLOOKUP(Tabla4[[#This Row],[Codigo]],Tabla2[[Cod]:[Nombre ]],8,0)</f>
        <v>Banco de Bogota S.A.</v>
      </c>
      <c r="F680" s="5" t="str">
        <f>VLOOKUP(Tabla4[[#This Row],[Codigo]],Tabla2[[Cod]:[Nombre ]],6,0)</f>
        <v>OK</v>
      </c>
      <c r="G680" s="7" t="s">
        <v>282</v>
      </c>
      <c r="H680" s="21" t="s">
        <v>16</v>
      </c>
      <c r="I680" s="21" t="s">
        <v>744</v>
      </c>
      <c r="J680" s="163">
        <v>1</v>
      </c>
      <c r="K680" s="294">
        <v>9214843</v>
      </c>
      <c r="L680" s="298"/>
      <c r="M680" s="292">
        <f>IF(LEFT(Tabla4[[#This Row],[Electronica]],2)="NC",-Tabla4[[#This Row],[Cantidad]]*Tabla4[[#This Row],[Precio]]+Tabla4[[#This Row],[Dto]],Tabla4[[#This Row],[Cantidad]]*Tabla4[[#This Row],[Precio]]-Tabla4[[#This Row],[Dto]])</f>
        <v>9214843</v>
      </c>
      <c r="N680" s="292">
        <f>IFERROR(Tabla4[[#This Row],[Sub Total]]*VLOOKUP(Tabla4[[#This Row],[No]],Parametros!A:C,3,0),0)</f>
        <v>1750820.17</v>
      </c>
      <c r="O680" s="292">
        <f>+Tabla4[[#This Row],[IVA]]+Tabla4[[#This Row],[Sub Total]]</f>
        <v>10965663.17</v>
      </c>
    </row>
    <row r="681" spans="1:15" ht="30" x14ac:dyDescent="0.2">
      <c r="A681" s="6">
        <v>611</v>
      </c>
      <c r="B681" s="6" t="str">
        <f>VLOOKUP(Tabla4[[#This Row],[Codigo]],Tabla2[[Cod]:[Nombre ]],2,0)</f>
        <v>P-1600</v>
      </c>
      <c r="C681" s="53">
        <f>VLOOKUP(Tabla4[[#This Row],[Codigo]],Tabla2[[Cod]:[Nombre ]],3,0)</f>
        <v>45982</v>
      </c>
      <c r="D681" s="6" t="str">
        <f>VLOOKUP(Tabla4[[#This Row],[Codigo]],Tabla2[[Cod]:[Nombre ]],4,0)</f>
        <v>TIS-1507</v>
      </c>
      <c r="E681" s="5" t="str">
        <f>VLOOKUP(Tabla4[[#This Row],[Codigo]],Tabla2[[Cod]:[Nombre ]],8,0)</f>
        <v>CONTROLAR SALUD INTEGRAL SAS</v>
      </c>
      <c r="F681" s="5" t="str">
        <f>VLOOKUP(Tabla4[[#This Row],[Codigo]],Tabla2[[Cod]:[Nombre ]],6,0)</f>
        <v>OK</v>
      </c>
      <c r="G681" s="7">
        <v>12</v>
      </c>
      <c r="H681" s="21" t="s">
        <v>608</v>
      </c>
      <c r="I681" s="21" t="s">
        <v>710</v>
      </c>
      <c r="J681" s="163">
        <v>1</v>
      </c>
      <c r="K681" s="294">
        <v>2000000</v>
      </c>
      <c r="L681" s="298"/>
      <c r="M681" s="292">
        <f>IF(LEFT(Tabla4[[#This Row],[Electronica]],2)="NC",-Tabla4[[#This Row],[Cantidad]]*Tabla4[[#This Row],[Precio]]+Tabla4[[#This Row],[Dto]],Tabla4[[#This Row],[Cantidad]]*Tabla4[[#This Row],[Precio]]-Tabla4[[#This Row],[Dto]])</f>
        <v>2000000</v>
      </c>
      <c r="N681" s="292">
        <f>IFERROR(Tabla4[[#This Row],[Sub Total]]*VLOOKUP(Tabla4[[#This Row],[No]],Parametros!A:C,3,0),0)</f>
        <v>0</v>
      </c>
      <c r="O681" s="292">
        <f>+Tabla4[[#This Row],[IVA]]+Tabla4[[#This Row],[Sub Total]]</f>
        <v>2000000</v>
      </c>
    </row>
    <row r="682" spans="1:15" ht="36" x14ac:dyDescent="0.2">
      <c r="A682" s="6">
        <v>612</v>
      </c>
      <c r="B682" s="6" t="str">
        <f>VLOOKUP(Tabla4[[#This Row],[Codigo]],Tabla2[[Cod]:[Nombre ]],2,0)</f>
        <v>P-1601</v>
      </c>
      <c r="C682" s="53">
        <f>VLOOKUP(Tabla4[[#This Row],[Codigo]],Tabla2[[Cod]:[Nombre ]],3,0)</f>
        <v>45982</v>
      </c>
      <c r="D682" s="6" t="str">
        <f>VLOOKUP(Tabla4[[#This Row],[Codigo]],Tabla2[[Cod]:[Nombre ]],4,0)</f>
        <v>TIS-1534</v>
      </c>
      <c r="E682" s="5" t="str">
        <f>VLOOKUP(Tabla4[[#This Row],[Codigo]],Tabla2[[Cod]:[Nombre ]],8,0)</f>
        <v>CONTROLAR SALUD INTEGRAL SAS</v>
      </c>
      <c r="F682" s="5" t="str">
        <f>VLOOKUP(Tabla4[[#This Row],[Codigo]],Tabla2[[Cod]:[Nombre ]],6,0)</f>
        <v>OK</v>
      </c>
      <c r="G682" s="7" t="s">
        <v>417</v>
      </c>
      <c r="H682" s="21" t="s">
        <v>525</v>
      </c>
      <c r="I682" s="21" t="s">
        <v>714</v>
      </c>
      <c r="J682" s="163">
        <v>1</v>
      </c>
      <c r="K682" s="294">
        <v>600000</v>
      </c>
      <c r="L682" s="298"/>
      <c r="M682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682" s="292">
        <f>IFERROR(Tabla4[[#This Row],[Sub Total]]*VLOOKUP(Tabla4[[#This Row],[No]],Parametros!A:C,3,0),0)</f>
        <v>0</v>
      </c>
      <c r="O682" s="292">
        <f>+Tabla4[[#This Row],[IVA]]+Tabla4[[#This Row],[Sub Total]]</f>
        <v>600000</v>
      </c>
    </row>
    <row r="683" spans="1:15" ht="30" x14ac:dyDescent="0.2">
      <c r="A683" s="6">
        <v>613</v>
      </c>
      <c r="B683" s="6" t="str">
        <f>VLOOKUP(Tabla4[[#This Row],[Codigo]],Tabla2[[Cod]:[Nombre ]],2,0)</f>
        <v>P-1602</v>
      </c>
      <c r="C683" s="53">
        <f>VLOOKUP(Tabla4[[#This Row],[Codigo]],Tabla2[[Cod]:[Nombre ]],3,0)</f>
        <v>45988</v>
      </c>
      <c r="D683" s="6" t="str">
        <f>VLOOKUP(Tabla4[[#This Row],[Codigo]],Tabla2[[Cod]:[Nombre ]],4,0)</f>
        <v>TIS-1577</v>
      </c>
      <c r="E683" s="5" t="str">
        <f>VLOOKUP(Tabla4[[#This Row],[Codigo]],Tabla2[[Cod]:[Nombre ]],8,0)</f>
        <v>SMART ENERGY SOLUTIONS SAS</v>
      </c>
      <c r="F683" s="5" t="str">
        <f>VLOOKUP(Tabla4[[#This Row],[Codigo]],Tabla2[[Cod]:[Nombre ]],6,0)</f>
        <v>OK</v>
      </c>
      <c r="G683" s="7" t="s">
        <v>433</v>
      </c>
      <c r="H683" s="21" t="s">
        <v>517</v>
      </c>
      <c r="I683" s="21" t="s">
        <v>745</v>
      </c>
      <c r="J683" s="163">
        <v>1</v>
      </c>
      <c r="K683" s="294">
        <v>800000</v>
      </c>
      <c r="L683" s="298"/>
      <c r="M683" s="292">
        <f>IF(LEFT(Tabla4[[#This Row],[Electronica]],2)="NC",-Tabla4[[#This Row],[Cantidad]]*Tabla4[[#This Row],[Precio]]+Tabla4[[#This Row],[Dto]],Tabla4[[#This Row],[Cantidad]]*Tabla4[[#This Row],[Precio]]-Tabla4[[#This Row],[Dto]])</f>
        <v>800000</v>
      </c>
      <c r="N683" s="292">
        <f>IFERROR(Tabla4[[#This Row],[Sub Total]]*VLOOKUP(Tabla4[[#This Row],[No]],Parametros!A:C,3,0),0)</f>
        <v>152000</v>
      </c>
      <c r="O683" s="292">
        <f>+Tabla4[[#This Row],[IVA]]+Tabla4[[#This Row],[Sub Total]]</f>
        <v>952000</v>
      </c>
    </row>
    <row r="684" spans="1:15" ht="36" x14ac:dyDescent="0.2">
      <c r="A684" s="6">
        <v>614</v>
      </c>
      <c r="B684" s="6" t="str">
        <f>VLOOKUP(Tabla4[[#This Row],[Codigo]],Tabla2[[Cod]:[Nombre ]],2,0)</f>
        <v>P-1603</v>
      </c>
      <c r="C684" s="53">
        <f>VLOOKUP(Tabla4[[#This Row],[Codigo]],Tabla2[[Cod]:[Nombre ]],3,0)</f>
        <v>45992</v>
      </c>
      <c r="D684" s="6" t="str">
        <f>VLOOKUP(Tabla4[[#This Row],[Codigo]],Tabla2[[Cod]:[Nombre ]],4,0)</f>
        <v>TIS-1576</v>
      </c>
      <c r="E684" s="5" t="str">
        <f>VLOOKUP(Tabla4[[#This Row],[Codigo]],Tabla2[[Cod]:[Nombre ]],8,0)</f>
        <v>ACTIVOS SAS</v>
      </c>
      <c r="F684" s="5" t="str">
        <f>VLOOKUP(Tabla4[[#This Row],[Codigo]],Tabla2[[Cod]:[Nombre ]],6,0)</f>
        <v>OK</v>
      </c>
      <c r="G684" s="7" t="s">
        <v>416</v>
      </c>
      <c r="H684" s="21" t="s">
        <v>519</v>
      </c>
      <c r="I684" s="21" t="s">
        <v>746</v>
      </c>
      <c r="J684" s="163">
        <v>1</v>
      </c>
      <c r="K684" s="294">
        <v>1350000</v>
      </c>
      <c r="L684" s="298"/>
      <c r="M684" s="292">
        <f>IF(LEFT(Tabla4[[#This Row],[Electronica]],2)="NC",-Tabla4[[#This Row],[Cantidad]]*Tabla4[[#This Row],[Precio]]+Tabla4[[#This Row],[Dto]],Tabla4[[#This Row],[Cantidad]]*Tabla4[[#This Row],[Precio]]-Tabla4[[#This Row],[Dto]])</f>
        <v>1350000</v>
      </c>
      <c r="N684" s="292">
        <f>IFERROR(Tabla4[[#This Row],[Sub Total]]*VLOOKUP(Tabla4[[#This Row],[No]],Parametros!A:C,3,0),0)</f>
        <v>256500</v>
      </c>
      <c r="O684" s="292">
        <f>+Tabla4[[#This Row],[IVA]]+Tabla4[[#This Row],[Sub Total]]</f>
        <v>1606500</v>
      </c>
    </row>
    <row r="685" spans="1:15" ht="45" x14ac:dyDescent="0.2">
      <c r="A685" s="6">
        <v>615</v>
      </c>
      <c r="B685" s="6" t="str">
        <f>VLOOKUP(Tabla4[[#This Row],[Codigo]],Tabla2[[Cod]:[Nombre ]],2,0)</f>
        <v>P-1604</v>
      </c>
      <c r="C685" s="53">
        <f>VLOOKUP(Tabla4[[#This Row],[Codigo]],Tabla2[[Cod]:[Nombre ]],3,0)</f>
        <v>45992</v>
      </c>
      <c r="D685" s="6" t="str">
        <f>VLOOKUP(Tabla4[[#This Row],[Codigo]],Tabla2[[Cod]:[Nombre ]],4,0)</f>
        <v>TIS-1578</v>
      </c>
      <c r="E685" s="5" t="str">
        <f>VLOOKUP(Tabla4[[#This Row],[Codigo]],Tabla2[[Cod]:[Nombre ]],8,0)</f>
        <v>DIGITAL MEDIA TECHNOLOGIES COLOMBIA SAS</v>
      </c>
      <c r="F685" s="5" t="str">
        <f>VLOOKUP(Tabla4[[#This Row],[Codigo]],Tabla2[[Cod]:[Nombre ]],6,0)</f>
        <v>OK</v>
      </c>
      <c r="G685" s="7" t="s">
        <v>416</v>
      </c>
      <c r="H685" s="21" t="s">
        <v>519</v>
      </c>
      <c r="I685" s="21" t="s">
        <v>747</v>
      </c>
      <c r="J685" s="163">
        <v>1</v>
      </c>
      <c r="K685" s="294">
        <v>300000</v>
      </c>
      <c r="L685" s="298"/>
      <c r="M685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85" s="292">
        <f>IFERROR(Tabla4[[#This Row],[Sub Total]]*VLOOKUP(Tabla4[[#This Row],[No]],Parametros!A:C,3,0),0)</f>
        <v>57000</v>
      </c>
      <c r="O685" s="292">
        <f>+Tabla4[[#This Row],[IVA]]+Tabla4[[#This Row],[Sub Total]]</f>
        <v>357000</v>
      </c>
    </row>
    <row r="686" spans="1:15" ht="36" x14ac:dyDescent="0.2">
      <c r="A686" s="6">
        <v>616</v>
      </c>
      <c r="B686" s="6" t="str">
        <f>VLOOKUP(Tabla4[[#This Row],[Codigo]],Tabla2[[Cod]:[Nombre ]],2,0)</f>
        <v>P-1605</v>
      </c>
      <c r="C686" s="53">
        <f>VLOOKUP(Tabla4[[#This Row],[Codigo]],Tabla2[[Cod]:[Nombre ]],3,0)</f>
        <v>45992</v>
      </c>
      <c r="D686" s="6" t="str">
        <f>VLOOKUP(Tabla4[[#This Row],[Codigo]],Tabla2[[Cod]:[Nombre ]],4,0)</f>
        <v>TIS-1579</v>
      </c>
      <c r="E686" s="5" t="str">
        <f>VLOOKUP(Tabla4[[#This Row],[Codigo]],Tabla2[[Cod]:[Nombre ]],8,0)</f>
        <v>Comercializadora ERZ SAS</v>
      </c>
      <c r="F686" s="5" t="str">
        <f>VLOOKUP(Tabla4[[#This Row],[Codigo]],Tabla2[[Cod]:[Nombre ]],6,0)</f>
        <v>OK</v>
      </c>
      <c r="G686" s="7" t="s">
        <v>416</v>
      </c>
      <c r="H686" s="21" t="s">
        <v>519</v>
      </c>
      <c r="I686" s="21" t="s">
        <v>748</v>
      </c>
      <c r="J686" s="163">
        <v>1</v>
      </c>
      <c r="K686" s="294">
        <v>300000</v>
      </c>
      <c r="L686" s="298"/>
      <c r="M68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86" s="292">
        <f>IFERROR(Tabla4[[#This Row],[Sub Total]]*VLOOKUP(Tabla4[[#This Row],[No]],Parametros!A:C,3,0),0)</f>
        <v>57000</v>
      </c>
      <c r="O686" s="292">
        <f>+Tabla4[[#This Row],[IVA]]+Tabla4[[#This Row],[Sub Total]]</f>
        <v>357000</v>
      </c>
    </row>
    <row r="687" spans="1:15" ht="45" x14ac:dyDescent="0.2">
      <c r="A687" s="6">
        <v>617</v>
      </c>
      <c r="B687" s="6" t="str">
        <f>VLOOKUP(Tabla4[[#This Row],[Codigo]],Tabla2[[Cod]:[Nombre ]],2,0)</f>
        <v>P-1606</v>
      </c>
      <c r="C687" s="53">
        <f>VLOOKUP(Tabla4[[#This Row],[Codigo]],Tabla2[[Cod]:[Nombre ]],3,0)</f>
        <v>45992</v>
      </c>
      <c r="D687" s="6" t="str">
        <f>VLOOKUP(Tabla4[[#This Row],[Codigo]],Tabla2[[Cod]:[Nombre ]],4,0)</f>
        <v>TIS-1581</v>
      </c>
      <c r="E687" s="5" t="str">
        <f>VLOOKUP(Tabla4[[#This Row],[Codigo]],Tabla2[[Cod]:[Nombre ]],8,0)</f>
        <v>CENTRO DE ATENCION E INVESTIGACION MEDICA S.A.S.</v>
      </c>
      <c r="F687" s="5" t="str">
        <f>VLOOKUP(Tabla4[[#This Row],[Codigo]],Tabla2[[Cod]:[Nombre ]],6,0)</f>
        <v>OK</v>
      </c>
      <c r="G687" s="7" t="s">
        <v>416</v>
      </c>
      <c r="H687" s="21" t="s">
        <v>519</v>
      </c>
      <c r="I687" s="21" t="s">
        <v>747</v>
      </c>
      <c r="J687" s="163">
        <v>1</v>
      </c>
      <c r="K687" s="294">
        <v>1500000</v>
      </c>
      <c r="L687" s="298"/>
      <c r="M687" s="292">
        <f>IF(LEFT(Tabla4[[#This Row],[Electronica]],2)="NC",-Tabla4[[#This Row],[Cantidad]]*Tabla4[[#This Row],[Precio]]+Tabla4[[#This Row],[Dto]],Tabla4[[#This Row],[Cantidad]]*Tabla4[[#This Row],[Precio]]-Tabla4[[#This Row],[Dto]])</f>
        <v>1500000</v>
      </c>
      <c r="N687" s="292">
        <f>IFERROR(Tabla4[[#This Row],[Sub Total]]*VLOOKUP(Tabla4[[#This Row],[No]],Parametros!A:C,3,0),0)</f>
        <v>285000</v>
      </c>
      <c r="O687" s="292">
        <f>+Tabla4[[#This Row],[IVA]]+Tabla4[[#This Row],[Sub Total]]</f>
        <v>1785000</v>
      </c>
    </row>
    <row r="688" spans="1:15" ht="36" x14ac:dyDescent="0.2">
      <c r="A688" s="6">
        <v>618</v>
      </c>
      <c r="B688" s="6" t="str">
        <f>VLOOKUP(Tabla4[[#This Row],[Codigo]],Tabla2[[Cod]:[Nombre ]],2,0)</f>
        <v>P-1607</v>
      </c>
      <c r="C688" s="53">
        <f>VLOOKUP(Tabla4[[#This Row],[Codigo]],Tabla2[[Cod]:[Nombre ]],3,0)</f>
        <v>45992</v>
      </c>
      <c r="D688" s="6" t="str">
        <f>VLOOKUP(Tabla4[[#This Row],[Codigo]],Tabla2[[Cod]:[Nombre ]],4,0)</f>
        <v>TIS-1583</v>
      </c>
      <c r="E688" s="5" t="str">
        <f>VLOOKUP(Tabla4[[#This Row],[Codigo]],Tabla2[[Cod]:[Nombre ]],8,0)</f>
        <v>Inversiones Sajamib SAS</v>
      </c>
      <c r="F688" s="5" t="str">
        <f>VLOOKUP(Tabla4[[#This Row],[Codigo]],Tabla2[[Cod]:[Nombre ]],6,0)</f>
        <v>OK</v>
      </c>
      <c r="G688" s="7" t="s">
        <v>417</v>
      </c>
      <c r="H688" s="21" t="s">
        <v>525</v>
      </c>
      <c r="I688" s="21" t="s">
        <v>749</v>
      </c>
      <c r="J688" s="163">
        <v>1</v>
      </c>
      <c r="K688" s="294">
        <v>480000</v>
      </c>
      <c r="L688" s="298"/>
      <c r="M688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688" s="292">
        <f>IFERROR(Tabla4[[#This Row],[Sub Total]]*VLOOKUP(Tabla4[[#This Row],[No]],Parametros!A:C,3,0),0)</f>
        <v>0</v>
      </c>
      <c r="O688" s="292">
        <f>+Tabla4[[#This Row],[IVA]]+Tabla4[[#This Row],[Sub Total]]</f>
        <v>480000</v>
      </c>
    </row>
    <row r="689" spans="1:15" ht="36" x14ac:dyDescent="0.2">
      <c r="A689" s="6">
        <v>619</v>
      </c>
      <c r="B689" s="6" t="str">
        <f>VLOOKUP(Tabla4[[#This Row],[Codigo]],Tabla2[[Cod]:[Nombre ]],2,0)</f>
        <v>P-1608</v>
      </c>
      <c r="C689" s="53">
        <f>VLOOKUP(Tabla4[[#This Row],[Codigo]],Tabla2[[Cod]:[Nombre ]],3,0)</f>
        <v>45992</v>
      </c>
      <c r="D689" s="6" t="str">
        <f>VLOOKUP(Tabla4[[#This Row],[Codigo]],Tabla2[[Cod]:[Nombre ]],4,0)</f>
        <v>TIS-1584</v>
      </c>
      <c r="E689" s="5" t="str">
        <f>VLOOKUP(Tabla4[[#This Row],[Codigo]],Tabla2[[Cod]:[Nombre ]],8,0)</f>
        <v>AND TOPOGRAFIA E INGENIERIA SAS</v>
      </c>
      <c r="F689" s="5" t="str">
        <f>VLOOKUP(Tabla4[[#This Row],[Codigo]],Tabla2[[Cod]:[Nombre ]],6,0)</f>
        <v>OK</v>
      </c>
      <c r="G689" s="7" t="s">
        <v>417</v>
      </c>
      <c r="H689" s="21" t="s">
        <v>525</v>
      </c>
      <c r="I689" s="21" t="s">
        <v>749</v>
      </c>
      <c r="J689" s="163">
        <v>1</v>
      </c>
      <c r="K689" s="294">
        <v>300000</v>
      </c>
      <c r="L689" s="298"/>
      <c r="M689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689" s="292">
        <f>IFERROR(Tabla4[[#This Row],[Sub Total]]*VLOOKUP(Tabla4[[#This Row],[No]],Parametros!A:C,3,0),0)</f>
        <v>0</v>
      </c>
      <c r="O689" s="292">
        <f>+Tabla4[[#This Row],[IVA]]+Tabla4[[#This Row],[Sub Total]]</f>
        <v>300000</v>
      </c>
    </row>
    <row r="690" spans="1:15" ht="36" x14ac:dyDescent="0.2">
      <c r="A690" s="6">
        <v>620</v>
      </c>
      <c r="B690" s="6" t="str">
        <f>VLOOKUP(Tabla4[[#This Row],[Codigo]],Tabla2[[Cod]:[Nombre ]],2,0)</f>
        <v>P-1609</v>
      </c>
      <c r="C690" s="53">
        <f>VLOOKUP(Tabla4[[#This Row],[Codigo]],Tabla2[[Cod]:[Nombre ]],3,0)</f>
        <v>45992</v>
      </c>
      <c r="D690" s="6" t="str">
        <f>VLOOKUP(Tabla4[[#This Row],[Codigo]],Tabla2[[Cod]:[Nombre ]],4,0)</f>
        <v>TIS-1582</v>
      </c>
      <c r="E690" s="5" t="str">
        <f>VLOOKUP(Tabla4[[#This Row],[Codigo]],Tabla2[[Cod]:[Nombre ]],8,0)</f>
        <v>SOLUCIONES CREATIVAS Y TURÍSTICAS</v>
      </c>
      <c r="F690" s="5" t="str">
        <f>VLOOKUP(Tabla4[[#This Row],[Codigo]],Tabla2[[Cod]:[Nombre ]],6,0)</f>
        <v>OK</v>
      </c>
      <c r="G690" s="7">
        <v>13</v>
      </c>
      <c r="H690" s="21" t="s">
        <v>596</v>
      </c>
      <c r="I690" s="21" t="s">
        <v>747</v>
      </c>
      <c r="J690" s="163">
        <v>1</v>
      </c>
      <c r="K690" s="294">
        <v>934874</v>
      </c>
      <c r="L690" s="298"/>
      <c r="M690" s="292">
        <f>IF(LEFT(Tabla4[[#This Row],[Electronica]],2)="NC",-Tabla4[[#This Row],[Cantidad]]*Tabla4[[#This Row],[Precio]]+Tabla4[[#This Row],[Dto]],Tabla4[[#This Row],[Cantidad]]*Tabla4[[#This Row],[Precio]]-Tabla4[[#This Row],[Dto]])</f>
        <v>934874</v>
      </c>
      <c r="N690" s="292">
        <f>IFERROR(Tabla4[[#This Row],[Sub Total]]*VLOOKUP(Tabla4[[#This Row],[No]],Parametros!A:C,3,0),0)</f>
        <v>177626.06</v>
      </c>
      <c r="O690" s="292">
        <f>+Tabla4[[#This Row],[IVA]]+Tabla4[[#This Row],[Sub Total]]</f>
        <v>1112500.06</v>
      </c>
    </row>
    <row r="691" spans="1:15" ht="36" x14ac:dyDescent="0.2">
      <c r="A691" s="6">
        <v>621</v>
      </c>
      <c r="B691" s="6" t="str">
        <f>VLOOKUP(Tabla4[[#This Row],[Codigo]],Tabla2[[Cod]:[Nombre ]],2,0)</f>
        <v>P-1610</v>
      </c>
      <c r="C691" s="53">
        <f>VLOOKUP(Tabla4[[#This Row],[Codigo]],Tabla2[[Cod]:[Nombre ]],3,0)</f>
        <v>45992</v>
      </c>
      <c r="D691" s="6" t="str">
        <f>VLOOKUP(Tabla4[[#This Row],[Codigo]],Tabla2[[Cod]:[Nombre ]],4,0)</f>
        <v>TIS-1585</v>
      </c>
      <c r="E691" s="5" t="str">
        <f>VLOOKUP(Tabla4[[#This Row],[Codigo]],Tabla2[[Cod]:[Nombre ]],8,0)</f>
        <v>STAFF SEGUROS AGENCIA LTDA</v>
      </c>
      <c r="F691" s="5" t="str">
        <f>VLOOKUP(Tabla4[[#This Row],[Codigo]],Tabla2[[Cod]:[Nombre ]],6,0)</f>
        <v>OK</v>
      </c>
      <c r="G691" s="7" t="s">
        <v>417</v>
      </c>
      <c r="H691" s="21" t="s">
        <v>525</v>
      </c>
      <c r="I691" s="21" t="s">
        <v>749</v>
      </c>
      <c r="J691" s="163">
        <v>1</v>
      </c>
      <c r="K691" s="294">
        <v>3210000</v>
      </c>
      <c r="L691" s="298"/>
      <c r="M691" s="292">
        <f>IF(LEFT(Tabla4[[#This Row],[Electronica]],2)="NC",-Tabla4[[#This Row],[Cantidad]]*Tabla4[[#This Row],[Precio]]+Tabla4[[#This Row],[Dto]],Tabla4[[#This Row],[Cantidad]]*Tabla4[[#This Row],[Precio]]-Tabla4[[#This Row],[Dto]])</f>
        <v>3210000</v>
      </c>
      <c r="N691" s="292">
        <f>IFERROR(Tabla4[[#This Row],[Sub Total]]*VLOOKUP(Tabla4[[#This Row],[No]],Parametros!A:C,3,0),0)</f>
        <v>0</v>
      </c>
      <c r="O691" s="292">
        <f>+Tabla4[[#This Row],[IVA]]+Tabla4[[#This Row],[Sub Total]]</f>
        <v>3210000</v>
      </c>
    </row>
    <row r="692" spans="1:15" ht="36" x14ac:dyDescent="0.2">
      <c r="A692" s="6">
        <v>622</v>
      </c>
      <c r="B692" s="6" t="str">
        <f>VLOOKUP(Tabla4[[#This Row],[Codigo]],Tabla2[[Cod]:[Nombre ]],2,0)</f>
        <v>P-1611</v>
      </c>
      <c r="C692" s="53">
        <f>VLOOKUP(Tabla4[[#This Row],[Codigo]],Tabla2[[Cod]:[Nombre ]],3,0)</f>
        <v>45992</v>
      </c>
      <c r="D692" s="6" t="str">
        <f>VLOOKUP(Tabla4[[#This Row],[Codigo]],Tabla2[[Cod]:[Nombre ]],4,0)</f>
        <v>TIS-1586</v>
      </c>
      <c r="E692" s="5" t="str">
        <f>VLOOKUP(Tabla4[[#This Row],[Codigo]],Tabla2[[Cod]:[Nombre ]],8,0)</f>
        <v>GENUINE LAB S.A.S.</v>
      </c>
      <c r="F692" s="5" t="str">
        <f>VLOOKUP(Tabla4[[#This Row],[Codigo]],Tabla2[[Cod]:[Nombre ]],6,0)</f>
        <v>OK</v>
      </c>
      <c r="G692" s="7" t="s">
        <v>416</v>
      </c>
      <c r="H692" s="21" t="s">
        <v>519</v>
      </c>
      <c r="I692" s="21" t="s">
        <v>747</v>
      </c>
      <c r="J692" s="163">
        <v>1</v>
      </c>
      <c r="K692" s="294">
        <v>442500</v>
      </c>
      <c r="L692" s="298"/>
      <c r="M692" s="292">
        <f>IF(LEFT(Tabla4[[#This Row],[Electronica]],2)="NC",-Tabla4[[#This Row],[Cantidad]]*Tabla4[[#This Row],[Precio]]+Tabla4[[#This Row],[Dto]],Tabla4[[#This Row],[Cantidad]]*Tabla4[[#This Row],[Precio]]-Tabla4[[#This Row],[Dto]])</f>
        <v>442500</v>
      </c>
      <c r="N692" s="292">
        <f>IFERROR(Tabla4[[#This Row],[Sub Total]]*VLOOKUP(Tabla4[[#This Row],[No]],Parametros!A:C,3,0),0)</f>
        <v>84075</v>
      </c>
      <c r="O692" s="292">
        <f>+Tabla4[[#This Row],[IVA]]+Tabla4[[#This Row],[Sub Total]]</f>
        <v>526575</v>
      </c>
    </row>
    <row r="693" spans="1:15" ht="36" x14ac:dyDescent="0.2">
      <c r="A693" s="6">
        <v>623</v>
      </c>
      <c r="B693" s="6" t="str">
        <f>VLOOKUP(Tabla4[[#This Row],[Codigo]],Tabla2[[Cod]:[Nombre ]],2,0)</f>
        <v>P-1612</v>
      </c>
      <c r="C693" s="53">
        <f>VLOOKUP(Tabla4[[#This Row],[Codigo]],Tabla2[[Cod]:[Nombre ]],3,0)</f>
        <v>45992</v>
      </c>
      <c r="D693" s="6" t="str">
        <f>VLOOKUP(Tabla4[[#This Row],[Codigo]],Tabla2[[Cod]:[Nombre ]],4,0)</f>
        <v>TIS-1580</v>
      </c>
      <c r="E693" s="5" t="str">
        <f>VLOOKUP(Tabla4[[#This Row],[Codigo]],Tabla2[[Cod]:[Nombre ]],8,0)</f>
        <v>ROYCO SOLUCIONES SAS</v>
      </c>
      <c r="F693" s="5" t="str">
        <f>VLOOKUP(Tabla4[[#This Row],[Codigo]],Tabla2[[Cod]:[Nombre ]],6,0)</f>
        <v>OK</v>
      </c>
      <c r="G693" s="7" t="s">
        <v>416</v>
      </c>
      <c r="H693" s="21" t="s">
        <v>519</v>
      </c>
      <c r="I693" s="21" t="s">
        <v>747</v>
      </c>
      <c r="J693" s="163">
        <v>1</v>
      </c>
      <c r="K693" s="294">
        <v>250000</v>
      </c>
      <c r="L693" s="298"/>
      <c r="M693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693" s="292">
        <f>IFERROR(Tabla4[[#This Row],[Sub Total]]*VLOOKUP(Tabla4[[#This Row],[No]],Parametros!A:C,3,0),0)</f>
        <v>47500</v>
      </c>
      <c r="O693" s="292">
        <f>+Tabla4[[#This Row],[IVA]]+Tabla4[[#This Row],[Sub Total]]</f>
        <v>297500</v>
      </c>
    </row>
    <row r="694" spans="1:15" x14ac:dyDescent="0.2">
      <c r="A694" s="6">
        <v>624</v>
      </c>
      <c r="B694" s="6" t="str">
        <f>VLOOKUP(Tabla4[[#This Row],[Codigo]],Tabla2[[Cod]:[Nombre ]],2,0)</f>
        <v>P-1613</v>
      </c>
      <c r="C694" s="53">
        <f>VLOOKUP(Tabla4[[#This Row],[Codigo]],Tabla2[[Cod]:[Nombre ]],3,0)</f>
        <v>45994</v>
      </c>
      <c r="D694" s="6" t="str">
        <f>VLOOKUP(Tabla4[[#This Row],[Codigo]],Tabla2[[Cod]:[Nombre ]],4,0)</f>
        <v>TIS-1594</v>
      </c>
      <c r="E694" s="5" t="str">
        <f>VLOOKUP(Tabla4[[#This Row],[Codigo]],Tabla2[[Cod]:[Nombre ]],8,0)</f>
        <v>GEARFORM S.A.S.</v>
      </c>
      <c r="F694" s="5" t="str">
        <f>VLOOKUP(Tabla4[[#This Row],[Codigo]],Tabla2[[Cod]:[Nombre ]],6,0)</f>
        <v>OK</v>
      </c>
      <c r="G694" s="7" t="s">
        <v>433</v>
      </c>
      <c r="H694" s="21" t="s">
        <v>517</v>
      </c>
      <c r="I694" s="21" t="s">
        <v>536</v>
      </c>
      <c r="J694" s="163">
        <v>10</v>
      </c>
      <c r="K694" s="294">
        <v>60000</v>
      </c>
      <c r="L694" s="298"/>
      <c r="M694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694" s="292">
        <f>IFERROR(Tabla4[[#This Row],[Sub Total]]*VLOOKUP(Tabla4[[#This Row],[No]],Parametros!A:C,3,0),0)</f>
        <v>114000</v>
      </c>
      <c r="O694" s="292">
        <f>+Tabla4[[#This Row],[IVA]]+Tabla4[[#This Row],[Sub Total]]</f>
        <v>714000</v>
      </c>
    </row>
    <row r="695" spans="1:15" x14ac:dyDescent="0.2">
      <c r="A695" s="6">
        <v>624</v>
      </c>
      <c r="B695" s="6" t="str">
        <f>VLOOKUP(Tabla4[[#This Row],[Codigo]],Tabla2[[Cod]:[Nombre ]],2,0)</f>
        <v>P-1613</v>
      </c>
      <c r="C695" s="53">
        <f>VLOOKUP(Tabla4[[#This Row],[Codigo]],Tabla2[[Cod]:[Nombre ]],3,0)</f>
        <v>45994</v>
      </c>
      <c r="D695" s="6" t="str">
        <f>VLOOKUP(Tabla4[[#This Row],[Codigo]],Tabla2[[Cod]:[Nombre ]],4,0)</f>
        <v>TIS-1594</v>
      </c>
      <c r="E695" s="5" t="str">
        <f>VLOOKUP(Tabla4[[#This Row],[Codigo]],Tabla2[[Cod]:[Nombre ]],8,0)</f>
        <v>GEARFORM S.A.S.</v>
      </c>
      <c r="F695" s="5" t="str">
        <f>VLOOKUP(Tabla4[[#This Row],[Codigo]],Tabla2[[Cod]:[Nombre ]],6,0)</f>
        <v>OK</v>
      </c>
      <c r="G695" s="7" t="s">
        <v>433</v>
      </c>
      <c r="H695" s="21" t="s">
        <v>517</v>
      </c>
      <c r="I695" s="21" t="s">
        <v>743</v>
      </c>
      <c r="J695" s="163">
        <v>6</v>
      </c>
      <c r="K695" s="294">
        <v>125000</v>
      </c>
      <c r="L695" s="298"/>
      <c r="M695" s="292">
        <f>IF(LEFT(Tabla4[[#This Row],[Electronica]],2)="NC",-Tabla4[[#This Row],[Cantidad]]*Tabla4[[#This Row],[Precio]]+Tabla4[[#This Row],[Dto]],Tabla4[[#This Row],[Cantidad]]*Tabla4[[#This Row],[Precio]]-Tabla4[[#This Row],[Dto]])</f>
        <v>750000</v>
      </c>
      <c r="N695" s="292">
        <f>IFERROR(Tabla4[[#This Row],[Sub Total]]*VLOOKUP(Tabla4[[#This Row],[No]],Parametros!A:C,3,0),0)</f>
        <v>142500</v>
      </c>
      <c r="O695" s="292">
        <f>+Tabla4[[#This Row],[IVA]]+Tabla4[[#This Row],[Sub Total]]</f>
        <v>892500</v>
      </c>
    </row>
    <row r="696" spans="1:15" x14ac:dyDescent="0.2">
      <c r="A696" s="6">
        <v>624</v>
      </c>
      <c r="B696" s="6" t="str">
        <f>VLOOKUP(Tabla4[[#This Row],[Codigo]],Tabla2[[Cod]:[Nombre ]],2,0)</f>
        <v>P-1613</v>
      </c>
      <c r="C696" s="53">
        <f>VLOOKUP(Tabla4[[#This Row],[Codigo]],Tabla2[[Cod]:[Nombre ]],3,0)</f>
        <v>45994</v>
      </c>
      <c r="D696" s="6" t="str">
        <f>VLOOKUP(Tabla4[[#This Row],[Codigo]],Tabla2[[Cod]:[Nombre ]],4,0)</f>
        <v>TIS-1594</v>
      </c>
      <c r="E696" s="5" t="str">
        <f>VLOOKUP(Tabla4[[#This Row],[Codigo]],Tabla2[[Cod]:[Nombre ]],8,0)</f>
        <v>GEARFORM S.A.S.</v>
      </c>
      <c r="F696" s="5" t="str">
        <f>VLOOKUP(Tabla4[[#This Row],[Codigo]],Tabla2[[Cod]:[Nombre ]],6,0)</f>
        <v>OK</v>
      </c>
      <c r="G696" s="7" t="s">
        <v>433</v>
      </c>
      <c r="H696" s="21" t="s">
        <v>517</v>
      </c>
      <c r="I696" s="21" t="s">
        <v>538</v>
      </c>
      <c r="J696" s="163">
        <v>6</v>
      </c>
      <c r="K696" s="294">
        <v>285000</v>
      </c>
      <c r="L696" s="298"/>
      <c r="M696" s="292">
        <f>IF(LEFT(Tabla4[[#This Row],[Electronica]],2)="NC",-Tabla4[[#This Row],[Cantidad]]*Tabla4[[#This Row],[Precio]]+Tabla4[[#This Row],[Dto]],Tabla4[[#This Row],[Cantidad]]*Tabla4[[#This Row],[Precio]]-Tabla4[[#This Row],[Dto]])</f>
        <v>1710000</v>
      </c>
      <c r="N696" s="292">
        <f>IFERROR(Tabla4[[#This Row],[Sub Total]]*VLOOKUP(Tabla4[[#This Row],[No]],Parametros!A:C,3,0),0)</f>
        <v>324900</v>
      </c>
      <c r="O696" s="292">
        <f>+Tabla4[[#This Row],[IVA]]+Tabla4[[#This Row],[Sub Total]]</f>
        <v>2034900</v>
      </c>
    </row>
    <row r="697" spans="1:15" x14ac:dyDescent="0.2">
      <c r="A697" s="6">
        <v>625</v>
      </c>
      <c r="B697" s="6" t="str">
        <f>VLOOKUP(Tabla4[[#This Row],[Codigo]],Tabla2[[Cod]:[Nombre ]],2,0)</f>
        <v>P-1614</v>
      </c>
      <c r="C697" s="53">
        <f>VLOOKUP(Tabla4[[#This Row],[Codigo]],Tabla2[[Cod]:[Nombre ]],3,0)</f>
        <v>45994</v>
      </c>
      <c r="D697" s="6" t="str">
        <f>VLOOKUP(Tabla4[[#This Row],[Codigo]],Tabla2[[Cod]:[Nombre ]],4,0)</f>
        <v>TIS-1593</v>
      </c>
      <c r="E697" s="5" t="str">
        <f>VLOOKUP(Tabla4[[#This Row],[Codigo]],Tabla2[[Cod]:[Nombre ]],8,0)</f>
        <v>PROASCOL S.A.</v>
      </c>
      <c r="F697" s="5" t="str">
        <f>VLOOKUP(Tabla4[[#This Row],[Codigo]],Tabla2[[Cod]:[Nombre ]],6,0)</f>
        <v>OK</v>
      </c>
      <c r="G697" s="7" t="s">
        <v>433</v>
      </c>
      <c r="H697" s="21" t="s">
        <v>517</v>
      </c>
      <c r="I697" s="21" t="s">
        <v>536</v>
      </c>
      <c r="J697" s="163">
        <v>1</v>
      </c>
      <c r="K697" s="294">
        <v>650000</v>
      </c>
      <c r="L697" s="298"/>
      <c r="M697" s="292">
        <f>IF(LEFT(Tabla4[[#This Row],[Electronica]],2)="NC",-Tabla4[[#This Row],[Cantidad]]*Tabla4[[#This Row],[Precio]]+Tabla4[[#This Row],[Dto]],Tabla4[[#This Row],[Cantidad]]*Tabla4[[#This Row],[Precio]]-Tabla4[[#This Row],[Dto]])</f>
        <v>650000</v>
      </c>
      <c r="N697" s="292">
        <f>IFERROR(Tabla4[[#This Row],[Sub Total]]*VLOOKUP(Tabla4[[#This Row],[No]],Parametros!A:C,3,0),0)</f>
        <v>123500</v>
      </c>
      <c r="O697" s="292">
        <f>+Tabla4[[#This Row],[IVA]]+Tabla4[[#This Row],[Sub Total]]</f>
        <v>773500</v>
      </c>
    </row>
    <row r="698" spans="1:15" ht="30" x14ac:dyDescent="0.2">
      <c r="A698" s="6">
        <v>626</v>
      </c>
      <c r="B698" s="6" t="str">
        <f>VLOOKUP(Tabla4[[#This Row],[Codigo]],Tabla2[[Cod]:[Nombre ]],2,0)</f>
        <v>P-1027</v>
      </c>
      <c r="C698" s="53">
        <f>VLOOKUP(Tabla4[[#This Row],[Codigo]],Tabla2[[Cod]:[Nombre ]],3,0)</f>
        <v>46007</v>
      </c>
      <c r="D698" s="6" t="str">
        <f>VLOOKUP(Tabla4[[#This Row],[Codigo]],Tabla2[[Cod]:[Nombre ]],4,0)</f>
        <v>TIS-1587</v>
      </c>
      <c r="E698" s="5" t="str">
        <f>VLOOKUP(Tabla4[[#This Row],[Codigo]],Tabla2[[Cod]:[Nombre ]],8,0)</f>
        <v>SMART ENERGY SOLUTIONS SAS</v>
      </c>
      <c r="F698" s="5" t="str">
        <f>VLOOKUP(Tabla4[[#This Row],[Codigo]],Tabla2[[Cod]:[Nombre ]],6,0)</f>
        <v>OK</v>
      </c>
      <c r="G698" s="7" t="s">
        <v>415</v>
      </c>
      <c r="H698" s="21" t="s">
        <v>605</v>
      </c>
      <c r="I698" s="21" t="s">
        <v>680</v>
      </c>
      <c r="J698" s="163">
        <v>2</v>
      </c>
      <c r="K698" s="294">
        <v>350000</v>
      </c>
      <c r="L698" s="298"/>
      <c r="M698" s="292">
        <f>IF(LEFT(Tabla4[[#This Row],[Electronica]],2)="NC",-Tabla4[[#This Row],[Cantidad]]*Tabla4[[#This Row],[Precio]]+Tabla4[[#This Row],[Dto]],Tabla4[[#This Row],[Cantidad]]*Tabla4[[#This Row],[Precio]]-Tabla4[[#This Row],[Dto]])</f>
        <v>700000</v>
      </c>
      <c r="N698" s="292">
        <f>IFERROR(Tabla4[[#This Row],[Sub Total]]*VLOOKUP(Tabla4[[#This Row],[No]],Parametros!A:C,3,0),0)</f>
        <v>133000</v>
      </c>
      <c r="O698" s="292">
        <f>+Tabla4[[#This Row],[IVA]]+Tabla4[[#This Row],[Sub Total]]</f>
        <v>833000</v>
      </c>
    </row>
    <row r="699" spans="1:15" ht="30" x14ac:dyDescent="0.2">
      <c r="A699" s="6">
        <v>626</v>
      </c>
      <c r="B699" s="6" t="str">
        <f>VLOOKUP(Tabla4[[#This Row],[Codigo]],Tabla2[[Cod]:[Nombre ]],2,0)</f>
        <v>P-1027</v>
      </c>
      <c r="C699" s="53">
        <f>VLOOKUP(Tabla4[[#This Row],[Codigo]],Tabla2[[Cod]:[Nombre ]],3,0)</f>
        <v>46007</v>
      </c>
      <c r="D699" s="6" t="str">
        <f>VLOOKUP(Tabla4[[#This Row],[Codigo]],Tabla2[[Cod]:[Nombre ]],4,0)</f>
        <v>TIS-1587</v>
      </c>
      <c r="E699" s="5" t="str">
        <f>VLOOKUP(Tabla4[[#This Row],[Codigo]],Tabla2[[Cod]:[Nombre ]],8,0)</f>
        <v>SMART ENERGY SOLUTIONS SAS</v>
      </c>
      <c r="F699" s="5" t="str">
        <f>VLOOKUP(Tabla4[[#This Row],[Codigo]],Tabla2[[Cod]:[Nombre ]],6,0)</f>
        <v>OK</v>
      </c>
      <c r="G699" s="7" t="s">
        <v>415</v>
      </c>
      <c r="H699" s="21" t="s">
        <v>605</v>
      </c>
      <c r="I699" s="21" t="s">
        <v>750</v>
      </c>
      <c r="J699" s="163">
        <v>5</v>
      </c>
      <c r="K699" s="294">
        <v>206000</v>
      </c>
      <c r="L699" s="298"/>
      <c r="M699" s="292">
        <f>IF(LEFT(Tabla4[[#This Row],[Electronica]],2)="NC",-Tabla4[[#This Row],[Cantidad]]*Tabla4[[#This Row],[Precio]]+Tabla4[[#This Row],[Dto]],Tabla4[[#This Row],[Cantidad]]*Tabla4[[#This Row],[Precio]]-Tabla4[[#This Row],[Dto]])</f>
        <v>1030000</v>
      </c>
      <c r="N699" s="292">
        <f>IFERROR(Tabla4[[#This Row],[Sub Total]]*VLOOKUP(Tabla4[[#This Row],[No]],Parametros!A:C,3,0),0)</f>
        <v>195700</v>
      </c>
      <c r="O699" s="292">
        <f>+Tabla4[[#This Row],[IVA]]+Tabla4[[#This Row],[Sub Total]]</f>
        <v>1225700</v>
      </c>
    </row>
    <row r="700" spans="1:15" ht="30" x14ac:dyDescent="0.2">
      <c r="A700" s="6">
        <v>627</v>
      </c>
      <c r="B700" s="6" t="str">
        <f>VLOOKUP(Tabla4[[#This Row],[Codigo]],Tabla2[[Cod]:[Nombre ]],2,0)</f>
        <v>P-1028</v>
      </c>
      <c r="C700" s="53">
        <f>VLOOKUP(Tabla4[[#This Row],[Codigo]],Tabla2[[Cod]:[Nombre ]],3,0)</f>
        <v>46007</v>
      </c>
      <c r="D700" s="6" t="str">
        <f>VLOOKUP(Tabla4[[#This Row],[Codigo]],Tabla2[[Cod]:[Nombre ]],4,0)</f>
        <v>TIS-1588</v>
      </c>
      <c r="E700" s="5" t="str">
        <f>VLOOKUP(Tabla4[[#This Row],[Codigo]],Tabla2[[Cod]:[Nombre ]],8,0)</f>
        <v>CONSTRUCCIONES CIVILES JMR S.A.S</v>
      </c>
      <c r="F700" s="5" t="str">
        <f>VLOOKUP(Tabla4[[#This Row],[Codigo]],Tabla2[[Cod]:[Nombre ]],6,0)</f>
        <v>OK</v>
      </c>
      <c r="G700" s="7">
        <v>13</v>
      </c>
      <c r="H700" s="21" t="s">
        <v>596</v>
      </c>
      <c r="I700" s="21" t="s">
        <v>751</v>
      </c>
      <c r="J700" s="163">
        <v>1</v>
      </c>
      <c r="K700" s="294">
        <v>2800000</v>
      </c>
      <c r="L700" s="298"/>
      <c r="M700" s="292">
        <f>IF(LEFT(Tabla4[[#This Row],[Electronica]],2)="NC",-Tabla4[[#This Row],[Cantidad]]*Tabla4[[#This Row],[Precio]]+Tabla4[[#This Row],[Dto]],Tabla4[[#This Row],[Cantidad]]*Tabla4[[#This Row],[Precio]]-Tabla4[[#This Row],[Dto]])</f>
        <v>2800000</v>
      </c>
      <c r="N700" s="292">
        <f>IFERROR(Tabla4[[#This Row],[Sub Total]]*VLOOKUP(Tabla4[[#This Row],[No]],Parametros!A:C,3,0),0)</f>
        <v>532000</v>
      </c>
      <c r="O700" s="292">
        <f>+Tabla4[[#This Row],[IVA]]+Tabla4[[#This Row],[Sub Total]]</f>
        <v>3332000</v>
      </c>
    </row>
    <row r="701" spans="1:15" ht="36" x14ac:dyDescent="0.2">
      <c r="A701" s="6">
        <v>628</v>
      </c>
      <c r="B701" s="6" t="str">
        <f>VLOOKUP(Tabla4[[#This Row],[Codigo]],Tabla2[[Cod]:[Nombre ]],2,0)</f>
        <v>P-1029</v>
      </c>
      <c r="C701" s="53">
        <f>VLOOKUP(Tabla4[[#This Row],[Codigo]],Tabla2[[Cod]:[Nombre ]],3,0)</f>
        <v>46007</v>
      </c>
      <c r="D701" s="6" t="str">
        <f>VLOOKUP(Tabla4[[#This Row],[Codigo]],Tabla2[[Cod]:[Nombre ]],4,0)</f>
        <v>TIS-1589</v>
      </c>
      <c r="E701" s="5" t="str">
        <f>VLOOKUP(Tabla4[[#This Row],[Codigo]],Tabla2[[Cod]:[Nombre ]],8,0)</f>
        <v>ALVEAR ESCOBAR ASOCIADOS S.A.S</v>
      </c>
      <c r="F701" s="5" t="str">
        <f>VLOOKUP(Tabla4[[#This Row],[Codigo]],Tabla2[[Cod]:[Nombre ]],6,0)</f>
        <v>OK</v>
      </c>
      <c r="G701" s="7" t="s">
        <v>416</v>
      </c>
      <c r="H701" s="21" t="s">
        <v>519</v>
      </c>
      <c r="I701" s="21" t="s">
        <v>752</v>
      </c>
      <c r="J701" s="163">
        <v>1</v>
      </c>
      <c r="K701" s="294">
        <v>1000000</v>
      </c>
      <c r="L701" s="298"/>
      <c r="M701" s="292">
        <f>IF(LEFT(Tabla4[[#This Row],[Electronica]],2)="NC",-Tabla4[[#This Row],[Cantidad]]*Tabla4[[#This Row],[Precio]]+Tabla4[[#This Row],[Dto]],Tabla4[[#This Row],[Cantidad]]*Tabla4[[#This Row],[Precio]]-Tabla4[[#This Row],[Dto]])</f>
        <v>1000000</v>
      </c>
      <c r="N701" s="292">
        <f>IFERROR(Tabla4[[#This Row],[Sub Total]]*VLOOKUP(Tabla4[[#This Row],[No]],Parametros!A:C,3,0),0)</f>
        <v>190000</v>
      </c>
      <c r="O701" s="292">
        <f>+Tabla4[[#This Row],[IVA]]+Tabla4[[#This Row],[Sub Total]]</f>
        <v>1190000</v>
      </c>
    </row>
    <row r="702" spans="1:15" ht="24" x14ac:dyDescent="0.2">
      <c r="A702" s="6">
        <v>629</v>
      </c>
      <c r="B702" s="6" t="e">
        <f>VLOOKUP(Tabla4[[#This Row],[Codigo]],Tabla2[[Cod]:[Nombre ]],2,0)</f>
        <v>#N/A</v>
      </c>
      <c r="C702" s="53" t="e">
        <f>VLOOKUP(Tabla4[[#This Row],[Codigo]],Tabla2[[Cod]:[Nombre ]],3,0)</f>
        <v>#N/A</v>
      </c>
      <c r="D702" s="6" t="e">
        <f>VLOOKUP(Tabla4[[#This Row],[Codigo]],Tabla2[[Cod]:[Nombre ]],4,0)</f>
        <v>#N/A</v>
      </c>
      <c r="E702" s="5" t="e">
        <f>VLOOKUP(Tabla4[[#This Row],[Codigo]],Tabla2[[Cod]:[Nombre ]],8,0)</f>
        <v>#N/A</v>
      </c>
      <c r="F702" s="5" t="e">
        <f>VLOOKUP(Tabla4[[#This Row],[Codigo]],Tabla2[[Cod]:[Nombre ]],6,0)</f>
        <v>#N/A</v>
      </c>
      <c r="G702" s="7" t="s">
        <v>433</v>
      </c>
      <c r="H702" s="21" t="s">
        <v>517</v>
      </c>
      <c r="I702" s="21" t="s">
        <v>753</v>
      </c>
      <c r="J702" s="163">
        <v>1</v>
      </c>
      <c r="K702" s="294">
        <v>1100000</v>
      </c>
      <c r="L702" s="298"/>
      <c r="M702" s="292" t="e">
        <f>IF(LEFT(Tabla4[[#This Row],[Electronica]],2)="NC",-Tabla4[[#This Row],[Cantidad]]*Tabla4[[#This Row],[Precio]]+Tabla4[[#This Row],[Dto]],Tabla4[[#This Row],[Cantidad]]*Tabla4[[#This Row],[Precio]]-Tabla4[[#This Row],[Dto]])</f>
        <v>#N/A</v>
      </c>
      <c r="N702" s="292">
        <f>IFERROR(Tabla4[[#This Row],[Sub Total]]*VLOOKUP(Tabla4[[#This Row],[No]],Parametros!A:C,3,0),0)</f>
        <v>0</v>
      </c>
      <c r="O702" s="292" t="e">
        <f>+Tabla4[[#This Row],[IVA]]+Tabla4[[#This Row],[Sub Total]]</f>
        <v>#N/A</v>
      </c>
    </row>
    <row r="703" spans="1:15" ht="36" x14ac:dyDescent="0.2">
      <c r="A703" s="6">
        <v>630</v>
      </c>
      <c r="B703" s="6" t="str">
        <f>VLOOKUP(Tabla4[[#This Row],[Codigo]],Tabla2[[Cod]:[Nombre ]],2,0)</f>
        <v>P-1031</v>
      </c>
      <c r="C703" s="53">
        <f>VLOOKUP(Tabla4[[#This Row],[Codigo]],Tabla2[[Cod]:[Nombre ]],3,0)</f>
        <v>46007</v>
      </c>
      <c r="D703" s="6" t="str">
        <f>VLOOKUP(Tabla4[[#This Row],[Codigo]],Tabla2[[Cod]:[Nombre ]],4,0)</f>
        <v>TIS-1591</v>
      </c>
      <c r="E703" s="5" t="str">
        <f>VLOOKUP(Tabla4[[#This Row],[Codigo]],Tabla2[[Cod]:[Nombre ]],8,0)</f>
        <v>TISANAS ORQUIDEAS S.A.S.</v>
      </c>
      <c r="F703" s="5" t="str">
        <f>VLOOKUP(Tabla4[[#This Row],[Codigo]],Tabla2[[Cod]:[Nombre ]],6,0)</f>
        <v>OK</v>
      </c>
      <c r="G703" s="7" t="s">
        <v>433</v>
      </c>
      <c r="H703" s="21" t="s">
        <v>517</v>
      </c>
      <c r="I703" s="21" t="s">
        <v>754</v>
      </c>
      <c r="J703" s="163">
        <v>1</v>
      </c>
      <c r="K703" s="294">
        <v>3150000</v>
      </c>
      <c r="L703" s="298"/>
      <c r="M703" s="292">
        <f>IF(LEFT(Tabla4[[#This Row],[Electronica]],2)="NC",-Tabla4[[#This Row],[Cantidad]]*Tabla4[[#This Row],[Precio]]+Tabla4[[#This Row],[Dto]],Tabla4[[#This Row],[Cantidad]]*Tabla4[[#This Row],[Precio]]-Tabla4[[#This Row],[Dto]])</f>
        <v>3150000</v>
      </c>
      <c r="N703" s="292">
        <f>IFERROR(Tabla4[[#This Row],[Sub Total]]*VLOOKUP(Tabla4[[#This Row],[No]],Parametros!A:C,3,0),0)</f>
        <v>598500</v>
      </c>
      <c r="O703" s="292">
        <f>+Tabla4[[#This Row],[IVA]]+Tabla4[[#This Row],[Sub Total]]</f>
        <v>3748500</v>
      </c>
    </row>
    <row r="704" spans="1:15" ht="36" x14ac:dyDescent="0.2">
      <c r="A704" s="6">
        <v>631</v>
      </c>
      <c r="B704" s="6" t="str">
        <f>VLOOKUP(Tabla4[[#This Row],[Codigo]],Tabla2[[Cod]:[Nombre ]],2,0)</f>
        <v>P-1032</v>
      </c>
      <c r="C704" s="53">
        <f>VLOOKUP(Tabla4[[#This Row],[Codigo]],Tabla2[[Cod]:[Nombre ]],3,0)</f>
        <v>46029</v>
      </c>
      <c r="D704" s="6" t="str">
        <f>VLOOKUP(Tabla4[[#This Row],[Codigo]],Tabla2[[Cod]:[Nombre ]],4,0)</f>
        <v>TIS-1596</v>
      </c>
      <c r="E704" s="5" t="str">
        <f>VLOOKUP(Tabla4[[#This Row],[Codigo]],Tabla2[[Cod]:[Nombre ]],8,0)</f>
        <v>Comercializadora ERZ SAS</v>
      </c>
      <c r="F704" s="5" t="str">
        <f>VLOOKUP(Tabla4[[#This Row],[Codigo]],Tabla2[[Cod]:[Nombre ]],6,0)</f>
        <v>OK</v>
      </c>
      <c r="G704" s="7" t="s">
        <v>416</v>
      </c>
      <c r="H704" s="21" t="s">
        <v>755</v>
      </c>
      <c r="I704" s="21" t="s">
        <v>756</v>
      </c>
      <c r="J704" s="163">
        <v>1</v>
      </c>
      <c r="K704" s="294">
        <v>360000</v>
      </c>
      <c r="L704" s="298"/>
      <c r="M704" s="292">
        <f>IF(LEFT(Tabla4[[#This Row],[Electronica]],2)="NC",-Tabla4[[#This Row],[Cantidad]]*Tabla4[[#This Row],[Precio]]+Tabla4[[#This Row],[Dto]],Tabla4[[#This Row],[Cantidad]]*Tabla4[[#This Row],[Precio]]-Tabla4[[#This Row],[Dto]])</f>
        <v>360000</v>
      </c>
      <c r="N704" s="292">
        <f>IFERROR(Tabla4[[#This Row],[Sub Total]]*VLOOKUP(Tabla4[[#This Row],[No]],Parametros!A:C,3,0),0)</f>
        <v>68400</v>
      </c>
      <c r="O704" s="292">
        <f>+Tabla4[[#This Row],[IVA]]+Tabla4[[#This Row],[Sub Total]]</f>
        <v>428400</v>
      </c>
    </row>
    <row r="705" spans="1:15" ht="36" x14ac:dyDescent="0.2">
      <c r="A705" s="6">
        <v>632</v>
      </c>
      <c r="B705" s="6" t="str">
        <f>VLOOKUP(Tabla4[[#This Row],[Codigo]],Tabla2[[Cod]:[Nombre ]],2,0)</f>
        <v>P-1033</v>
      </c>
      <c r="C705" s="53">
        <f>VLOOKUP(Tabla4[[#This Row],[Codigo]],Tabla2[[Cod]:[Nombre ]],3,0)</f>
        <v>46029</v>
      </c>
      <c r="D705" s="6" t="str">
        <f>VLOOKUP(Tabla4[[#This Row],[Codigo]],Tabla2[[Cod]:[Nombre ]],4,0)</f>
        <v>TIS-1597</v>
      </c>
      <c r="E705" s="5" t="str">
        <f>VLOOKUP(Tabla4[[#This Row],[Codigo]],Tabla2[[Cod]:[Nombre ]],8,0)</f>
        <v>HF DOTACIONES SAS</v>
      </c>
      <c r="F705" s="5" t="str">
        <f>VLOOKUP(Tabla4[[#This Row],[Codigo]],Tabla2[[Cod]:[Nombre ]],6,0)</f>
        <v>OK</v>
      </c>
      <c r="G705" s="7" t="s">
        <v>416</v>
      </c>
      <c r="H705" s="21" t="s">
        <v>519</v>
      </c>
      <c r="I705" s="21" t="s">
        <v>757</v>
      </c>
      <c r="J705" s="163">
        <v>1</v>
      </c>
      <c r="K705" s="294">
        <v>900000</v>
      </c>
      <c r="L705" s="298"/>
      <c r="M705" s="292">
        <f>IF(LEFT(Tabla4[[#This Row],[Electronica]],2)="NC",-Tabla4[[#This Row],[Cantidad]]*Tabla4[[#This Row],[Precio]]+Tabla4[[#This Row],[Dto]],Tabla4[[#This Row],[Cantidad]]*Tabla4[[#This Row],[Precio]]-Tabla4[[#This Row],[Dto]])</f>
        <v>900000</v>
      </c>
      <c r="N705" s="292">
        <f>IFERROR(Tabla4[[#This Row],[Sub Total]]*VLOOKUP(Tabla4[[#This Row],[No]],Parametros!A:C,3,0),0)</f>
        <v>171000</v>
      </c>
      <c r="O705" s="292">
        <f>+Tabla4[[#This Row],[IVA]]+Tabla4[[#This Row],[Sub Total]]</f>
        <v>1071000</v>
      </c>
    </row>
    <row r="706" spans="1:15" ht="36" x14ac:dyDescent="0.2">
      <c r="A706" s="6">
        <v>633</v>
      </c>
      <c r="B706" s="6" t="str">
        <f>VLOOKUP(Tabla4[[#This Row],[Codigo]],Tabla2[[Cod]:[Nombre ]],2,0)</f>
        <v>P-1034</v>
      </c>
      <c r="C706" s="53">
        <f>VLOOKUP(Tabla4[[#This Row],[Codigo]],Tabla2[[Cod]:[Nombre ]],3,0)</f>
        <v>46029</v>
      </c>
      <c r="D706" s="6" t="str">
        <f>VLOOKUP(Tabla4[[#This Row],[Codigo]],Tabla2[[Cod]:[Nombre ]],4,0)</f>
        <v>TIS-1598</v>
      </c>
      <c r="E706" s="5" t="str">
        <f>VLOOKUP(Tabla4[[#This Row],[Codigo]],Tabla2[[Cod]:[Nombre ]],8,0)</f>
        <v>Comercializadora ERZ SAS</v>
      </c>
      <c r="F706" s="5" t="str">
        <f>VLOOKUP(Tabla4[[#This Row],[Codigo]],Tabla2[[Cod]:[Nombre ]],6,0)</f>
        <v>OK</v>
      </c>
      <c r="G706" s="7" t="s">
        <v>416</v>
      </c>
      <c r="H706" s="21" t="s">
        <v>519</v>
      </c>
      <c r="I706" s="21" t="s">
        <v>758</v>
      </c>
      <c r="J706" s="163">
        <v>1</v>
      </c>
      <c r="K706" s="294">
        <v>300000</v>
      </c>
      <c r="L706" s="298"/>
      <c r="M706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706" s="292">
        <f>IFERROR(Tabla4[[#This Row],[Sub Total]]*VLOOKUP(Tabla4[[#This Row],[No]],Parametros!A:C,3,0),0)</f>
        <v>57000</v>
      </c>
      <c r="O706" s="292">
        <f>+Tabla4[[#This Row],[IVA]]+Tabla4[[#This Row],[Sub Total]]</f>
        <v>357000</v>
      </c>
    </row>
    <row r="707" spans="1:15" ht="60" x14ac:dyDescent="0.2">
      <c r="A707" s="6">
        <v>634</v>
      </c>
      <c r="B707" s="6" t="str">
        <f>VLOOKUP(Tabla4[[#This Row],[Codigo]],Tabla2[[Cod]:[Nombre ]],2,0)</f>
        <v>P-1035</v>
      </c>
      <c r="C707" s="53">
        <f>VLOOKUP(Tabla4[[#This Row],[Codigo]],Tabla2[[Cod]:[Nombre ]],3,0)</f>
        <v>46029</v>
      </c>
      <c r="D707" s="6" t="str">
        <f>VLOOKUP(Tabla4[[#This Row],[Codigo]],Tabla2[[Cod]:[Nombre ]],4,0)</f>
        <v>TIS-1599</v>
      </c>
      <c r="E707" s="5" t="str">
        <f>VLOOKUP(Tabla4[[#This Row],[Codigo]],Tabla2[[Cod]:[Nombre ]],8,0)</f>
        <v>PROASCOL S.A.</v>
      </c>
      <c r="F707" s="5" t="str">
        <f>VLOOKUP(Tabla4[[#This Row],[Codigo]],Tabla2[[Cod]:[Nombre ]],6,0)</f>
        <v>OK</v>
      </c>
      <c r="G707" s="7" t="s">
        <v>433</v>
      </c>
      <c r="H707" s="21" t="s">
        <v>517</v>
      </c>
      <c r="I707" s="21" t="s">
        <v>759</v>
      </c>
      <c r="J707" s="163">
        <v>1</v>
      </c>
      <c r="K707" s="294">
        <v>680000</v>
      </c>
      <c r="L707" s="298"/>
      <c r="M707" s="292">
        <f>IF(LEFT(Tabla4[[#This Row],[Electronica]],2)="NC",-Tabla4[[#This Row],[Cantidad]]*Tabla4[[#This Row],[Precio]]+Tabla4[[#This Row],[Dto]],Tabla4[[#This Row],[Cantidad]]*Tabla4[[#This Row],[Precio]]-Tabla4[[#This Row],[Dto]])</f>
        <v>680000</v>
      </c>
      <c r="N707" s="292">
        <f>IFERROR(Tabla4[[#This Row],[Sub Total]]*VLOOKUP(Tabla4[[#This Row],[No]],Parametros!A:C,3,0),0)</f>
        <v>129200</v>
      </c>
      <c r="O707" s="292">
        <f>+Tabla4[[#This Row],[IVA]]+Tabla4[[#This Row],[Sub Total]]</f>
        <v>809200</v>
      </c>
    </row>
    <row r="708" spans="1:15" ht="45" x14ac:dyDescent="0.2">
      <c r="A708" s="6">
        <v>635</v>
      </c>
      <c r="B708" s="6" t="str">
        <f>VLOOKUP(Tabla4[[#This Row],[Codigo]],Tabla2[[Cod]:[Nombre ]],2,0)</f>
        <v>P-1036</v>
      </c>
      <c r="C708" s="53">
        <f>VLOOKUP(Tabla4[[#This Row],[Codigo]],Tabla2[[Cod]:[Nombre ]],3,0)</f>
        <v>46029</v>
      </c>
      <c r="D708" s="6" t="str">
        <f>VLOOKUP(Tabla4[[#This Row],[Codigo]],Tabla2[[Cod]:[Nombre ]],4,0)</f>
        <v>TIS-1595</v>
      </c>
      <c r="E708" s="5" t="str">
        <f>VLOOKUP(Tabla4[[#This Row],[Codigo]],Tabla2[[Cod]:[Nombre ]],8,0)</f>
        <v>JUNTA NACIONAL DE CALIFICACION DE INVALIDEZ</v>
      </c>
      <c r="F708" s="5" t="str">
        <f>VLOOKUP(Tabla4[[#This Row],[Codigo]],Tabla2[[Cod]:[Nombre ]],6,0)</f>
        <v>OK</v>
      </c>
      <c r="G708" s="7" t="s">
        <v>415</v>
      </c>
      <c r="H708" s="21" t="s">
        <v>605</v>
      </c>
      <c r="I708" s="21" t="s">
        <v>760</v>
      </c>
      <c r="J708" s="163">
        <v>1</v>
      </c>
      <c r="K708" s="294">
        <v>4400000</v>
      </c>
      <c r="L708" s="298"/>
      <c r="M708" s="292">
        <f>IF(LEFT(Tabla4[[#This Row],[Electronica]],2)="NC",-Tabla4[[#This Row],[Cantidad]]*Tabla4[[#This Row],[Precio]]+Tabla4[[#This Row],[Dto]],Tabla4[[#This Row],[Cantidad]]*Tabla4[[#This Row],[Precio]]-Tabla4[[#This Row],[Dto]])</f>
        <v>4400000</v>
      </c>
      <c r="N708" s="292">
        <f>IFERROR(Tabla4[[#This Row],[Sub Total]]*VLOOKUP(Tabla4[[#This Row],[No]],Parametros!A:C,3,0),0)</f>
        <v>836000</v>
      </c>
      <c r="O708" s="292">
        <f>+Tabla4[[#This Row],[IVA]]+Tabla4[[#This Row],[Sub Total]]</f>
        <v>5236000</v>
      </c>
    </row>
    <row r="709" spans="1:15" ht="24" x14ac:dyDescent="0.2">
      <c r="A709" s="6">
        <v>636</v>
      </c>
      <c r="B709" s="6" t="str">
        <f>VLOOKUP(Tabla4[[#This Row],[Codigo]],Tabla2[[Cod]:[Nombre ]],2,0)</f>
        <v>P-1027</v>
      </c>
      <c r="C709" s="53">
        <f>VLOOKUP(Tabla4[[#This Row],[Codigo]],Tabla2[[Cod]:[Nombre ]],3,0)</f>
        <v>46030</v>
      </c>
      <c r="D709" s="6">
        <f>VLOOKUP(Tabla4[[#This Row],[Codigo]],Tabla2[[Cod]:[Nombre ]],4,0)</f>
        <v>0</v>
      </c>
      <c r="E709" s="5" t="str">
        <f>VLOOKUP(Tabla4[[#This Row],[Codigo]],Tabla2[[Cod]:[Nombre ]],8,0)</f>
        <v>Walsom SAS</v>
      </c>
      <c r="F709" s="5" t="str">
        <f>VLOOKUP(Tabla4[[#This Row],[Codigo]],Tabla2[[Cod]:[Nombre ]],6,0)</f>
        <v>OK</v>
      </c>
      <c r="G709" s="7" t="s">
        <v>282</v>
      </c>
      <c r="H709" s="21" t="s">
        <v>16</v>
      </c>
      <c r="I709" s="21" t="s">
        <v>730</v>
      </c>
      <c r="J709" s="163">
        <v>31</v>
      </c>
      <c r="K709" s="294">
        <v>40000</v>
      </c>
      <c r="L709" s="298"/>
      <c r="M709" s="292">
        <f>IF(LEFT(Tabla4[[#This Row],[Electronica]],2)="NC",-Tabla4[[#This Row],[Cantidad]]*Tabla4[[#This Row],[Precio]]+Tabla4[[#This Row],[Dto]],Tabla4[[#This Row],[Cantidad]]*Tabla4[[#This Row],[Precio]]-Tabla4[[#This Row],[Dto]])</f>
        <v>1240000</v>
      </c>
      <c r="N709" s="292">
        <f>IFERROR(Tabla4[[#This Row],[Sub Total]]*VLOOKUP(Tabla4[[#This Row],[No]],Parametros!A:C,3,0),0)</f>
        <v>235600</v>
      </c>
      <c r="O709" s="292">
        <f>+Tabla4[[#This Row],[IVA]]+Tabla4[[#This Row],[Sub Total]]</f>
        <v>1475600</v>
      </c>
    </row>
    <row r="710" spans="1:15" ht="36" x14ac:dyDescent="0.2">
      <c r="A710" s="6">
        <v>636</v>
      </c>
      <c r="B710" s="6" t="str">
        <f>VLOOKUP(Tabla4[[#This Row],[Codigo]],Tabla2[[Cod]:[Nombre ]],2,0)</f>
        <v>P-1027</v>
      </c>
      <c r="C710" s="53">
        <f>VLOOKUP(Tabla4[[#This Row],[Codigo]],Tabla2[[Cod]:[Nombre ]],3,0)</f>
        <v>46030</v>
      </c>
      <c r="D710" s="6">
        <f>VLOOKUP(Tabla4[[#This Row],[Codigo]],Tabla2[[Cod]:[Nombre ]],4,0)</f>
        <v>0</v>
      </c>
      <c r="E710" s="5" t="str">
        <f>VLOOKUP(Tabla4[[#This Row],[Codigo]],Tabla2[[Cod]:[Nombre ]],8,0)</f>
        <v>Walsom SAS</v>
      </c>
      <c r="F710" s="5" t="str">
        <f>VLOOKUP(Tabla4[[#This Row],[Codigo]],Tabla2[[Cod]:[Nombre ]],6,0)</f>
        <v>OK</v>
      </c>
      <c r="G710" s="7" t="s">
        <v>417</v>
      </c>
      <c r="H710" s="21" t="s">
        <v>525</v>
      </c>
      <c r="I710" s="21" t="s">
        <v>761</v>
      </c>
      <c r="J710" s="163">
        <v>1</v>
      </c>
      <c r="K710" s="294">
        <v>2119000</v>
      </c>
      <c r="L710" s="298"/>
      <c r="M710" s="292">
        <f>IF(LEFT(Tabla4[[#This Row],[Electronica]],2)="NC",-Tabla4[[#This Row],[Cantidad]]*Tabla4[[#This Row],[Precio]]+Tabla4[[#This Row],[Dto]],Tabla4[[#This Row],[Cantidad]]*Tabla4[[#This Row],[Precio]]-Tabla4[[#This Row],[Dto]])</f>
        <v>2119000</v>
      </c>
      <c r="N710" s="292">
        <f>IFERROR(Tabla4[[#This Row],[Sub Total]]*VLOOKUP(Tabla4[[#This Row],[No]],Parametros!A:C,3,0),0)</f>
        <v>0</v>
      </c>
      <c r="O710" s="292">
        <f>+Tabla4[[#This Row],[IVA]]+Tabla4[[#This Row],[Sub Total]]</f>
        <v>2119000</v>
      </c>
    </row>
    <row r="711" spans="1:15" ht="36" x14ac:dyDescent="0.2">
      <c r="A711" s="334">
        <v>637</v>
      </c>
      <c r="B711" s="6" t="str">
        <f>VLOOKUP(Tabla4[[#This Row],[Codigo]],Tabla2[[Cod]:[Nombre ]],2,0)</f>
        <v>P-1028</v>
      </c>
      <c r="C711" s="53">
        <f>VLOOKUP(Tabla4[[#This Row],[Codigo]],Tabla2[[Cod]:[Nombre ]],3,0)</f>
        <v>46043</v>
      </c>
      <c r="D711" s="6" t="str">
        <f>VLOOKUP(Tabla4[[#This Row],[Codigo]],Tabla2[[Cod]:[Nombre ]],4,0)</f>
        <v>TIS-1560</v>
      </c>
      <c r="E711" s="5" t="str">
        <f>VLOOKUP(Tabla4[[#This Row],[Codigo]],Tabla2[[Cod]:[Nombre ]],8,0)</f>
        <v>STAFF SEGUROS AGENCIA LTDA</v>
      </c>
      <c r="F711" s="5" t="str">
        <f>VLOOKUP(Tabla4[[#This Row],[Codigo]],Tabla2[[Cod]:[Nombre ]],6,0)</f>
        <v>OK</v>
      </c>
      <c r="G711" s="7" t="s">
        <v>416</v>
      </c>
      <c r="H711" s="21" t="s">
        <v>519</v>
      </c>
      <c r="I711" s="21" t="s">
        <v>762</v>
      </c>
      <c r="J711" s="163">
        <v>1</v>
      </c>
      <c r="K711" s="294">
        <v>300000</v>
      </c>
      <c r="L711" s="298"/>
      <c r="M711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711" s="292">
        <f>IFERROR(Tabla4[[#This Row],[Sub Total]]*VLOOKUP(Tabla4[[#This Row],[No]],Parametros!A:C,3,0),0)</f>
        <v>57000</v>
      </c>
      <c r="O711" s="292">
        <f>+Tabla4[[#This Row],[IVA]]+Tabla4[[#This Row],[Sub Total]]</f>
        <v>357000</v>
      </c>
    </row>
    <row r="712" spans="1:15" ht="36" x14ac:dyDescent="0.2">
      <c r="A712" s="6">
        <v>638</v>
      </c>
      <c r="B712" s="6" t="str">
        <f>VLOOKUP(Tabla4[[#This Row],[Codigo]],Tabla2[[Cod]:[Nombre ]],2,0)</f>
        <v>P-1030</v>
      </c>
      <c r="C712" s="53">
        <f>VLOOKUP(Tabla4[[#This Row],[Codigo]],Tabla2[[Cod]:[Nombre ]],3,0)</f>
        <v>46043</v>
      </c>
      <c r="D712" s="6" t="str">
        <f>VLOOKUP(Tabla4[[#This Row],[Codigo]],Tabla2[[Cod]:[Nombre ]],4,0)</f>
        <v>TIS-1601</v>
      </c>
      <c r="E712" s="5" t="str">
        <f>VLOOKUP(Tabla4[[#This Row],[Codigo]],Tabla2[[Cod]:[Nombre ]],8,0)</f>
        <v>AND TOPOGRAFIA E INGENIERIA SAS</v>
      </c>
      <c r="F712" s="5" t="str">
        <f>VLOOKUP(Tabla4[[#This Row],[Codigo]],Tabla2[[Cod]:[Nombre ]],6,0)</f>
        <v>OK</v>
      </c>
      <c r="G712" s="7" t="s">
        <v>417</v>
      </c>
      <c r="H712" s="21" t="s">
        <v>525</v>
      </c>
      <c r="I712" s="21" t="s">
        <v>763</v>
      </c>
      <c r="J712" s="163">
        <v>1</v>
      </c>
      <c r="K712" s="294">
        <v>300000</v>
      </c>
      <c r="L712" s="298"/>
      <c r="M712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712" s="292">
        <f>IFERROR(Tabla4[[#This Row],[Sub Total]]*VLOOKUP(Tabla4[[#This Row],[No]],Parametros!A:C,3,0),0)</f>
        <v>0</v>
      </c>
      <c r="O712" s="292">
        <f>+Tabla4[[#This Row],[IVA]]+Tabla4[[#This Row],[Sub Total]]</f>
        <v>300000</v>
      </c>
    </row>
    <row r="713" spans="1:15" ht="36" x14ac:dyDescent="0.2">
      <c r="A713" s="6">
        <v>639</v>
      </c>
      <c r="B713" s="6" t="str">
        <f>VLOOKUP(Tabla4[[#This Row],[Codigo]],Tabla2[[Cod]:[Nombre ]],2,0)</f>
        <v>P-1031</v>
      </c>
      <c r="C713" s="53">
        <f>VLOOKUP(Tabla4[[#This Row],[Codigo]],Tabla2[[Cod]:[Nombre ]],3,0)</f>
        <v>46043</v>
      </c>
      <c r="D713" s="6" t="str">
        <f>VLOOKUP(Tabla4[[#This Row],[Codigo]],Tabla2[[Cod]:[Nombre ]],4,0)</f>
        <v>TIS-1602</v>
      </c>
      <c r="E713" s="5" t="str">
        <f>VLOOKUP(Tabla4[[#This Row],[Codigo]],Tabla2[[Cod]:[Nombre ]],8,0)</f>
        <v>Inversiones Sajamib SAS</v>
      </c>
      <c r="F713" s="5" t="str">
        <f>VLOOKUP(Tabla4[[#This Row],[Codigo]],Tabla2[[Cod]:[Nombre ]],6,0)</f>
        <v>OK</v>
      </c>
      <c r="G713" s="7" t="s">
        <v>417</v>
      </c>
      <c r="H713" s="21" t="s">
        <v>525</v>
      </c>
      <c r="I713" s="21" t="s">
        <v>763</v>
      </c>
      <c r="J713" s="163">
        <v>1</v>
      </c>
      <c r="K713" s="294">
        <v>480000</v>
      </c>
      <c r="L713" s="298"/>
      <c r="M713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713" s="292">
        <f>IFERROR(Tabla4[[#This Row],[Sub Total]]*VLOOKUP(Tabla4[[#This Row],[No]],Parametros!A:C,3,0),0)</f>
        <v>0</v>
      </c>
      <c r="O713" s="292">
        <f>+Tabla4[[#This Row],[IVA]]+Tabla4[[#This Row],[Sub Total]]</f>
        <v>480000</v>
      </c>
    </row>
    <row r="714" spans="1:15" ht="36" x14ac:dyDescent="0.2">
      <c r="A714" s="6">
        <v>640</v>
      </c>
      <c r="B714" s="6" t="str">
        <f>VLOOKUP(Tabla4[[#This Row],[Codigo]],Tabla2[[Cod]:[Nombre ]],2,0)</f>
        <v>P-1032</v>
      </c>
      <c r="C714" s="53">
        <f>VLOOKUP(Tabla4[[#This Row],[Codigo]],Tabla2[[Cod]:[Nombre ]],3,0)</f>
        <v>46043</v>
      </c>
      <c r="D714" s="6" t="str">
        <f>VLOOKUP(Tabla4[[#This Row],[Codigo]],Tabla2[[Cod]:[Nombre ]],4,0)</f>
        <v>TIS-1603</v>
      </c>
      <c r="E714" s="5" t="str">
        <f>VLOOKUP(Tabla4[[#This Row],[Codigo]],Tabla2[[Cod]:[Nombre ]],8,0)</f>
        <v>ROYCO SOLUCIONES SAS</v>
      </c>
      <c r="F714" s="5" t="str">
        <f>VLOOKUP(Tabla4[[#This Row],[Codigo]],Tabla2[[Cod]:[Nombre ]],6,0)</f>
        <v>OK</v>
      </c>
      <c r="G714" s="7" t="s">
        <v>416</v>
      </c>
      <c r="H714" s="21" t="s">
        <v>519</v>
      </c>
      <c r="I714" s="21" t="s">
        <v>762</v>
      </c>
      <c r="J714" s="163">
        <v>1</v>
      </c>
      <c r="K714" s="294">
        <v>250000</v>
      </c>
      <c r="L714" s="298"/>
      <c r="M714" s="292">
        <f>IF(LEFT(Tabla4[[#This Row],[Electronica]],2)="NC",-Tabla4[[#This Row],[Cantidad]]*Tabla4[[#This Row],[Precio]]+Tabla4[[#This Row],[Dto]],Tabla4[[#This Row],[Cantidad]]*Tabla4[[#This Row],[Precio]]-Tabla4[[#This Row],[Dto]])</f>
        <v>250000</v>
      </c>
      <c r="N714" s="292">
        <f>IFERROR(Tabla4[[#This Row],[Sub Total]]*VLOOKUP(Tabla4[[#This Row],[No]],Parametros!A:C,3,0),0)</f>
        <v>47500</v>
      </c>
      <c r="O714" s="292">
        <f>+Tabla4[[#This Row],[IVA]]+Tabla4[[#This Row],[Sub Total]]</f>
        <v>297500</v>
      </c>
    </row>
    <row r="715" spans="1:15" ht="45" x14ac:dyDescent="0.2">
      <c r="A715" s="6">
        <v>641</v>
      </c>
      <c r="B715" s="6" t="str">
        <f>VLOOKUP(Tabla4[[#This Row],[Codigo]],Tabla2[[Cod]:[Nombre ]],2,0)</f>
        <v>P-1033</v>
      </c>
      <c r="C715" s="53">
        <f>VLOOKUP(Tabla4[[#This Row],[Codigo]],Tabla2[[Cod]:[Nombre ]],3,0)</f>
        <v>46043</v>
      </c>
      <c r="D715" s="6" t="str">
        <f>VLOOKUP(Tabla4[[#This Row],[Codigo]],Tabla2[[Cod]:[Nombre ]],4,0)</f>
        <v>TIS-1604</v>
      </c>
      <c r="E715" s="5" t="str">
        <f>VLOOKUP(Tabla4[[#This Row],[Codigo]],Tabla2[[Cod]:[Nombre ]],8,0)</f>
        <v>CENTRO DE ATENCION E INVESTIGACION MEDICA S.A.S.</v>
      </c>
      <c r="F715" s="5" t="str">
        <f>VLOOKUP(Tabla4[[#This Row],[Codigo]],Tabla2[[Cod]:[Nombre ]],6,0)</f>
        <v>OK</v>
      </c>
      <c r="G715" s="7" t="s">
        <v>416</v>
      </c>
      <c r="H715" s="21" t="s">
        <v>519</v>
      </c>
      <c r="I715" s="21" t="s">
        <v>762</v>
      </c>
      <c r="J715" s="163">
        <v>1</v>
      </c>
      <c r="K715" s="294">
        <v>1500000</v>
      </c>
      <c r="L715" s="298"/>
      <c r="M715" s="292">
        <f>IF(LEFT(Tabla4[[#This Row],[Electronica]],2)="NC",-Tabla4[[#This Row],[Cantidad]]*Tabla4[[#This Row],[Precio]]+Tabla4[[#This Row],[Dto]],Tabla4[[#This Row],[Cantidad]]*Tabla4[[#This Row],[Precio]]-Tabla4[[#This Row],[Dto]])</f>
        <v>1500000</v>
      </c>
      <c r="N715" s="292">
        <f>IFERROR(Tabla4[[#This Row],[Sub Total]]*VLOOKUP(Tabla4[[#This Row],[No]],Parametros!A:C,3,0),0)</f>
        <v>285000</v>
      </c>
      <c r="O715" s="292">
        <f>+Tabla4[[#This Row],[IVA]]+Tabla4[[#This Row],[Sub Total]]</f>
        <v>1785000</v>
      </c>
    </row>
    <row r="716" spans="1:15" ht="48" x14ac:dyDescent="0.2">
      <c r="A716" s="6">
        <v>642</v>
      </c>
      <c r="B716" s="6" t="str">
        <f>VLOOKUP(Tabla4[[#This Row],[Codigo]],Tabla2[[Cod]:[Nombre ]],2,0)</f>
        <v>P-1034</v>
      </c>
      <c r="C716" s="53">
        <f>VLOOKUP(Tabla4[[#This Row],[Codigo]],Tabla2[[Cod]:[Nombre ]],3,0)</f>
        <v>46043</v>
      </c>
      <c r="D716" s="6" t="str">
        <f>VLOOKUP(Tabla4[[#This Row],[Codigo]],Tabla2[[Cod]:[Nombre ]],4,0)</f>
        <v>TIS-1605</v>
      </c>
      <c r="E716" s="5" t="str">
        <f>VLOOKUP(Tabla4[[#This Row],[Codigo]],Tabla2[[Cod]:[Nombre ]],8,0)</f>
        <v>SOLUCIONES CREATIVAS Y TURÍSTICAS</v>
      </c>
      <c r="F716" s="5" t="str">
        <f>VLOOKUP(Tabla4[[#This Row],[Codigo]],Tabla2[[Cod]:[Nombre ]],6,0)</f>
        <v>OK</v>
      </c>
      <c r="G716" s="7" t="s">
        <v>416</v>
      </c>
      <c r="H716" s="21" t="s">
        <v>519</v>
      </c>
      <c r="I716" s="21" t="s">
        <v>764</v>
      </c>
      <c r="J716" s="163">
        <v>1</v>
      </c>
      <c r="K716" s="294">
        <v>934874</v>
      </c>
      <c r="L716" s="298"/>
      <c r="M716" s="292">
        <f>IF(LEFT(Tabla4[[#This Row],[Electronica]],2)="NC",-Tabla4[[#This Row],[Cantidad]]*Tabla4[[#This Row],[Precio]]+Tabla4[[#This Row],[Dto]],Tabla4[[#This Row],[Cantidad]]*Tabla4[[#This Row],[Precio]]-Tabla4[[#This Row],[Dto]])</f>
        <v>934874</v>
      </c>
      <c r="N716" s="292">
        <f>IFERROR(Tabla4[[#This Row],[Sub Total]]*VLOOKUP(Tabla4[[#This Row],[No]],Parametros!A:C,3,0),0)</f>
        <v>177626.06</v>
      </c>
      <c r="O716" s="292">
        <f>+Tabla4[[#This Row],[IVA]]+Tabla4[[#This Row],[Sub Total]]</f>
        <v>1112500.06</v>
      </c>
    </row>
    <row r="717" spans="1:15" ht="36" x14ac:dyDescent="0.2">
      <c r="A717" s="6">
        <v>643</v>
      </c>
      <c r="B717" s="6" t="str">
        <f>VLOOKUP(Tabla4[[#This Row],[Codigo]],Tabla2[[Cod]:[Nombre ]],2,0)</f>
        <v>P-1035</v>
      </c>
      <c r="C717" s="53">
        <f>VLOOKUP(Tabla4[[#This Row],[Codigo]],Tabla2[[Cod]:[Nombre ]],3,0)</f>
        <v>46062</v>
      </c>
      <c r="D717" s="6" t="str">
        <f>VLOOKUP(Tabla4[[#This Row],[Codigo]],Tabla2[[Cod]:[Nombre ]],4,0)</f>
        <v>TIS-1606</v>
      </c>
      <c r="E717" s="5" t="str">
        <f>VLOOKUP(Tabla4[[#This Row],[Codigo]],Tabla2[[Cod]:[Nombre ]],8,0)</f>
        <v>Comercializadora ERZ SAS</v>
      </c>
      <c r="F717" s="5" t="str">
        <f>VLOOKUP(Tabla4[[#This Row],[Codigo]],Tabla2[[Cod]:[Nombre ]],6,0)</f>
        <v>OK</v>
      </c>
      <c r="G717" s="7" t="s">
        <v>416</v>
      </c>
      <c r="H717" s="21" t="s">
        <v>519</v>
      </c>
      <c r="I717" s="21" t="s">
        <v>765</v>
      </c>
      <c r="J717" s="163">
        <v>1</v>
      </c>
      <c r="K717" s="294">
        <v>300000</v>
      </c>
      <c r="L717" s="298"/>
      <c r="M717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717" s="292">
        <f>IFERROR(Tabla4[[#This Row],[Sub Total]]*VLOOKUP(Tabla4[[#This Row],[No]],Parametros!A:C,3,0),0)</f>
        <v>57000</v>
      </c>
      <c r="O717" s="292">
        <f>+Tabla4[[#This Row],[IVA]]+Tabla4[[#This Row],[Sub Total]]</f>
        <v>357000</v>
      </c>
    </row>
    <row r="718" spans="1:15" ht="36" x14ac:dyDescent="0.2">
      <c r="A718" s="6">
        <v>644</v>
      </c>
      <c r="B718" s="6" t="str">
        <f>VLOOKUP(Tabla4[[#This Row],[Codigo]],Tabla2[[Cod]:[Nombre ]],2,0)</f>
        <v>P-1036</v>
      </c>
      <c r="C718" s="53">
        <f>VLOOKUP(Tabla4[[#This Row],[Codigo]],Tabla2[[Cod]:[Nombre ]],3,0)</f>
        <v>46062</v>
      </c>
      <c r="D718" s="6" t="str">
        <f>VLOOKUP(Tabla4[[#This Row],[Codigo]],Tabla2[[Cod]:[Nombre ]],4,0)</f>
        <v>TIS-1607</v>
      </c>
      <c r="E718" s="5" t="str">
        <f>VLOOKUP(Tabla4[[#This Row],[Codigo]],Tabla2[[Cod]:[Nombre ]],8,0)</f>
        <v>ROYCO SOLUCIONES SAS</v>
      </c>
      <c r="F718" s="5" t="str">
        <f>VLOOKUP(Tabla4[[#This Row],[Codigo]],Tabla2[[Cod]:[Nombre ]],6,0)</f>
        <v>OK</v>
      </c>
      <c r="G718" s="7" t="s">
        <v>416</v>
      </c>
      <c r="H718" s="21" t="s">
        <v>519</v>
      </c>
      <c r="I718" s="21" t="s">
        <v>765</v>
      </c>
      <c r="J718" s="163">
        <v>1</v>
      </c>
      <c r="K718" s="294">
        <v>300000</v>
      </c>
      <c r="L718" s="298"/>
      <c r="M718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718" s="292">
        <f>IFERROR(Tabla4[[#This Row],[Sub Total]]*VLOOKUP(Tabla4[[#This Row],[No]],Parametros!A:C,3,0),0)</f>
        <v>57000</v>
      </c>
      <c r="O718" s="292">
        <f>+Tabla4[[#This Row],[IVA]]+Tabla4[[#This Row],[Sub Total]]</f>
        <v>357000</v>
      </c>
    </row>
    <row r="719" spans="1:15" ht="36" x14ac:dyDescent="0.2">
      <c r="A719" s="6">
        <v>645</v>
      </c>
      <c r="B719" s="6" t="str">
        <f>VLOOKUP(Tabla4[[#This Row],[Codigo]],Tabla2[[Cod]:[Nombre ]],2,0)</f>
        <v>P-1037</v>
      </c>
      <c r="C719" s="53">
        <f>VLOOKUP(Tabla4[[#This Row],[Codigo]],Tabla2[[Cod]:[Nombre ]],3,0)</f>
        <v>46062</v>
      </c>
      <c r="D719" s="6" t="str">
        <f>VLOOKUP(Tabla4[[#This Row],[Codigo]],Tabla2[[Cod]:[Nombre ]],4,0)</f>
        <v>TIS-1608</v>
      </c>
      <c r="E719" s="5" t="str">
        <f>VLOOKUP(Tabla4[[#This Row],[Codigo]],Tabla2[[Cod]:[Nombre ]],8,0)</f>
        <v>Inversiones Sajamib SAS</v>
      </c>
      <c r="F719" s="5" t="str">
        <f>VLOOKUP(Tabla4[[#This Row],[Codigo]],Tabla2[[Cod]:[Nombre ]],6,0)</f>
        <v>OK</v>
      </c>
      <c r="G719" s="7" t="s">
        <v>417</v>
      </c>
      <c r="H719" s="21" t="s">
        <v>525</v>
      </c>
      <c r="I719" s="21" t="s">
        <v>766</v>
      </c>
      <c r="J719" s="163">
        <v>1</v>
      </c>
      <c r="K719" s="294">
        <v>480000</v>
      </c>
      <c r="L719" s="298"/>
      <c r="M719" s="292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719" s="292">
        <f>IFERROR(Tabla4[[#This Row],[Sub Total]]*VLOOKUP(Tabla4[[#This Row],[No]],Parametros!A:C,3,0),0)</f>
        <v>0</v>
      </c>
      <c r="O719" s="292">
        <f>+Tabla4[[#This Row],[IVA]]+Tabla4[[#This Row],[Sub Total]]</f>
        <v>480000</v>
      </c>
    </row>
    <row r="720" spans="1:15" ht="36" x14ac:dyDescent="0.2">
      <c r="A720" s="6">
        <v>646</v>
      </c>
      <c r="B720" s="6" t="str">
        <f>VLOOKUP(Tabla4[[#This Row],[Codigo]],Tabla2[[Cod]:[Nombre ]],2,0)</f>
        <v>P-1038</v>
      </c>
      <c r="C720" s="53">
        <f>VLOOKUP(Tabla4[[#This Row],[Codigo]],Tabla2[[Cod]:[Nombre ]],3,0)</f>
        <v>46062</v>
      </c>
      <c r="D720" s="6" t="str">
        <f>VLOOKUP(Tabla4[[#This Row],[Codigo]],Tabla2[[Cod]:[Nombre ]],4,0)</f>
        <v>TIS-1609</v>
      </c>
      <c r="E720" s="5" t="str">
        <f>VLOOKUP(Tabla4[[#This Row],[Codigo]],Tabla2[[Cod]:[Nombre ]],8,0)</f>
        <v>AND TOPOGRAFIA E INGENIERIA SAS</v>
      </c>
      <c r="F720" s="5" t="str">
        <f>VLOOKUP(Tabla4[[#This Row],[Codigo]],Tabla2[[Cod]:[Nombre ]],6,0)</f>
        <v>OK</v>
      </c>
      <c r="G720" s="7" t="s">
        <v>417</v>
      </c>
      <c r="H720" s="21" t="s">
        <v>525</v>
      </c>
      <c r="I720" s="21" t="s">
        <v>765</v>
      </c>
      <c r="J720" s="163">
        <v>1</v>
      </c>
      <c r="K720" s="294">
        <v>300000</v>
      </c>
      <c r="L720" s="298"/>
      <c r="M720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720" s="292">
        <f>IFERROR(Tabla4[[#This Row],[Sub Total]]*VLOOKUP(Tabla4[[#This Row],[No]],Parametros!A:C,3,0),0)</f>
        <v>0</v>
      </c>
      <c r="O720" s="292">
        <f>+Tabla4[[#This Row],[IVA]]+Tabla4[[#This Row],[Sub Total]]</f>
        <v>300000</v>
      </c>
    </row>
    <row r="721" spans="1:15" ht="45" x14ac:dyDescent="0.2">
      <c r="A721" s="6">
        <v>647</v>
      </c>
      <c r="B721" s="6" t="str">
        <f>VLOOKUP(Tabla4[[#This Row],[Codigo]],Tabla2[[Cod]:[Nombre ]],2,0)</f>
        <v>P-1039</v>
      </c>
      <c r="C721" s="53">
        <f>VLOOKUP(Tabla4[[#This Row],[Codigo]],Tabla2[[Cod]:[Nombre ]],3,0)</f>
        <v>46062</v>
      </c>
      <c r="D721" s="6" t="str">
        <f>VLOOKUP(Tabla4[[#This Row],[Codigo]],Tabla2[[Cod]:[Nombre ]],4,0)</f>
        <v>TIS-1610</v>
      </c>
      <c r="E721" s="5" t="str">
        <f>VLOOKUP(Tabla4[[#This Row],[Codigo]],Tabla2[[Cod]:[Nombre ]],8,0)</f>
        <v>CENTRO DE ATENCION E INVESTIGACION MEDICA S.A.S.</v>
      </c>
      <c r="F721" s="5" t="str">
        <f>VLOOKUP(Tabla4[[#This Row],[Codigo]],Tabla2[[Cod]:[Nombre ]],6,0)</f>
        <v>OK</v>
      </c>
      <c r="G721" s="7" t="s">
        <v>416</v>
      </c>
      <c r="H721" s="21" t="s">
        <v>519</v>
      </c>
      <c r="I721" s="21" t="s">
        <v>765</v>
      </c>
      <c r="J721" s="163">
        <v>1</v>
      </c>
      <c r="K721" s="294">
        <v>1500000</v>
      </c>
      <c r="L721" s="298"/>
      <c r="M721" s="292">
        <f>IF(LEFT(Tabla4[[#This Row],[Electronica]],2)="NC",-Tabla4[[#This Row],[Cantidad]]*Tabla4[[#This Row],[Precio]]+Tabla4[[#This Row],[Dto]],Tabla4[[#This Row],[Cantidad]]*Tabla4[[#This Row],[Precio]]-Tabla4[[#This Row],[Dto]])</f>
        <v>1500000</v>
      </c>
      <c r="N721" s="292">
        <f>IFERROR(Tabla4[[#This Row],[Sub Total]]*VLOOKUP(Tabla4[[#This Row],[No]],Parametros!A:C,3,0),0)</f>
        <v>285000</v>
      </c>
      <c r="O721" s="292">
        <f>+Tabla4[[#This Row],[IVA]]+Tabla4[[#This Row],[Sub Total]]</f>
        <v>1785000</v>
      </c>
    </row>
    <row r="722" spans="1:15" ht="36" x14ac:dyDescent="0.2">
      <c r="A722" s="6">
        <v>648</v>
      </c>
      <c r="B722" s="6" t="str">
        <f>VLOOKUP(Tabla4[[#This Row],[Codigo]],Tabla2[[Cod]:[Nombre ]],2,0)</f>
        <v>P-1040</v>
      </c>
      <c r="C722" s="53">
        <f>VLOOKUP(Tabla4[[#This Row],[Codigo]],Tabla2[[Cod]:[Nombre ]],3,0)</f>
        <v>46062</v>
      </c>
      <c r="D722" s="6" t="str">
        <f>VLOOKUP(Tabla4[[#This Row],[Codigo]],Tabla2[[Cod]:[Nombre ]],4,0)</f>
        <v>TIS-1611</v>
      </c>
      <c r="E722" s="5" t="str">
        <f>VLOOKUP(Tabla4[[#This Row],[Codigo]],Tabla2[[Cod]:[Nombre ]],8,0)</f>
        <v>SOLUCIONES CREATIVAS Y TURÍSTICAS</v>
      </c>
      <c r="F722" s="5" t="str">
        <f>VLOOKUP(Tabla4[[#This Row],[Codigo]],Tabla2[[Cod]:[Nombre ]],6,0)</f>
        <v>OK</v>
      </c>
      <c r="G722" s="7" t="s">
        <v>416</v>
      </c>
      <c r="H722" s="21" t="s">
        <v>519</v>
      </c>
      <c r="I722" s="21" t="s">
        <v>765</v>
      </c>
      <c r="J722" s="163">
        <v>1</v>
      </c>
      <c r="K722" s="294">
        <v>934874</v>
      </c>
      <c r="L722" s="298"/>
      <c r="M722" s="292">
        <f>IF(LEFT(Tabla4[[#This Row],[Electronica]],2)="NC",-Tabla4[[#This Row],[Cantidad]]*Tabla4[[#This Row],[Precio]]+Tabla4[[#This Row],[Dto]],Tabla4[[#This Row],[Cantidad]]*Tabla4[[#This Row],[Precio]]-Tabla4[[#This Row],[Dto]])</f>
        <v>934874</v>
      </c>
      <c r="N722" s="292">
        <f>IFERROR(Tabla4[[#This Row],[Sub Total]]*VLOOKUP(Tabla4[[#This Row],[No]],Parametros!A:C,3,0),0)</f>
        <v>177626.06</v>
      </c>
      <c r="O722" s="292">
        <f>+Tabla4[[#This Row],[IVA]]+Tabla4[[#This Row],[Sub Total]]</f>
        <v>1112500.06</v>
      </c>
    </row>
    <row r="723" spans="1:15" ht="45" x14ac:dyDescent="0.2">
      <c r="A723" s="6">
        <v>649</v>
      </c>
      <c r="B723" s="6" t="str">
        <f>VLOOKUP(Tabla4[[#This Row],[Codigo]],Tabla2[[Cod]:[Nombre ]],2,0)</f>
        <v>P-1041</v>
      </c>
      <c r="C723" s="53">
        <f>VLOOKUP(Tabla4[[#This Row],[Codigo]],Tabla2[[Cod]:[Nombre ]],3,0)</f>
        <v>46062</v>
      </c>
      <c r="D723" s="6" t="str">
        <f>VLOOKUP(Tabla4[[#This Row],[Codigo]],Tabla2[[Cod]:[Nombre ]],4,0)</f>
        <v>TIS-1612</v>
      </c>
      <c r="E723" s="5" t="str">
        <f>VLOOKUP(Tabla4[[#This Row],[Codigo]],Tabla2[[Cod]:[Nombre ]],8,0)</f>
        <v>DIGITAL MEDIA TECHNOLOGIES COLOMBIA SAS</v>
      </c>
      <c r="F723" s="5" t="str">
        <f>VLOOKUP(Tabla4[[#This Row],[Codigo]],Tabla2[[Cod]:[Nombre ]],6,0)</f>
        <v>OK</v>
      </c>
      <c r="G723" s="7" t="s">
        <v>416</v>
      </c>
      <c r="H723" s="21" t="s">
        <v>519</v>
      </c>
      <c r="I723" s="21" t="s">
        <v>765</v>
      </c>
      <c r="J723" s="163">
        <v>1</v>
      </c>
      <c r="K723" s="294">
        <v>300000</v>
      </c>
      <c r="L723" s="298"/>
      <c r="M723" s="292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723" s="292">
        <f>IFERROR(Tabla4[[#This Row],[Sub Total]]*VLOOKUP(Tabla4[[#This Row],[No]],Parametros!A:C,3,0),0)</f>
        <v>57000</v>
      </c>
      <c r="O723" s="292">
        <f>+Tabla4[[#This Row],[IVA]]+Tabla4[[#This Row],[Sub Total]]</f>
        <v>357000</v>
      </c>
    </row>
    <row r="724" spans="1:15" ht="36" x14ac:dyDescent="0.2">
      <c r="A724" s="6">
        <v>650</v>
      </c>
      <c r="B724" s="6" t="str">
        <f>VLOOKUP(Tabla4[[#This Row],[Codigo]],Tabla2[[Cod]:[Nombre ]],2,0)</f>
        <v>P-1042</v>
      </c>
      <c r="C724" s="53">
        <f>VLOOKUP(Tabla4[[#This Row],[Codigo]],Tabla2[[Cod]:[Nombre ]],3,0)</f>
        <v>46062</v>
      </c>
      <c r="D724" s="6" t="str">
        <f>VLOOKUP(Tabla4[[#This Row],[Codigo]],Tabla2[[Cod]:[Nombre ]],4,0)</f>
        <v>TIS-1613</v>
      </c>
      <c r="E724" s="5" t="str">
        <f>VLOOKUP(Tabla4[[#This Row],[Codigo]],Tabla2[[Cod]:[Nombre ]],8,0)</f>
        <v>PURICOL LTDA</v>
      </c>
      <c r="F724" s="5" t="str">
        <f>VLOOKUP(Tabla4[[#This Row],[Codigo]],Tabla2[[Cod]:[Nombre ]],6,0)</f>
        <v>OK</v>
      </c>
      <c r="G724" s="7" t="s">
        <v>416</v>
      </c>
      <c r="H724" s="21" t="s">
        <v>519</v>
      </c>
      <c r="I724" s="21" t="s">
        <v>767</v>
      </c>
      <c r="J724" s="163">
        <v>1</v>
      </c>
      <c r="K724" s="294">
        <v>600000</v>
      </c>
      <c r="L724" s="298"/>
      <c r="M724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724" s="292">
        <f>IFERROR(Tabla4[[#This Row],[Sub Total]]*VLOOKUP(Tabla4[[#This Row],[No]],Parametros!A:C,3,0),0)</f>
        <v>114000</v>
      </c>
      <c r="O724" s="292">
        <f>+Tabla4[[#This Row],[IVA]]+Tabla4[[#This Row],[Sub Total]]</f>
        <v>714000</v>
      </c>
    </row>
    <row r="725" spans="1:15" ht="30" x14ac:dyDescent="0.2">
      <c r="A725" s="6">
        <v>651</v>
      </c>
      <c r="B725" s="6" t="str">
        <f>VLOOKUP(Tabla4[[#This Row],[Codigo]],Tabla2[[Cod]:[Nombre ]],2,0)</f>
        <v>P-1043</v>
      </c>
      <c r="C725" s="53">
        <f>VLOOKUP(Tabla4[[#This Row],[Codigo]],Tabla2[[Cod]:[Nombre ]],3,0)</f>
        <v>46062</v>
      </c>
      <c r="D725" s="6" t="str">
        <f>VLOOKUP(Tabla4[[#This Row],[Codigo]],Tabla2[[Cod]:[Nombre ]],4,0)</f>
        <v>TIS-1614</v>
      </c>
      <c r="E725" s="5" t="str">
        <f>VLOOKUP(Tabla4[[#This Row],[Codigo]],Tabla2[[Cod]:[Nombre ]],8,0)</f>
        <v>CONTROLAR SALUD INTEGRAL SAS</v>
      </c>
      <c r="F725" s="5" t="str">
        <f>VLOOKUP(Tabla4[[#This Row],[Codigo]],Tabla2[[Cod]:[Nombre ]],6,0)</f>
        <v>OK</v>
      </c>
      <c r="G725" s="7" t="s">
        <v>415</v>
      </c>
      <c r="H725" s="21" t="s">
        <v>605</v>
      </c>
      <c r="I725" s="21" t="s">
        <v>768</v>
      </c>
      <c r="J725" s="163">
        <v>1</v>
      </c>
      <c r="K725" s="294">
        <v>600000</v>
      </c>
      <c r="L725" s="298"/>
      <c r="M725" s="292">
        <f>IF(LEFT(Tabla4[[#This Row],[Electronica]],2)="NC",-Tabla4[[#This Row],[Cantidad]]*Tabla4[[#This Row],[Precio]]+Tabla4[[#This Row],[Dto]],Tabla4[[#This Row],[Cantidad]]*Tabla4[[#This Row],[Precio]]-Tabla4[[#This Row],[Dto]])</f>
        <v>600000</v>
      </c>
      <c r="N725" s="292">
        <f>IFERROR(Tabla4[[#This Row],[Sub Total]]*VLOOKUP(Tabla4[[#This Row],[No]],Parametros!A:C,3,0),0)</f>
        <v>114000</v>
      </c>
      <c r="O725" s="292">
        <f>+Tabla4[[#This Row],[IVA]]+Tabla4[[#This Row],[Sub Total]]</f>
        <v>714000</v>
      </c>
    </row>
    <row r="726" spans="1:15" ht="30" x14ac:dyDescent="0.2">
      <c r="A726" s="6">
        <v>652</v>
      </c>
      <c r="B726" s="6" t="str">
        <f>VLOOKUP(Tabla4[[#This Row],[Codigo]],Tabla2[[Cod]:[Nombre ]],2,0)</f>
        <v>P-1044</v>
      </c>
      <c r="C726" s="53">
        <f>VLOOKUP(Tabla4[[#This Row],[Codigo]],Tabla2[[Cod]:[Nombre ]],3,0)</f>
        <v>46062</v>
      </c>
      <c r="D726" s="6" t="str">
        <f>VLOOKUP(Tabla4[[#This Row],[Codigo]],Tabla2[[Cod]:[Nombre ]],4,0)</f>
        <v>TIS-1615</v>
      </c>
      <c r="E726" s="5" t="str">
        <f>VLOOKUP(Tabla4[[#This Row],[Codigo]],Tabla2[[Cod]:[Nombre ]],8,0)</f>
        <v>EPITHINK HEALTH CONSULTING S.A.S.</v>
      </c>
      <c r="F726" s="5" t="str">
        <f>VLOOKUP(Tabla4[[#This Row],[Codigo]],Tabla2[[Cod]:[Nombre ]],6,0)</f>
        <v>OK</v>
      </c>
      <c r="G726" s="7">
        <v>13</v>
      </c>
      <c r="H726" s="21" t="s">
        <v>596</v>
      </c>
      <c r="I726" s="21" t="s">
        <v>769</v>
      </c>
      <c r="J726" s="163">
        <v>1</v>
      </c>
      <c r="K726" s="294">
        <v>1800000</v>
      </c>
      <c r="L726" s="298"/>
      <c r="M726" s="292">
        <f>IF(LEFT(Tabla4[[#This Row],[Electronica]],2)="NC",-Tabla4[[#This Row],[Cantidad]]*Tabla4[[#This Row],[Precio]]+Tabla4[[#This Row],[Dto]],Tabla4[[#This Row],[Cantidad]]*Tabla4[[#This Row],[Precio]]-Tabla4[[#This Row],[Dto]])</f>
        <v>1800000</v>
      </c>
      <c r="N726" s="292">
        <f>IFERROR(Tabla4[[#This Row],[Sub Total]]*VLOOKUP(Tabla4[[#This Row],[No]],Parametros!A:C,3,0),0)</f>
        <v>342000</v>
      </c>
      <c r="O726" s="292">
        <f>+Tabla4[[#This Row],[IVA]]+Tabla4[[#This Row],[Sub Total]]</f>
        <v>2142000</v>
      </c>
    </row>
    <row r="727" spans="1:15" ht="30" x14ac:dyDescent="0.2">
      <c r="A727" s="6">
        <v>653</v>
      </c>
      <c r="B727" s="6" t="str">
        <f>VLOOKUP(Tabla4[[#This Row],[Codigo]],Tabla2[[Cod]:[Nombre ]],2,0)</f>
        <v>P-1045</v>
      </c>
      <c r="C727" s="53">
        <f>VLOOKUP(Tabla4[[#This Row],[Codigo]],Tabla2[[Cod]:[Nombre ]],3,0)</f>
        <v>46064</v>
      </c>
      <c r="D727" s="6" t="str">
        <f>VLOOKUP(Tabla4[[#This Row],[Codigo]],Tabla2[[Cod]:[Nombre ]],4,0)</f>
        <v>TIS-1616</v>
      </c>
      <c r="E727" s="5" t="str">
        <f>VLOOKUP(Tabla4[[#This Row],[Codigo]],Tabla2[[Cod]:[Nombre ]],8,0)</f>
        <v>ELKIN EDUARDO ORTIZ ORTIZ</v>
      </c>
      <c r="F727" s="5" t="str">
        <f>VLOOKUP(Tabla4[[#This Row],[Codigo]],Tabla2[[Cod]:[Nombre ]],6,0)</f>
        <v>OK</v>
      </c>
      <c r="G727" s="7" t="s">
        <v>420</v>
      </c>
      <c r="H727" s="21" t="s">
        <v>551</v>
      </c>
      <c r="I727" s="21" t="s">
        <v>770</v>
      </c>
      <c r="J727" s="163">
        <v>1</v>
      </c>
      <c r="K727" s="294">
        <v>5600000</v>
      </c>
      <c r="L727" s="298"/>
      <c r="M727" s="292">
        <f>IF(LEFT(Tabla4[[#This Row],[Electronica]],2)="NC",-Tabla4[[#This Row],[Cantidad]]*Tabla4[[#This Row],[Precio]]+Tabla4[[#This Row],[Dto]],Tabla4[[#This Row],[Cantidad]]*Tabla4[[#This Row],[Precio]]-Tabla4[[#This Row],[Dto]])</f>
        <v>5600000</v>
      </c>
      <c r="N727" s="292">
        <f>IFERROR(Tabla4[[#This Row],[Sub Total]]*VLOOKUP(Tabla4[[#This Row],[No]],Parametros!A:C,3,0),0)</f>
        <v>1064000</v>
      </c>
      <c r="O727" s="292">
        <f>+Tabla4[[#This Row],[IVA]]+Tabla4[[#This Row],[Sub Total]]</f>
        <v>6664000</v>
      </c>
    </row>
    <row r="728" spans="1:15" ht="36" x14ac:dyDescent="0.2">
      <c r="A728" s="6">
        <v>654</v>
      </c>
      <c r="B728" s="6" t="str">
        <f>VLOOKUP(Tabla4[[#This Row],[Codigo]],Tabla2[[Cod]:[Nombre ]],2,0)</f>
        <v>P-1046</v>
      </c>
      <c r="C728" s="53">
        <f>VLOOKUP(Tabla4[[#This Row],[Codigo]],Tabla2[[Cod]:[Nombre ]],3,0)</f>
        <v>46064</v>
      </c>
      <c r="D728" s="6" t="str">
        <f>VLOOKUP(Tabla4[[#This Row],[Codigo]],Tabla2[[Cod]:[Nombre ]],4,0)</f>
        <v>TIS-1617</v>
      </c>
      <c r="E728" s="5" t="str">
        <f>VLOOKUP(Tabla4[[#This Row],[Codigo]],Tabla2[[Cod]:[Nombre ]],8,0)</f>
        <v>ATECNO S.A.S</v>
      </c>
      <c r="F728" s="5" t="str">
        <f>VLOOKUP(Tabla4[[#This Row],[Codigo]],Tabla2[[Cod]:[Nombre ]],6,0)</f>
        <v>OK</v>
      </c>
      <c r="G728" s="7" t="s">
        <v>282</v>
      </c>
      <c r="H728" s="21" t="s">
        <v>519</v>
      </c>
      <c r="I728" s="21" t="s">
        <v>771</v>
      </c>
      <c r="J728" s="163">
        <v>163</v>
      </c>
      <c r="K728" s="294">
        <v>30000</v>
      </c>
      <c r="L728" s="298"/>
      <c r="M728" s="292">
        <f>IF(LEFT(Tabla4[[#This Row],[Electronica]],2)="NC",-Tabla4[[#This Row],[Cantidad]]*Tabla4[[#This Row],[Precio]]+Tabla4[[#This Row],[Dto]],Tabla4[[#This Row],[Cantidad]]*Tabla4[[#This Row],[Precio]]-Tabla4[[#This Row],[Dto]])</f>
        <v>4890000</v>
      </c>
      <c r="N728" s="292">
        <f>IFERROR(Tabla4[[#This Row],[Sub Total]]*VLOOKUP(Tabla4[[#This Row],[No]],Parametros!A:C,3,0),0)</f>
        <v>929100</v>
      </c>
      <c r="O728" s="292">
        <f>+Tabla4[[#This Row],[IVA]]+Tabla4[[#This Row],[Sub Total]]</f>
        <v>5819100</v>
      </c>
    </row>
    <row r="729" spans="1:15" ht="30" x14ac:dyDescent="0.2">
      <c r="A729" s="6">
        <v>655</v>
      </c>
      <c r="B729" s="6" t="str">
        <f>VLOOKUP(Tabla4[[#This Row],[Codigo]],Tabla2[[Cod]:[Nombre ]],2,0)</f>
        <v>P-1047</v>
      </c>
      <c r="C729" s="53">
        <f>VLOOKUP(Tabla4[[#This Row],[Codigo]],Tabla2[[Cod]:[Nombre ]],3,0)</f>
        <v>46069</v>
      </c>
      <c r="D729" s="6" t="str">
        <f>VLOOKUP(Tabla4[[#This Row],[Codigo]],Tabla2[[Cod]:[Nombre ]],4,0)</f>
        <v>TIS-1618</v>
      </c>
      <c r="E729" s="5" t="str">
        <f>VLOOKUP(Tabla4[[#This Row],[Codigo]],Tabla2[[Cod]:[Nombre ]],8,0)</f>
        <v>CONTROLAR SALUD INTEGRAL SAS</v>
      </c>
      <c r="F729" s="5" t="str">
        <f>VLOOKUP(Tabla4[[#This Row],[Codigo]],Tabla2[[Cod]:[Nombre ]],6,0)</f>
        <v>OK</v>
      </c>
      <c r="G729" s="7">
        <v>12</v>
      </c>
      <c r="H729" s="21" t="s">
        <v>608</v>
      </c>
      <c r="I729" s="21" t="s">
        <v>710</v>
      </c>
      <c r="J729" s="163">
        <v>1</v>
      </c>
      <c r="K729" s="294">
        <v>2000000</v>
      </c>
      <c r="L729" s="298"/>
      <c r="M729" s="292">
        <f>IF(LEFT(Tabla4[[#This Row],[Electronica]],2)="NC",-Tabla4[[#This Row],[Cantidad]]*Tabla4[[#This Row],[Precio]]+Tabla4[[#This Row],[Dto]],Tabla4[[#This Row],[Cantidad]]*Tabla4[[#This Row],[Precio]]-Tabla4[[#This Row],[Dto]])</f>
        <v>2000000</v>
      </c>
      <c r="N729" s="292">
        <f>IFERROR(Tabla4[[#This Row],[Sub Total]]*VLOOKUP(Tabla4[[#This Row],[No]],Parametros!A:C,3,0),0)</f>
        <v>0</v>
      </c>
      <c r="O729" s="292">
        <f>+Tabla4[[#This Row],[IVA]]+Tabla4[[#This Row],[Sub Total]]</f>
        <v>2000000</v>
      </c>
    </row>
    <row r="730" spans="1:15" ht="30" x14ac:dyDescent="0.2">
      <c r="A730" s="6">
        <v>656</v>
      </c>
      <c r="B730" s="6" t="str">
        <f>VLOOKUP(Tabla4[[#This Row],[Codigo]],Tabla2[[Cod]:[Nombre ]],2,0)</f>
        <v>P-1048</v>
      </c>
      <c r="C730" s="53">
        <f>VLOOKUP(Tabla4[[#This Row],[Codigo]],Tabla2[[Cod]:[Nombre ]],3,0)</f>
        <v>46076</v>
      </c>
      <c r="D730" s="6" t="str">
        <f>VLOOKUP(Tabla4[[#This Row],[Codigo]],Tabla2[[Cod]:[Nombre ]],4,0)</f>
        <v>NCTS100</v>
      </c>
      <c r="E730" s="5" t="str">
        <f>VLOOKUP(Tabla4[[#This Row],[Codigo]],Tabla2[[Cod]:[Nombre ]],8,0)</f>
        <v>CONTROLAR SALUD INTEGRAL SAS</v>
      </c>
      <c r="F730" s="5" t="str">
        <f>VLOOKUP(Tabla4[[#This Row],[Codigo]],Tabla2[[Cod]:[Nombre ]],6,0)</f>
        <v>OK</v>
      </c>
      <c r="G730" s="7">
        <v>12</v>
      </c>
      <c r="H730" s="21" t="s">
        <v>608</v>
      </c>
      <c r="I730" s="21" t="s">
        <v>698</v>
      </c>
      <c r="J730" s="163">
        <v>1</v>
      </c>
      <c r="K730" s="294">
        <v>2000000</v>
      </c>
      <c r="L730" s="298"/>
      <c r="M730" s="292">
        <f>IF(LEFT(Tabla4[[#This Row],[Electronica]],2)="NC",-Tabla4[[#This Row],[Cantidad]]*Tabla4[[#This Row],[Precio]]+Tabla4[[#This Row],[Dto]],Tabla4[[#This Row],[Cantidad]]*Tabla4[[#This Row],[Precio]]-Tabla4[[#This Row],[Dto]])</f>
        <v>-2000000</v>
      </c>
      <c r="N730" s="292">
        <f>IFERROR(Tabla4[[#This Row],[Sub Total]]*VLOOKUP(Tabla4[[#This Row],[No]],Parametros!A:C,3,0),0)</f>
        <v>0</v>
      </c>
      <c r="O730" s="292">
        <f>+Tabla4[[#This Row],[IVA]]+Tabla4[[#This Row],[Sub Total]]</f>
        <v>-2000000</v>
      </c>
    </row>
    <row r="731" spans="1:15" ht="24" x14ac:dyDescent="0.2">
      <c r="A731" s="6">
        <v>657</v>
      </c>
      <c r="B731" s="6" t="str">
        <f>VLOOKUP(Tabla4[[#This Row],[Codigo]],Tabla2[[Cod]:[Nombre ]],2,0)</f>
        <v>P-1049</v>
      </c>
      <c r="C731" s="53">
        <f>VLOOKUP(Tabla4[[#This Row],[Codigo]],Tabla2[[Cod]:[Nombre ]],3,0)</f>
        <v>46076</v>
      </c>
      <c r="D731" s="6" t="str">
        <f>VLOOKUP(Tabla4[[#This Row],[Codigo]],Tabla2[[Cod]:[Nombre ]],4,0)</f>
        <v>TIS-1619</v>
      </c>
      <c r="E731" s="5" t="str">
        <f>VLOOKUP(Tabla4[[#This Row],[Codigo]],Tabla2[[Cod]:[Nombre ]],8,0)</f>
        <v>GREEN OAK SAS.</v>
      </c>
      <c r="F731" s="5" t="str">
        <f>VLOOKUP(Tabla4[[#This Row],[Codigo]],Tabla2[[Cod]:[Nombre ]],6,0)</f>
        <v>OK</v>
      </c>
      <c r="G731" s="7" t="s">
        <v>433</v>
      </c>
      <c r="H731" s="21" t="s">
        <v>517</v>
      </c>
      <c r="I731" s="21" t="s">
        <v>622</v>
      </c>
      <c r="J731" s="163">
        <v>1</v>
      </c>
      <c r="K731" s="294">
        <v>700000</v>
      </c>
      <c r="L731" s="298"/>
      <c r="M731" s="292">
        <f>IF(LEFT(Tabla4[[#This Row],[Electronica]],2)="NC",-Tabla4[[#This Row],[Cantidad]]*Tabla4[[#This Row],[Precio]]+Tabla4[[#This Row],[Dto]],Tabla4[[#This Row],[Cantidad]]*Tabla4[[#This Row],[Precio]]-Tabla4[[#This Row],[Dto]])</f>
        <v>700000</v>
      </c>
      <c r="N731" s="292">
        <f>IFERROR(Tabla4[[#This Row],[Sub Total]]*VLOOKUP(Tabla4[[#This Row],[No]],Parametros!A:C,3,0),0)</f>
        <v>133000</v>
      </c>
      <c r="O731" s="292">
        <f>+Tabla4[[#This Row],[IVA]]+Tabla4[[#This Row],[Sub Total]]</f>
        <v>833000</v>
      </c>
    </row>
    <row r="732" spans="1:15" ht="30" x14ac:dyDescent="0.2">
      <c r="A732" s="6">
        <v>658</v>
      </c>
      <c r="B732" s="6" t="str">
        <f>VLOOKUP(Tabla4[[#This Row],[Codigo]],Tabla2[[Cod]:[Nombre ]],2,0)</f>
        <v>P-1050</v>
      </c>
      <c r="C732" s="53">
        <f>VLOOKUP(Tabla4[[#This Row],[Codigo]],Tabla2[[Cod]:[Nombre ]],3,0)</f>
        <v>46086</v>
      </c>
      <c r="D732" s="6" t="str">
        <f>VLOOKUP(Tabla4[[#This Row],[Codigo]],Tabla2[[Cod]:[Nombre ]],4,0)</f>
        <v>TIS-1628</v>
      </c>
      <c r="E732" s="5" t="str">
        <f>VLOOKUP(Tabla4[[#This Row],[Codigo]],Tabla2[[Cod]:[Nombre ]],8,0)</f>
        <v>HERRAMIENTAS UNIDAS S.A.S.</v>
      </c>
      <c r="F732" s="5" t="str">
        <f>VLOOKUP(Tabla4[[#This Row],[Codigo]],Tabla2[[Cod]:[Nombre ]],6,0)</f>
        <v>OK</v>
      </c>
      <c r="G732" s="7" t="s">
        <v>420</v>
      </c>
      <c r="H732" s="21" t="s">
        <v>551</v>
      </c>
      <c r="I732" s="21" t="s">
        <v>772</v>
      </c>
      <c r="J732" s="163">
        <v>1</v>
      </c>
      <c r="K732" s="294">
        <v>1300000</v>
      </c>
      <c r="L732" s="298"/>
      <c r="M732" s="359">
        <f>IF(LEFT(Tabla4[[#This Row],[Electronica]],2)="NC",-Tabla4[[#This Row],[Cantidad]]*Tabla4[[#This Row],[Precio]]+Tabla4[[#This Row],[Dto]],Tabla4[[#This Row],[Cantidad]]*Tabla4[[#This Row],[Precio]]-Tabla4[[#This Row],[Dto]])</f>
        <v>1300000</v>
      </c>
      <c r="N732" s="359">
        <f>IFERROR(Tabla4[[#This Row],[Sub Total]]*VLOOKUP(Tabla4[[#This Row],[No]],Parametros!A:C,3,0),0)</f>
        <v>247000</v>
      </c>
      <c r="O732" s="359">
        <f>+Tabla4[[#This Row],[IVA]]+Tabla4[[#This Row],[Sub Total]]</f>
        <v>1547000</v>
      </c>
    </row>
    <row r="733" spans="1:15" ht="30" x14ac:dyDescent="0.2">
      <c r="A733" s="6">
        <v>659</v>
      </c>
      <c r="B733" s="6" t="str">
        <f>VLOOKUP(Tabla4[[#This Row],[Codigo]],Tabla2[[Cod]:[Nombre ]],2,0)</f>
        <v>P-1051</v>
      </c>
      <c r="C733" s="53">
        <f>VLOOKUP(Tabla4[[#This Row],[Codigo]],Tabla2[[Cod]:[Nombre ]],3,0)</f>
        <v>46086</v>
      </c>
      <c r="D733" s="6" t="str">
        <f>VLOOKUP(Tabla4[[#This Row],[Codigo]],Tabla2[[Cod]:[Nombre ]],4,0)</f>
        <v>TIS-1629</v>
      </c>
      <c r="E733" s="5" t="str">
        <f>VLOOKUP(Tabla4[[#This Row],[Codigo]],Tabla2[[Cod]:[Nombre ]],8,0)</f>
        <v>AVAL VALOR COMPARTIDO S.A.S.</v>
      </c>
      <c r="F733" s="5" t="str">
        <f>VLOOKUP(Tabla4[[#This Row],[Codigo]],Tabla2[[Cod]:[Nombre ]],6,0)</f>
        <v>OK</v>
      </c>
      <c r="G733" s="7" t="s">
        <v>282</v>
      </c>
      <c r="H733" s="21" t="s">
        <v>16</v>
      </c>
      <c r="I733" s="21" t="s">
        <v>645</v>
      </c>
      <c r="J733" s="163">
        <v>680</v>
      </c>
      <c r="K733" s="294">
        <v>30000</v>
      </c>
      <c r="L733" s="298"/>
      <c r="M733" s="359">
        <f>IF(LEFT(Tabla4[[#This Row],[Electronica]],2)="NC",-Tabla4[[#This Row],[Cantidad]]*Tabla4[[#This Row],[Precio]]+Tabla4[[#This Row],[Dto]],Tabla4[[#This Row],[Cantidad]]*Tabla4[[#This Row],[Precio]]-Tabla4[[#This Row],[Dto]])</f>
        <v>20400000</v>
      </c>
      <c r="N733" s="359">
        <f>IFERROR(Tabla4[[#This Row],[Sub Total]]*VLOOKUP(Tabla4[[#This Row],[No]],Parametros!A:C,3,0),0)</f>
        <v>3876000</v>
      </c>
      <c r="O733" s="359">
        <f>+Tabla4[[#This Row],[IVA]]+Tabla4[[#This Row],[Sub Total]]</f>
        <v>24276000</v>
      </c>
    </row>
    <row r="734" spans="1:15" ht="36" x14ac:dyDescent="0.2">
      <c r="A734" s="6">
        <v>660</v>
      </c>
      <c r="B734" s="6" t="str">
        <f>VLOOKUP(Tabla4[[#This Row],[Codigo]],Tabla2[[Cod]:[Nombre ]],2,0)</f>
        <v>P-1052</v>
      </c>
      <c r="C734" s="53">
        <f>VLOOKUP(Tabla4[[#This Row],[Codigo]],Tabla2[[Cod]:[Nombre ]],3,0)</f>
        <v>46090</v>
      </c>
      <c r="D734" s="6" t="str">
        <f>VLOOKUP(Tabla4[[#This Row],[Codigo]],Tabla2[[Cod]:[Nombre ]],4,0)</f>
        <v>TIS-1620</v>
      </c>
      <c r="E734" s="5" t="str">
        <f>VLOOKUP(Tabla4[[#This Row],[Codigo]],Tabla2[[Cod]:[Nombre ]],8,0)</f>
        <v>Comercializadora ERZ SAS</v>
      </c>
      <c r="F734" s="5" t="str">
        <f>VLOOKUP(Tabla4[[#This Row],[Codigo]],Tabla2[[Cod]:[Nombre ]],6,0)</f>
        <v>OK</v>
      </c>
      <c r="G734" s="7" t="s">
        <v>416</v>
      </c>
      <c r="H734" s="21" t="s">
        <v>519</v>
      </c>
      <c r="I734" s="21" t="s">
        <v>771</v>
      </c>
      <c r="J734" s="163">
        <v>1</v>
      </c>
      <c r="K734" s="294">
        <v>300000</v>
      </c>
      <c r="L734" s="298"/>
      <c r="M734" s="359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734" s="359">
        <f>IFERROR(Tabla4[[#This Row],[Sub Total]]*VLOOKUP(Tabla4[[#This Row],[No]],Parametros!A:C,3,0),0)</f>
        <v>57000</v>
      </c>
      <c r="O734" s="359">
        <f>+Tabla4[[#This Row],[IVA]]+Tabla4[[#This Row],[Sub Total]]</f>
        <v>357000</v>
      </c>
    </row>
    <row r="735" spans="1:15" ht="45" x14ac:dyDescent="0.2">
      <c r="A735" s="6">
        <v>661</v>
      </c>
      <c r="B735" s="6" t="str">
        <f>VLOOKUP(Tabla4[[#This Row],[Codigo]],Tabla2[[Cod]:[Nombre ]],2,0)</f>
        <v>P-1053</v>
      </c>
      <c r="C735" s="53">
        <f>VLOOKUP(Tabla4[[#This Row],[Codigo]],Tabla2[[Cod]:[Nombre ]],3,0)</f>
        <v>46090</v>
      </c>
      <c r="D735" s="6" t="str">
        <f>VLOOKUP(Tabla4[[#This Row],[Codigo]],Tabla2[[Cod]:[Nombre ]],4,0)</f>
        <v>TIS-1621</v>
      </c>
      <c r="E735" s="5" t="s">
        <v>65</v>
      </c>
      <c r="F735" s="5" t="str">
        <f>VLOOKUP(Tabla4[[#This Row],[Codigo]],Tabla2[[Cod]:[Nombre ]],6,0)</f>
        <v>OK</v>
      </c>
      <c r="G735" s="7" t="s">
        <v>416</v>
      </c>
      <c r="H735" s="21" t="s">
        <v>519</v>
      </c>
      <c r="I735" s="21" t="s">
        <v>771</v>
      </c>
      <c r="J735" s="163">
        <v>1</v>
      </c>
      <c r="K735" s="294">
        <v>300000</v>
      </c>
      <c r="L735" s="298"/>
      <c r="M735" s="359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735" s="359">
        <f>IFERROR(Tabla4[[#This Row],[Sub Total]]*VLOOKUP(Tabla4[[#This Row],[No]],Parametros!A:C,3,0),0)</f>
        <v>57000</v>
      </c>
      <c r="O735" s="359">
        <f>+Tabla4[[#This Row],[IVA]]+Tabla4[[#This Row],[Sub Total]]</f>
        <v>357000</v>
      </c>
    </row>
    <row r="736" spans="1:15" ht="36" x14ac:dyDescent="0.2">
      <c r="A736" s="6">
        <v>662</v>
      </c>
      <c r="B736" s="6" t="str">
        <f>VLOOKUP(Tabla4[[#This Row],[Codigo]],Tabla2[[Cod]:[Nombre ]],2,0)</f>
        <v>P-1054</v>
      </c>
      <c r="C736" s="53">
        <f>VLOOKUP(Tabla4[[#This Row],[Codigo]],Tabla2[[Cod]:[Nombre ]],3,0)</f>
        <v>46090</v>
      </c>
      <c r="D736" s="6" t="str">
        <f>VLOOKUP(Tabla4[[#This Row],[Codigo]],Tabla2[[Cod]:[Nombre ]],4,0)</f>
        <v>TIS-1622</v>
      </c>
      <c r="E736" s="5" t="str">
        <f>VLOOKUP(Tabla4[[#This Row],[Codigo]],Tabla2[[Cod]:[Nombre ]],8,0)</f>
        <v>ROYCO SOLUCIONES SAS</v>
      </c>
      <c r="F736" s="5" t="str">
        <f>VLOOKUP(Tabla4[[#This Row],[Codigo]],Tabla2[[Cod]:[Nombre ]],6,0)</f>
        <v>OK</v>
      </c>
      <c r="G736" s="7" t="s">
        <v>416</v>
      </c>
      <c r="H736" s="21" t="s">
        <v>519</v>
      </c>
      <c r="I736" s="21" t="s">
        <v>771</v>
      </c>
      <c r="J736" s="163">
        <v>1</v>
      </c>
      <c r="K736" s="294">
        <v>300000</v>
      </c>
      <c r="L736" s="298"/>
      <c r="M736" s="359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736" s="359">
        <f>IFERROR(Tabla4[[#This Row],[Sub Total]]*VLOOKUP(Tabla4[[#This Row],[No]],Parametros!A:C,3,0),0)</f>
        <v>57000</v>
      </c>
      <c r="O736" s="359">
        <f>+Tabla4[[#This Row],[IVA]]+Tabla4[[#This Row],[Sub Total]]</f>
        <v>357000</v>
      </c>
    </row>
    <row r="737" spans="1:15" ht="36" x14ac:dyDescent="0.2">
      <c r="A737" s="6">
        <v>663</v>
      </c>
      <c r="B737" s="6" t="str">
        <f>VLOOKUP(Tabla4[[#This Row],[Codigo]],Tabla2[[Cod]:[Nombre ]],2,0)</f>
        <v>P-1055</v>
      </c>
      <c r="C737" s="53">
        <f>VLOOKUP(Tabla4[[#This Row],[Codigo]],Tabla2[[Cod]:[Nombre ]],3,0)</f>
        <v>46090</v>
      </c>
      <c r="D737" s="6" t="str">
        <f>VLOOKUP(Tabla4[[#This Row],[Codigo]],Tabla2[[Cod]:[Nombre ]],4,0)</f>
        <v>TIS-1623</v>
      </c>
      <c r="E737" s="5" t="str">
        <f>VLOOKUP(Tabla4[[#This Row],[Codigo]],Tabla2[[Cod]:[Nombre ]],8,0)</f>
        <v>AND TOPOGRAFIA E INGENIERIA SAS</v>
      </c>
      <c r="F737" s="5" t="str">
        <f>VLOOKUP(Tabla4[[#This Row],[Codigo]],Tabla2[[Cod]:[Nombre ]],6,0)</f>
        <v>OK</v>
      </c>
      <c r="G737" s="7" t="s">
        <v>417</v>
      </c>
      <c r="H737" s="21" t="s">
        <v>525</v>
      </c>
      <c r="I737" s="21" t="s">
        <v>771</v>
      </c>
      <c r="J737" s="163">
        <v>1</v>
      </c>
      <c r="K737" s="294">
        <v>300000</v>
      </c>
      <c r="L737" s="298"/>
      <c r="M737" s="359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737" s="359">
        <f>IFERROR(Tabla4[[#This Row],[Sub Total]]*VLOOKUP(Tabla4[[#This Row],[No]],Parametros!A:C,3,0),0)</f>
        <v>0</v>
      </c>
      <c r="O737" s="359">
        <f>+Tabla4[[#This Row],[IVA]]+Tabla4[[#This Row],[Sub Total]]</f>
        <v>300000</v>
      </c>
    </row>
    <row r="738" spans="1:15" ht="36" x14ac:dyDescent="0.2">
      <c r="A738" s="6">
        <v>664</v>
      </c>
      <c r="B738" s="6" t="str">
        <f>VLOOKUP(Tabla4[[#This Row],[Codigo]],Tabla2[[Cod]:[Nombre ]],2,0)</f>
        <v>P-1056</v>
      </c>
      <c r="C738" s="53">
        <f>VLOOKUP(Tabla4[[#This Row],[Codigo]],Tabla2[[Cod]:[Nombre ]],3,0)</f>
        <v>46090</v>
      </c>
      <c r="D738" s="6" t="str">
        <f>VLOOKUP(Tabla4[[#This Row],[Codigo]],Tabla2[[Cod]:[Nombre ]],4,0)</f>
        <v>TIS-1624</v>
      </c>
      <c r="E738" s="5" t="str">
        <f>VLOOKUP(Tabla4[[#This Row],[Codigo]],Tabla2[[Cod]:[Nombre ]],8,0)</f>
        <v>Inversiones Sajamib SAS</v>
      </c>
      <c r="F738" s="5" t="str">
        <f>VLOOKUP(Tabla4[[#This Row],[Codigo]],Tabla2[[Cod]:[Nombre ]],6,0)</f>
        <v>OK</v>
      </c>
      <c r="G738" s="7" t="s">
        <v>417</v>
      </c>
      <c r="H738" s="21" t="s">
        <v>525</v>
      </c>
      <c r="I738" s="21" t="s">
        <v>771</v>
      </c>
      <c r="J738" s="163">
        <v>1</v>
      </c>
      <c r="K738" s="294">
        <v>480000</v>
      </c>
      <c r="L738" s="298"/>
      <c r="M738" s="359">
        <f>IF(LEFT(Tabla4[[#This Row],[Electronica]],2)="NC",-Tabla4[[#This Row],[Cantidad]]*Tabla4[[#This Row],[Precio]]+Tabla4[[#This Row],[Dto]],Tabla4[[#This Row],[Cantidad]]*Tabla4[[#This Row],[Precio]]-Tabla4[[#This Row],[Dto]])</f>
        <v>480000</v>
      </c>
      <c r="N738" s="359">
        <f>IFERROR(Tabla4[[#This Row],[Sub Total]]*VLOOKUP(Tabla4[[#This Row],[No]],Parametros!A:C,3,0),0)</f>
        <v>0</v>
      </c>
      <c r="O738" s="359">
        <f>+Tabla4[[#This Row],[IVA]]+Tabla4[[#This Row],[Sub Total]]</f>
        <v>480000</v>
      </c>
    </row>
    <row r="739" spans="1:15" ht="36" x14ac:dyDescent="0.2">
      <c r="A739" s="6">
        <v>665</v>
      </c>
      <c r="B739" s="6" t="str">
        <f>VLOOKUP(Tabla4[[#This Row],[Codigo]],Tabla2[[Cod]:[Nombre ]],2,0)</f>
        <v>P-1057</v>
      </c>
      <c r="C739" s="53">
        <f>VLOOKUP(Tabla4[[#This Row],[Codigo]],Tabla2[[Cod]:[Nombre ]],3,0)</f>
        <v>46090</v>
      </c>
      <c r="D739" s="6" t="str">
        <f>VLOOKUP(Tabla4[[#This Row],[Codigo]],Tabla2[[Cod]:[Nombre ]],4,0)</f>
        <v>TIS-1625</v>
      </c>
      <c r="E739" s="5" t="str">
        <f>VLOOKUP(Tabla4[[#This Row],[Codigo]],Tabla2[[Cod]:[Nombre ]],8,0)</f>
        <v>SOLUCIONES CREATIVAS Y TURÍSTICAS</v>
      </c>
      <c r="F739" s="5" t="str">
        <f>VLOOKUP(Tabla4[[#This Row],[Codigo]],Tabla2[[Cod]:[Nombre ]],6,0)</f>
        <v>OK</v>
      </c>
      <c r="G739" s="7" t="s">
        <v>416</v>
      </c>
      <c r="H739" s="21" t="s">
        <v>519</v>
      </c>
      <c r="I739" s="21" t="s">
        <v>771</v>
      </c>
      <c r="J739" s="163">
        <v>1</v>
      </c>
      <c r="K739" s="294">
        <v>1000000</v>
      </c>
      <c r="L739" s="298"/>
      <c r="M739" s="359">
        <f>IF(LEFT(Tabla4[[#This Row],[Electronica]],2)="NC",-Tabla4[[#This Row],[Cantidad]]*Tabla4[[#This Row],[Precio]]+Tabla4[[#This Row],[Dto]],Tabla4[[#This Row],[Cantidad]]*Tabla4[[#This Row],[Precio]]-Tabla4[[#This Row],[Dto]])</f>
        <v>1000000</v>
      </c>
      <c r="N739" s="359">
        <f>IFERROR(Tabla4[[#This Row],[Sub Total]]*VLOOKUP(Tabla4[[#This Row],[No]],Parametros!A:C,3,0),0)</f>
        <v>190000</v>
      </c>
      <c r="O739" s="359">
        <f>+Tabla4[[#This Row],[IVA]]+Tabla4[[#This Row],[Sub Total]]</f>
        <v>1190000</v>
      </c>
    </row>
    <row r="740" spans="1:15" ht="45" x14ac:dyDescent="0.2">
      <c r="A740" s="6">
        <v>666</v>
      </c>
      <c r="B740" s="6" t="str">
        <f>VLOOKUP(Tabla4[[#This Row],[Codigo]],Tabla2[[Cod]:[Nombre ]],2,0)</f>
        <v>P-1058</v>
      </c>
      <c r="C740" s="53">
        <f>VLOOKUP(Tabla4[[#This Row],[Codigo]],Tabla2[[Cod]:[Nombre ]],3,0)</f>
        <v>46090</v>
      </c>
      <c r="D740" s="6" t="str">
        <f>VLOOKUP(Tabla4[[#This Row],[Codigo]],Tabla2[[Cod]:[Nombre ]],4,0)</f>
        <v>TIS-1626</v>
      </c>
      <c r="E740" s="5" t="str">
        <f>VLOOKUP(Tabla4[[#This Row],[Codigo]],Tabla2[[Cod]:[Nombre ]],8,0)</f>
        <v>CENTRO DE ATENCION E INVESTIGACION MEDICA S.A.S.</v>
      </c>
      <c r="F740" s="5" t="str">
        <f>VLOOKUP(Tabla4[[#This Row],[Codigo]],Tabla2[[Cod]:[Nombre ]],6,0)</f>
        <v>OK</v>
      </c>
      <c r="G740" s="7" t="s">
        <v>416</v>
      </c>
      <c r="H740" s="21" t="s">
        <v>519</v>
      </c>
      <c r="I740" s="21" t="s">
        <v>771</v>
      </c>
      <c r="J740" s="163">
        <v>1</v>
      </c>
      <c r="K740" s="294">
        <v>1000000</v>
      </c>
      <c r="L740" s="298"/>
      <c r="M740" s="359">
        <f>IF(LEFT(Tabla4[[#This Row],[Electronica]],2)="NC",-Tabla4[[#This Row],[Cantidad]]*Tabla4[[#This Row],[Precio]]+Tabla4[[#This Row],[Dto]],Tabla4[[#This Row],[Cantidad]]*Tabla4[[#This Row],[Precio]]-Tabla4[[#This Row],[Dto]])</f>
        <v>1000000</v>
      </c>
      <c r="N740" s="359">
        <f>IFERROR(Tabla4[[#This Row],[Sub Total]]*VLOOKUP(Tabla4[[#This Row],[No]],Parametros!A:C,3,0),0)</f>
        <v>190000</v>
      </c>
      <c r="O740" s="359">
        <f>+Tabla4[[#This Row],[IVA]]+Tabla4[[#This Row],[Sub Total]]</f>
        <v>1190000</v>
      </c>
    </row>
    <row r="741" spans="1:15" ht="48" x14ac:dyDescent="0.2">
      <c r="A741" s="6">
        <v>667</v>
      </c>
      <c r="B741" s="6" t="str">
        <f>VLOOKUP(Tabla4[[#This Row],[Codigo]],Tabla2[[Cod]:[Nombre ]],2,0)</f>
        <v>P-1059</v>
      </c>
      <c r="C741" s="53">
        <f>VLOOKUP(Tabla4[[#This Row],[Codigo]],Tabla2[[Cod]:[Nombre ]],3,0)</f>
        <v>46090</v>
      </c>
      <c r="D741" s="6" t="str">
        <f>VLOOKUP(Tabla4[[#This Row],[Codigo]],Tabla2[[Cod]:[Nombre ]],4,0)</f>
        <v>TIS-1627</v>
      </c>
      <c r="E741" s="5" t="str">
        <f>VLOOKUP(Tabla4[[#This Row],[Codigo]],Tabla2[[Cod]:[Nombre ]],8,0)</f>
        <v>STAFF SEGUROS AGENCIA LTDA</v>
      </c>
      <c r="F741" s="5" t="str">
        <f>VLOOKUP(Tabla4[[#This Row],[Codigo]],Tabla2[[Cod]:[Nombre ]],6,0)</f>
        <v>OK</v>
      </c>
      <c r="G741" s="7" t="s">
        <v>417</v>
      </c>
      <c r="H741" s="21" t="s">
        <v>525</v>
      </c>
      <c r="I741" s="21" t="s">
        <v>773</v>
      </c>
      <c r="J741" s="163">
        <v>1</v>
      </c>
      <c r="K741" s="294">
        <v>1730500</v>
      </c>
      <c r="L741" s="298"/>
      <c r="M741" s="359">
        <f>IF(LEFT(Tabla4[[#This Row],[Electronica]],2)="NC",-Tabla4[[#This Row],[Cantidad]]*Tabla4[[#This Row],[Precio]]+Tabla4[[#This Row],[Dto]],Tabla4[[#This Row],[Cantidad]]*Tabla4[[#This Row],[Precio]]-Tabla4[[#This Row],[Dto]])</f>
        <v>1730500</v>
      </c>
      <c r="N741" s="359">
        <f>IFERROR(Tabla4[[#This Row],[Sub Total]]*VLOOKUP(Tabla4[[#This Row],[No]],Parametros!A:C,3,0),0)</f>
        <v>0</v>
      </c>
      <c r="O741" s="359">
        <f>+Tabla4[[#This Row],[IVA]]+Tabla4[[#This Row],[Sub Total]]</f>
        <v>1730500</v>
      </c>
    </row>
    <row r="742" spans="1:15" ht="36" x14ac:dyDescent="0.2">
      <c r="A742" s="6">
        <v>668</v>
      </c>
      <c r="B742" s="6" t="str">
        <f>VLOOKUP(Tabla4[[#This Row],[Codigo]],Tabla2[[Cod]:[Nombre ]],2,0)</f>
        <v>P-1060</v>
      </c>
      <c r="C742" s="53">
        <f>VLOOKUP(Tabla4[[#This Row],[Codigo]],Tabla2[[Cod]:[Nombre ]],3,0)</f>
        <v>46090</v>
      </c>
      <c r="D742" s="6" t="str">
        <f>VLOOKUP(Tabla4[[#This Row],[Codigo]],Tabla2[[Cod]:[Nombre ]],4,0)</f>
        <v>TIS-1566</v>
      </c>
      <c r="E742" s="5" t="str">
        <f>VLOOKUP(Tabla4[[#This Row],[Codigo]],Tabla2[[Cod]:[Nombre ]],8,0)</f>
        <v>Comercializadora ERZ SAS</v>
      </c>
      <c r="F742" s="5" t="str">
        <f>VLOOKUP(Tabla4[[#This Row],[Codigo]],Tabla2[[Cod]:[Nombre ]],6,0)</f>
        <v>OK</v>
      </c>
      <c r="G742" s="7" t="s">
        <v>416</v>
      </c>
      <c r="H742" s="21" t="s">
        <v>519</v>
      </c>
      <c r="I742" s="21" t="s">
        <v>738</v>
      </c>
      <c r="J742" s="163">
        <v>1</v>
      </c>
      <c r="K742" s="294">
        <v>300000</v>
      </c>
      <c r="L742" s="298"/>
      <c r="M742" s="359">
        <f>IF(LEFT(Tabla4[[#This Row],[Electronica]],2)="NC",-Tabla4[[#This Row],[Cantidad]]*Tabla4[[#This Row],[Precio]]+Tabla4[[#This Row],[Dto]],Tabla4[[#This Row],[Cantidad]]*Tabla4[[#This Row],[Precio]]-Tabla4[[#This Row],[Dto]])</f>
        <v>300000</v>
      </c>
      <c r="N742" s="359">
        <f>IFERROR(Tabla4[[#This Row],[Sub Total]]*VLOOKUP(Tabla4[[#This Row],[No]],Parametros!A:C,3,0),0)</f>
        <v>57000</v>
      </c>
      <c r="O742" s="359">
        <f>+Tabla4[[#This Row],[IVA]]+Tabla4[[#This Row],[Sub Total]]</f>
        <v>357000</v>
      </c>
    </row>
    <row r="1048511" spans="12:14" x14ac:dyDescent="0.25">
      <c r="L1048511" s="292"/>
      <c r="M1048511" s="292"/>
      <c r="N1048511" s="292"/>
    </row>
    <row r="1048512" spans="12:14" ht="0.6" customHeight="1" x14ac:dyDescent="0.25">
      <c r="L1048512" s="292"/>
      <c r="M1048512" s="292"/>
      <c r="N1048512" s="292"/>
    </row>
    <row r="1048513" spans="12:14" hidden="1" x14ac:dyDescent="0.25">
      <c r="L1048513" s="292"/>
      <c r="M1048513" s="292"/>
      <c r="N1048513" s="292"/>
    </row>
    <row r="1048514" spans="12:14" hidden="1" x14ac:dyDescent="0.25">
      <c r="L1048514" s="292"/>
      <c r="M1048514" s="292"/>
      <c r="N1048514" s="292"/>
    </row>
    <row r="1048515" spans="12:14" hidden="1" x14ac:dyDescent="0.25">
      <c r="L1048515" s="292"/>
      <c r="M1048515" s="292"/>
      <c r="N1048515" s="292"/>
    </row>
    <row r="1048516" spans="12:14" hidden="1" x14ac:dyDescent="0.25">
      <c r="L1048516" s="292"/>
      <c r="M1048516" s="292"/>
      <c r="N1048516" s="292"/>
    </row>
    <row r="1048517" spans="12:14" hidden="1" x14ac:dyDescent="0.25">
      <c r="L1048517" s="292"/>
      <c r="M1048517" s="292"/>
      <c r="N1048517" s="292"/>
    </row>
    <row r="1048518" spans="12:14" hidden="1" x14ac:dyDescent="0.25">
      <c r="L1048518" s="292"/>
      <c r="M1048518" s="292"/>
      <c r="N1048518" s="292"/>
    </row>
    <row r="1048519" spans="12:14" hidden="1" x14ac:dyDescent="0.25">
      <c r="L1048519" s="292"/>
      <c r="M1048519" s="292"/>
      <c r="N1048519" s="292"/>
    </row>
    <row r="1048520" spans="12:14" hidden="1" x14ac:dyDescent="0.25">
      <c r="L1048520" s="292"/>
      <c r="M1048520" s="292"/>
      <c r="N1048520" s="292"/>
    </row>
    <row r="1048521" spans="12:14" hidden="1" x14ac:dyDescent="0.25">
      <c r="L1048521" s="292"/>
      <c r="M1048521" s="292"/>
      <c r="N1048521" s="292"/>
    </row>
    <row r="1048522" spans="12:14" hidden="1" x14ac:dyDescent="0.25">
      <c r="L1048522" s="292"/>
      <c r="M1048522" s="292"/>
      <c r="N1048522" s="292"/>
    </row>
    <row r="1048523" spans="12:14" hidden="1" x14ac:dyDescent="0.25">
      <c r="L1048523" s="292"/>
      <c r="M1048523" s="292"/>
      <c r="N1048523" s="292"/>
    </row>
    <row r="1048524" spans="12:14" hidden="1" x14ac:dyDescent="0.25">
      <c r="L1048524" s="292"/>
      <c r="M1048524" s="292"/>
      <c r="N1048524" s="292"/>
    </row>
    <row r="1048525" spans="12:14" hidden="1" x14ac:dyDescent="0.25">
      <c r="L1048525" s="292"/>
      <c r="M1048525" s="292"/>
      <c r="N1048525" s="292"/>
    </row>
    <row r="1048526" spans="12:14" hidden="1" x14ac:dyDescent="0.25">
      <c r="L1048526" s="292"/>
      <c r="M1048526" s="292"/>
      <c r="N1048526" s="292"/>
    </row>
    <row r="1048527" spans="12:14" hidden="1" x14ac:dyDescent="0.25">
      <c r="L1048527" s="292"/>
      <c r="M1048527" s="292"/>
      <c r="N1048527" s="292"/>
    </row>
    <row r="1048528" spans="12:14" hidden="1" x14ac:dyDescent="0.25">
      <c r="L1048528" s="292"/>
      <c r="M1048528" s="292"/>
      <c r="N1048528" s="292"/>
    </row>
    <row r="1048529" spans="12:14" hidden="1" x14ac:dyDescent="0.25">
      <c r="L1048529" s="292"/>
      <c r="M1048529" s="292"/>
      <c r="N1048529" s="292"/>
    </row>
    <row r="1048530" spans="12:14" hidden="1" x14ac:dyDescent="0.25">
      <c r="L1048530" s="292"/>
      <c r="M1048530" s="292"/>
      <c r="N1048530" s="292"/>
    </row>
    <row r="1048531" spans="12:14" hidden="1" x14ac:dyDescent="0.25">
      <c r="L1048531" s="292"/>
      <c r="M1048531" s="292"/>
      <c r="N1048531" s="292"/>
    </row>
    <row r="1048532" spans="12:14" hidden="1" x14ac:dyDescent="0.25">
      <c r="L1048532" s="292"/>
      <c r="M1048532" s="292"/>
      <c r="N1048532" s="292"/>
    </row>
    <row r="1048533" spans="12:14" hidden="1" x14ac:dyDescent="0.25">
      <c r="L1048533" s="292"/>
      <c r="M1048533" s="292"/>
      <c r="N1048533" s="292"/>
    </row>
    <row r="1048534" spans="12:14" hidden="1" x14ac:dyDescent="0.25">
      <c r="L1048534" s="292"/>
      <c r="M1048534" s="292"/>
      <c r="N1048534" s="292"/>
    </row>
    <row r="1048535" spans="12:14" hidden="1" x14ac:dyDescent="0.25">
      <c r="L1048535" s="292"/>
      <c r="M1048535" s="292"/>
      <c r="N1048535" s="292"/>
    </row>
    <row r="1048536" spans="12:14" hidden="1" x14ac:dyDescent="0.25">
      <c r="L1048536" s="292"/>
      <c r="M1048536" s="292"/>
      <c r="N1048536" s="292"/>
    </row>
    <row r="1048537" spans="12:14" hidden="1" x14ac:dyDescent="0.25">
      <c r="L1048537" s="292"/>
      <c r="M1048537" s="292"/>
      <c r="N1048537" s="292"/>
    </row>
    <row r="1048538" spans="12:14" hidden="1" x14ac:dyDescent="0.25">
      <c r="L1048538" s="292"/>
      <c r="M1048538" s="292"/>
      <c r="N1048538" s="292"/>
    </row>
    <row r="1048539" spans="12:14" hidden="1" x14ac:dyDescent="0.25">
      <c r="L1048539" s="292"/>
      <c r="M1048539" s="292"/>
      <c r="N1048539" s="292"/>
    </row>
    <row r="1048540" spans="12:14" hidden="1" x14ac:dyDescent="0.25">
      <c r="L1048540" s="292"/>
      <c r="M1048540" s="292"/>
      <c r="N1048540" s="292"/>
    </row>
    <row r="1048541" spans="12:14" hidden="1" x14ac:dyDescent="0.25">
      <c r="L1048541" s="292"/>
      <c r="M1048541" s="292"/>
      <c r="N1048541" s="292"/>
    </row>
    <row r="1048542" spans="12:14" hidden="1" x14ac:dyDescent="0.25">
      <c r="L1048542" s="292"/>
      <c r="M1048542" s="292"/>
      <c r="N1048542" s="292"/>
    </row>
    <row r="1048543" spans="12:14" x14ac:dyDescent="0.25">
      <c r="L1048543" s="292"/>
      <c r="M1048543" s="292"/>
      <c r="N1048543" s="292"/>
    </row>
    <row r="1048544" spans="12:14" x14ac:dyDescent="0.25">
      <c r="L1048544" s="292"/>
      <c r="M1048544" s="292"/>
      <c r="N1048544" s="292"/>
    </row>
    <row r="1048545" spans="12:14" x14ac:dyDescent="0.25">
      <c r="L1048545" s="292"/>
      <c r="M1048545" s="292"/>
      <c r="N1048545" s="292"/>
    </row>
    <row r="1048546" spans="12:14" x14ac:dyDescent="0.25">
      <c r="L1048546" s="292"/>
      <c r="M1048546" s="292"/>
      <c r="N1048546" s="292"/>
    </row>
  </sheetData>
  <phoneticPr fontId="20" type="noConversion"/>
  <dataValidations count="1">
    <dataValidation type="list" allowBlank="1" showInputMessage="1" showErrorMessage="1" sqref="G2:G742" xr:uid="{10E09E87-6F55-4A8F-9136-85FF1A28FB52}">
      <formula1>CodProd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EEEEC-9BC8-45B9-A057-7253821AFA3F}">
  <sheetPr codeName="Hoja1"/>
  <dimension ref="A1:X666"/>
  <sheetViews>
    <sheetView showGridLines="0" zoomScale="78" zoomScaleNormal="78" workbookViewId="0">
      <pane ySplit="1" topLeftCell="A266" activePane="bottomLeft" state="frozen"/>
      <selection pane="bottomLeft" activeCell="O405" sqref="O405:O592"/>
    </sheetView>
  </sheetViews>
  <sheetFormatPr baseColWidth="10" defaultColWidth="11.42578125" defaultRowHeight="15" x14ac:dyDescent="0.25"/>
  <cols>
    <col min="1" max="1" width="6.7109375" style="19" customWidth="1"/>
    <col min="2" max="2" width="11.5703125" style="23" customWidth="1"/>
    <col min="3" max="3" width="12.42578125" style="160" customWidth="1"/>
    <col min="4" max="4" width="12.140625" style="23" customWidth="1"/>
    <col min="5" max="5" width="12" style="23" customWidth="1"/>
    <col min="6" max="6" width="9.140625" style="23" customWidth="1"/>
    <col min="7" max="7" width="14.140625" style="23" customWidth="1"/>
    <col min="8" max="8" width="50.28515625" style="23" customWidth="1"/>
    <col min="9" max="10" width="9.28515625" style="23" customWidth="1"/>
    <col min="11" max="11" width="16.140625" style="286" bestFit="1" customWidth="1"/>
    <col min="12" max="12" width="16.5703125" style="286" bestFit="1" customWidth="1"/>
    <col min="13" max="13" width="17.28515625" style="286" bestFit="1" customWidth="1"/>
    <col min="14" max="14" width="14.5703125" style="287" bestFit="1" customWidth="1"/>
    <col min="15" max="15" width="16.85546875" style="286" bestFit="1" customWidth="1"/>
    <col min="16" max="16" width="17.28515625" style="286" bestFit="1" customWidth="1"/>
    <col min="17" max="17" width="14.5703125" style="279" bestFit="1" customWidth="1"/>
    <col min="18" max="18" width="14.42578125" style="286" bestFit="1" customWidth="1"/>
    <col min="19" max="19" width="14.42578125" style="286" customWidth="1"/>
    <col min="20" max="20" width="15.42578125" style="279" bestFit="1" customWidth="1"/>
    <col min="21" max="21" width="14.5703125" style="286" bestFit="1" customWidth="1"/>
    <col min="22" max="22" width="20.42578125" style="23" customWidth="1"/>
    <col min="23" max="16384" width="11.42578125" style="23"/>
  </cols>
  <sheetData>
    <row r="1" spans="1:24" ht="26.25" x14ac:dyDescent="0.25">
      <c r="A1" s="47" t="s">
        <v>774</v>
      </c>
      <c r="B1" s="47" t="s">
        <v>290</v>
      </c>
      <c r="C1" s="159" t="s">
        <v>288</v>
      </c>
      <c r="D1" s="47" t="s">
        <v>775</v>
      </c>
      <c r="E1" s="47" t="s">
        <v>776</v>
      </c>
      <c r="F1" s="47" t="s">
        <v>2</v>
      </c>
      <c r="G1" s="47" t="s">
        <v>777</v>
      </c>
      <c r="H1" s="47" t="s">
        <v>778</v>
      </c>
      <c r="I1" s="47" t="s">
        <v>779</v>
      </c>
      <c r="J1" s="47" t="s">
        <v>780</v>
      </c>
      <c r="K1" s="259" t="s">
        <v>781</v>
      </c>
      <c r="L1" s="259" t="s">
        <v>411</v>
      </c>
      <c r="M1" s="259" t="s">
        <v>782</v>
      </c>
      <c r="N1" s="259" t="s">
        <v>783</v>
      </c>
      <c r="O1" s="260" t="s">
        <v>784</v>
      </c>
      <c r="P1" s="259" t="s">
        <v>785</v>
      </c>
      <c r="Q1" s="259" t="s">
        <v>786</v>
      </c>
      <c r="R1" s="259" t="s">
        <v>787</v>
      </c>
      <c r="S1" s="259" t="s">
        <v>788</v>
      </c>
      <c r="T1" s="259" t="s">
        <v>789</v>
      </c>
      <c r="U1" s="261" t="s">
        <v>790</v>
      </c>
      <c r="V1" s="92" t="s">
        <v>791</v>
      </c>
      <c r="W1" s="92" t="s">
        <v>4</v>
      </c>
      <c r="X1" s="92" t="s">
        <v>5</v>
      </c>
    </row>
    <row r="2" spans="1:24" customFormat="1" x14ac:dyDescent="0.25">
      <c r="A2" s="3">
        <v>1</v>
      </c>
      <c r="B2" s="75" t="s">
        <v>792</v>
      </c>
      <c r="C2" s="158">
        <v>44224</v>
      </c>
      <c r="D2" s="77" t="s">
        <v>793</v>
      </c>
      <c r="E2" s="158">
        <v>44264</v>
      </c>
      <c r="F2" s="74" t="s">
        <v>3</v>
      </c>
      <c r="G2" s="84">
        <v>900249638</v>
      </c>
      <c r="H2" s="176" t="str">
        <f>VLOOKUP(Tabla2[[#This Row],[NIT]],Clientes!A:C,2,0)</f>
        <v>Soluciones Avanzadas de Ingeniería SAS</v>
      </c>
      <c r="I2" s="73" t="str">
        <f>VLOOKUP(Tabla2[[#This Row],[NIT]],Clientes!A:C,3,0)</f>
        <v>PJ</v>
      </c>
      <c r="J2" s="73" t="s">
        <v>794</v>
      </c>
      <c r="K2" s="262">
        <f>SUMIFS(Tabla4[Sub Total],Tabla4[Codigo],Tabla2[[#This Row],[Cod]])</f>
        <v>480000</v>
      </c>
      <c r="L2" s="262">
        <f>SUMPRODUCT((Tabla4[Codigo]=Tabla2[[#This Row],[Cod]])*1,Tabla4[IVA])</f>
        <v>91200</v>
      </c>
      <c r="M2" s="262">
        <f>SUMIFS(Tabla4[Total],Tabla4[Codigo],Tabla2[[#This Row],[Cod]])</f>
        <v>571200</v>
      </c>
      <c r="N2" s="263">
        <f>SUMPRODUCT((Tabla1[Codigo]=Tabla2[[#This Row],[Cod]])*1,Tabla1[Valor])</f>
        <v>513763</v>
      </c>
      <c r="O2" s="264">
        <f>IF(AND(Tabla2[[#This Row],[Estado]]="ok",LEFT(Tabla2[[#This Row],['# Factura]],3)="TIS"),Tabla2[[#This Row],[TOTAL]]-Tabla2[[#This Row],[pagado]],0)</f>
        <v>0.19999999995343387</v>
      </c>
      <c r="P2" s="262">
        <f>Tabla2[[#This Row],[TOTAL]]-Tabla2[[#This Row],[Valor pago]]</f>
        <v>57437</v>
      </c>
      <c r="Q2" s="265">
        <f>IF(Tabla2[[#This Row],[Saldo]]=0,0,IF(Tabla2[[#This Row],[Tipo cliente]]="PJ",Tabla2[[#This Row],[SUBTOTAL]]*11%,0))</f>
        <v>52800</v>
      </c>
      <c r="R2" s="264">
        <f>IF(Tabla2[[#This Row],[Saldo]]=0,0,IF(Tabla2[[#This Row],[Tipo cliente]]="PJ",Tabla2[[#This Row],[SUBTOTAL]]*0.966%,0))</f>
        <v>4636.8</v>
      </c>
      <c r="S2" s="264">
        <f>IF(Tabla2[[#This Row],[Retiene IVA]]="S",Tabla2[[#This Row],[IVA]]*0.15,0)</f>
        <v>0</v>
      </c>
      <c r="T2" s="264">
        <f>+Tabla2[[#This Row],[Saldo]]-Tabla2[[#This Row],[Rete fte]]-Tabla2[[#This Row],[rete ica]]-Tabla2[[#This Row],[Rete IVA]]</f>
        <v>0.1999999999998181</v>
      </c>
      <c r="U2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571199.80000000005</v>
      </c>
      <c r="W2">
        <f>IF(Tabla2[[#This Row],[Fecha F.E.]]="","",YEAR(Tabla2[[#This Row],[Fecha F.E.]]))</f>
        <v>2021</v>
      </c>
      <c r="X2">
        <f>IF(Tabla2[[#This Row],[Fecha]]="","",YEAR(Tabla2[[#This Row],[Fecha]]))</f>
        <v>2021</v>
      </c>
    </row>
    <row r="3" spans="1:24" customFormat="1" x14ac:dyDescent="0.25">
      <c r="A3" s="3">
        <v>2</v>
      </c>
      <c r="B3" s="75"/>
      <c r="C3" s="158">
        <v>44224</v>
      </c>
      <c r="D3" s="77" t="s">
        <v>795</v>
      </c>
      <c r="E3" s="158">
        <v>44224</v>
      </c>
      <c r="F3" s="74" t="s">
        <v>796</v>
      </c>
      <c r="G3" s="84">
        <v>890901110</v>
      </c>
      <c r="H3" s="176" t="str">
        <f>VLOOKUP(Tabla2[[#This Row],[NIT]],Clientes!A:C,2,0)</f>
        <v>Constructora Conconcreto S.A.</v>
      </c>
      <c r="I3" s="73" t="str">
        <f>VLOOKUP(Tabla2[[#This Row],[NIT]],Clientes!A:C,3,0)</f>
        <v>PJ</v>
      </c>
      <c r="J3" s="73" t="s">
        <v>794</v>
      </c>
      <c r="K3" s="262">
        <f>SUMIFS(Tabla4[Sub Total],Tabla4[Codigo],Tabla2[[#This Row],[Cod]])</f>
        <v>-290000</v>
      </c>
      <c r="L3" s="262">
        <f>SUMPRODUCT((Tabla4[Codigo]=Tabla2[[#This Row],[Cod]])*1,Tabla4[IVA])</f>
        <v>-51300</v>
      </c>
      <c r="M3" s="262">
        <f>SUMIFS(Tabla4[Total],Tabla4[Codigo],Tabla2[[#This Row],[Cod]])</f>
        <v>-341300</v>
      </c>
      <c r="N3" s="263">
        <f>SUMPRODUCT((Tabla1[Codigo]=Tabla2[[#This Row],[Cod]])*1,Tabla1[Valor])</f>
        <v>0</v>
      </c>
      <c r="O3" s="264">
        <f>IF(AND(Tabla2[[#This Row],[Estado]]="ok",LEFT(Tabla2[[#This Row],['# Factura]],3)="TIS"),Tabla2[[#This Row],[TOTAL]]-Tabla2[[#This Row],[pagado]],0)</f>
        <v>0</v>
      </c>
      <c r="P3" s="262">
        <f>Tabla2[[#This Row],[TOTAL]]-Tabla2[[#This Row],[Valor pago]]</f>
        <v>-341300</v>
      </c>
      <c r="Q3" s="265">
        <f>IF(Tabla2[[#This Row],[Saldo]]=0,0,IF(Tabla2[[#This Row],[Tipo cliente]]="PJ",Tabla2[[#This Row],[SUBTOTAL]]*11%,0))</f>
        <v>-31900</v>
      </c>
      <c r="R3" s="264">
        <f>IF(Tabla2[[#This Row],[Saldo]]=0,0,IF(Tabla2[[#This Row],[Tipo cliente]]="PJ",Tabla2[[#This Row],[SUBTOTAL]]*0.966%,0))</f>
        <v>-2801.4</v>
      </c>
      <c r="S3" s="264">
        <f>IF(Tabla2[[#This Row],[Retiene IVA]]="S",Tabla2[[#This Row],[IVA]]*0.15,0)</f>
        <v>0</v>
      </c>
      <c r="T3" s="264">
        <f>+Tabla2[[#This Row],[Saldo]]-Tabla2[[#This Row],[Rete fte]]-Tabla2[[#This Row],[rete ica]]-Tabla2[[#This Row],[Rete IVA]]</f>
        <v>-306598.59999999998</v>
      </c>
      <c r="U3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3">
        <f>IF(Tabla2[[#This Row],[Fecha F.E.]]="","",YEAR(Tabla2[[#This Row],[Fecha F.E.]]))</f>
        <v>2021</v>
      </c>
      <c r="X3">
        <f>IF(Tabla2[[#This Row],[Fecha]]="","",YEAR(Tabla2[[#This Row],[Fecha]]))</f>
        <v>2021</v>
      </c>
    </row>
    <row r="4" spans="1:24" customFormat="1" x14ac:dyDescent="0.25">
      <c r="A4" s="3">
        <v>3</v>
      </c>
      <c r="B4" s="75"/>
      <c r="C4" s="158">
        <v>44224</v>
      </c>
      <c r="D4" s="77" t="s">
        <v>797</v>
      </c>
      <c r="E4" s="158">
        <v>44224</v>
      </c>
      <c r="F4" s="74" t="s">
        <v>796</v>
      </c>
      <c r="G4" s="84">
        <v>890901110</v>
      </c>
      <c r="H4" s="176" t="str">
        <f>VLOOKUP(Tabla2[[#This Row],[NIT]],Clientes!A:C,2,0)</f>
        <v>Constructora Conconcreto S.A.</v>
      </c>
      <c r="I4" s="73" t="str">
        <f>VLOOKUP(Tabla2[[#This Row],[NIT]],Clientes!A:C,3,0)</f>
        <v>PJ</v>
      </c>
      <c r="J4" s="73" t="s">
        <v>794</v>
      </c>
      <c r="K4" s="262">
        <f>SUMIFS(Tabla4[Sub Total],Tabla4[Codigo],Tabla2[[#This Row],[Cod]])</f>
        <v>290000</v>
      </c>
      <c r="L4" s="262">
        <f>SUMPRODUCT((Tabla4[Codigo]=Tabla2[[#This Row],[Cod]])*1,Tabla4[IVA])</f>
        <v>51300</v>
      </c>
      <c r="M4" s="262">
        <f>SUMIFS(Tabla4[Total],Tabla4[Codigo],Tabla2[[#This Row],[Cod]])</f>
        <v>341300</v>
      </c>
      <c r="N4" s="263">
        <f>SUMPRODUCT((Tabla1[Codigo]=Tabla2[[#This Row],[Cod]])*1,Tabla1[Valor])</f>
        <v>0</v>
      </c>
      <c r="O4" s="264">
        <f>IF(AND(Tabla2[[#This Row],[Estado]]="ok",LEFT(Tabla2[[#This Row],['# Factura]],3)="TIS"),Tabla2[[#This Row],[TOTAL]]-Tabla2[[#This Row],[pagado]],0)</f>
        <v>0</v>
      </c>
      <c r="P4" s="262">
        <f>Tabla2[[#This Row],[TOTAL]]-Tabla2[[#This Row],[Valor pago]]</f>
        <v>341300</v>
      </c>
      <c r="Q4" s="265">
        <f>IF(Tabla2[[#This Row],[Saldo]]=0,0,IF(Tabla2[[#This Row],[Tipo cliente]]="PJ",Tabla2[[#This Row],[SUBTOTAL]]*11%,0))</f>
        <v>31900</v>
      </c>
      <c r="R4" s="264">
        <f>IF(Tabla2[[#This Row],[Saldo]]=0,0,IF(Tabla2[[#This Row],[Tipo cliente]]="PJ",Tabla2[[#This Row],[SUBTOTAL]]*0.966%,0))</f>
        <v>2801.4</v>
      </c>
      <c r="S4" s="264">
        <f>IF(Tabla2[[#This Row],[Retiene IVA]]="S",Tabla2[[#This Row],[IVA]]*0.15,0)</f>
        <v>0</v>
      </c>
      <c r="T4" s="264">
        <f>+Tabla2[[#This Row],[Saldo]]-Tabla2[[#This Row],[Rete fte]]-Tabla2[[#This Row],[rete ica]]-Tabla2[[#This Row],[Rete IVA]]</f>
        <v>306598.59999999998</v>
      </c>
      <c r="U4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">
        <f>IF(Tabla2[[#This Row],[Fecha F.E.]]="","",YEAR(Tabla2[[#This Row],[Fecha F.E.]]))</f>
        <v>2021</v>
      </c>
      <c r="X4">
        <f>IF(Tabla2[[#This Row],[Fecha]]="","",YEAR(Tabla2[[#This Row],[Fecha]]))</f>
        <v>2021</v>
      </c>
    </row>
    <row r="5" spans="1:24" customFormat="1" x14ac:dyDescent="0.25">
      <c r="A5" s="3">
        <v>4</v>
      </c>
      <c r="B5" s="75" t="s">
        <v>797</v>
      </c>
      <c r="C5" s="158">
        <v>44224</v>
      </c>
      <c r="D5" s="77" t="s">
        <v>792</v>
      </c>
      <c r="E5" s="158">
        <v>44224</v>
      </c>
      <c r="F5" s="74" t="s">
        <v>3</v>
      </c>
      <c r="G5" s="84">
        <v>890901110</v>
      </c>
      <c r="H5" s="176" t="str">
        <f>VLOOKUP(Tabla2[[#This Row],[NIT]],Clientes!A:C,2,0)</f>
        <v>Constructora Conconcreto S.A.</v>
      </c>
      <c r="I5" s="73" t="str">
        <f>VLOOKUP(Tabla2[[#This Row],[NIT]],Clientes!A:C,3,0)</f>
        <v>PJ</v>
      </c>
      <c r="J5" s="73" t="s">
        <v>794</v>
      </c>
      <c r="K5" s="262">
        <f>SUMIFS(Tabla4[Sub Total],Tabla4[Codigo],Tabla2[[#This Row],[Cod]])</f>
        <v>290000</v>
      </c>
      <c r="L5" s="262">
        <f>SUMPRODUCT((Tabla4[Codigo]=Tabla2[[#This Row],[Cod]])*1,Tabla4[IVA])</f>
        <v>51300</v>
      </c>
      <c r="M5" s="262">
        <f>SUMIFS(Tabla4[Total],Tabla4[Codigo],Tabla2[[#This Row],[Cod]])</f>
        <v>341300</v>
      </c>
      <c r="N5" s="263">
        <f>SUMPRODUCT((Tabla1[Codigo]=Tabla2[[#This Row],[Cod]])*1,Tabla1[Valor])</f>
        <v>321300</v>
      </c>
      <c r="O5" s="264">
        <f>IF(AND(Tabla2[[#This Row],[Estado]]="ok",LEFT(Tabla2[[#This Row],['# Factura]],3)="TIS"),Tabla2[[#This Row],[TOTAL]]-Tabla2[[#This Row],[pagado]],0)</f>
        <v>0</v>
      </c>
      <c r="P5" s="262">
        <f>Tabla2[[#This Row],[TOTAL]]-Tabla2[[#This Row],[Valor pago]]</f>
        <v>20000</v>
      </c>
      <c r="Q5" s="265">
        <f>IF(Tabla2[[#This Row],[Saldo]]=0,0,IF(Tabla2[[#This Row],[Tipo cliente]]="PJ",Tabla2[[#This Row],[SUBTOTAL]]*11%,0))</f>
        <v>31900</v>
      </c>
      <c r="R5" s="264">
        <f>IF(Tabla2[[#This Row],[Saldo]]=0,0,IF(Tabla2[[#This Row],[Tipo cliente]]="PJ",Tabla2[[#This Row],[SUBTOTAL]]*0.966%,0))</f>
        <v>2801.4</v>
      </c>
      <c r="S5" s="264">
        <f>IF(Tabla2[[#This Row],[Retiene IVA]]="S",Tabla2[[#This Row],[IVA]]*0.15,0)</f>
        <v>0</v>
      </c>
      <c r="T5" s="264">
        <f>+Tabla2[[#This Row],[Saldo]]-Tabla2[[#This Row],[Rete fte]]-Tabla2[[#This Row],[rete ica]]-Tabla2[[#This Row],[Rete IVA]]</f>
        <v>-14701.4</v>
      </c>
      <c r="U5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341300</v>
      </c>
      <c r="W5">
        <f>IF(Tabla2[[#This Row],[Fecha F.E.]]="","",YEAR(Tabla2[[#This Row],[Fecha F.E.]]))</f>
        <v>2021</v>
      </c>
      <c r="X5">
        <f>IF(Tabla2[[#This Row],[Fecha]]="","",YEAR(Tabla2[[#This Row],[Fecha]]))</f>
        <v>2021</v>
      </c>
    </row>
    <row r="6" spans="1:24" customFormat="1" x14ac:dyDescent="0.25">
      <c r="A6" s="3">
        <v>5</v>
      </c>
      <c r="B6" s="75" t="s">
        <v>798</v>
      </c>
      <c r="C6" s="158">
        <v>44245</v>
      </c>
      <c r="D6" s="77" t="s">
        <v>799</v>
      </c>
      <c r="E6" s="158">
        <v>44370</v>
      </c>
      <c r="F6" s="74" t="s">
        <v>3</v>
      </c>
      <c r="G6" s="84">
        <v>52258867</v>
      </c>
      <c r="H6" s="176" t="str">
        <f>VLOOKUP(Tabla2[[#This Row],[NIT]],Clientes!A:C,2,0)</f>
        <v>Diana Sirley Torres Escalona</v>
      </c>
      <c r="I6" s="73" t="str">
        <f>VLOOKUP(Tabla2[[#This Row],[NIT]],Clientes!A:C,3,0)</f>
        <v>PN</v>
      </c>
      <c r="J6" s="73" t="s">
        <v>794</v>
      </c>
      <c r="K6" s="262">
        <f>SUMIFS(Tabla4[Sub Total],Tabla4[Codigo],Tabla2[[#This Row],[Cod]])</f>
        <v>1500000</v>
      </c>
      <c r="L6" s="262">
        <f>SUMPRODUCT((Tabla4[Codigo]=Tabla2[[#This Row],[Cod]])*1,Tabla4[IVA])</f>
        <v>0</v>
      </c>
      <c r="M6" s="262">
        <f>SUMIFS(Tabla4[Total],Tabla4[Codigo],Tabla2[[#This Row],[Cod]])</f>
        <v>1500000</v>
      </c>
      <c r="N6" s="263">
        <f>SUMPRODUCT((Tabla1[Codigo]=Tabla2[[#This Row],[Cod]])*1,Tabla1[Valor])</f>
        <v>1500000</v>
      </c>
      <c r="O6" s="264">
        <f>IF(AND(Tabla2[[#This Row],[Estado]]="ok",LEFT(Tabla2[[#This Row],['# Factura]],3)="TIS"),Tabla2[[#This Row],[TOTAL]]-Tabla2[[#This Row],[pagado]],0)</f>
        <v>0</v>
      </c>
      <c r="P6" s="262">
        <f>Tabla2[[#This Row],[TOTAL]]-Tabla2[[#This Row],[Valor pago]]</f>
        <v>0</v>
      </c>
      <c r="Q6" s="265">
        <f>IF(Tabla2[[#This Row],[Saldo]]=0,0,IF(Tabla2[[#This Row],[Tipo cliente]]="PJ",Tabla2[[#This Row],[SUBTOTAL]]*11%,0))</f>
        <v>0</v>
      </c>
      <c r="R6" s="264">
        <f>IF(Tabla2[[#This Row],[Saldo]]=0,0,IF(Tabla2[[#This Row],[Tipo cliente]]="PJ",Tabla2[[#This Row],[SUBTOTAL]]*0.966%,0))</f>
        <v>0</v>
      </c>
      <c r="S6" s="264">
        <f>IF(Tabla2[[#This Row],[Retiene IVA]]="S",Tabla2[[#This Row],[IVA]]*0.15,0)</f>
        <v>0</v>
      </c>
      <c r="T6" s="264">
        <f>+Tabla2[[#This Row],[Saldo]]-Tabla2[[#This Row],[Rete fte]]-Tabla2[[#This Row],[rete ica]]-Tabla2[[#This Row],[Rete IVA]]</f>
        <v>0</v>
      </c>
      <c r="U6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1500000</v>
      </c>
      <c r="W6">
        <f>IF(Tabla2[[#This Row],[Fecha F.E.]]="","",YEAR(Tabla2[[#This Row],[Fecha F.E.]]))</f>
        <v>2021</v>
      </c>
      <c r="X6">
        <f>IF(Tabla2[[#This Row],[Fecha]]="","",YEAR(Tabla2[[#This Row],[Fecha]]))</f>
        <v>2021</v>
      </c>
    </row>
    <row r="7" spans="1:24" x14ac:dyDescent="0.25">
      <c r="A7" s="3">
        <v>6</v>
      </c>
      <c r="B7" s="75" t="s">
        <v>800</v>
      </c>
      <c r="C7" s="158">
        <v>44249</v>
      </c>
      <c r="D7" s="77" t="s">
        <v>798</v>
      </c>
      <c r="E7" s="158">
        <v>44254</v>
      </c>
      <c r="F7" s="74" t="s">
        <v>3</v>
      </c>
      <c r="G7" s="84">
        <v>74322676</v>
      </c>
      <c r="H7" s="176" t="str">
        <f>VLOOKUP(Tabla2[[#This Row],[NIT]],Clientes!A:C,2,0)</f>
        <v>William Hurtado</v>
      </c>
      <c r="I7" s="73" t="str">
        <f>VLOOKUP(Tabla2[[#This Row],[NIT]],Clientes!A:C,3,0)</f>
        <v>PN</v>
      </c>
      <c r="J7" s="73" t="s">
        <v>794</v>
      </c>
      <c r="K7" s="262">
        <f>SUMIFS(Tabla4[Sub Total],Tabla4[Codigo],Tabla2[[#This Row],[Cod]])</f>
        <v>820000</v>
      </c>
      <c r="L7" s="262">
        <f>SUMPRODUCT((Tabla4[Codigo]=Tabla2[[#This Row],[Cod]])*1,Tabla4[IVA])</f>
        <v>155800</v>
      </c>
      <c r="M7" s="262">
        <f>SUMIFS(Tabla4[Total],Tabla4[Codigo],Tabla2[[#This Row],[Cod]])</f>
        <v>975800</v>
      </c>
      <c r="N7" s="263">
        <f>SUMPRODUCT((Tabla1[Codigo]=Tabla2[[#This Row],[Cod]])*1,Tabla1[Valor])</f>
        <v>935100</v>
      </c>
      <c r="O7" s="264">
        <f>IF(AND(Tabla2[[#This Row],[Estado]]="ok",LEFT(Tabla2[[#This Row],['# Factura]],3)="TIS"),Tabla2[[#This Row],[TOTAL]]-Tabla2[[#This Row],[pagado]],0)</f>
        <v>40700</v>
      </c>
      <c r="P7" s="262">
        <f>Tabla2[[#This Row],[TOTAL]]-Tabla2[[#This Row],[Valor pago]]</f>
        <v>40700</v>
      </c>
      <c r="Q7" s="265">
        <f>IF(Tabla2[[#This Row],[Saldo]]=0,0,IF(Tabla2[[#This Row],[Tipo cliente]]="PJ",Tabla2[[#This Row],[SUBTOTAL]]*11%,0))</f>
        <v>0</v>
      </c>
      <c r="R7" s="264">
        <f>IF(Tabla2[[#This Row],[Saldo]]=0,0,IF(Tabla2[[#This Row],[Tipo cliente]]="PJ",Tabla2[[#This Row],[SUBTOTAL]]*0.966%,0))</f>
        <v>0</v>
      </c>
      <c r="S7" s="264">
        <f>IF(Tabla2[[#This Row],[Retiene IVA]]="S",Tabla2[[#This Row],[IVA]]*0.15,0)</f>
        <v>0</v>
      </c>
      <c r="T7" s="264">
        <f>+Tabla2[[#This Row],[Saldo]]-Tabla2[[#This Row],[Rete fte]]-Tabla2[[#This Row],[rete ica]]-Tabla2[[#This Row],[Rete IVA]]</f>
        <v>40700</v>
      </c>
      <c r="U7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935100</v>
      </c>
      <c r="W7">
        <f>IF(Tabla2[[#This Row],[Fecha F.E.]]="","",YEAR(Tabla2[[#This Row],[Fecha F.E.]]))</f>
        <v>2021</v>
      </c>
      <c r="X7" s="23">
        <f>IF(Tabla2[[#This Row],[Fecha]]="","",YEAR(Tabla2[[#This Row],[Fecha]]))</f>
        <v>2021</v>
      </c>
    </row>
    <row r="8" spans="1:24" customFormat="1" x14ac:dyDescent="0.25">
      <c r="A8" s="3">
        <v>7</v>
      </c>
      <c r="B8" s="75" t="s">
        <v>801</v>
      </c>
      <c r="C8" s="158">
        <v>44249</v>
      </c>
      <c r="D8" s="77" t="s">
        <v>802</v>
      </c>
      <c r="E8" s="158">
        <v>44305</v>
      </c>
      <c r="F8" s="74" t="s">
        <v>3</v>
      </c>
      <c r="G8" s="84">
        <v>901323708</v>
      </c>
      <c r="H8" s="176" t="str">
        <f>VLOOKUP(Tabla2[[#This Row],[NIT]],Clientes!A:C,2,0)</f>
        <v>Consorcio Sistem IM3</v>
      </c>
      <c r="I8" s="73" t="str">
        <f>VLOOKUP(Tabla2[[#This Row],[NIT]],Clientes!A:C,3,0)</f>
        <v>PJ</v>
      </c>
      <c r="J8" s="73" t="s">
        <v>794</v>
      </c>
      <c r="K8" s="262">
        <f>SUMIFS(Tabla4[Sub Total],Tabla4[Codigo],Tabla2[[#This Row],[Cod]])</f>
        <v>315000</v>
      </c>
      <c r="L8" s="262">
        <f>SUMPRODUCT((Tabla4[Codigo]=Tabla2[[#This Row],[Cod]])*1,Tabla4[IVA])</f>
        <v>59850</v>
      </c>
      <c r="M8" s="262">
        <f>SUMIFS(Tabla4[Total],Tabla4[Codigo],Tabla2[[#This Row],[Cod]])</f>
        <v>374850</v>
      </c>
      <c r="N8" s="263">
        <f>SUMPRODUCT((Tabla1[Codigo]=Tabla2[[#This Row],[Cod]])*1,Tabla1[Valor])</f>
        <v>316426.40000000002</v>
      </c>
      <c r="O8" s="264">
        <f>IF(AND(Tabla2[[#This Row],[Estado]]="ok",LEFT(Tabla2[[#This Row],['# Factura]],3)="TIS"),Tabla2[[#This Row],[TOTAL]]-Tabla2[[#This Row],[pagado]],0)</f>
        <v>20730.699999999953</v>
      </c>
      <c r="P8" s="262">
        <f>Tabla2[[#This Row],[TOTAL]]-Tabla2[[#This Row],[Valor pago]]</f>
        <v>58423.599999999977</v>
      </c>
      <c r="Q8" s="265">
        <f>IF(Tabla2[[#This Row],[Saldo]]=0,0,IF(Tabla2[[#This Row],[Tipo cliente]]="PJ",Tabla2[[#This Row],[SUBTOTAL]]*11%,0))</f>
        <v>34650</v>
      </c>
      <c r="R8" s="264">
        <f>IF(Tabla2[[#This Row],[Saldo]]=0,0,IF(Tabla2[[#This Row],[Tipo cliente]]="PJ",Tabla2[[#This Row],[SUBTOTAL]]*0.966%,0))</f>
        <v>3042.9</v>
      </c>
      <c r="S8" s="264">
        <f>IF(Tabla2[[#This Row],[Retiene IVA]]="S",Tabla2[[#This Row],[IVA]]*0.15,0)</f>
        <v>0</v>
      </c>
      <c r="T8" s="264">
        <f>+Tabla2[[#This Row],[Saldo]]-Tabla2[[#This Row],[Rete fte]]-Tabla2[[#This Row],[rete ica]]-Tabla2[[#This Row],[Rete IVA]]</f>
        <v>20730.699999999975</v>
      </c>
      <c r="U8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354119.30000000005</v>
      </c>
      <c r="W8">
        <f>IF(Tabla2[[#This Row],[Fecha F.E.]]="","",YEAR(Tabla2[[#This Row],[Fecha F.E.]]))</f>
        <v>2021</v>
      </c>
      <c r="X8">
        <f>IF(Tabla2[[#This Row],[Fecha]]="","",YEAR(Tabla2[[#This Row],[Fecha]]))</f>
        <v>2021</v>
      </c>
    </row>
    <row r="9" spans="1:24" x14ac:dyDescent="0.25">
      <c r="A9" s="3">
        <v>8</v>
      </c>
      <c r="B9" s="75" t="s">
        <v>803</v>
      </c>
      <c r="C9" s="158">
        <v>44256</v>
      </c>
      <c r="D9" s="77" t="s">
        <v>803</v>
      </c>
      <c r="E9" s="158">
        <v>44291</v>
      </c>
      <c r="F9" s="74" t="s">
        <v>3</v>
      </c>
      <c r="G9" s="84">
        <v>900855931</v>
      </c>
      <c r="H9" s="176" t="str">
        <f>VLOOKUP(Tabla2[[#This Row],[NIT]],Clientes!A:C,2,0)</f>
        <v>ANKER CONSULTORIA Y CONSTRUCCION S A S</v>
      </c>
      <c r="I9" s="73" t="str">
        <f>VLOOKUP(Tabla2[[#This Row],[NIT]],Clientes!A:C,3,0)</f>
        <v>PJ</v>
      </c>
      <c r="J9" s="73" t="s">
        <v>794</v>
      </c>
      <c r="K9" s="262">
        <f>SUMIFS(Tabla4[Sub Total],Tabla4[Codigo],Tabla2[[#This Row],[Cod]])</f>
        <v>500000</v>
      </c>
      <c r="L9" s="262">
        <f>SUMPRODUCT((Tabla4[Codigo]=Tabla2[[#This Row],[Cod]])*1,Tabla4[IVA])</f>
        <v>95000</v>
      </c>
      <c r="M9" s="262">
        <f>SUMIFS(Tabla4[Total],Tabla4[Codigo],Tabla2[[#This Row],[Cod]])</f>
        <v>595000</v>
      </c>
      <c r="N9" s="263">
        <f>SUMPRODUCT((Tabla1[Codigo]=Tabla2[[#This Row],[Cod]])*1,Tabla1[Valor])</f>
        <v>552223</v>
      </c>
      <c r="O9" s="264">
        <f>IF(AND(Tabla2[[#This Row],[Estado]]="ok",LEFT(Tabla2[[#This Row],['# Factura]],3)="TIS"),Tabla2[[#This Row],[TOTAL]]-Tabla2[[#This Row],[pagado]],0)</f>
        <v>0</v>
      </c>
      <c r="P9" s="262">
        <f>Tabla2[[#This Row],[TOTAL]]-Tabla2[[#This Row],[Valor pago]]</f>
        <v>42777</v>
      </c>
      <c r="Q9" s="265">
        <f>IF(Tabla2[[#This Row],[Saldo]]=0,0,IF(Tabla2[[#This Row],[Tipo cliente]]="PJ",Tabla2[[#This Row],[SUBTOTAL]]*11%,0))</f>
        <v>55000</v>
      </c>
      <c r="R9" s="264">
        <f>IF(Tabla2[[#This Row],[Saldo]]=0,0,IF(Tabla2[[#This Row],[Tipo cliente]]="PJ",Tabla2[[#This Row],[SUBTOTAL]]*0.966%,0))</f>
        <v>4830</v>
      </c>
      <c r="S9" s="264">
        <f>IF(Tabla2[[#This Row],[Retiene IVA]]="S",Tabla2[[#This Row],[IVA]]*0.15,0)</f>
        <v>0</v>
      </c>
      <c r="T9" s="264">
        <f>+Tabla2[[#This Row],[Saldo]]-Tabla2[[#This Row],[Rete fte]]-Tabla2[[#This Row],[rete ica]]-Tabla2[[#This Row],[Rete IVA]]</f>
        <v>-17053</v>
      </c>
      <c r="U9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595000</v>
      </c>
      <c r="W9">
        <f>IF(Tabla2[[#This Row],[Fecha F.E.]]="","",YEAR(Tabla2[[#This Row],[Fecha F.E.]]))</f>
        <v>2021</v>
      </c>
      <c r="X9" s="23">
        <f>IF(Tabla2[[#This Row],[Fecha]]="","",YEAR(Tabla2[[#This Row],[Fecha]]))</f>
        <v>2021</v>
      </c>
    </row>
    <row r="10" spans="1:24" x14ac:dyDescent="0.25">
      <c r="A10" s="3">
        <v>9</v>
      </c>
      <c r="B10" s="153" t="s">
        <v>804</v>
      </c>
      <c r="C10" s="158">
        <v>44271</v>
      </c>
      <c r="D10" s="77" t="s">
        <v>800</v>
      </c>
      <c r="E10" s="158">
        <v>44271</v>
      </c>
      <c r="F10" s="74" t="s">
        <v>3</v>
      </c>
      <c r="G10" s="84">
        <v>900338774</v>
      </c>
      <c r="H10" s="176" t="str">
        <f>VLOOKUP(Tabla2[[#This Row],[NIT]],Clientes!A:C,2,0)</f>
        <v>CONSTRUCCIONES Y SERVICIOS HERMAQUINAS LTDA</v>
      </c>
      <c r="I10" s="73" t="str">
        <f>VLOOKUP(Tabla2[[#This Row],[NIT]],Clientes!A:C,3,0)</f>
        <v>PJ</v>
      </c>
      <c r="J10" s="73" t="s">
        <v>794</v>
      </c>
      <c r="K10" s="262">
        <f>SUMIFS(Tabla4[Sub Total],Tabla4[Codigo],Tabla2[[#This Row],[Cod]])</f>
        <v>280000</v>
      </c>
      <c r="L10" s="262">
        <f>SUMPRODUCT((Tabla4[Codigo]=Tabla2[[#This Row],[Cod]])*1,Tabla4[IVA])</f>
        <v>53200</v>
      </c>
      <c r="M10" s="262">
        <f>SUMIFS(Tabla4[Total],Tabla4[Codigo],Tabla2[[#This Row],[Cod]])</f>
        <v>333200</v>
      </c>
      <c r="N10" s="263">
        <f>SUMPRODUCT((Tabla1[Codigo]=Tabla2[[#This Row],[Cod]])*1,Tabla1[Valor])</f>
        <v>493248</v>
      </c>
      <c r="O10" s="264">
        <f>IF(AND(Tabla2[[#This Row],[Estado]]="ok",LEFT(Tabla2[[#This Row],['# Factura]],3)="TIS"),Tabla2[[#This Row],[TOTAL]]-Tabla2[[#This Row],[pagado]],0)</f>
        <v>0</v>
      </c>
      <c r="P10" s="262">
        <f>Tabla2[[#This Row],[TOTAL]]-Tabla2[[#This Row],[Valor pago]]</f>
        <v>-160048</v>
      </c>
      <c r="Q10" s="265">
        <f>IF(Tabla2[[#This Row],[Saldo]]=0,0,IF(Tabla2[[#This Row],[Tipo cliente]]="PJ",Tabla2[[#This Row],[SUBTOTAL]]*11%,0))</f>
        <v>30800</v>
      </c>
      <c r="R10" s="264">
        <f>IF(Tabla2[[#This Row],[Saldo]]=0,0,IF(Tabla2[[#This Row],[Tipo cliente]]="PJ",Tabla2[[#This Row],[SUBTOTAL]]*0.966%,0))</f>
        <v>2704.8</v>
      </c>
      <c r="S10" s="264">
        <f>IF(Tabla2[[#This Row],[Retiene IVA]]="S",Tabla2[[#This Row],[IVA]]*0.15,0)</f>
        <v>0</v>
      </c>
      <c r="T10" s="264">
        <f>+Tabla2[[#This Row],[Saldo]]-Tabla2[[#This Row],[Rete fte]]-Tabla2[[#This Row],[rete ica]]-Tabla2[[#This Row],[Rete IVA]]</f>
        <v>-193552.8</v>
      </c>
      <c r="U10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333200</v>
      </c>
      <c r="W10">
        <f>IF(Tabla2[[#This Row],[Fecha F.E.]]="","",YEAR(Tabla2[[#This Row],[Fecha F.E.]]))</f>
        <v>2021</v>
      </c>
      <c r="X10" s="23">
        <f>IF(Tabla2[[#This Row],[Fecha]]="","",YEAR(Tabla2[[#This Row],[Fecha]]))</f>
        <v>2021</v>
      </c>
    </row>
    <row r="11" spans="1:24" x14ac:dyDescent="0.25">
      <c r="A11" s="3">
        <v>10</v>
      </c>
      <c r="B11" s="75" t="s">
        <v>805</v>
      </c>
      <c r="C11" s="158">
        <v>44274</v>
      </c>
      <c r="D11" s="77" t="s">
        <v>806</v>
      </c>
      <c r="E11" s="158">
        <v>44335</v>
      </c>
      <c r="F11" s="74" t="s">
        <v>3</v>
      </c>
      <c r="G11" s="84">
        <v>800219248</v>
      </c>
      <c r="H11" s="176" t="str">
        <f>VLOOKUP(Tabla2[[#This Row],[NIT]],Clientes!A:C,2,0)</f>
        <v>CORPORACION CLUB PAYANDÉ</v>
      </c>
      <c r="I11" s="73" t="str">
        <f>VLOOKUP(Tabla2[[#This Row],[NIT]],Clientes!A:C,3,0)</f>
        <v>PJ</v>
      </c>
      <c r="J11" s="73" t="s">
        <v>794</v>
      </c>
      <c r="K11" s="262">
        <f>SUMIFS(Tabla4[Sub Total],Tabla4[Codigo],Tabla2[[#This Row],[Cod]])</f>
        <v>2352941.0190000003</v>
      </c>
      <c r="L11" s="262">
        <f>SUMPRODUCT((Tabla4[Codigo]=Tabla2[[#This Row],[Cod]])*1,Tabla4[IVA])</f>
        <v>447058.79361000005</v>
      </c>
      <c r="M11" s="262">
        <f>SUMIFS(Tabla4[Total],Tabla4[Codigo],Tabla2[[#This Row],[Cod]])</f>
        <v>2799999.8126100004</v>
      </c>
      <c r="N11" s="263">
        <f>SUMPRODUCT((Tabla1[Codigo]=Tabla2[[#This Row],[Cod]])*1,Tabla1[Valor])</f>
        <v>2694117</v>
      </c>
      <c r="O11" s="264">
        <f>IF(AND(Tabla2[[#This Row],[Estado]]="ok",LEFT(Tabla2[[#This Row],['# Factura]],3)="TIS"),Tabla2[[#This Row],[TOTAL]]-Tabla2[[#This Row],[pagado]],0)</f>
        <v>0</v>
      </c>
      <c r="P11" s="262">
        <f>Tabla2[[#This Row],[TOTAL]]-Tabla2[[#This Row],[Valor pago]]</f>
        <v>105882.81261000037</v>
      </c>
      <c r="Q11" s="265">
        <f>IF(Tabla2[[#This Row],[Saldo]]=0,0,IF(Tabla2[[#This Row],[Tipo cliente]]="PJ",Tabla2[[#This Row],[SUBTOTAL]]*11%,0))</f>
        <v>258823.51209000003</v>
      </c>
      <c r="R11" s="264">
        <f>IF(Tabla2[[#This Row],[Saldo]]=0,0,IF(Tabla2[[#This Row],[Tipo cliente]]="PJ",Tabla2[[#This Row],[SUBTOTAL]]*0.966%,0))</f>
        <v>22729.410243540002</v>
      </c>
      <c r="S11" s="264">
        <f>IF(Tabla2[[#This Row],[Retiene IVA]]="S",Tabla2[[#This Row],[IVA]]*0.15,0)</f>
        <v>0</v>
      </c>
      <c r="T11" s="264">
        <f>+Tabla2[[#This Row],[Saldo]]-Tabla2[[#This Row],[Rete fte]]-Tabla2[[#This Row],[rete ica]]-Tabla2[[#This Row],[Rete IVA]]</f>
        <v>-175670.10972353967</v>
      </c>
      <c r="U11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2799999.8126100004</v>
      </c>
      <c r="W11">
        <f>IF(Tabla2[[#This Row],[Fecha F.E.]]="","",YEAR(Tabla2[[#This Row],[Fecha F.E.]]))</f>
        <v>2021</v>
      </c>
      <c r="X11" s="23">
        <f>IF(Tabla2[[#This Row],[Fecha]]="","",YEAR(Tabla2[[#This Row],[Fecha]]))</f>
        <v>2021</v>
      </c>
    </row>
    <row r="12" spans="1:24" x14ac:dyDescent="0.25">
      <c r="A12" s="3">
        <v>11</v>
      </c>
      <c r="B12" s="75" t="s">
        <v>807</v>
      </c>
      <c r="C12" s="158">
        <v>44274</v>
      </c>
      <c r="D12" s="77" t="s">
        <v>808</v>
      </c>
      <c r="E12" s="158">
        <v>44305</v>
      </c>
      <c r="F12" s="74" t="s">
        <v>3</v>
      </c>
      <c r="G12" s="84">
        <v>900320303</v>
      </c>
      <c r="H12" s="176" t="str">
        <f>VLOOKUP(Tabla2[[#This Row],[NIT]],Clientes!A:C,2,0)</f>
        <v>CONSTRUCCIONES MONTAJES Y PARTES Electricas SAS</v>
      </c>
      <c r="I12" s="73" t="str">
        <f>VLOOKUP(Tabla2[[#This Row],[NIT]],Clientes!A:C,3,0)</f>
        <v>PJ</v>
      </c>
      <c r="J12" s="73" t="s">
        <v>794</v>
      </c>
      <c r="K12" s="262">
        <f>SUMIFS(Tabla4[Sub Total],Tabla4[Codigo],Tabla2[[#This Row],[Cod]])</f>
        <v>330000</v>
      </c>
      <c r="L12" s="262">
        <f>SUMPRODUCT((Tabla4[Codigo]=Tabla2[[#This Row],[Cod]])*1,Tabla4[IVA])</f>
        <v>62700</v>
      </c>
      <c r="M12" s="262">
        <f>SUMIFS(Tabla4[Total],Tabla4[Codigo],Tabla2[[#This Row],[Cod]])</f>
        <v>392700</v>
      </c>
      <c r="N12" s="263">
        <f>SUMPRODUCT((Tabla1[Codigo]=Tabla2[[#This Row],[Cod]])*1,Tabla1[Valor])</f>
        <v>354123</v>
      </c>
      <c r="O12" s="264">
        <f>IF(AND(Tabla2[[#This Row],[Estado]]="ok",LEFT(Tabla2[[#This Row],['# Factura]],3)="TIS"),Tabla2[[#This Row],[TOTAL]]-Tabla2[[#This Row],[pagado]],0)</f>
        <v>0</v>
      </c>
      <c r="P12" s="262">
        <f>Tabla2[[#This Row],[TOTAL]]-Tabla2[[#This Row],[Valor pago]]</f>
        <v>38577</v>
      </c>
      <c r="Q12" s="265">
        <f>IF(Tabla2[[#This Row],[Saldo]]=0,0,IF(Tabla2[[#This Row],[Tipo cliente]]="PJ",Tabla2[[#This Row],[SUBTOTAL]]*11%,0))</f>
        <v>36300</v>
      </c>
      <c r="R12" s="264">
        <f>IF(Tabla2[[#This Row],[Saldo]]=0,0,IF(Tabla2[[#This Row],[Tipo cliente]]="PJ",Tabla2[[#This Row],[SUBTOTAL]]*0.966%,0))</f>
        <v>3187.8</v>
      </c>
      <c r="S12" s="264">
        <f>IF(Tabla2[[#This Row],[Retiene IVA]]="S",Tabla2[[#This Row],[IVA]]*0.15,0)</f>
        <v>0</v>
      </c>
      <c r="T12" s="264">
        <f>+Tabla2[[#This Row],[Saldo]]-Tabla2[[#This Row],[Rete fte]]-Tabla2[[#This Row],[rete ica]]-Tabla2[[#This Row],[Rete IVA]]</f>
        <v>-910.80000000000018</v>
      </c>
      <c r="U12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392700</v>
      </c>
      <c r="W12">
        <f>IF(Tabla2[[#This Row],[Fecha F.E.]]="","",YEAR(Tabla2[[#This Row],[Fecha F.E.]]))</f>
        <v>2021</v>
      </c>
      <c r="X12" s="23">
        <f>IF(Tabla2[[#This Row],[Fecha]]="","",YEAR(Tabla2[[#This Row],[Fecha]]))</f>
        <v>2021</v>
      </c>
    </row>
    <row r="13" spans="1:24" x14ac:dyDescent="0.25">
      <c r="A13" s="3">
        <v>12</v>
      </c>
      <c r="B13" s="75"/>
      <c r="C13" s="158">
        <v>44274</v>
      </c>
      <c r="D13" s="77" t="s">
        <v>809</v>
      </c>
      <c r="E13" s="158">
        <v>44274</v>
      </c>
      <c r="F13" s="74" t="s">
        <v>796</v>
      </c>
      <c r="G13" s="84">
        <v>800159215</v>
      </c>
      <c r="H13" s="176" t="str">
        <f>VLOOKUP(Tabla2[[#This Row],[NIT]],Clientes!A:C,2,0)</f>
        <v>INDU B SAS</v>
      </c>
      <c r="I13" s="73" t="str">
        <f>VLOOKUP(Tabla2[[#This Row],[NIT]],Clientes!A:C,3,0)</f>
        <v>PJ</v>
      </c>
      <c r="J13" s="73" t="s">
        <v>794</v>
      </c>
      <c r="K13" s="262">
        <f>SUMIFS(Tabla4[Sub Total],Tabla4[Codigo],Tabla2[[#This Row],[Cod]])</f>
        <v>-1008000</v>
      </c>
      <c r="L13" s="262">
        <f>SUMPRODUCT((Tabla4[Codigo]=Tabla2[[#This Row],[Cod]])*1,Tabla4[IVA])</f>
        <v>-191520</v>
      </c>
      <c r="M13" s="262">
        <f>SUMIFS(Tabla4[Total],Tabla4[Codigo],Tabla2[[#This Row],[Cod]])</f>
        <v>-1199520</v>
      </c>
      <c r="N13" s="263">
        <f>SUMPRODUCT((Tabla1[Codigo]=Tabla2[[#This Row],[Cod]])*1,Tabla1[Valor])</f>
        <v>0</v>
      </c>
      <c r="O13" s="264">
        <f>IF(AND(Tabla2[[#This Row],[Estado]]="ok",LEFT(Tabla2[[#This Row],['# Factura]],3)="TIS"),Tabla2[[#This Row],[TOTAL]]-Tabla2[[#This Row],[pagado]],0)</f>
        <v>0</v>
      </c>
      <c r="P13" s="262">
        <f>Tabla2[[#This Row],[TOTAL]]-Tabla2[[#This Row],[Valor pago]]</f>
        <v>-1199520</v>
      </c>
      <c r="Q13" s="265">
        <f>IF(Tabla2[[#This Row],[Saldo]]=0,0,IF(Tabla2[[#This Row],[Tipo cliente]]="PJ",Tabla2[[#This Row],[SUBTOTAL]]*11%,0))</f>
        <v>-110880</v>
      </c>
      <c r="R13" s="264">
        <f>IF(Tabla2[[#This Row],[Saldo]]=0,0,IF(Tabla2[[#This Row],[Tipo cliente]]="PJ",Tabla2[[#This Row],[SUBTOTAL]]*0.966%,0))</f>
        <v>-9737.2800000000007</v>
      </c>
      <c r="S13" s="264">
        <f>IF(Tabla2[[#This Row],[Retiene IVA]]="S",Tabla2[[#This Row],[IVA]]*0.15,0)</f>
        <v>0</v>
      </c>
      <c r="T13" s="264">
        <f>+Tabla2[[#This Row],[Saldo]]-Tabla2[[#This Row],[Rete fte]]-Tabla2[[#This Row],[rete ica]]-Tabla2[[#This Row],[Rete IVA]]</f>
        <v>-1078902.72</v>
      </c>
      <c r="U13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3">
        <f>IF(Tabla2[[#This Row],[Fecha F.E.]]="","",YEAR(Tabla2[[#This Row],[Fecha F.E.]]))</f>
        <v>2021</v>
      </c>
      <c r="X13" s="23">
        <f>IF(Tabla2[[#This Row],[Fecha]]="","",YEAR(Tabla2[[#This Row],[Fecha]]))</f>
        <v>2021</v>
      </c>
    </row>
    <row r="14" spans="1:24" customFormat="1" x14ac:dyDescent="0.25">
      <c r="A14" s="3">
        <v>13</v>
      </c>
      <c r="B14" s="75" t="s">
        <v>802</v>
      </c>
      <c r="C14" s="158">
        <v>44275</v>
      </c>
      <c r="D14" s="77" t="s">
        <v>805</v>
      </c>
      <c r="E14" s="158">
        <v>44291</v>
      </c>
      <c r="F14" s="74" t="s">
        <v>3</v>
      </c>
      <c r="G14" s="84">
        <v>900364830</v>
      </c>
      <c r="H14" s="176" t="str">
        <f>VLOOKUP(Tabla2[[#This Row],[NIT]],Clientes!A:C,2,0)</f>
        <v xml:space="preserve">EUROMETRIC COLOMBIA LTDA </v>
      </c>
      <c r="I14" s="73" t="str">
        <f>VLOOKUP(Tabla2[[#This Row],[NIT]],Clientes!A:C,3,0)</f>
        <v>PJ</v>
      </c>
      <c r="J14" s="73" t="s">
        <v>794</v>
      </c>
      <c r="K14" s="262">
        <f>SUMIFS(Tabla4[Sub Total],Tabla4[Codigo],Tabla2[[#This Row],[Cod]])</f>
        <v>320000</v>
      </c>
      <c r="L14" s="262">
        <f>SUMPRODUCT((Tabla4[Codigo]=Tabla2[[#This Row],[Cod]])*1,Tabla4[IVA])</f>
        <v>60800</v>
      </c>
      <c r="M14" s="262">
        <f>SUMIFS(Tabla4[Total],Tabla4[Codigo],Tabla2[[#This Row],[Cod]])</f>
        <v>380800</v>
      </c>
      <c r="N14" s="263">
        <f>SUMPRODUCT((Tabla1[Codigo]=Tabla2[[#This Row],[Cod]])*1,Tabla1[Valor])</f>
        <v>343392</v>
      </c>
      <c r="O14" s="264">
        <f>IF(AND(Tabla2[[#This Row],[Estado]]="ok",LEFT(Tabla2[[#This Row],['# Factura]],3)="TIS"),Tabla2[[#This Row],[TOTAL]]-Tabla2[[#This Row],[pagado]],0)</f>
        <v>0</v>
      </c>
      <c r="P14" s="262">
        <f>Tabla2[[#This Row],[TOTAL]]-Tabla2[[#This Row],[Valor pago]]</f>
        <v>37408</v>
      </c>
      <c r="Q14" s="265">
        <f>IF(Tabla2[[#This Row],[Saldo]]=0,0,IF(Tabla2[[#This Row],[Tipo cliente]]="PJ",Tabla2[[#This Row],[SUBTOTAL]]*11%,0))</f>
        <v>35200</v>
      </c>
      <c r="R14" s="264">
        <f>IF(Tabla2[[#This Row],[Saldo]]=0,0,IF(Tabla2[[#This Row],[Tipo cliente]]="PJ",Tabla2[[#This Row],[SUBTOTAL]]*0.966%,0))</f>
        <v>3091.2000000000003</v>
      </c>
      <c r="S14" s="264">
        <f>IF(Tabla2[[#This Row],[Retiene IVA]]="S",Tabla2[[#This Row],[IVA]]*0.15,0)</f>
        <v>0</v>
      </c>
      <c r="T14" s="264">
        <f>+Tabla2[[#This Row],[Saldo]]-Tabla2[[#This Row],[Rete fte]]-Tabla2[[#This Row],[rete ica]]-Tabla2[[#This Row],[Rete IVA]]</f>
        <v>-883.20000000000027</v>
      </c>
      <c r="U14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380800</v>
      </c>
      <c r="W14">
        <f>IF(Tabla2[[#This Row],[Fecha F.E.]]="","",YEAR(Tabla2[[#This Row],[Fecha F.E.]]))</f>
        <v>2021</v>
      </c>
      <c r="X14">
        <f>IF(Tabla2[[#This Row],[Fecha]]="","",YEAR(Tabla2[[#This Row],[Fecha]]))</f>
        <v>2021</v>
      </c>
    </row>
    <row r="15" spans="1:24" customFormat="1" x14ac:dyDescent="0.25">
      <c r="A15" s="3">
        <v>14</v>
      </c>
      <c r="B15" s="75" t="s">
        <v>810</v>
      </c>
      <c r="C15" s="158">
        <v>44291</v>
      </c>
      <c r="D15" s="77" t="s">
        <v>811</v>
      </c>
      <c r="E15" s="158">
        <v>44349</v>
      </c>
      <c r="F15" s="74" t="s">
        <v>3</v>
      </c>
      <c r="G15" s="84">
        <v>860516834</v>
      </c>
      <c r="H15" s="176" t="str">
        <f>VLOOKUP(Tabla2[[#This Row],[NIT]],Clientes!A:C,2,0)</f>
        <v xml:space="preserve">Grupo consultor Andino </v>
      </c>
      <c r="I15" s="73" t="str">
        <f>VLOOKUP(Tabla2[[#This Row],[NIT]],Clientes!A:C,3,0)</f>
        <v>PJ</v>
      </c>
      <c r="J15" s="73" t="s">
        <v>794</v>
      </c>
      <c r="K15" s="262">
        <f>SUMIFS(Tabla4[Sub Total],Tabla4[Codigo],Tabla2[[#This Row],[Cod]])</f>
        <v>2322000</v>
      </c>
      <c r="L15" s="262">
        <f>SUMPRODUCT((Tabla4[Codigo]=Tabla2[[#This Row],[Cod]])*1,Tabla4[IVA])</f>
        <v>441180</v>
      </c>
      <c r="M15" s="262">
        <f>SUMIFS(Tabla4[Total],Tabla4[Codigo],Tabla2[[#This Row],[Cod]])</f>
        <v>2763180</v>
      </c>
      <c r="N15" s="263">
        <f>SUMPRODUCT((Tabla1[Codigo]=Tabla2[[#This Row],[Cod]])*1,Tabla1[Valor])</f>
        <v>2485000</v>
      </c>
      <c r="O15" s="264">
        <f>IF(AND(Tabla2[[#This Row],[Estado]]="ok",LEFT(Tabla2[[#This Row],['# Factura]],3)="TIS"),Tabla2[[#This Row],[TOTAL]]-Tabla2[[#This Row],[pagado]],0)</f>
        <v>329.47999999998137</v>
      </c>
      <c r="P15" s="262">
        <f>Tabla2[[#This Row],[TOTAL]]-Tabla2[[#This Row],[Valor pago]]</f>
        <v>278180</v>
      </c>
      <c r="Q15" s="265">
        <f>IF(Tabla2[[#This Row],[Saldo]]=0,0,IF(Tabla2[[#This Row],[Tipo cliente]]="PJ",Tabla2[[#This Row],[SUBTOTAL]]*11%,0))</f>
        <v>255420</v>
      </c>
      <c r="R15" s="264">
        <f>IF(Tabla2[[#This Row],[Saldo]]=0,0,IF(Tabla2[[#This Row],[Tipo cliente]]="PJ",Tabla2[[#This Row],[SUBTOTAL]]*0.966%,0))</f>
        <v>22430.52</v>
      </c>
      <c r="S15" s="264">
        <f>IF(Tabla2[[#This Row],[Retiene IVA]]="S",Tabla2[[#This Row],[IVA]]*0.15,0)</f>
        <v>0</v>
      </c>
      <c r="T15" s="264">
        <f>+Tabla2[[#This Row],[Saldo]]-Tabla2[[#This Row],[Rete fte]]-Tabla2[[#This Row],[rete ica]]-Tabla2[[#This Row],[Rete IVA]]</f>
        <v>329.47999999999956</v>
      </c>
      <c r="U15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2762850.52</v>
      </c>
      <c r="W15">
        <f>IF(Tabla2[[#This Row],[Fecha F.E.]]="","",YEAR(Tabla2[[#This Row],[Fecha F.E.]]))</f>
        <v>2021</v>
      </c>
      <c r="X15">
        <f>IF(Tabla2[[#This Row],[Fecha]]="","",YEAR(Tabla2[[#This Row],[Fecha]]))</f>
        <v>2021</v>
      </c>
    </row>
    <row r="16" spans="1:24" customFormat="1" x14ac:dyDescent="0.25">
      <c r="A16" s="3">
        <v>15</v>
      </c>
      <c r="B16" s="75" t="s">
        <v>808</v>
      </c>
      <c r="C16" s="158">
        <v>44291</v>
      </c>
      <c r="D16" s="77"/>
      <c r="E16" s="158"/>
      <c r="F16" s="74" t="s">
        <v>3</v>
      </c>
      <c r="G16" s="84">
        <v>52336469</v>
      </c>
      <c r="H16" s="176" t="str">
        <f>VLOOKUP(Tabla2[[#This Row],[NIT]],Clientes!A:C,2,0)</f>
        <v>Claudia Vargas</v>
      </c>
      <c r="I16" s="73" t="str">
        <f>VLOOKUP(Tabla2[[#This Row],[NIT]],Clientes!A:C,3,0)</f>
        <v>PN</v>
      </c>
      <c r="J16" s="73" t="s">
        <v>794</v>
      </c>
      <c r="K16" s="262">
        <f>SUMIFS(Tabla4[Sub Total],Tabla4[Codigo],Tabla2[[#This Row],[Cod]])</f>
        <v>1200000</v>
      </c>
      <c r="L16" s="262">
        <f>SUMPRODUCT((Tabla4[Codigo]=Tabla2[[#This Row],[Cod]])*1,Tabla4[IVA])</f>
        <v>0</v>
      </c>
      <c r="M16" s="262">
        <f>SUMIFS(Tabla4[Total],Tabla4[Codigo],Tabla2[[#This Row],[Cod]])</f>
        <v>1200000</v>
      </c>
      <c r="N16" s="263">
        <f>SUMPRODUCT((Tabla1[Codigo]=Tabla2[[#This Row],[Cod]])*1,Tabla1[Valor])</f>
        <v>600000</v>
      </c>
      <c r="O16" s="264">
        <f>IF(AND(Tabla2[[#This Row],[Estado]]="ok",LEFT(Tabla2[[#This Row],['# Factura]],3)="TIS"),Tabla2[[#This Row],[TOTAL]]-Tabla2[[#This Row],[pagado]],0)</f>
        <v>0</v>
      </c>
      <c r="P16" s="262">
        <f>Tabla2[[#This Row],[TOTAL]]-Tabla2[[#This Row],[Valor pago]]</f>
        <v>600000</v>
      </c>
      <c r="Q16" s="265">
        <f>IF(Tabla2[[#This Row],[Saldo]]=0,0,IF(Tabla2[[#This Row],[Tipo cliente]]="PJ",Tabla2[[#This Row],[SUBTOTAL]]*11%,0))</f>
        <v>0</v>
      </c>
      <c r="R16" s="264">
        <f>IF(Tabla2[[#This Row],[Saldo]]=0,0,IF(Tabla2[[#This Row],[Tipo cliente]]="PJ",Tabla2[[#This Row],[SUBTOTAL]]*0.966%,0))</f>
        <v>0</v>
      </c>
      <c r="S16" s="264">
        <f>IF(Tabla2[[#This Row],[Retiene IVA]]="S",Tabla2[[#This Row],[IVA]]*0.15,0)</f>
        <v>0</v>
      </c>
      <c r="T16" s="264">
        <f>+Tabla2[[#This Row],[Saldo]]-Tabla2[[#This Row],[Rete fte]]-Tabla2[[#This Row],[rete ica]]-Tabla2[[#This Row],[Rete IVA]]</f>
        <v>600000</v>
      </c>
      <c r="U16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600000</v>
      </c>
      <c r="W16" t="str">
        <f>IF(Tabla2[[#This Row],[Fecha F.E.]]="","",YEAR(Tabla2[[#This Row],[Fecha F.E.]]))</f>
        <v/>
      </c>
      <c r="X16">
        <f>IF(Tabla2[[#This Row],[Fecha]]="","",YEAR(Tabla2[[#This Row],[Fecha]]))</f>
        <v>2021</v>
      </c>
    </row>
    <row r="17" spans="1:24" x14ac:dyDescent="0.25">
      <c r="A17" s="3">
        <v>16</v>
      </c>
      <c r="B17" s="75" t="s">
        <v>812</v>
      </c>
      <c r="C17" s="158">
        <v>44291</v>
      </c>
      <c r="D17" s="77" t="s">
        <v>801</v>
      </c>
      <c r="E17" s="158">
        <v>44291</v>
      </c>
      <c r="F17" s="74" t="s">
        <v>3</v>
      </c>
      <c r="G17" s="84">
        <v>800159215</v>
      </c>
      <c r="H17" s="176" t="str">
        <f>VLOOKUP(Tabla2[[#This Row],[NIT]],Clientes!A:C,2,0)</f>
        <v>INDU B SAS</v>
      </c>
      <c r="I17" s="73" t="str">
        <f>VLOOKUP(Tabla2[[#This Row],[NIT]],Clientes!A:C,3,0)</f>
        <v>PJ</v>
      </c>
      <c r="J17" s="73" t="s">
        <v>794</v>
      </c>
      <c r="K17" s="262">
        <f>SUMIFS(Tabla4[Sub Total],Tabla4[Codigo],Tabla2[[#This Row],[Cod]])</f>
        <v>3520000</v>
      </c>
      <c r="L17" s="262">
        <f>SUMPRODUCT((Tabla4[Codigo]=Tabla2[[#This Row],[Cod]])*1,Tabla4[IVA])</f>
        <v>668800</v>
      </c>
      <c r="M17" s="262">
        <f>SUMIFS(Tabla4[Total],Tabla4[Codigo],Tabla2[[#This Row],[Cod]])</f>
        <v>4188800</v>
      </c>
      <c r="N17" s="263">
        <f>SUMPRODUCT((Tabla1[Codigo]=Tabla2[[#This Row],[Cod]])*1,Tabla1[Valor])</f>
        <v>3777312</v>
      </c>
      <c r="O17" s="264">
        <f>IF(AND(Tabla2[[#This Row],[Estado]]="ok",LEFT(Tabla2[[#This Row],['# Factura]],3)="TIS"),Tabla2[[#This Row],[TOTAL]]-Tabla2[[#This Row],[pagado]],0)</f>
        <v>0</v>
      </c>
      <c r="P17" s="262">
        <f>Tabla2[[#This Row],[TOTAL]]-Tabla2[[#This Row],[Valor pago]]</f>
        <v>411488</v>
      </c>
      <c r="Q17" s="265">
        <f>IF(Tabla2[[#This Row],[Saldo]]=0,0,IF(Tabla2[[#This Row],[Tipo cliente]]="PJ",Tabla2[[#This Row],[SUBTOTAL]]*11%,0))</f>
        <v>387200</v>
      </c>
      <c r="R17" s="264">
        <f>IF(Tabla2[[#This Row],[Saldo]]=0,0,IF(Tabla2[[#This Row],[Tipo cliente]]="PJ",Tabla2[[#This Row],[SUBTOTAL]]*0.966%,0))</f>
        <v>34003.199999999997</v>
      </c>
      <c r="S17" s="264">
        <f>IF(Tabla2[[#This Row],[Retiene IVA]]="S",Tabla2[[#This Row],[IVA]]*0.15,0)</f>
        <v>0</v>
      </c>
      <c r="T17" s="264">
        <f>+Tabla2[[#This Row],[Saldo]]-Tabla2[[#This Row],[Rete fte]]-Tabla2[[#This Row],[rete ica]]-Tabla2[[#This Row],[Rete IVA]]</f>
        <v>-9715.1999999999971</v>
      </c>
      <c r="U17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4188800</v>
      </c>
      <c r="W17">
        <f>IF(Tabla2[[#This Row],[Fecha F.E.]]="","",YEAR(Tabla2[[#This Row],[Fecha F.E.]]))</f>
        <v>2021</v>
      </c>
      <c r="X17" s="23">
        <f>IF(Tabla2[[#This Row],[Fecha]]="","",YEAR(Tabla2[[#This Row],[Fecha]]))</f>
        <v>2021</v>
      </c>
    </row>
    <row r="18" spans="1:24" x14ac:dyDescent="0.25">
      <c r="A18" s="3">
        <v>17</v>
      </c>
      <c r="B18" s="75" t="s">
        <v>813</v>
      </c>
      <c r="C18" s="158">
        <v>44291</v>
      </c>
      <c r="D18" s="77" t="s">
        <v>807</v>
      </c>
      <c r="E18" s="158">
        <v>44291</v>
      </c>
      <c r="F18" s="74" t="s">
        <v>3</v>
      </c>
      <c r="G18" s="84">
        <v>800028768</v>
      </c>
      <c r="H18" s="176" t="str">
        <f>VLOOKUP(Tabla2[[#This Row],[NIT]],Clientes!A:C,2,0)</f>
        <v>Comercializadora ERZ SAS</v>
      </c>
      <c r="I18" s="73" t="str">
        <f>VLOOKUP(Tabla2[[#This Row],[NIT]],Clientes!A:C,3,0)</f>
        <v>PJ</v>
      </c>
      <c r="J18" s="73" t="s">
        <v>794</v>
      </c>
      <c r="K18" s="262">
        <f>SUMIFS(Tabla4[Sub Total],Tabla4[Codigo],Tabla2[[#This Row],[Cod]])</f>
        <v>440000</v>
      </c>
      <c r="L18" s="262">
        <f>SUMPRODUCT((Tabla4[Codigo]=Tabla2[[#This Row],[Cod]])*1,Tabla4[IVA])</f>
        <v>83600</v>
      </c>
      <c r="M18" s="262">
        <f>SUMIFS(Tabla4[Total],Tabla4[Codigo],Tabla2[[#This Row],[Cod]])</f>
        <v>523600</v>
      </c>
      <c r="N18" s="263">
        <f>SUMPRODUCT((Tabla1[Codigo]=Tabla2[[#This Row],[Cod]])*1,Tabla1[Valor])</f>
        <v>502964</v>
      </c>
      <c r="O18" s="264">
        <f>IF(AND(Tabla2[[#This Row],[Estado]]="ok",LEFT(Tabla2[[#This Row],['# Factura]],3)="TIS"),Tabla2[[#This Row],[TOTAL]]-Tabla2[[#This Row],[pagado]],0)</f>
        <v>0</v>
      </c>
      <c r="P18" s="262">
        <f>Tabla2[[#This Row],[TOTAL]]-Tabla2[[#This Row],[Valor pago]]</f>
        <v>20636</v>
      </c>
      <c r="Q18" s="265">
        <f>IF(Tabla2[[#This Row],[Saldo]]=0,0,IF(Tabla2[[#This Row],[Tipo cliente]]="PJ",Tabla2[[#This Row],[SUBTOTAL]]*11%,0))</f>
        <v>48400</v>
      </c>
      <c r="R18" s="264">
        <f>IF(Tabla2[[#This Row],[Saldo]]=0,0,IF(Tabla2[[#This Row],[Tipo cliente]]="PJ",Tabla2[[#This Row],[SUBTOTAL]]*0.966%,0))</f>
        <v>4250.3999999999996</v>
      </c>
      <c r="S18" s="264">
        <f>IF(Tabla2[[#This Row],[Retiene IVA]]="S",Tabla2[[#This Row],[IVA]]*0.15,0)</f>
        <v>0</v>
      </c>
      <c r="T18" s="264">
        <f>+Tabla2[[#This Row],[Saldo]]-Tabla2[[#This Row],[Rete fte]]-Tabla2[[#This Row],[rete ica]]-Tabla2[[#This Row],[Rete IVA]]</f>
        <v>-32014.400000000001</v>
      </c>
      <c r="U18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523600</v>
      </c>
      <c r="V18" s="369" t="s">
        <v>814</v>
      </c>
      <c r="W18">
        <f>IF(Tabla2[[#This Row],[Fecha F.E.]]="","",YEAR(Tabla2[[#This Row],[Fecha F.E.]]))</f>
        <v>2021</v>
      </c>
      <c r="X18" s="23">
        <f>IF(Tabla2[[#This Row],[Fecha]]="","",YEAR(Tabla2[[#This Row],[Fecha]]))</f>
        <v>2021</v>
      </c>
    </row>
    <row r="19" spans="1:24" x14ac:dyDescent="0.25">
      <c r="A19" s="3">
        <v>18</v>
      </c>
      <c r="B19" s="75"/>
      <c r="C19" s="158">
        <v>44291</v>
      </c>
      <c r="D19" s="77" t="s">
        <v>815</v>
      </c>
      <c r="E19" s="158">
        <v>44291</v>
      </c>
      <c r="F19" s="74" t="s">
        <v>796</v>
      </c>
      <c r="G19" s="84">
        <v>800159215</v>
      </c>
      <c r="H19" s="176" t="str">
        <f>VLOOKUP(Tabla2[[#This Row],[NIT]],Clientes!A:C,2,0)</f>
        <v>INDU B SAS</v>
      </c>
      <c r="I19" s="73" t="str">
        <f>VLOOKUP(Tabla2[[#This Row],[NIT]],Clientes!A:C,3,0)</f>
        <v>PJ</v>
      </c>
      <c r="J19" s="73" t="s">
        <v>794</v>
      </c>
      <c r="K19" s="262">
        <f>SUMIFS(Tabla4[Sub Total],Tabla4[Codigo],Tabla2[[#This Row],[Cod]])</f>
        <v>-3520000</v>
      </c>
      <c r="L19" s="262">
        <f>SUMPRODUCT((Tabla4[Codigo]=Tabla2[[#This Row],[Cod]])*1,Tabla4[IVA])</f>
        <v>-668800</v>
      </c>
      <c r="M19" s="262">
        <f>SUMIFS(Tabla4[Total],Tabla4[Codigo],Tabla2[[#This Row],[Cod]])</f>
        <v>-4188800</v>
      </c>
      <c r="N19" s="263">
        <f>SUMPRODUCT((Tabla1[Codigo]=Tabla2[[#This Row],[Cod]])*1,Tabla1[Valor])</f>
        <v>0</v>
      </c>
      <c r="O19" s="264">
        <f>IF(AND(Tabla2[[#This Row],[Estado]]="ok",LEFT(Tabla2[[#This Row],['# Factura]],3)="TIS"),Tabla2[[#This Row],[TOTAL]]-Tabla2[[#This Row],[pagado]],0)</f>
        <v>0</v>
      </c>
      <c r="P19" s="262">
        <f>Tabla2[[#This Row],[TOTAL]]-Tabla2[[#This Row],[Valor pago]]</f>
        <v>-4188800</v>
      </c>
      <c r="Q19" s="265">
        <f>IF(Tabla2[[#This Row],[Saldo]]=0,0,IF(Tabla2[[#This Row],[Tipo cliente]]="PJ",Tabla2[[#This Row],[SUBTOTAL]]*11%,0))</f>
        <v>-387200</v>
      </c>
      <c r="R19" s="264">
        <f>IF(Tabla2[[#This Row],[Saldo]]=0,0,IF(Tabla2[[#This Row],[Tipo cliente]]="PJ",Tabla2[[#This Row],[SUBTOTAL]]*0.966%,0))</f>
        <v>-34003.199999999997</v>
      </c>
      <c r="S19" s="264">
        <f>IF(Tabla2[[#This Row],[Retiene IVA]]="S",Tabla2[[#This Row],[IVA]]*0.15,0)</f>
        <v>0</v>
      </c>
      <c r="T19" s="264">
        <f>+Tabla2[[#This Row],[Saldo]]-Tabla2[[#This Row],[Rete fte]]-Tabla2[[#This Row],[rete ica]]-Tabla2[[#This Row],[Rete IVA]]</f>
        <v>-3767596.8</v>
      </c>
      <c r="U19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9">
        <f>IF(Tabla2[[#This Row],[Fecha F.E.]]="","",YEAR(Tabla2[[#This Row],[Fecha F.E.]]))</f>
        <v>2021</v>
      </c>
      <c r="X19" s="23">
        <f>IF(Tabla2[[#This Row],[Fecha]]="","",YEAR(Tabla2[[#This Row],[Fecha]]))</f>
        <v>2021</v>
      </c>
    </row>
    <row r="20" spans="1:24" x14ac:dyDescent="0.25">
      <c r="A20" s="3">
        <v>19</v>
      </c>
      <c r="B20" s="75" t="s">
        <v>806</v>
      </c>
      <c r="C20" s="158">
        <v>44299</v>
      </c>
      <c r="D20" s="77" t="s">
        <v>816</v>
      </c>
      <c r="E20" s="158">
        <v>44358</v>
      </c>
      <c r="F20" s="74" t="s">
        <v>3</v>
      </c>
      <c r="G20" s="84">
        <v>901323708</v>
      </c>
      <c r="H20" s="176" t="str">
        <f>VLOOKUP(Tabla2[[#This Row],[NIT]],Clientes!A:C,2,0)</f>
        <v>Consorcio Sistem IM3</v>
      </c>
      <c r="I20" s="73" t="str">
        <f>VLOOKUP(Tabla2[[#This Row],[NIT]],Clientes!A:C,3,0)</f>
        <v>PJ</v>
      </c>
      <c r="J20" s="73" t="s">
        <v>794</v>
      </c>
      <c r="K20" s="262">
        <f>SUMIFS(Tabla4[Sub Total],Tabla4[Codigo],Tabla2[[#This Row],[Cod]])</f>
        <v>225000</v>
      </c>
      <c r="L20" s="262">
        <f>SUMPRODUCT((Tabla4[Codigo]=Tabla2[[#This Row],[Cod]])*1,Tabla4[IVA])</f>
        <v>42750</v>
      </c>
      <c r="M20" s="262">
        <f>SUMIFS(Tabla4[Total],Tabla4[Codigo],Tabla2[[#This Row],[Cod]])</f>
        <v>267750</v>
      </c>
      <c r="N20" s="263">
        <f>SUMPRODUCT((Tabla1[Codigo]=Tabla2[[#This Row],[Cod]])*1,Tabla1[Valor])</f>
        <v>299357</v>
      </c>
      <c r="O20" s="264">
        <f>IF(AND(Tabla2[[#This Row],[Estado]]="ok",LEFT(Tabla2[[#This Row],['# Factura]],3)="TIS"),Tabla2[[#This Row],[TOTAL]]-Tabla2[[#This Row],[pagado]],0)</f>
        <v>0</v>
      </c>
      <c r="P20" s="262">
        <f>Tabla2[[#This Row],[TOTAL]]-Tabla2[[#This Row],[Valor pago]]</f>
        <v>-31607</v>
      </c>
      <c r="Q20" s="265">
        <f>IF(Tabla2[[#This Row],[Saldo]]=0,0,IF(Tabla2[[#This Row],[Tipo cliente]]="PJ",Tabla2[[#This Row],[SUBTOTAL]]*11%,0))</f>
        <v>24750</v>
      </c>
      <c r="R20" s="264">
        <f>IF(Tabla2[[#This Row],[Saldo]]=0,0,IF(Tabla2[[#This Row],[Tipo cliente]]="PJ",Tabla2[[#This Row],[SUBTOTAL]]*0.966%,0))</f>
        <v>2173.5</v>
      </c>
      <c r="S20" s="264">
        <f>IF(Tabla2[[#This Row],[Retiene IVA]]="S",Tabla2[[#This Row],[IVA]]*0.15,0)</f>
        <v>0</v>
      </c>
      <c r="T20" s="264">
        <f>+Tabla2[[#This Row],[Saldo]]-Tabla2[[#This Row],[Rete fte]]-Tabla2[[#This Row],[rete ica]]-Tabla2[[#This Row],[Rete IVA]]</f>
        <v>-58530.5</v>
      </c>
      <c r="U20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267750</v>
      </c>
      <c r="W20">
        <f>IF(Tabla2[[#This Row],[Fecha F.E.]]="","",YEAR(Tabla2[[#This Row],[Fecha F.E.]]))</f>
        <v>2021</v>
      </c>
      <c r="X20" s="23">
        <f>IF(Tabla2[[#This Row],[Fecha]]="","",YEAR(Tabla2[[#This Row],[Fecha]]))</f>
        <v>2021</v>
      </c>
    </row>
    <row r="21" spans="1:24" customFormat="1" x14ac:dyDescent="0.25">
      <c r="A21" s="3">
        <v>20</v>
      </c>
      <c r="B21" s="75" t="s">
        <v>817</v>
      </c>
      <c r="C21" s="158">
        <v>44305</v>
      </c>
      <c r="D21" s="77" t="s">
        <v>810</v>
      </c>
      <c r="E21" s="158">
        <v>44305</v>
      </c>
      <c r="F21" s="74" t="s">
        <v>3</v>
      </c>
      <c r="G21" s="84">
        <v>52385710</v>
      </c>
      <c r="H21" s="176" t="str">
        <f>VLOOKUP(Tabla2[[#This Row],[NIT]],Clientes!A:C,2,0)</f>
        <v>Maria del Pilar Alvarado Joya</v>
      </c>
      <c r="I21" s="73" t="str">
        <f>VLOOKUP(Tabla2[[#This Row],[NIT]],Clientes!A:C,3,0)</f>
        <v>PN</v>
      </c>
      <c r="J21" s="73" t="s">
        <v>794</v>
      </c>
      <c r="K21" s="267">
        <f>SUMIFS(Tabla4[Sub Total],Tabla4[Codigo],Tabla2[[#This Row],[Cod]])</f>
        <v>900000</v>
      </c>
      <c r="L21" s="262">
        <f>SUMPRODUCT((Tabla4[Codigo]=Tabla2[[#This Row],[Cod]])*1,Tabla4[IVA])</f>
        <v>0</v>
      </c>
      <c r="M21" s="262">
        <f>SUMIFS(Tabla4[Total],Tabla4[Codigo],Tabla2[[#This Row],[Cod]])</f>
        <v>900000</v>
      </c>
      <c r="N21" s="263">
        <f>SUMPRODUCT((Tabla1[Codigo]=Tabla2[[#This Row],[Cod]])*1,Tabla1[Valor])</f>
        <v>900000</v>
      </c>
      <c r="O21" s="264">
        <f>IF(AND(Tabla2[[#This Row],[Estado]]="ok",LEFT(Tabla2[[#This Row],['# Factura]],3)="TIS"),Tabla2[[#This Row],[TOTAL]]-Tabla2[[#This Row],[pagado]],0)</f>
        <v>0</v>
      </c>
      <c r="P21" s="262">
        <f>Tabla2[[#This Row],[TOTAL]]-Tabla2[[#This Row],[Valor pago]]</f>
        <v>0</v>
      </c>
      <c r="Q21" s="265">
        <f>IF(Tabla2[[#This Row],[Saldo]]=0,0,IF(Tabla2[[#This Row],[Tipo cliente]]="PJ",Tabla2[[#This Row],[SUBTOTAL]]*11%,0))</f>
        <v>0</v>
      </c>
      <c r="R21" s="264">
        <f>IF(Tabla2[[#This Row],[Saldo]]=0,0,IF(Tabla2[[#This Row],[Tipo cliente]]="PJ",Tabla2[[#This Row],[SUBTOTAL]]*0.966%,0))</f>
        <v>0</v>
      </c>
      <c r="S21" s="264">
        <f>IF(Tabla2[[#This Row],[Retiene IVA]]="S",Tabla2[[#This Row],[IVA]]*0.15,0)</f>
        <v>0</v>
      </c>
      <c r="T21" s="264">
        <f>+Tabla2[[#This Row],[Saldo]]-Tabla2[[#This Row],[Rete fte]]-Tabla2[[#This Row],[rete ica]]-Tabla2[[#This Row],[Rete IVA]]</f>
        <v>0</v>
      </c>
      <c r="U21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21">
        <f>IF(Tabla2[[#This Row],[Fecha F.E.]]="","",YEAR(Tabla2[[#This Row],[Fecha F.E.]]))</f>
        <v>2021</v>
      </c>
      <c r="X21">
        <f>IF(Tabla2[[#This Row],[Fecha]]="","",YEAR(Tabla2[[#This Row],[Fecha]]))</f>
        <v>2021</v>
      </c>
    </row>
    <row r="22" spans="1:24" x14ac:dyDescent="0.25">
      <c r="A22" s="3">
        <v>21</v>
      </c>
      <c r="B22" s="75"/>
      <c r="C22" s="158">
        <v>44316</v>
      </c>
      <c r="D22" s="77" t="s">
        <v>818</v>
      </c>
      <c r="E22" s="158">
        <v>44316</v>
      </c>
      <c r="F22" s="74" t="s">
        <v>3</v>
      </c>
      <c r="G22" s="84">
        <v>900855931</v>
      </c>
      <c r="H22" s="176" t="str">
        <f>VLOOKUP(Tabla2[[#This Row],[NIT]],Clientes!A:C,2,0)</f>
        <v>ANKER CONSULTORIA Y CONSTRUCCION S A S</v>
      </c>
      <c r="I22" s="73" t="str">
        <f>VLOOKUP(Tabla2[[#This Row],[NIT]],Clientes!A:C,3,0)</f>
        <v>PJ</v>
      </c>
      <c r="J22" s="73" t="s">
        <v>794</v>
      </c>
      <c r="K22" s="267">
        <f>SUMIFS(Tabla4[Sub Total],Tabla4[Codigo],Tabla2[[#This Row],[Cod]])</f>
        <v>-25000</v>
      </c>
      <c r="L22" s="262">
        <f>SUMPRODUCT((Tabla4[Codigo]=Tabla2[[#This Row],[Cod]])*1,Tabla4[IVA])</f>
        <v>-4750</v>
      </c>
      <c r="M22" s="262">
        <f>SUMIFS(Tabla4[Total],Tabla4[Codigo],Tabla2[[#This Row],[Cod]])</f>
        <v>-29750</v>
      </c>
      <c r="N22" s="263">
        <f>SUMPRODUCT((Tabla1[Codigo]=Tabla2[[#This Row],[Cod]])*1,Tabla1[Valor])</f>
        <v>0</v>
      </c>
      <c r="O22" s="264">
        <f>IF(AND(Tabla2[[#This Row],[Estado]]="ok",LEFT(Tabla2[[#This Row],['# Factura]],3)="TIS"),Tabla2[[#This Row],[TOTAL]]-Tabla2[[#This Row],[pagado]],0)</f>
        <v>0</v>
      </c>
      <c r="P22" s="262">
        <f>Tabla2[[#This Row],[TOTAL]]-Tabla2[[#This Row],[Valor pago]]</f>
        <v>-29750</v>
      </c>
      <c r="Q22" s="265">
        <f>IF(Tabla2[[#This Row],[Saldo]]=0,0,IF(Tabla2[[#This Row],[Tipo cliente]]="PJ",Tabla2[[#This Row],[SUBTOTAL]]*11%,0))</f>
        <v>-2750</v>
      </c>
      <c r="R22" s="264">
        <f>IF(Tabla2[[#This Row],[Saldo]]=0,0,IF(Tabla2[[#This Row],[Tipo cliente]]="PJ",Tabla2[[#This Row],[SUBTOTAL]]*0.966%,0))</f>
        <v>-241.5</v>
      </c>
      <c r="S22" s="264">
        <f>IF(Tabla2[[#This Row],[Retiene IVA]]="S",Tabla2[[#This Row],[IVA]]*0.15,0)</f>
        <v>0</v>
      </c>
      <c r="T22" s="264">
        <f>+Tabla2[[#This Row],[Saldo]]-Tabla2[[#This Row],[Rete fte]]-Tabla2[[#This Row],[rete ica]]-Tabla2[[#This Row],[Rete IVA]]</f>
        <v>-26758.5</v>
      </c>
      <c r="U22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2">
        <f>IF(Tabla2[[#This Row],[Fecha F.E.]]="","",YEAR(Tabla2[[#This Row],[Fecha F.E.]]))</f>
        <v>2021</v>
      </c>
      <c r="X22" s="23">
        <f>IF(Tabla2[[#This Row],[Fecha]]="","",YEAR(Tabla2[[#This Row],[Fecha]]))</f>
        <v>2021</v>
      </c>
    </row>
    <row r="23" spans="1:24" x14ac:dyDescent="0.25">
      <c r="A23" s="3">
        <v>22</v>
      </c>
      <c r="B23" s="75" t="s">
        <v>819</v>
      </c>
      <c r="C23" s="158">
        <v>44334</v>
      </c>
      <c r="D23" s="77" t="s">
        <v>820</v>
      </c>
      <c r="E23" s="158">
        <v>44370</v>
      </c>
      <c r="F23" s="74" t="s">
        <v>3</v>
      </c>
      <c r="G23" s="84">
        <v>900350747</v>
      </c>
      <c r="H23" s="176" t="str">
        <f>VLOOKUP(Tabla2[[#This Row],[NIT]],Clientes!A:C,2,0)</f>
        <v>IPROMEGA S.A.S.</v>
      </c>
      <c r="I23" s="73" t="str">
        <f>VLOOKUP(Tabla2[[#This Row],[NIT]],Clientes!A:C,3,0)</f>
        <v>PJ</v>
      </c>
      <c r="J23" s="73" t="s">
        <v>794</v>
      </c>
      <c r="K23" s="267">
        <f>SUMIFS(Tabla4[Sub Total],Tabla4[Codigo],Tabla2[[#This Row],[Cod]])</f>
        <v>420000</v>
      </c>
      <c r="L23" s="262">
        <f>SUMPRODUCT((Tabla4[Codigo]=Tabla2[[#This Row],[Cod]])*1,Tabla4[IVA])</f>
        <v>79800</v>
      </c>
      <c r="M23" s="262">
        <f>SUMIFS(Tabla4[Total],Tabla4[Codigo],Tabla2[[#This Row],[Cod]])</f>
        <v>499800</v>
      </c>
      <c r="N23" s="263">
        <f>SUMPRODUCT((Tabla1[Codigo]=Tabla2[[#This Row],[Cod]])*1,Tabla1[Valor])</f>
        <v>499800</v>
      </c>
      <c r="O23" s="264">
        <f>IF(AND(Tabla2[[#This Row],[Estado]]="ok",LEFT(Tabla2[[#This Row],['# Factura]],3)="TIS"),Tabla2[[#This Row],[TOTAL]]-Tabla2[[#This Row],[pagado]],0)</f>
        <v>0</v>
      </c>
      <c r="P23" s="262">
        <f>Tabla2[[#This Row],[TOTAL]]-Tabla2[[#This Row],[Valor pago]]</f>
        <v>0</v>
      </c>
      <c r="Q23" s="265">
        <f>IF(Tabla2[[#This Row],[Saldo]]=0,0,IF(Tabla2[[#This Row],[Tipo cliente]]="PJ",Tabla2[[#This Row],[SUBTOTAL]]*11%,0))</f>
        <v>0</v>
      </c>
      <c r="R23" s="264">
        <f>IF(Tabla2[[#This Row],[Saldo]]=0,0,IF(Tabla2[[#This Row],[Tipo cliente]]="PJ",Tabla2[[#This Row],[SUBTOTAL]]*0.966%,0))</f>
        <v>0</v>
      </c>
      <c r="S23" s="264">
        <f>IF(Tabla2[[#This Row],[Retiene IVA]]="S",Tabla2[[#This Row],[IVA]]*0.15,0)</f>
        <v>0</v>
      </c>
      <c r="T23" s="264">
        <f>+Tabla2[[#This Row],[Saldo]]-Tabla2[[#This Row],[Rete fte]]-Tabla2[[#This Row],[rete ica]]-Tabla2[[#This Row],[Rete IVA]]</f>
        <v>0</v>
      </c>
      <c r="U23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499800</v>
      </c>
      <c r="W23">
        <f>IF(Tabla2[[#This Row],[Fecha F.E.]]="","",YEAR(Tabla2[[#This Row],[Fecha F.E.]]))</f>
        <v>2021</v>
      </c>
      <c r="X23" s="23">
        <f>IF(Tabla2[[#This Row],[Fecha]]="","",YEAR(Tabla2[[#This Row],[Fecha]]))</f>
        <v>2021</v>
      </c>
    </row>
    <row r="24" spans="1:24" x14ac:dyDescent="0.25">
      <c r="A24" s="3">
        <v>23</v>
      </c>
      <c r="B24" s="75" t="s">
        <v>821</v>
      </c>
      <c r="C24" s="158">
        <v>44348</v>
      </c>
      <c r="D24" s="75" t="s">
        <v>822</v>
      </c>
      <c r="E24" s="158">
        <v>44386</v>
      </c>
      <c r="F24" s="74" t="s">
        <v>3</v>
      </c>
      <c r="G24" s="84">
        <v>52385710</v>
      </c>
      <c r="H24" s="176" t="str">
        <f>VLOOKUP(Tabla2[[#This Row],[NIT]],Clientes!A:C,2,0)</f>
        <v>Maria del Pilar Alvarado Joya</v>
      </c>
      <c r="I24" s="73" t="str">
        <f>VLOOKUP(Tabla2[[#This Row],[NIT]],Clientes!A:C,3,0)</f>
        <v>PN</v>
      </c>
      <c r="J24" s="73" t="s">
        <v>794</v>
      </c>
      <c r="K24" s="267">
        <f>SUMIFS(Tabla4[Sub Total],Tabla4[Codigo],Tabla2[[#This Row],[Cod]])</f>
        <v>900000</v>
      </c>
      <c r="L24" s="262">
        <f>SUMPRODUCT((Tabla4[Codigo]=Tabla2[[#This Row],[Cod]])*1,Tabla4[IVA])</f>
        <v>0</v>
      </c>
      <c r="M24" s="262">
        <f>SUMIFS(Tabla4[Total],Tabla4[Codigo],Tabla2[[#This Row],[Cod]])</f>
        <v>900000</v>
      </c>
      <c r="N24" s="263">
        <f>SUMPRODUCT((Tabla1[Codigo]=Tabla2[[#This Row],[Cod]])*1,Tabla1[Valor])</f>
        <v>900000</v>
      </c>
      <c r="O24" s="264">
        <f>IF(AND(Tabla2[[#This Row],[Estado]]="ok",LEFT(Tabla2[[#This Row],['# Factura]],3)="TIS"),Tabla2[[#This Row],[TOTAL]]-Tabla2[[#This Row],[pagado]],0)</f>
        <v>0</v>
      </c>
      <c r="P24" s="262">
        <f>Tabla2[[#This Row],[TOTAL]]-Tabla2[[#This Row],[Valor pago]]</f>
        <v>0</v>
      </c>
      <c r="Q24" s="265">
        <f>IF(Tabla2[[#This Row],[Saldo]]=0,0,IF(Tabla2[[#This Row],[Tipo cliente]]="PJ",Tabla2[[#This Row],[SUBTOTAL]]*11%,0))</f>
        <v>0</v>
      </c>
      <c r="R24" s="264">
        <f>IF(Tabla2[[#This Row],[Saldo]]=0,0,IF(Tabla2[[#This Row],[Tipo cliente]]="PJ",Tabla2[[#This Row],[SUBTOTAL]]*0.966%,0))</f>
        <v>0</v>
      </c>
      <c r="S24" s="264">
        <f>IF(Tabla2[[#This Row],[Retiene IVA]]="S",Tabla2[[#This Row],[IVA]]*0.15,0)</f>
        <v>0</v>
      </c>
      <c r="T24" s="264">
        <f>+Tabla2[[#This Row],[Saldo]]-Tabla2[[#This Row],[Rete fte]]-Tabla2[[#This Row],[rete ica]]-Tabla2[[#This Row],[Rete IVA]]</f>
        <v>0</v>
      </c>
      <c r="U24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24">
        <f>IF(Tabla2[[#This Row],[Fecha F.E.]]="","",YEAR(Tabla2[[#This Row],[Fecha F.E.]]))</f>
        <v>2021</v>
      </c>
      <c r="X24" s="23">
        <f>IF(Tabla2[[#This Row],[Fecha]]="","",YEAR(Tabla2[[#This Row],[Fecha]]))</f>
        <v>2021</v>
      </c>
    </row>
    <row r="25" spans="1:24" x14ac:dyDescent="0.25">
      <c r="A25" s="3">
        <v>24</v>
      </c>
      <c r="B25" s="75" t="s">
        <v>823</v>
      </c>
      <c r="C25" s="158">
        <v>44348</v>
      </c>
      <c r="D25" s="76" t="s">
        <v>824</v>
      </c>
      <c r="E25" s="158">
        <v>44496</v>
      </c>
      <c r="F25" s="74" t="s">
        <v>3</v>
      </c>
      <c r="G25" s="84">
        <v>900153132</v>
      </c>
      <c r="H25" s="176" t="str">
        <f>VLOOKUP(Tabla2[[#This Row],[NIT]],Clientes!A:C,2,0)</f>
        <v>ww pack SAS</v>
      </c>
      <c r="I25" s="73" t="str">
        <f>VLOOKUP(Tabla2[[#This Row],[NIT]],Clientes!A:C,3,0)</f>
        <v>PJ</v>
      </c>
      <c r="J25" s="73" t="s">
        <v>794</v>
      </c>
      <c r="K25" s="267">
        <f>SUMIFS(Tabla4[Sub Total],Tabla4[Codigo],Tabla2[[#This Row],[Cod]])</f>
        <v>1138210</v>
      </c>
      <c r="L25" s="262">
        <f>SUMPRODUCT((Tabla4[Codigo]=Tabla2[[#This Row],[Cod]])*1,Tabla4[IVA])</f>
        <v>185250</v>
      </c>
      <c r="M25" s="262">
        <f>SUMIFS(Tabla4[Total],Tabla4[Codigo],Tabla2[[#This Row],[Cod]])</f>
        <v>1323460</v>
      </c>
      <c r="N25" s="263">
        <f>SUMPRODUCT((Tabla1[Codigo]=Tabla2[[#This Row],[Cod]])*1,Tabla1[Valor])</f>
        <v>1323460</v>
      </c>
      <c r="O25" s="264">
        <f>IF(AND(Tabla2[[#This Row],[Estado]]="ok",LEFT(Tabla2[[#This Row],['# Factura]],3)="TIS"),Tabla2[[#This Row],[TOTAL]]-Tabla2[[#This Row],[pagado]],0)</f>
        <v>0</v>
      </c>
      <c r="P25" s="262">
        <f>Tabla2[[#This Row],[TOTAL]]-Tabla2[[#This Row],[Valor pago]]</f>
        <v>0</v>
      </c>
      <c r="Q25" s="265">
        <f>IF(Tabla2[[#This Row],[Saldo]]=0,0,IF(Tabla2[[#This Row],[Tipo cliente]]="PJ",Tabla2[[#This Row],[SUBTOTAL]]*11%,0))</f>
        <v>0</v>
      </c>
      <c r="R25" s="264">
        <f>IF(Tabla2[[#This Row],[Saldo]]=0,0,IF(Tabla2[[#This Row],[Tipo cliente]]="PJ",Tabla2[[#This Row],[SUBTOTAL]]*0.966%,0))</f>
        <v>0</v>
      </c>
      <c r="S25" s="264">
        <f>IF(Tabla2[[#This Row],[Retiene IVA]]="S",Tabla2[[#This Row],[IVA]]*0.15,0)</f>
        <v>0</v>
      </c>
      <c r="T25" s="264">
        <f>+Tabla2[[#This Row],[Saldo]]-Tabla2[[#This Row],[Rete fte]]-Tabla2[[#This Row],[rete ica]]-Tabla2[[#This Row],[Rete IVA]]</f>
        <v>0</v>
      </c>
      <c r="U25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1323460</v>
      </c>
      <c r="W25">
        <f>IF(Tabla2[[#This Row],[Fecha F.E.]]="","",YEAR(Tabla2[[#This Row],[Fecha F.E.]]))</f>
        <v>2021</v>
      </c>
      <c r="X25" s="23">
        <f>IF(Tabla2[[#This Row],[Fecha]]="","",YEAR(Tabla2[[#This Row],[Fecha]]))</f>
        <v>2021</v>
      </c>
    </row>
    <row r="26" spans="1:24" ht="26.25" x14ac:dyDescent="0.25">
      <c r="A26" s="3">
        <v>25</v>
      </c>
      <c r="B26" s="75" t="s">
        <v>825</v>
      </c>
      <c r="C26" s="158">
        <v>44349</v>
      </c>
      <c r="D26" s="75" t="s">
        <v>826</v>
      </c>
      <c r="E26" s="158">
        <v>44349</v>
      </c>
      <c r="F26" s="74" t="s">
        <v>3</v>
      </c>
      <c r="G26" s="84">
        <v>800028768</v>
      </c>
      <c r="H26" s="176" t="str">
        <f>VLOOKUP(Tabla2[[#This Row],[NIT]],Clientes!A:C,2,0)</f>
        <v>Comercializadora ERZ SAS</v>
      </c>
      <c r="I26" s="73" t="str">
        <f>VLOOKUP(Tabla2[[#This Row],[NIT]],Clientes!A:C,3,0)</f>
        <v>PJ</v>
      </c>
      <c r="J26" s="73" t="s">
        <v>794</v>
      </c>
      <c r="K26" s="267">
        <f>SUMIFS(Tabla4[Sub Total],Tabla4[Codigo],Tabla2[[#This Row],[Cod]])</f>
        <v>220000</v>
      </c>
      <c r="L26" s="262">
        <f>SUMPRODUCT((Tabla4[Codigo]=Tabla2[[#This Row],[Cod]])*1,Tabla4[IVA])</f>
        <v>41800</v>
      </c>
      <c r="M26" s="262">
        <f>SUMIFS(Tabla4[Total],Tabla4[Codigo],Tabla2[[#This Row],[Cod]])</f>
        <v>261800</v>
      </c>
      <c r="N26" s="263">
        <f>SUMPRODUCT((Tabla1[Codigo]=Tabla2[[#This Row],[Cod]])*1,Tabla1[Valor])</f>
        <v>251462</v>
      </c>
      <c r="O26" s="264">
        <f>IF(AND(Tabla2[[#This Row],[Estado]]="ok",LEFT(Tabla2[[#This Row],['# Factura]],3)="TIS"),Tabla2[[#This Row],[TOTAL]]-Tabla2[[#This Row],[pagado]],0)</f>
        <v>0</v>
      </c>
      <c r="P26" s="262">
        <f>Tabla2[[#This Row],[TOTAL]]-Tabla2[[#This Row],[Valor pago]]</f>
        <v>10338</v>
      </c>
      <c r="Q26" s="265">
        <f>IF(Tabla2[[#This Row],[Saldo]]=0,0,IF(Tabla2[[#This Row],[Tipo cliente]]="PJ",Tabla2[[#This Row],[SUBTOTAL]]*11%,0))</f>
        <v>24200</v>
      </c>
      <c r="R26" s="264">
        <f>IF(Tabla2[[#This Row],[Saldo]]=0,0,IF(Tabla2[[#This Row],[Tipo cliente]]="PJ",Tabla2[[#This Row],[SUBTOTAL]]*0.966%,0))</f>
        <v>2125.1999999999998</v>
      </c>
      <c r="S26" s="264">
        <f>IF(Tabla2[[#This Row],[Retiene IVA]]="S",Tabla2[[#This Row],[IVA]]*0.15,0)</f>
        <v>0</v>
      </c>
      <c r="T26" s="264">
        <f>+Tabla2[[#This Row],[Saldo]]-Tabla2[[#This Row],[Rete fte]]-Tabla2[[#This Row],[rete ica]]-Tabla2[[#This Row],[Rete IVA]]</f>
        <v>-15987.2</v>
      </c>
      <c r="U26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261800</v>
      </c>
      <c r="V26" s="350" t="s">
        <v>827</v>
      </c>
      <c r="W26">
        <f>IF(Tabla2[[#This Row],[Fecha F.E.]]="","",YEAR(Tabla2[[#This Row],[Fecha F.E.]]))</f>
        <v>2021</v>
      </c>
      <c r="X26" s="23">
        <f>IF(Tabla2[[#This Row],[Fecha]]="","",YEAR(Tabla2[[#This Row],[Fecha]]))</f>
        <v>2021</v>
      </c>
    </row>
    <row r="27" spans="1:24" customFormat="1" x14ac:dyDescent="0.25">
      <c r="A27" s="3">
        <v>26</v>
      </c>
      <c r="B27" s="75" t="s">
        <v>828</v>
      </c>
      <c r="C27" s="158">
        <v>44174</v>
      </c>
      <c r="D27" s="170" t="s">
        <v>829</v>
      </c>
      <c r="E27" s="189">
        <v>44174</v>
      </c>
      <c r="F27" s="74" t="s">
        <v>3</v>
      </c>
      <c r="G27" s="84">
        <v>900046954</v>
      </c>
      <c r="H27" s="176" t="str">
        <f>VLOOKUP(Tabla2[[#This Row],[NIT]],Clientes!A:C,2,0)</f>
        <v>ASEO MOVIL URBANO SAS</v>
      </c>
      <c r="I27" s="73" t="str">
        <f>VLOOKUP(Tabla2[[#This Row],[NIT]],Clientes!A:C,3,0)</f>
        <v>PJ</v>
      </c>
      <c r="J27" s="73" t="s">
        <v>794</v>
      </c>
      <c r="K27" s="267">
        <f>SUMIFS(Tabla4[Sub Total],Tabla4[Codigo],Tabla2[[#This Row],[Cod]])</f>
        <v>1116000</v>
      </c>
      <c r="L27" s="262">
        <f>SUMPRODUCT((Tabla4[Codigo]=Tabla2[[#This Row],[Cod]])*1,Tabla4[IVA])</f>
        <v>212040</v>
      </c>
      <c r="M27" s="262">
        <f>SUMIFS(Tabla4[Total],Tabla4[Codigo],Tabla2[[#This Row],[Cod]])</f>
        <v>1328040</v>
      </c>
      <c r="N27" s="263">
        <f>SUMPRODUCT((Tabla1[Codigo]=Tabla2[[#This Row],[Cod]])*1,Tabla1[Valor])</f>
        <v>1197579</v>
      </c>
      <c r="O27" s="264">
        <f>IF(AND(Tabla2[[#This Row],[Estado]]="ok",LEFT(Tabla2[[#This Row],['# Factura]],3)="TIS"),Tabla2[[#This Row],[TOTAL]]-Tabla2[[#This Row],[pagado]],0)</f>
        <v>0</v>
      </c>
      <c r="P27" s="262">
        <f>Tabla2[[#This Row],[TOTAL]]-Tabla2[[#This Row],[Valor pago]]</f>
        <v>130461</v>
      </c>
      <c r="Q27" s="265">
        <f>IF(Tabla2[[#This Row],[Saldo]]=0,0,IF(Tabla2[[#This Row],[Tipo cliente]]="PJ",Tabla2[[#This Row],[SUBTOTAL]]*11%,0))</f>
        <v>122760</v>
      </c>
      <c r="R27" s="264">
        <f>IF(Tabla2[[#This Row],[Saldo]]=0,0,IF(Tabla2[[#This Row],[Tipo cliente]]="PJ",Tabla2[[#This Row],[SUBTOTAL]]*0.966%,0))</f>
        <v>10780.56</v>
      </c>
      <c r="S27" s="264">
        <f>IF(Tabla2[[#This Row],[Retiene IVA]]="S",Tabla2[[#This Row],[IVA]]*0.15,0)</f>
        <v>0</v>
      </c>
      <c r="T27" s="264">
        <f>+Tabla2[[#This Row],[Saldo]]-Tabla2[[#This Row],[Rete fte]]-Tabla2[[#This Row],[rete ica]]-Tabla2[[#This Row],[Rete IVA]]</f>
        <v>-3079.5599999999995</v>
      </c>
      <c r="U27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1328040</v>
      </c>
      <c r="W27">
        <f>IF(Tabla2[[#This Row],[Fecha F.E.]]="","",YEAR(Tabla2[[#This Row],[Fecha F.E.]]))</f>
        <v>2020</v>
      </c>
      <c r="X27">
        <f>IF(Tabla2[[#This Row],[Fecha]]="","",YEAR(Tabla2[[#This Row],[Fecha]]))</f>
        <v>2020</v>
      </c>
    </row>
    <row r="28" spans="1:24" customFormat="1" ht="14.25" customHeight="1" x14ac:dyDescent="0.25">
      <c r="A28" s="3">
        <v>27</v>
      </c>
      <c r="B28" s="75" t="s">
        <v>830</v>
      </c>
      <c r="C28" s="158">
        <v>44358</v>
      </c>
      <c r="D28" s="77" t="s">
        <v>831</v>
      </c>
      <c r="E28" s="158">
        <v>44370</v>
      </c>
      <c r="F28" s="74" t="s">
        <v>3</v>
      </c>
      <c r="G28" s="84">
        <v>900555571</v>
      </c>
      <c r="H28" s="176" t="str">
        <f>VLOOKUP(Tabla2[[#This Row],[NIT]],Clientes!A:C,2,0)</f>
        <v xml:space="preserve">SOFTESTING SAS </v>
      </c>
      <c r="I28" s="73" t="str">
        <f>VLOOKUP(Tabla2[[#This Row],[NIT]],Clientes!A:C,3,0)</f>
        <v>PJ</v>
      </c>
      <c r="J28" s="73" t="s">
        <v>794</v>
      </c>
      <c r="K28" s="267">
        <f>SUMIFS(Tabla4[Sub Total],Tabla4[Codigo],Tabla2[[#This Row],[Cod]])</f>
        <v>680000</v>
      </c>
      <c r="L28" s="262">
        <f>SUMPRODUCT((Tabla4[Codigo]=Tabla2[[#This Row],[Cod]])*1,Tabla4[IVA])</f>
        <v>129200</v>
      </c>
      <c r="M28" s="262">
        <f>SUMIFS(Tabla4[Total],Tabla4[Codigo],Tabla2[[#This Row],[Cod]])</f>
        <v>809200</v>
      </c>
      <c r="N28" s="263">
        <f>SUMPRODUCT((Tabla1[Codigo]=Tabla2[[#This Row],[Cod]])*1,Tabla1[Valor])</f>
        <v>809200</v>
      </c>
      <c r="O28" s="264">
        <f>IF(AND(Tabla2[[#This Row],[Estado]]="ok",LEFT(Tabla2[[#This Row],['# Factura]],3)="TIS"),Tabla2[[#This Row],[TOTAL]]-Tabla2[[#This Row],[pagado]],0)</f>
        <v>0</v>
      </c>
      <c r="P28" s="262">
        <f>Tabla2[[#This Row],[TOTAL]]-Tabla2[[#This Row],[Valor pago]]</f>
        <v>0</v>
      </c>
      <c r="Q28" s="265">
        <f>IF(Tabla2[[#This Row],[Saldo]]=0,0,IF(Tabla2[[#This Row],[Tipo cliente]]="PJ",Tabla2[[#This Row],[SUBTOTAL]]*11%,0))</f>
        <v>0</v>
      </c>
      <c r="R28" s="264">
        <f>IF(Tabla2[[#This Row],[Saldo]]=0,0,IF(Tabla2[[#This Row],[Tipo cliente]]="PJ",Tabla2[[#This Row],[SUBTOTAL]]*0.966%,0))</f>
        <v>0</v>
      </c>
      <c r="S28" s="264">
        <f>IF(Tabla2[[#This Row],[Retiene IVA]]="S",Tabla2[[#This Row],[IVA]]*0.15,0)</f>
        <v>0</v>
      </c>
      <c r="T28" s="264">
        <f>+Tabla2[[#This Row],[Saldo]]-Tabla2[[#This Row],[Rete fte]]-Tabla2[[#This Row],[rete ica]]-Tabla2[[#This Row],[Rete IVA]]</f>
        <v>0</v>
      </c>
      <c r="U28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809200</v>
      </c>
      <c r="W28">
        <f>IF(Tabla2[[#This Row],[Fecha F.E.]]="","",YEAR(Tabla2[[#This Row],[Fecha F.E.]]))</f>
        <v>2021</v>
      </c>
      <c r="X28">
        <f>IF(Tabla2[[#This Row],[Fecha]]="","",YEAR(Tabla2[[#This Row],[Fecha]]))</f>
        <v>2021</v>
      </c>
    </row>
    <row r="29" spans="1:24" ht="16.5" customHeight="1" x14ac:dyDescent="0.25">
      <c r="A29" s="3">
        <v>28</v>
      </c>
      <c r="B29" s="75"/>
      <c r="C29" s="158">
        <v>44370</v>
      </c>
      <c r="D29" s="77" t="s">
        <v>832</v>
      </c>
      <c r="E29" s="158">
        <v>44370</v>
      </c>
      <c r="F29" s="74" t="s">
        <v>796</v>
      </c>
      <c r="G29" s="84">
        <v>900505060</v>
      </c>
      <c r="H29" s="176" t="str">
        <f>VLOOKUP(Tabla2[[#This Row],[NIT]],Clientes!A:C,2,0)</f>
        <v>Coljuegos</v>
      </c>
      <c r="I29" s="73" t="str">
        <f>VLOOKUP(Tabla2[[#This Row],[NIT]],Clientes!A:C,3,0)</f>
        <v>PJ</v>
      </c>
      <c r="J29" s="73" t="s">
        <v>794</v>
      </c>
      <c r="K29" s="267">
        <f>SUMIFS(Tabla4[Sub Total],Tabla4[Codigo],Tabla2[[#This Row],[Cod]])</f>
        <v>-4525000</v>
      </c>
      <c r="L29" s="262">
        <f>SUMPRODUCT((Tabla4[Codigo]=Tabla2[[#This Row],[Cod]])*1,Tabla4[IVA])</f>
        <v>-859750</v>
      </c>
      <c r="M29" s="262">
        <f>SUMIFS(Tabla4[Total],Tabla4[Codigo],Tabla2[[#This Row],[Cod]])</f>
        <v>-5384750</v>
      </c>
      <c r="N29" s="263">
        <f>SUMPRODUCT((Tabla1[Codigo]=Tabla2[[#This Row],[Cod]])*1,Tabla1[Valor])</f>
        <v>0</v>
      </c>
      <c r="O29" s="264">
        <f>IF(AND(Tabla2[[#This Row],[Estado]]="ok",LEFT(Tabla2[[#This Row],['# Factura]],3)="TIS"),Tabla2[[#This Row],[TOTAL]]-Tabla2[[#This Row],[pagado]],0)</f>
        <v>0</v>
      </c>
      <c r="P29" s="262">
        <f>Tabla2[[#This Row],[TOTAL]]-Tabla2[[#This Row],[Valor pago]]</f>
        <v>-5384750</v>
      </c>
      <c r="Q29" s="265">
        <f>IF(Tabla2[[#This Row],[Saldo]]=0,0,IF(Tabla2[[#This Row],[Tipo cliente]]="PJ",Tabla2[[#This Row],[SUBTOTAL]]*11%,0))</f>
        <v>-497750</v>
      </c>
      <c r="R29" s="264">
        <f>IF(Tabla2[[#This Row],[Saldo]]=0,0,IF(Tabla2[[#This Row],[Tipo cliente]]="PJ",Tabla2[[#This Row],[SUBTOTAL]]*0.966%,0))</f>
        <v>-43711.5</v>
      </c>
      <c r="S29" s="264">
        <f>IF(Tabla2[[#This Row],[Retiene IVA]]="S",Tabla2[[#This Row],[IVA]]*0.15,0)</f>
        <v>0</v>
      </c>
      <c r="T29" s="264">
        <f>+Tabla2[[#This Row],[Saldo]]-Tabla2[[#This Row],[Rete fte]]-Tabla2[[#This Row],[rete ica]]-Tabla2[[#This Row],[Rete IVA]]</f>
        <v>-4843288.5</v>
      </c>
      <c r="U29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9">
        <f>IF(Tabla2[[#This Row],[Fecha F.E.]]="","",YEAR(Tabla2[[#This Row],[Fecha F.E.]]))</f>
        <v>2021</v>
      </c>
      <c r="X29" s="23">
        <f>IF(Tabla2[[#This Row],[Fecha]]="","",YEAR(Tabla2[[#This Row],[Fecha]]))</f>
        <v>2021</v>
      </c>
    </row>
    <row r="30" spans="1:24" x14ac:dyDescent="0.25">
      <c r="A30" s="3">
        <f>IFERROR(A29+1,1)</f>
        <v>29</v>
      </c>
      <c r="B30" s="75" t="s">
        <v>833</v>
      </c>
      <c r="C30" s="360">
        <v>44461</v>
      </c>
      <c r="D30" s="76" t="s">
        <v>834</v>
      </c>
      <c r="E30" s="360">
        <v>44477</v>
      </c>
      <c r="F30" s="78" t="s">
        <v>3</v>
      </c>
      <c r="G30" s="314">
        <v>900159244</v>
      </c>
      <c r="H30" s="315" t="str">
        <f>VLOOKUP(Tabla2[[#This Row],[NIT]],Clientes!A:C,2,0)</f>
        <v>SOLDMANT LTDA</v>
      </c>
      <c r="I30" s="77" t="str">
        <f>VLOOKUP(Tabla2[[#This Row],[NIT]],Clientes!A:C,3,0)</f>
        <v>PJ</v>
      </c>
      <c r="J30" s="73" t="s">
        <v>794</v>
      </c>
      <c r="K30" s="267">
        <f>SUMIFS(Tabla4[Sub Total],Tabla4[Codigo],Tabla2[[#This Row],[Cod]])</f>
        <v>570000</v>
      </c>
      <c r="L30" s="262">
        <f>SUMPRODUCT((Tabla4[Codigo]=Tabla2[[#This Row],[Cod]])*1,Tabla4[IVA])</f>
        <v>108300</v>
      </c>
      <c r="M30" s="262">
        <f>SUMIFS(Tabla4[Total],Tabla4[Codigo],Tabla2[[#This Row],[Cod]])</f>
        <v>678300</v>
      </c>
      <c r="N30" s="278">
        <f>SUMPRODUCT((Tabla1[Codigo]=Tabla2[[#This Row],[Cod]])*1,Tabla1[Valor])</f>
        <v>620000</v>
      </c>
      <c r="O30" s="276">
        <f>IF(AND(Tabla2[[#This Row],[Estado]]="ok",LEFT(Tabla2[[#This Row],['# Factura]],3)="TIS"),Tabla2[[#This Row],[TOTAL]]-Tabla2[[#This Row],[pagado]],0)</f>
        <v>0</v>
      </c>
      <c r="P30" s="262">
        <f>Tabla2[[#This Row],[TOTAL]]-Tabla2[[#This Row],[Valor pago]]</f>
        <v>58300</v>
      </c>
      <c r="Q30" s="265">
        <f>IF(Tabla2[[#This Row],[Saldo]]=0,0,IF(Tabla2[[#This Row],[Tipo cliente]]="PJ",Tabla2[[#This Row],[SUBTOTAL]]*11%,0))</f>
        <v>62700</v>
      </c>
      <c r="R30" s="265">
        <f>IF(Tabla2[[#This Row],[Saldo]]=0,0,IF(Tabla2[[#This Row],[Tipo cliente]]="PJ",Tabla2[[#This Row],[SUBTOTAL]]*0.966%,0))</f>
        <v>5506.2</v>
      </c>
      <c r="S30" s="265">
        <f>IF(Tabla2[[#This Row],[Retiene IVA]]="S",Tabla2[[#This Row],[IVA]]*0.15,0)</f>
        <v>0</v>
      </c>
      <c r="T30" s="265">
        <f>+Tabla2[[#This Row],[Saldo]]-Tabla2[[#This Row],[Rete fte]]-Tabla2[[#This Row],[rete ica]]-Tabla2[[#This Row],[Rete IVA]]</f>
        <v>-9906.2000000000007</v>
      </c>
      <c r="U3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678300</v>
      </c>
      <c r="W30">
        <f>IF(Tabla2[[#This Row],[Fecha F.E.]]="","",YEAR(Tabla2[[#This Row],[Fecha F.E.]]))</f>
        <v>2021</v>
      </c>
      <c r="X30" s="23">
        <f>IF(Tabla2[[#This Row],[Fecha]]="","",YEAR(Tabla2[[#This Row],[Fecha]]))</f>
        <v>2021</v>
      </c>
    </row>
    <row r="31" spans="1:24" customFormat="1" x14ac:dyDescent="0.25">
      <c r="A31" s="3">
        <v>30</v>
      </c>
      <c r="B31" s="75" t="s">
        <v>835</v>
      </c>
      <c r="C31" s="158">
        <v>44370</v>
      </c>
      <c r="D31" s="75" t="s">
        <v>836</v>
      </c>
      <c r="E31" s="158">
        <v>44370</v>
      </c>
      <c r="F31" s="74" t="s">
        <v>3</v>
      </c>
      <c r="G31" s="84">
        <v>890901110</v>
      </c>
      <c r="H31" s="176" t="str">
        <f>VLOOKUP(Tabla2[[#This Row],[NIT]],Clientes!A:C,2,0)</f>
        <v>Constructora Conconcreto S.A.</v>
      </c>
      <c r="I31" s="73" t="str">
        <f>VLOOKUP(Tabla2[[#This Row],[NIT]],Clientes!A:C,3,0)</f>
        <v>PJ</v>
      </c>
      <c r="J31" s="73" t="s">
        <v>794</v>
      </c>
      <c r="K31" s="267">
        <f>SUMIFS(Tabla4[Sub Total],Tabla4[Codigo],Tabla2[[#This Row],[Cod]])</f>
        <v>110000</v>
      </c>
      <c r="L31" s="262">
        <f>SUMPRODUCT((Tabla4[Codigo]=Tabla2[[#This Row],[Cod]])*1,Tabla4[IVA])</f>
        <v>17100</v>
      </c>
      <c r="M31" s="262">
        <f>SUMIFS(Tabla4[Total],Tabla4[Codigo],Tabla2[[#This Row],[Cod]])</f>
        <v>127100</v>
      </c>
      <c r="N31" s="263">
        <f>SUMPRODUCT((Tabla1[Codigo]=Tabla2[[#This Row],[Cod]])*1,Tabla1[Valor])</f>
        <v>119421</v>
      </c>
      <c r="O31" s="264">
        <f>IF(AND(Tabla2[[#This Row],[Estado]]="ok",LEFT(Tabla2[[#This Row],['# Factura]],3)="TIS"),Tabla2[[#This Row],[TOTAL]]-Tabla2[[#This Row],[pagado]],0)</f>
        <v>0</v>
      </c>
      <c r="P31" s="262">
        <f>Tabla2[[#This Row],[TOTAL]]-Tabla2[[#This Row],[Valor pago]]</f>
        <v>7679</v>
      </c>
      <c r="Q31" s="265">
        <f>IF(Tabla2[[#This Row],[Saldo]]=0,0,IF(Tabla2[[#This Row],[Tipo cliente]]="PJ",Tabla2[[#This Row],[SUBTOTAL]]*11%,0))</f>
        <v>12100</v>
      </c>
      <c r="R31" s="264">
        <f>IF(Tabla2[[#This Row],[Saldo]]=0,0,IF(Tabla2[[#This Row],[Tipo cliente]]="PJ",Tabla2[[#This Row],[SUBTOTAL]]*0.966%,0))</f>
        <v>1062.5999999999999</v>
      </c>
      <c r="S31" s="264">
        <f>IF(Tabla2[[#This Row],[Retiene IVA]]="S",Tabla2[[#This Row],[IVA]]*0.15,0)</f>
        <v>0</v>
      </c>
      <c r="T31" s="264">
        <f>+Tabla2[[#This Row],[Saldo]]-Tabla2[[#This Row],[Rete fte]]-Tabla2[[#This Row],[rete ica]]-Tabla2[[#This Row],[Rete IVA]]</f>
        <v>-5483.6</v>
      </c>
      <c r="U31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127100</v>
      </c>
      <c r="V31" s="23"/>
      <c r="W31">
        <f>IF(Tabla2[[#This Row],[Fecha F.E.]]="","",YEAR(Tabla2[[#This Row],[Fecha F.E.]]))</f>
        <v>2021</v>
      </c>
      <c r="X31" s="23">
        <f>IF(Tabla2[[#This Row],[Fecha]]="","",YEAR(Tabla2[[#This Row],[Fecha]]))</f>
        <v>2021</v>
      </c>
    </row>
    <row r="32" spans="1:24" x14ac:dyDescent="0.25">
      <c r="A32" s="3">
        <v>31</v>
      </c>
      <c r="B32" s="75" t="s">
        <v>837</v>
      </c>
      <c r="C32" s="158">
        <v>44370</v>
      </c>
      <c r="D32" s="77" t="s">
        <v>838</v>
      </c>
      <c r="E32" s="158">
        <v>44370</v>
      </c>
      <c r="F32" s="74" t="s">
        <v>3</v>
      </c>
      <c r="G32" s="84">
        <v>900505060</v>
      </c>
      <c r="H32" s="176" t="str">
        <f>VLOOKUP(Tabla2[[#This Row],[NIT]],Clientes!A:C,2,0)</f>
        <v>Coljuegos</v>
      </c>
      <c r="I32" s="73" t="str">
        <f>VLOOKUP(Tabla2[[#This Row],[NIT]],Clientes!A:C,3,0)</f>
        <v>PJ</v>
      </c>
      <c r="J32" s="73" t="s">
        <v>794</v>
      </c>
      <c r="K32" s="267">
        <f>SUMIFS(Tabla4[Sub Total],Tabla4[Codigo],Tabla2[[#This Row],[Cod]])</f>
        <v>4525000</v>
      </c>
      <c r="L32" s="262">
        <f>SUMPRODUCT((Tabla4[Codigo]=Tabla2[[#This Row],[Cod]])*1,Tabla4[IVA])</f>
        <v>859750</v>
      </c>
      <c r="M32" s="262">
        <f>SUMIFS(Tabla4[Total],Tabla4[Codigo],Tabla2[[#This Row],[Cod]])</f>
        <v>5384750</v>
      </c>
      <c r="N32" s="263">
        <f>SUMPRODUCT((Tabla1[Codigo]=Tabla2[[#This Row],[Cod]])*1,Tabla1[Valor])</f>
        <v>5031075</v>
      </c>
      <c r="O32" s="264">
        <f>IF(AND(Tabla2[[#This Row],[Estado]]="ok",LEFT(Tabla2[[#This Row],['# Factura]],3)="TIS"),Tabla2[[#This Row],[TOTAL]]-Tabla2[[#This Row],[pagado]],0)</f>
        <v>0</v>
      </c>
      <c r="P32" s="262">
        <f>Tabla2[[#This Row],[TOTAL]]-Tabla2[[#This Row],[Valor pago]]</f>
        <v>353675</v>
      </c>
      <c r="Q32" s="265">
        <f>IF(Tabla2[[#This Row],[Saldo]]=0,0,IF(Tabla2[[#This Row],[Tipo cliente]]="PJ",Tabla2[[#This Row],[SUBTOTAL]]*11%,0))</f>
        <v>497750</v>
      </c>
      <c r="R32" s="264">
        <f>IF(Tabla2[[#This Row],[Saldo]]=0,0,IF(Tabla2[[#This Row],[Tipo cliente]]="PJ",Tabla2[[#This Row],[SUBTOTAL]]*0.966%,0))</f>
        <v>43711.5</v>
      </c>
      <c r="S32" s="264">
        <f>IF(Tabla2[[#This Row],[Retiene IVA]]="S",Tabla2[[#This Row],[IVA]]*0.15,0)</f>
        <v>0</v>
      </c>
      <c r="T32" s="264">
        <f>+Tabla2[[#This Row],[Saldo]]-Tabla2[[#This Row],[Rete fte]]-Tabla2[[#This Row],[rete ica]]-Tabla2[[#This Row],[Rete IVA]]</f>
        <v>-187786.5</v>
      </c>
      <c r="U32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5384750</v>
      </c>
      <c r="V32"/>
      <c r="W32">
        <f>IF(Tabla2[[#This Row],[Fecha F.E.]]="","",YEAR(Tabla2[[#This Row],[Fecha F.E.]]))</f>
        <v>2021</v>
      </c>
      <c r="X32">
        <f>IF(Tabla2[[#This Row],[Fecha]]="","",YEAR(Tabla2[[#This Row],[Fecha]]))</f>
        <v>2021</v>
      </c>
    </row>
    <row r="33" spans="1:24" x14ac:dyDescent="0.25">
      <c r="A33" s="3">
        <v>32</v>
      </c>
      <c r="B33" s="75" t="s">
        <v>839</v>
      </c>
      <c r="C33" s="158">
        <v>44375</v>
      </c>
      <c r="D33" s="75" t="s">
        <v>840</v>
      </c>
      <c r="E33" s="158">
        <v>44386</v>
      </c>
      <c r="F33" s="74" t="s">
        <v>3</v>
      </c>
      <c r="G33" s="84">
        <v>900364830</v>
      </c>
      <c r="H33" s="176" t="str">
        <f>VLOOKUP(Tabla2[[#This Row],[NIT]],Clientes!A:C,2,0)</f>
        <v xml:space="preserve">EUROMETRIC COLOMBIA LTDA </v>
      </c>
      <c r="I33" s="73" t="str">
        <f>VLOOKUP(Tabla2[[#This Row],[NIT]],Clientes!A:C,3,0)</f>
        <v>PJ</v>
      </c>
      <c r="J33" s="73" t="s">
        <v>794</v>
      </c>
      <c r="K33" s="267">
        <f>SUMIFS(Tabla4[Sub Total],Tabla4[Codigo],Tabla2[[#This Row],[Cod]])</f>
        <v>270000</v>
      </c>
      <c r="L33" s="262">
        <f>SUMPRODUCT((Tabla4[Codigo]=Tabla2[[#This Row],[Cod]])*1,Tabla4[IVA])</f>
        <v>51300</v>
      </c>
      <c r="M33" s="262">
        <f>SUMIFS(Tabla4[Total],Tabla4[Codigo],Tabla2[[#This Row],[Cod]])</f>
        <v>321300</v>
      </c>
      <c r="N33" s="263">
        <f>SUMPRODUCT((Tabla1[Codigo]=Tabla2[[#This Row],[Cod]])*1,Tabla1[Valor])</f>
        <v>289737</v>
      </c>
      <c r="O33" s="264">
        <f>IF(AND(Tabla2[[#This Row],[Estado]]="ok",LEFT(Tabla2[[#This Row],['# Factura]],3)="TIS"),Tabla2[[#This Row],[TOTAL]]-Tabla2[[#This Row],[pagado]],0)</f>
        <v>0</v>
      </c>
      <c r="P33" s="262">
        <f>Tabla2[[#This Row],[TOTAL]]-Tabla2[[#This Row],[Valor pago]]</f>
        <v>31563</v>
      </c>
      <c r="Q33" s="265">
        <f>IF(Tabla2[[#This Row],[Saldo]]=0,0,IF(Tabla2[[#This Row],[Tipo cliente]]="PJ",Tabla2[[#This Row],[SUBTOTAL]]*11%,0))</f>
        <v>29700</v>
      </c>
      <c r="R33" s="264">
        <f>IF(Tabla2[[#This Row],[Saldo]]=0,0,IF(Tabla2[[#This Row],[Tipo cliente]]="PJ",Tabla2[[#This Row],[SUBTOTAL]]*0.966%,0))</f>
        <v>2608.2000000000003</v>
      </c>
      <c r="S33" s="264">
        <f>IF(Tabla2[[#This Row],[Retiene IVA]]="S",Tabla2[[#This Row],[IVA]]*0.15,0)</f>
        <v>0</v>
      </c>
      <c r="T33" s="264">
        <f>+Tabla2[[#This Row],[Saldo]]-Tabla2[[#This Row],[Rete fte]]-Tabla2[[#This Row],[rete ica]]-Tabla2[[#This Row],[Rete IVA]]</f>
        <v>-745.20000000000027</v>
      </c>
      <c r="U33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321300</v>
      </c>
      <c r="W33">
        <f>IF(Tabla2[[#This Row],[Fecha F.E.]]="","",YEAR(Tabla2[[#This Row],[Fecha F.E.]]))</f>
        <v>2021</v>
      </c>
      <c r="X33" s="23">
        <f>IF(Tabla2[[#This Row],[Fecha]]="","",YEAR(Tabla2[[#This Row],[Fecha]]))</f>
        <v>2021</v>
      </c>
    </row>
    <row r="34" spans="1:24" customFormat="1" x14ac:dyDescent="0.25">
      <c r="A34" s="3">
        <v>33</v>
      </c>
      <c r="B34" s="75" t="s">
        <v>841</v>
      </c>
      <c r="C34" s="158">
        <v>44383</v>
      </c>
      <c r="D34" s="75" t="s">
        <v>842</v>
      </c>
      <c r="E34" s="158">
        <v>44477</v>
      </c>
      <c r="F34" s="74" t="s">
        <v>3</v>
      </c>
      <c r="G34" s="84">
        <v>1016071217</v>
      </c>
      <c r="H34" s="176" t="str">
        <f>VLOOKUP(Tabla2[[#This Row],[NIT]],Clientes!A:C,2,0)</f>
        <v>Yuri Katerine Moya Castañeda</v>
      </c>
      <c r="I34" s="73" t="str">
        <f>VLOOKUP(Tabla2[[#This Row],[NIT]],Clientes!A:C,3,0)</f>
        <v>I</v>
      </c>
      <c r="J34" s="73" t="s">
        <v>794</v>
      </c>
      <c r="K34" s="267">
        <f>SUMIFS(Tabla4[Sub Total],Tabla4[Codigo],Tabla2[[#This Row],[Cod]])</f>
        <v>1200000</v>
      </c>
      <c r="L34" s="262">
        <f>SUMPRODUCT((Tabla4[Codigo]=Tabla2[[#This Row],[Cod]])*1,Tabla4[IVA])</f>
        <v>0</v>
      </c>
      <c r="M34" s="262">
        <f>SUMIFS(Tabla4[Total],Tabla4[Codigo],Tabla2[[#This Row],[Cod]])</f>
        <v>1200000</v>
      </c>
      <c r="N34" s="263">
        <f>SUMPRODUCT((Tabla1[Codigo]=Tabla2[[#This Row],[Cod]])*1,Tabla1[Valor])</f>
        <v>1200000</v>
      </c>
      <c r="O34" s="264">
        <f>IF(AND(Tabla2[[#This Row],[Estado]]="ok",LEFT(Tabla2[[#This Row],['# Factura]],3)="TIS"),Tabla2[[#This Row],[TOTAL]]-Tabla2[[#This Row],[pagado]],0)</f>
        <v>0</v>
      </c>
      <c r="P34" s="262">
        <f>Tabla2[[#This Row],[TOTAL]]-Tabla2[[#This Row],[Valor pago]]</f>
        <v>0</v>
      </c>
      <c r="Q34" s="265">
        <f>IF(Tabla2[[#This Row],[Saldo]]=0,0,IF(Tabla2[[#This Row],[Tipo cliente]]="PJ",Tabla2[[#This Row],[SUBTOTAL]]*11%,0))</f>
        <v>0</v>
      </c>
      <c r="R34" s="264">
        <f>IF(Tabla2[[#This Row],[Saldo]]=0,0,IF(Tabla2[[#This Row],[Tipo cliente]]="PJ",Tabla2[[#This Row],[SUBTOTAL]]*0.966%,0))</f>
        <v>0</v>
      </c>
      <c r="S34" s="264">
        <f>IF(Tabla2[[#This Row],[Retiene IVA]]="S",Tabla2[[#This Row],[IVA]]*0.15,0)</f>
        <v>0</v>
      </c>
      <c r="T34" s="264">
        <f>+Tabla2[[#This Row],[Saldo]]-Tabla2[[#This Row],[Rete fte]]-Tabla2[[#This Row],[rete ica]]-Tabla2[[#This Row],[Rete IVA]]</f>
        <v>0</v>
      </c>
      <c r="U34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1200000</v>
      </c>
      <c r="V34" s="23"/>
      <c r="W34">
        <f>IF(Tabla2[[#This Row],[Fecha F.E.]]="","",YEAR(Tabla2[[#This Row],[Fecha F.E.]]))</f>
        <v>2021</v>
      </c>
      <c r="X34" s="23">
        <f>IF(Tabla2[[#This Row],[Fecha]]="","",YEAR(Tabla2[[#This Row],[Fecha]]))</f>
        <v>2021</v>
      </c>
    </row>
    <row r="35" spans="1:24" customFormat="1" x14ac:dyDescent="0.25">
      <c r="A35" s="3">
        <v>34</v>
      </c>
      <c r="B35" s="75" t="s">
        <v>843</v>
      </c>
      <c r="C35" s="158">
        <v>44383</v>
      </c>
      <c r="D35" s="76" t="s">
        <v>844</v>
      </c>
      <c r="E35" s="158">
        <v>44400</v>
      </c>
      <c r="F35" s="74" t="s">
        <v>3</v>
      </c>
      <c r="G35" s="84">
        <v>830108799</v>
      </c>
      <c r="H35" s="176" t="str">
        <f>VLOOKUP(Tabla2[[#This Row],[NIT]],Clientes!A:C,2,0)</f>
        <v xml:space="preserve">CONSTRUCTORA DE MARCAS S. A. S. </v>
      </c>
      <c r="I35" s="73" t="str">
        <f>VLOOKUP(Tabla2[[#This Row],[NIT]],Clientes!A:C,3,0)</f>
        <v>PJ</v>
      </c>
      <c r="J35" s="73" t="s">
        <v>794</v>
      </c>
      <c r="K35" s="267">
        <f>SUMIFS(Tabla4[Sub Total],Tabla4[Codigo],Tabla2[[#This Row],[Cod]])</f>
        <v>820000</v>
      </c>
      <c r="L35" s="262">
        <f>SUMPRODUCT((Tabla4[Codigo]=Tabla2[[#This Row],[Cod]])*1,Tabla4[IVA])</f>
        <v>155800</v>
      </c>
      <c r="M35" s="262">
        <f>SUMIFS(Tabla4[Total],Tabla4[Codigo],Tabla2[[#This Row],[Cod]])</f>
        <v>975800</v>
      </c>
      <c r="N35" s="263">
        <f>SUMPRODUCT((Tabla1[Codigo]=Tabla2[[#This Row],[Cod]])*1,Tabla1[Valor])</f>
        <v>935079</v>
      </c>
      <c r="O35" s="264">
        <f>IF(AND(Tabla2[[#This Row],[Estado]]="ok",LEFT(Tabla2[[#This Row],['# Factura]],3)="TIS"),Tabla2[[#This Row],[TOTAL]]-Tabla2[[#This Row],[pagado]],0)</f>
        <v>0</v>
      </c>
      <c r="P35" s="262">
        <f>Tabla2[[#This Row],[TOTAL]]-Tabla2[[#This Row],[Valor pago]]</f>
        <v>40721</v>
      </c>
      <c r="Q35" s="265">
        <f>IF(Tabla2[[#This Row],[Saldo]]=0,0,IF(Tabla2[[#This Row],[Tipo cliente]]="PJ",Tabla2[[#This Row],[SUBTOTAL]]*11%,0))</f>
        <v>90200</v>
      </c>
      <c r="R35" s="264">
        <f>IF(Tabla2[[#This Row],[Saldo]]=0,0,IF(Tabla2[[#This Row],[Tipo cliente]]="PJ",Tabla2[[#This Row],[SUBTOTAL]]*0.966%,0))</f>
        <v>7921.2</v>
      </c>
      <c r="S35" s="264">
        <f>IF(Tabla2[[#This Row],[Retiene IVA]]="S",Tabla2[[#This Row],[IVA]]*0.15,0)</f>
        <v>0</v>
      </c>
      <c r="T35" s="264">
        <f>+Tabla2[[#This Row],[Saldo]]-Tabla2[[#This Row],[Rete fte]]-Tabla2[[#This Row],[rete ica]]-Tabla2[[#This Row],[Rete IVA]]</f>
        <v>-57400.2</v>
      </c>
      <c r="U35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975800</v>
      </c>
      <c r="W35">
        <f>IF(Tabla2[[#This Row],[Fecha F.E.]]="","",YEAR(Tabla2[[#This Row],[Fecha F.E.]]))</f>
        <v>2021</v>
      </c>
      <c r="X35">
        <f>IF(Tabla2[[#This Row],[Fecha]]="","",YEAR(Tabla2[[#This Row],[Fecha]]))</f>
        <v>2021</v>
      </c>
    </row>
    <row r="36" spans="1:24" x14ac:dyDescent="0.25">
      <c r="A36" s="3">
        <v>35</v>
      </c>
      <c r="B36" s="75" t="s">
        <v>845</v>
      </c>
      <c r="C36" s="158">
        <v>44383</v>
      </c>
      <c r="D36" s="76" t="s">
        <v>846</v>
      </c>
      <c r="E36" s="158">
        <v>44435</v>
      </c>
      <c r="F36" s="74" t="s">
        <v>3</v>
      </c>
      <c r="G36" s="84">
        <v>900022013</v>
      </c>
      <c r="H36" s="176" t="str">
        <f>VLOOKUP(Tabla2[[#This Row],[NIT]],Clientes!A:C,2,0)</f>
        <v>INVERSIONES FRANQUIHER S A S</v>
      </c>
      <c r="I36" s="73" t="str">
        <f>VLOOKUP(Tabla2[[#This Row],[NIT]],Clientes!A:C,3,0)</f>
        <v>PJ</v>
      </c>
      <c r="J36" s="73" t="s">
        <v>794</v>
      </c>
      <c r="K36" s="267">
        <f>SUMIFS(Tabla4[Sub Total],Tabla4[Codigo],Tabla2[[#This Row],[Cod]])</f>
        <v>4950000</v>
      </c>
      <c r="L36" s="262">
        <f>SUMPRODUCT((Tabla4[Codigo]=Tabla2[[#This Row],[Cod]])*1,Tabla4[IVA])</f>
        <v>940500</v>
      </c>
      <c r="M36" s="262">
        <f>SUMIFS(Tabla4[Total],Tabla4[Codigo],Tabla2[[#This Row],[Cod]])</f>
        <v>5890500</v>
      </c>
      <c r="N36" s="263">
        <f>SUMPRODUCT((Tabla1[Codigo]=Tabla2[[#This Row],[Cod]])*1,Tabla1[Valor])</f>
        <v>5311845</v>
      </c>
      <c r="O36" s="264">
        <f>IF(AND(Tabla2[[#This Row],[Estado]]="ok",LEFT(Tabla2[[#This Row],['# Factura]],3)="TIS"),Tabla2[[#This Row],[TOTAL]]-Tabla2[[#This Row],[pagado]],0)</f>
        <v>0</v>
      </c>
      <c r="P36" s="262">
        <f>Tabla2[[#This Row],[TOTAL]]-Tabla2[[#This Row],[Valor pago]]</f>
        <v>578655</v>
      </c>
      <c r="Q36" s="265">
        <f>IF(Tabla2[[#This Row],[Saldo]]=0,0,IF(Tabla2[[#This Row],[Tipo cliente]]="PJ",Tabla2[[#This Row],[SUBTOTAL]]*11%,0))</f>
        <v>544500</v>
      </c>
      <c r="R36" s="264">
        <f>IF(Tabla2[[#This Row],[Saldo]]=0,0,IF(Tabla2[[#This Row],[Tipo cliente]]="PJ",Tabla2[[#This Row],[SUBTOTAL]]*0.966%,0))</f>
        <v>47817</v>
      </c>
      <c r="S36" s="264">
        <f>IF(Tabla2[[#This Row],[Retiene IVA]]="S",Tabla2[[#This Row],[IVA]]*0.15,0)</f>
        <v>0</v>
      </c>
      <c r="T36" s="264">
        <f>+Tabla2[[#This Row],[Saldo]]-Tabla2[[#This Row],[Rete fte]]-Tabla2[[#This Row],[rete ica]]-Tabla2[[#This Row],[Rete IVA]]</f>
        <v>-13662</v>
      </c>
      <c r="U36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5890500</v>
      </c>
      <c r="V36" s="371"/>
      <c r="W36">
        <f>IF(Tabla2[[#This Row],[Fecha F.E.]]="","",YEAR(Tabla2[[#This Row],[Fecha F.E.]]))</f>
        <v>2021</v>
      </c>
      <c r="X36">
        <f>IF(Tabla2[[#This Row],[Fecha]]="","",YEAR(Tabla2[[#This Row],[Fecha]]))</f>
        <v>2021</v>
      </c>
    </row>
    <row r="37" spans="1:24" customFormat="1" ht="26.25" x14ac:dyDescent="0.25">
      <c r="A37" s="3">
        <v>36</v>
      </c>
      <c r="B37" s="75" t="s">
        <v>847</v>
      </c>
      <c r="C37" s="158">
        <v>44385</v>
      </c>
      <c r="D37" s="182" t="s">
        <v>848</v>
      </c>
      <c r="E37" s="158">
        <v>44442</v>
      </c>
      <c r="F37" s="74" t="s">
        <v>3</v>
      </c>
      <c r="G37" s="84">
        <v>800028768</v>
      </c>
      <c r="H37" s="176" t="str">
        <f>VLOOKUP(Tabla2[[#This Row],[NIT]],Clientes!A:C,2,0)</f>
        <v>Comercializadora ERZ SAS</v>
      </c>
      <c r="I37" s="73" t="str">
        <f>VLOOKUP(Tabla2[[#This Row],[NIT]],Clientes!A:C,3,0)</f>
        <v>PJ</v>
      </c>
      <c r="J37" s="73" t="s">
        <v>794</v>
      </c>
      <c r="K37" s="267">
        <f>SUMIFS(Tabla4[Sub Total],Tabla4[Codigo],Tabla2[[#This Row],[Cod]])</f>
        <v>440000</v>
      </c>
      <c r="L37" s="262">
        <f>SUMPRODUCT((Tabla4[Codigo]=Tabla2[[#This Row],[Cod]])*1,Tabla4[IVA])</f>
        <v>83600</v>
      </c>
      <c r="M37" s="262">
        <f>SUMIFS(Tabla4[Total],Tabla4[Codigo],Tabla2[[#This Row],[Cod]])</f>
        <v>523600</v>
      </c>
      <c r="N37" s="263">
        <f>SUMPRODUCT((Tabla1[Codigo]=Tabla2[[#This Row],[Cod]])*1,Tabla1[Valor])</f>
        <v>502984</v>
      </c>
      <c r="O37" s="264">
        <f>IF(AND(Tabla2[[#This Row],[Estado]]="ok",LEFT(Tabla2[[#This Row],['# Factura]],3)="TIS"),Tabla2[[#This Row],[TOTAL]]-Tabla2[[#This Row],[pagado]],0)</f>
        <v>0</v>
      </c>
      <c r="P37" s="262">
        <f>Tabla2[[#This Row],[TOTAL]]-Tabla2[[#This Row],[Valor pago]]</f>
        <v>20616</v>
      </c>
      <c r="Q37" s="265">
        <f>IF(Tabla2[[#This Row],[Saldo]]=0,0,IF(Tabla2[[#This Row],[Tipo cliente]]="PJ",Tabla2[[#This Row],[SUBTOTAL]]*11%,0))</f>
        <v>48400</v>
      </c>
      <c r="R37" s="264">
        <f>IF(Tabla2[[#This Row],[Saldo]]=0,0,IF(Tabla2[[#This Row],[Tipo cliente]]="PJ",Tabla2[[#This Row],[SUBTOTAL]]*0.966%,0))</f>
        <v>4250.3999999999996</v>
      </c>
      <c r="S37" s="264">
        <f>IF(Tabla2[[#This Row],[Retiene IVA]]="S",Tabla2[[#This Row],[IVA]]*0.15,0)</f>
        <v>0</v>
      </c>
      <c r="T37" s="264">
        <f>+Tabla2[[#This Row],[Saldo]]-Tabla2[[#This Row],[Rete fte]]-Tabla2[[#This Row],[rete ica]]-Tabla2[[#This Row],[Rete IVA]]</f>
        <v>-32034.400000000001</v>
      </c>
      <c r="U37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523600</v>
      </c>
      <c r="V37" s="288" t="s">
        <v>849</v>
      </c>
      <c r="W37">
        <f>IF(Tabla2[[#This Row],[Fecha F.E.]]="","",YEAR(Tabla2[[#This Row],[Fecha F.E.]]))</f>
        <v>2021</v>
      </c>
      <c r="X37" s="23">
        <f>IF(Tabla2[[#This Row],[Fecha]]="","",YEAR(Tabla2[[#This Row],[Fecha]]))</f>
        <v>2021</v>
      </c>
    </row>
    <row r="38" spans="1:24" customFormat="1" ht="26.25" x14ac:dyDescent="0.25">
      <c r="A38" s="3">
        <f>IFERROR(A37+1,1)</f>
        <v>37</v>
      </c>
      <c r="B38" s="75" t="s">
        <v>850</v>
      </c>
      <c r="C38" s="360">
        <v>44441</v>
      </c>
      <c r="D38" s="76" t="s">
        <v>851</v>
      </c>
      <c r="E38" s="360">
        <v>44461</v>
      </c>
      <c r="F38" s="78" t="s">
        <v>3</v>
      </c>
      <c r="G38" s="55">
        <v>800028768</v>
      </c>
      <c r="H38" s="177" t="str">
        <f>VLOOKUP(Tabla2[[#This Row],[NIT]],Clientes!A:C,2,0)</f>
        <v>Comercializadora ERZ SAS</v>
      </c>
      <c r="I38" s="77" t="str">
        <f>VLOOKUP(Tabla2[[#This Row],[NIT]],Clientes!A:C,3,0)</f>
        <v>PJ</v>
      </c>
      <c r="J38" s="73" t="s">
        <v>794</v>
      </c>
      <c r="K38" s="267">
        <f>SUMIFS(Tabla4[Sub Total],Tabla4[Codigo],Tabla2[[#This Row],[Cod]])</f>
        <v>460000</v>
      </c>
      <c r="L38" s="262">
        <f>SUMPRODUCT((Tabla4[Codigo]=Tabla2[[#This Row],[Cod]])*1,Tabla4[IVA])</f>
        <v>87400</v>
      </c>
      <c r="M38" s="262">
        <f>SUMIFS(Tabla4[Total],Tabla4[Codigo],Tabla2[[#This Row],[Cod]])</f>
        <v>547400</v>
      </c>
      <c r="N38" s="263">
        <f>SUMPRODUCT((Tabla1[Codigo]=Tabla2[[#This Row],[Cod]])*1,Tabla1[Valor])</f>
        <v>524556</v>
      </c>
      <c r="O38" s="276">
        <f>IF(AND(Tabla2[[#This Row],[Estado]]="ok",LEFT(Tabla2[[#This Row],['# Factura]],3)="TIS"),Tabla2[[#This Row],[TOTAL]]-Tabla2[[#This Row],[pagado]],0)</f>
        <v>0</v>
      </c>
      <c r="P38" s="262">
        <f>Tabla2[[#This Row],[TOTAL]]-Tabla2[[#This Row],[Valor pago]]</f>
        <v>22844</v>
      </c>
      <c r="Q38" s="265">
        <f>IF(Tabla2[[#This Row],[Saldo]]=0,0,IF(Tabla2[[#This Row],[Tipo cliente]]="PJ",Tabla2[[#This Row],[SUBTOTAL]]*11%,0))</f>
        <v>50600</v>
      </c>
      <c r="R38" s="268">
        <f>IF(Tabla2[[#This Row],[Saldo]]=0,0,IF(Tabla2[[#This Row],[Tipo cliente]]="PJ",Tabla2[[#This Row],[SUBTOTAL]]*0.966%,0))</f>
        <v>4443.6000000000004</v>
      </c>
      <c r="S38" s="268">
        <f>IF(Tabla2[[#This Row],[Retiene IVA]]="S",Tabla2[[#This Row],[IVA]]*0.15,0)</f>
        <v>0</v>
      </c>
      <c r="T38" s="268">
        <f>+Tabla2[[#This Row],[Saldo]]-Tabla2[[#This Row],[Rete fte]]-Tabla2[[#This Row],[rete ica]]-Tabla2[[#This Row],[Rete IVA]]</f>
        <v>-32199.599999999999</v>
      </c>
      <c r="U38" s="277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547400</v>
      </c>
      <c r="V38" s="370" t="s">
        <v>852</v>
      </c>
      <c r="W38">
        <f>IF(Tabla2[[#This Row],[Fecha F.E.]]="","",YEAR(Tabla2[[#This Row],[Fecha F.E.]]))</f>
        <v>2021</v>
      </c>
      <c r="X38" s="23">
        <f>IF(Tabla2[[#This Row],[Fecha]]="","",YEAR(Tabla2[[#This Row],[Fecha]]))</f>
        <v>2021</v>
      </c>
    </row>
    <row r="39" spans="1:24" customFormat="1" x14ac:dyDescent="0.25">
      <c r="A39" s="3">
        <v>37</v>
      </c>
      <c r="B39" s="75" t="s">
        <v>853</v>
      </c>
      <c r="C39" s="158">
        <v>44385</v>
      </c>
      <c r="D39" s="77" t="s">
        <v>854</v>
      </c>
      <c r="E39" s="158">
        <v>44396</v>
      </c>
      <c r="F39" s="74" t="s">
        <v>3</v>
      </c>
      <c r="G39" s="84">
        <v>830124631</v>
      </c>
      <c r="H39" s="176" t="str">
        <f>VLOOKUP(Tabla2[[#This Row],[NIT]],Clientes!A:C,2,0)</f>
        <v>Ladrillos Ochoa Limitada</v>
      </c>
      <c r="I39" s="73" t="str">
        <f>VLOOKUP(Tabla2[[#This Row],[NIT]],Clientes!A:C,3,0)</f>
        <v>PJ</v>
      </c>
      <c r="J39" s="73" t="s">
        <v>794</v>
      </c>
      <c r="K39" s="267">
        <f>SUMIFS(Tabla4[Sub Total],Tabla4[Codigo],Tabla2[[#This Row],[Cod]])</f>
        <v>460000</v>
      </c>
      <c r="L39" s="262">
        <f>SUMPRODUCT((Tabla4[Codigo]=Tabla2[[#This Row],[Cod]])*1,Tabla4[IVA])</f>
        <v>87400</v>
      </c>
      <c r="M39" s="262">
        <f>SUMIFS(Tabla4[Total],Tabla4[Codigo],Tabla2[[#This Row],[Cod]])</f>
        <v>547400</v>
      </c>
      <c r="N39" s="263">
        <f>SUMPRODUCT((Tabla1[Codigo]=Tabla2[[#This Row],[Cod]])*1,Tabla1[Valor])</f>
        <v>524556</v>
      </c>
      <c r="O39" s="264">
        <f>IF(AND(Tabla2[[#This Row],[Estado]]="ok",LEFT(Tabla2[[#This Row],['# Factura]],3)="TIS"),Tabla2[[#This Row],[TOTAL]]-Tabla2[[#This Row],[pagado]],0)</f>
        <v>0</v>
      </c>
      <c r="P39" s="262">
        <f>Tabla2[[#This Row],[TOTAL]]-Tabla2[[#This Row],[Valor pago]]</f>
        <v>22844</v>
      </c>
      <c r="Q39" s="265">
        <f>IF(Tabla2[[#This Row],[Saldo]]=0,0,IF(Tabla2[[#This Row],[Tipo cliente]]="PJ",Tabla2[[#This Row],[SUBTOTAL]]*11%,0))</f>
        <v>50600</v>
      </c>
      <c r="R39" s="264">
        <f>IF(Tabla2[[#This Row],[Saldo]]=0,0,IF(Tabla2[[#This Row],[Tipo cliente]]="PJ",Tabla2[[#This Row],[SUBTOTAL]]*0.966%,0))</f>
        <v>4443.6000000000004</v>
      </c>
      <c r="S39" s="264">
        <f>IF(Tabla2[[#This Row],[Retiene IVA]]="S",Tabla2[[#This Row],[IVA]]*0.15,0)</f>
        <v>0</v>
      </c>
      <c r="T39" s="264">
        <f>+Tabla2[[#This Row],[Saldo]]-Tabla2[[#This Row],[Rete fte]]-Tabla2[[#This Row],[rete ica]]-Tabla2[[#This Row],[Rete IVA]]</f>
        <v>-32199.599999999999</v>
      </c>
      <c r="U39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547400</v>
      </c>
      <c r="W39">
        <f>IF(Tabla2[[#This Row],[Fecha F.E.]]="","",YEAR(Tabla2[[#This Row],[Fecha F.E.]]))</f>
        <v>2021</v>
      </c>
      <c r="X39">
        <f>IF(Tabla2[[#This Row],[Fecha]]="","",YEAR(Tabla2[[#This Row],[Fecha]]))</f>
        <v>2021</v>
      </c>
    </row>
    <row r="40" spans="1:24" customFormat="1" x14ac:dyDescent="0.25">
      <c r="A40" s="3">
        <v>38</v>
      </c>
      <c r="B40" s="182" t="s">
        <v>855</v>
      </c>
      <c r="C40" s="158">
        <v>44405</v>
      </c>
      <c r="D40" s="182" t="s">
        <v>856</v>
      </c>
      <c r="E40" s="158">
        <v>44497</v>
      </c>
      <c r="F40" s="74" t="s">
        <v>3</v>
      </c>
      <c r="G40" s="84">
        <v>830124631</v>
      </c>
      <c r="H40" s="176" t="str">
        <f>VLOOKUP(Tabla2[[#This Row],[NIT]],Clientes!A:C,2,0)</f>
        <v>Ladrillos Ochoa Limitada</v>
      </c>
      <c r="I40" s="73" t="str">
        <f>VLOOKUP(Tabla2[[#This Row],[NIT]],Clientes!A:C,3,0)</f>
        <v>PJ</v>
      </c>
      <c r="J40" s="73" t="s">
        <v>794</v>
      </c>
      <c r="K40" s="267">
        <f>SUMIFS(Tabla4[Sub Total],Tabla4[Codigo],Tabla2[[#This Row],[Cod]])</f>
        <v>504000</v>
      </c>
      <c r="L40" s="262">
        <f>SUMPRODUCT((Tabla4[Codigo]=Tabla2[[#This Row],[Cod]])*1,Tabla4[IVA])</f>
        <v>95760</v>
      </c>
      <c r="M40" s="262">
        <f>SUMIFS(Tabla4[Total],Tabla4[Codigo],Tabla2[[#This Row],[Cod]])</f>
        <v>599760</v>
      </c>
      <c r="N40" s="263">
        <f>SUMPRODUCT((Tabla1[Codigo]=Tabla2[[#This Row],[Cod]])*1,Tabla1[Valor])</f>
        <v>574731</v>
      </c>
      <c r="O40" s="264">
        <f>IF(AND(Tabla2[[#This Row],[Estado]]="ok",LEFT(Tabla2[[#This Row],['# Factura]],3)="TIS"),Tabla2[[#This Row],[TOTAL]]-Tabla2[[#This Row],[pagado]],0)</f>
        <v>0</v>
      </c>
      <c r="P40" s="262">
        <f>Tabla2[[#This Row],[TOTAL]]-Tabla2[[#This Row],[Valor pago]]</f>
        <v>25029</v>
      </c>
      <c r="Q40" s="265">
        <f>IF(Tabla2[[#This Row],[Saldo]]=0,0,IF(Tabla2[[#This Row],[Tipo cliente]]="PJ",Tabla2[[#This Row],[SUBTOTAL]]*11%,0))</f>
        <v>55440</v>
      </c>
      <c r="R40" s="264">
        <f>IF(Tabla2[[#This Row],[Saldo]]=0,0,IF(Tabla2[[#This Row],[Tipo cliente]]="PJ",Tabla2[[#This Row],[SUBTOTAL]]*0.966%,0))</f>
        <v>4868.6400000000003</v>
      </c>
      <c r="S40" s="264">
        <f>IF(Tabla2[[#This Row],[Retiene IVA]]="S",Tabla2[[#This Row],[IVA]]*0.15,0)</f>
        <v>0</v>
      </c>
      <c r="T40" s="264">
        <f>+Tabla2[[#This Row],[Saldo]]-Tabla2[[#This Row],[Rete fte]]-Tabla2[[#This Row],[rete ica]]-Tabla2[[#This Row],[Rete IVA]]</f>
        <v>-35279.64</v>
      </c>
      <c r="U40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599760</v>
      </c>
      <c r="W40">
        <f>IF(Tabla2[[#This Row],[Fecha F.E.]]="","",YEAR(Tabla2[[#This Row],[Fecha F.E.]]))</f>
        <v>2021</v>
      </c>
      <c r="X40">
        <f>IF(Tabla2[[#This Row],[Fecha]]="","",YEAR(Tabla2[[#This Row],[Fecha]]))</f>
        <v>2021</v>
      </c>
    </row>
    <row r="41" spans="1:24" x14ac:dyDescent="0.25">
      <c r="A41" s="3">
        <v>39</v>
      </c>
      <c r="B41" s="75" t="s">
        <v>857</v>
      </c>
      <c r="C41" s="158">
        <v>44386</v>
      </c>
      <c r="D41" s="182" t="s">
        <v>858</v>
      </c>
      <c r="E41" s="158">
        <v>44497</v>
      </c>
      <c r="F41" s="74" t="s">
        <v>3</v>
      </c>
      <c r="G41" s="84">
        <v>860037707</v>
      </c>
      <c r="H41" s="176" t="str">
        <f>VLOOKUP(Tabla2[[#This Row],[NIT]],Clientes!A:C,2,0)</f>
        <v xml:space="preserve">SBS SEGUROS COLOMBIA S A </v>
      </c>
      <c r="I41" s="73" t="str">
        <f>VLOOKUP(Tabla2[[#This Row],[NIT]],Clientes!A:C,3,0)</f>
        <v>PJ</v>
      </c>
      <c r="J41" s="73" t="s">
        <v>794</v>
      </c>
      <c r="K41" s="267">
        <f>SUMIFS(Tabla4[Sub Total],Tabla4[Codigo],Tabla2[[#This Row],[Cod]])</f>
        <v>761600</v>
      </c>
      <c r="L41" s="262">
        <f>SUMPRODUCT((Tabla4[Codigo]=Tabla2[[#This Row],[Cod]])*1,Tabla4[IVA])</f>
        <v>0</v>
      </c>
      <c r="M41" s="262">
        <f>SUMIFS(Tabla4[Total],Tabla4[Codigo],Tabla2[[#This Row],[Cod]])</f>
        <v>761600</v>
      </c>
      <c r="N41" s="263">
        <f>SUMPRODUCT((Tabla1[Codigo]=Tabla2[[#This Row],[Cod]])*1,Tabla1[Valor])</f>
        <v>737305</v>
      </c>
      <c r="O41" s="264">
        <f>IF(AND(Tabla2[[#This Row],[Estado]]="ok",LEFT(Tabla2[[#This Row],['# Factura]],3)="TIS"),Tabla2[[#This Row],[TOTAL]]-Tabla2[[#This Row],[pagado]],0)</f>
        <v>0</v>
      </c>
      <c r="P41" s="262">
        <f>Tabla2[[#This Row],[TOTAL]]-Tabla2[[#This Row],[Valor pago]]</f>
        <v>24295</v>
      </c>
      <c r="Q41" s="265">
        <f>IF(Tabla2[[#This Row],[Saldo]]=0,0,IF(Tabla2[[#This Row],[Tipo cliente]]="PJ",Tabla2[[#This Row],[SUBTOTAL]]*11%,0))</f>
        <v>83776</v>
      </c>
      <c r="R41" s="264">
        <f>IF(Tabla2[[#This Row],[Saldo]]=0,0,IF(Tabla2[[#This Row],[Tipo cliente]]="PJ",Tabla2[[#This Row],[SUBTOTAL]]*0.966%,0))</f>
        <v>7357.0560000000005</v>
      </c>
      <c r="S41" s="264">
        <f>IF(Tabla2[[#This Row],[Retiene IVA]]="S",Tabla2[[#This Row],[IVA]]*0.15,0)</f>
        <v>0</v>
      </c>
      <c r="T41" s="264">
        <f>+Tabla2[[#This Row],[Saldo]]-Tabla2[[#This Row],[Rete fte]]-Tabla2[[#This Row],[rete ica]]-Tabla2[[#This Row],[Rete IVA]]</f>
        <v>-66838.055999999997</v>
      </c>
      <c r="U41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761600</v>
      </c>
      <c r="V41"/>
      <c r="W41">
        <f>IF(Tabla2[[#This Row],[Fecha F.E.]]="","",YEAR(Tabla2[[#This Row],[Fecha F.E.]]))</f>
        <v>2021</v>
      </c>
      <c r="X41">
        <f>IF(Tabla2[[#This Row],[Fecha]]="","",YEAR(Tabla2[[#This Row],[Fecha]]))</f>
        <v>2021</v>
      </c>
    </row>
    <row r="42" spans="1:24" ht="15.75" customHeight="1" x14ac:dyDescent="0.25">
      <c r="A42" s="3">
        <v>40</v>
      </c>
      <c r="B42" s="75" t="s">
        <v>859</v>
      </c>
      <c r="C42" s="158">
        <v>44386</v>
      </c>
      <c r="D42" s="76" t="s">
        <v>860</v>
      </c>
      <c r="E42" s="158">
        <v>44467</v>
      </c>
      <c r="F42" s="74" t="s">
        <v>3</v>
      </c>
      <c r="G42" s="84">
        <v>830105276</v>
      </c>
      <c r="H42" s="176" t="str">
        <f>VLOOKUP(Tabla2[[#This Row],[NIT]],Clientes!A:C,2,0)</f>
        <v>EZGO S A</v>
      </c>
      <c r="I42" s="73" t="str">
        <f>VLOOKUP(Tabla2[[#This Row],[NIT]],Clientes!A:C,3,0)</f>
        <v>PJ</v>
      </c>
      <c r="J42" s="73" t="s">
        <v>794</v>
      </c>
      <c r="K42" s="267">
        <f>SUMIFS(Tabla4[Sub Total],Tabla4[Codigo],Tabla2[[#This Row],[Cod]])</f>
        <v>650000</v>
      </c>
      <c r="L42" s="262">
        <f>SUMPRODUCT((Tabla4[Codigo]=Tabla2[[#This Row],[Cod]])*1,Tabla4[IVA])</f>
        <v>123500</v>
      </c>
      <c r="M42" s="262">
        <f>SUMIFS(Tabla4[Total],Tabla4[Codigo],Tabla2[[#This Row],[Cod]])</f>
        <v>773500</v>
      </c>
      <c r="N42" s="263">
        <f>SUMPRODUCT((Tabla1[Codigo]=Tabla2[[#This Row],[Cod]])*1,Tabla1[Valor])</f>
        <v>741221</v>
      </c>
      <c r="O42" s="264">
        <f>IF(AND(Tabla2[[#This Row],[Estado]]="ok",LEFT(Tabla2[[#This Row],['# Factura]],3)="TIS"),Tabla2[[#This Row],[TOTAL]]-Tabla2[[#This Row],[pagado]],0)</f>
        <v>0</v>
      </c>
      <c r="P42" s="262">
        <f>Tabla2[[#This Row],[TOTAL]]-Tabla2[[#This Row],[Valor pago]]</f>
        <v>32279</v>
      </c>
      <c r="Q42" s="265">
        <f>IF(Tabla2[[#This Row],[Saldo]]=0,0,IF(Tabla2[[#This Row],[Tipo cliente]]="PJ",Tabla2[[#This Row],[SUBTOTAL]]*11%,0))</f>
        <v>71500</v>
      </c>
      <c r="R42" s="264">
        <f>IF(Tabla2[[#This Row],[Saldo]]=0,0,IF(Tabla2[[#This Row],[Tipo cliente]]="PJ",Tabla2[[#This Row],[SUBTOTAL]]*0.966%,0))</f>
        <v>6279</v>
      </c>
      <c r="S42" s="264">
        <f>IF(Tabla2[[#This Row],[Retiene IVA]]="S",Tabla2[[#This Row],[IVA]]*0.15,0)</f>
        <v>0</v>
      </c>
      <c r="T42" s="264">
        <f>+Tabla2[[#This Row],[Saldo]]-Tabla2[[#This Row],[Rete fte]]-Tabla2[[#This Row],[rete ica]]-Tabla2[[#This Row],[Rete IVA]]</f>
        <v>-45500</v>
      </c>
      <c r="U42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773500</v>
      </c>
      <c r="V42"/>
      <c r="W42">
        <f>IF(Tabla2[[#This Row],[Fecha F.E.]]="","",YEAR(Tabla2[[#This Row],[Fecha F.E.]]))</f>
        <v>2021</v>
      </c>
      <c r="X42">
        <f>IF(Tabla2[[#This Row],[Fecha]]="","",YEAR(Tabla2[[#This Row],[Fecha]]))</f>
        <v>2021</v>
      </c>
    </row>
    <row r="43" spans="1:24" x14ac:dyDescent="0.25">
      <c r="A43" s="3">
        <v>41</v>
      </c>
      <c r="B43" s="75" t="s">
        <v>861</v>
      </c>
      <c r="C43" s="158">
        <v>44389</v>
      </c>
      <c r="D43" s="76" t="s">
        <v>862</v>
      </c>
      <c r="E43" s="158">
        <v>44414</v>
      </c>
      <c r="F43" s="74" t="s">
        <v>3</v>
      </c>
      <c r="G43" s="84">
        <v>52385710</v>
      </c>
      <c r="H43" s="176" t="str">
        <f>VLOOKUP(Tabla2[[#This Row],[NIT]],Clientes!A:C,2,0)</f>
        <v>Maria del Pilar Alvarado Joya</v>
      </c>
      <c r="I43" s="73" t="str">
        <f>VLOOKUP(Tabla2[[#This Row],[NIT]],Clientes!A:C,3,0)</f>
        <v>PN</v>
      </c>
      <c r="J43" s="73" t="s">
        <v>794</v>
      </c>
      <c r="K43" s="267">
        <f>SUMIFS(Tabla4[Sub Total],Tabla4[Codigo],Tabla2[[#This Row],[Cod]])</f>
        <v>900000</v>
      </c>
      <c r="L43" s="262">
        <f>SUMPRODUCT((Tabla4[Codigo]=Tabla2[[#This Row],[Cod]])*1,Tabla4[IVA])</f>
        <v>0</v>
      </c>
      <c r="M43" s="262">
        <f>SUMIFS(Tabla4[Total],Tabla4[Codigo],Tabla2[[#This Row],[Cod]])</f>
        <v>900000</v>
      </c>
      <c r="N43" s="263">
        <f>SUMPRODUCT((Tabla1[Codigo]=Tabla2[[#This Row],[Cod]])*1,Tabla1[Valor])</f>
        <v>900000</v>
      </c>
      <c r="O43" s="264">
        <f>IF(AND(Tabla2[[#This Row],[Estado]]="ok",LEFT(Tabla2[[#This Row],['# Factura]],3)="TIS"),Tabla2[[#This Row],[TOTAL]]-Tabla2[[#This Row],[pagado]],0)</f>
        <v>0</v>
      </c>
      <c r="P43" s="262">
        <f>Tabla2[[#This Row],[TOTAL]]-Tabla2[[#This Row],[Valor pago]]</f>
        <v>0</v>
      </c>
      <c r="Q43" s="265">
        <f>IF(Tabla2[[#This Row],[Saldo]]=0,0,IF(Tabla2[[#This Row],[Tipo cliente]]="PJ",Tabla2[[#This Row],[SUBTOTAL]]*11%,0))</f>
        <v>0</v>
      </c>
      <c r="R43" s="264">
        <f>IF(Tabla2[[#This Row],[Saldo]]=0,0,IF(Tabla2[[#This Row],[Tipo cliente]]="PJ",Tabla2[[#This Row],[SUBTOTAL]]*0.966%,0))</f>
        <v>0</v>
      </c>
      <c r="S43" s="264">
        <f>IF(Tabla2[[#This Row],[Retiene IVA]]="S",Tabla2[[#This Row],[IVA]]*0.15,0)</f>
        <v>0</v>
      </c>
      <c r="T43" s="264">
        <f>+Tabla2[[#This Row],[Saldo]]-Tabla2[[#This Row],[Rete fte]]-Tabla2[[#This Row],[rete ica]]-Tabla2[[#This Row],[Rete IVA]]</f>
        <v>0</v>
      </c>
      <c r="U43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43">
        <f>IF(Tabla2[[#This Row],[Fecha F.E.]]="","",YEAR(Tabla2[[#This Row],[Fecha F.E.]]))</f>
        <v>2021</v>
      </c>
      <c r="X43" s="23">
        <f>IF(Tabla2[[#This Row],[Fecha]]="","",YEAR(Tabla2[[#This Row],[Fecha]]))</f>
        <v>2021</v>
      </c>
    </row>
    <row r="44" spans="1:24" s="25" customFormat="1" x14ac:dyDescent="0.25">
      <c r="A44" s="3">
        <v>42</v>
      </c>
      <c r="B44" s="75" t="s">
        <v>830</v>
      </c>
      <c r="C44" s="158">
        <v>44417</v>
      </c>
      <c r="D44" s="76" t="s">
        <v>863</v>
      </c>
      <c r="E44" s="158">
        <v>44417</v>
      </c>
      <c r="F44" s="74" t="s">
        <v>3</v>
      </c>
      <c r="G44" s="84">
        <v>901337267</v>
      </c>
      <c r="H44" s="176" t="str">
        <f>VLOOKUP(Tabla2[[#This Row],[NIT]],Clientes!A:C,2,0)</f>
        <v>Pro service Call center</v>
      </c>
      <c r="I44" s="73" t="str">
        <f>VLOOKUP(Tabla2[[#This Row],[NIT]],Clientes!A:C,3,0)</f>
        <v>PJ</v>
      </c>
      <c r="J44" s="73" t="s">
        <v>794</v>
      </c>
      <c r="K44" s="262">
        <f>SUMIFS(Tabla4[Sub Total],Tabla4[Codigo],Tabla2[[#This Row],[Cod]])</f>
        <v>2850000</v>
      </c>
      <c r="L44" s="262">
        <f>SUMPRODUCT((Tabla4[Codigo]=Tabla2[[#This Row],[Cod]])*1,Tabla4[IVA])</f>
        <v>541500</v>
      </c>
      <c r="M44" s="262">
        <f>SUMIFS(Tabla4[Total],Tabla4[Codigo],Tabla2[[#This Row],[Cod]])</f>
        <v>3391500</v>
      </c>
      <c r="N44" s="263">
        <f>SUMPRODUCT((Tabla1[Codigo]=Tabla2[[#This Row],[Cod]])*1,Tabla1[Valor])</f>
        <v>3292719</v>
      </c>
      <c r="O44" s="264">
        <f>IF(AND(Tabla2[[#This Row],[Estado]]="ok",LEFT(Tabla2[[#This Row],['# Factura]],3)="TIS"),Tabla2[[#This Row],[TOTAL]]-Tabla2[[#This Row],[pagado]],0)</f>
        <v>0</v>
      </c>
      <c r="P44" s="262">
        <f>Tabla2[[#This Row],[TOTAL]]-Tabla2[[#This Row],[Valor pago]]</f>
        <v>98781</v>
      </c>
      <c r="Q44" s="265">
        <f>IF(Tabla2[[#This Row],[Saldo]]=0,0,IF(Tabla2[[#This Row],[Tipo cliente]]="PJ",Tabla2[[#This Row],[SUBTOTAL]]*11%,0))</f>
        <v>313500</v>
      </c>
      <c r="R44" s="264">
        <f>IF(Tabla2[[#This Row],[Saldo]]=0,0,IF(Tabla2[[#This Row],[Tipo cliente]]="PJ",Tabla2[[#This Row],[SUBTOTAL]]*0.966%,0))</f>
        <v>27531</v>
      </c>
      <c r="S44" s="264">
        <f>IF(Tabla2[[#This Row],[Retiene IVA]]="S",Tabla2[[#This Row],[IVA]]*0.15,0)</f>
        <v>0</v>
      </c>
      <c r="T44" s="264">
        <f>+Tabla2[[#This Row],[Saldo]]-Tabla2[[#This Row],[Rete fte]]-Tabla2[[#This Row],[rete ica]]-Tabla2[[#This Row],[Rete IVA]]</f>
        <v>-242250</v>
      </c>
      <c r="U44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3391500</v>
      </c>
      <c r="V44" s="23"/>
      <c r="W44">
        <f>IF(Tabla2[[#This Row],[Fecha F.E.]]="","",YEAR(Tabla2[[#This Row],[Fecha F.E.]]))</f>
        <v>2021</v>
      </c>
      <c r="X44" s="23">
        <f>IF(Tabla2[[#This Row],[Fecha]]="","",YEAR(Tabla2[[#This Row],[Fecha]]))</f>
        <v>2021</v>
      </c>
    </row>
    <row r="45" spans="1:24" x14ac:dyDescent="0.25">
      <c r="A45" s="3">
        <v>43</v>
      </c>
      <c r="B45" s="75" t="s">
        <v>864</v>
      </c>
      <c r="C45" s="158">
        <v>44418</v>
      </c>
      <c r="D45" s="76" t="s">
        <v>865</v>
      </c>
      <c r="E45" s="158">
        <v>44428</v>
      </c>
      <c r="F45" s="74" t="s">
        <v>3</v>
      </c>
      <c r="G45" s="84">
        <v>900335662</v>
      </c>
      <c r="H45" s="176" t="str">
        <f>VLOOKUP(Tabla2[[#This Row],[NIT]],Clientes!A:C,2,0)</f>
        <v>Organizaciones Oliver SAS</v>
      </c>
      <c r="I45" s="73" t="str">
        <f>VLOOKUP(Tabla2[[#This Row],[NIT]],Clientes!A:C,3,0)</f>
        <v>PJ</v>
      </c>
      <c r="J45" s="73" t="s">
        <v>794</v>
      </c>
      <c r="K45" s="262">
        <f>SUMIFS(Tabla4[Sub Total],Tabla4[Codigo],Tabla2[[#This Row],[Cod]])</f>
        <v>400000</v>
      </c>
      <c r="L45" s="262">
        <f>SUMPRODUCT((Tabla4[Codigo]=Tabla2[[#This Row],[Cod]])*1,Tabla4[IVA])</f>
        <v>76000</v>
      </c>
      <c r="M45" s="262">
        <f>SUMIFS(Tabla4[Total],Tabla4[Codigo],Tabla2[[#This Row],[Cod]])</f>
        <v>476000</v>
      </c>
      <c r="N45" s="263">
        <f>SUMPRODUCT((Tabla1[Codigo]=Tabla2[[#This Row],[Cod]])*1,Tabla1[Valor])</f>
        <v>432000</v>
      </c>
      <c r="O45" s="264">
        <f>IF(AND(Tabla2[[#This Row],[Estado]]="ok",LEFT(Tabla2[[#This Row],['# Factura]],3)="TIS"),Tabla2[[#This Row],[TOTAL]]-Tabla2[[#This Row],[pagado]],0)</f>
        <v>0</v>
      </c>
      <c r="P45" s="262">
        <f>Tabla2[[#This Row],[TOTAL]]-Tabla2[[#This Row],[Valor pago]]</f>
        <v>44000</v>
      </c>
      <c r="Q45" s="265">
        <f>IF(Tabla2[[#This Row],[Saldo]]=0,0,IF(Tabla2[[#This Row],[Tipo cliente]]="PJ",Tabla2[[#This Row],[SUBTOTAL]]*11%,0))</f>
        <v>44000</v>
      </c>
      <c r="R45" s="264">
        <f>IF(Tabla2[[#This Row],[Saldo]]=0,0,IF(Tabla2[[#This Row],[Tipo cliente]]="PJ",Tabla2[[#This Row],[SUBTOTAL]]*0.966%,0))</f>
        <v>3864</v>
      </c>
      <c r="S45" s="264">
        <f>IF(Tabla2[[#This Row],[Retiene IVA]]="S",Tabla2[[#This Row],[IVA]]*0.15,0)</f>
        <v>0</v>
      </c>
      <c r="T45" s="264">
        <f>+Tabla2[[#This Row],[Saldo]]-Tabla2[[#This Row],[Rete fte]]-Tabla2[[#This Row],[rete ica]]-Tabla2[[#This Row],[Rete IVA]]</f>
        <v>-3864</v>
      </c>
      <c r="U45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476000</v>
      </c>
      <c r="W45">
        <f>IF(Tabla2[[#This Row],[Fecha F.E.]]="","",YEAR(Tabla2[[#This Row],[Fecha F.E.]]))</f>
        <v>2021</v>
      </c>
      <c r="X45" s="23">
        <f>IF(Tabla2[[#This Row],[Fecha]]="","",YEAR(Tabla2[[#This Row],[Fecha]]))</f>
        <v>2021</v>
      </c>
    </row>
    <row r="46" spans="1:24" x14ac:dyDescent="0.25">
      <c r="A46" s="3">
        <v>44</v>
      </c>
      <c r="B46" s="75" t="s">
        <v>866</v>
      </c>
      <c r="C46" s="158">
        <v>44428</v>
      </c>
      <c r="D46" s="76" t="s">
        <v>867</v>
      </c>
      <c r="E46" s="158">
        <v>44428</v>
      </c>
      <c r="F46" s="74" t="s">
        <v>3</v>
      </c>
      <c r="G46" s="84">
        <v>900311764</v>
      </c>
      <c r="H46" s="177" t="str">
        <f>VLOOKUP(Tabla2[[#This Row],[NIT]],Clientes!A:C,2,0)</f>
        <v>BIOMETROMED SAS</v>
      </c>
      <c r="I46" s="77" t="str">
        <f>VLOOKUP(Tabla2[[#This Row],[NIT]],Clientes!A:C,3,0)</f>
        <v>PJ</v>
      </c>
      <c r="J46" s="73" t="s">
        <v>794</v>
      </c>
      <c r="K46" s="262">
        <f>SUMIFS(Tabla4[Sub Total],Tabla4[Codigo],Tabla2[[#This Row],[Cod]])</f>
        <v>200000</v>
      </c>
      <c r="L46" s="262">
        <f>SUMPRODUCT((Tabla4[Codigo]=Tabla2[[#This Row],[Cod]])*1,Tabla4[IVA])</f>
        <v>38000</v>
      </c>
      <c r="M46" s="262">
        <f>SUMIFS(Tabla4[Total],Tabla4[Codigo],Tabla2[[#This Row],[Cod]])</f>
        <v>238000</v>
      </c>
      <c r="N46" s="263">
        <f>SUMPRODUCT((Tabla1[Codigo]=Tabla2[[#This Row],[Cod]])*1,Tabla1[Valor])</f>
        <v>226181</v>
      </c>
      <c r="O46" s="264">
        <f>IF(AND(Tabla2[[#This Row],[Estado]]="ok",LEFT(Tabla2[[#This Row],['# Factura]],3)="TIS"),Tabla2[[#This Row],[TOTAL]]-Tabla2[[#This Row],[pagado]],0)</f>
        <v>0</v>
      </c>
      <c r="P46" s="262">
        <f>Tabla2[[#This Row],[TOTAL]]-Tabla2[[#This Row],[Valor pago]]</f>
        <v>11819</v>
      </c>
      <c r="Q46" s="265">
        <f>IF(Tabla2[[#This Row],[Saldo]]=0,0,IF(Tabla2[[#This Row],[Tipo cliente]]="PJ",Tabla2[[#This Row],[SUBTOTAL]]*11%,0))</f>
        <v>22000</v>
      </c>
      <c r="R46" s="264">
        <f>IF(Tabla2[[#This Row],[Saldo]]=0,0,IF(Tabla2[[#This Row],[Tipo cliente]]="PJ",Tabla2[[#This Row],[SUBTOTAL]]*0.966%,0))</f>
        <v>1932</v>
      </c>
      <c r="S46" s="264">
        <f>IF(Tabla2[[#This Row],[Retiene IVA]]="S",Tabla2[[#This Row],[IVA]]*0.15,0)</f>
        <v>0</v>
      </c>
      <c r="T46" s="264">
        <f>+Tabla2[[#This Row],[Saldo]]-Tabla2[[#This Row],[Rete fte]]-Tabla2[[#This Row],[rete ica]]-Tabla2[[#This Row],[Rete IVA]]</f>
        <v>-12113</v>
      </c>
      <c r="U46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238000</v>
      </c>
      <c r="V46" s="25"/>
      <c r="W46">
        <f>IF(Tabla2[[#This Row],[Fecha F.E.]]="","",YEAR(Tabla2[[#This Row],[Fecha F.E.]]))</f>
        <v>2021</v>
      </c>
      <c r="X46" s="23">
        <f>IF(Tabla2[[#This Row],[Fecha]]="","",YEAR(Tabla2[[#This Row],[Fecha]]))</f>
        <v>2021</v>
      </c>
    </row>
    <row r="47" spans="1:24" x14ac:dyDescent="0.25">
      <c r="A47" s="3">
        <v>45</v>
      </c>
      <c r="B47" s="75" t="s">
        <v>868</v>
      </c>
      <c r="C47" s="360">
        <v>44432</v>
      </c>
      <c r="D47" s="76" t="s">
        <v>869</v>
      </c>
      <c r="E47" s="360">
        <v>44510</v>
      </c>
      <c r="F47" s="78" t="s">
        <v>3</v>
      </c>
      <c r="G47" s="84">
        <v>900897223</v>
      </c>
      <c r="H47" s="177" t="str">
        <f>VLOOKUP(Tabla2[[#This Row],[NIT]],Clientes!A:C,2,0)</f>
        <v>HILVERDAFLORIST COLOMBIA S.A.S</v>
      </c>
      <c r="I47" s="77" t="str">
        <f>VLOOKUP(Tabla2[[#This Row],[NIT]],Clientes!A:C,3,0)</f>
        <v>PJ</v>
      </c>
      <c r="J47" s="73" t="s">
        <v>794</v>
      </c>
      <c r="K47" s="267">
        <f>SUMIFS(Tabla4[Sub Total],Tabla4[Codigo],Tabla2[[#This Row],[Cod]])</f>
        <v>150000</v>
      </c>
      <c r="L47" s="262">
        <f>SUMPRODUCT((Tabla4[Codigo]=Tabla2[[#This Row],[Cod]])*1,Tabla4[IVA])</f>
        <v>28500</v>
      </c>
      <c r="M47" s="262">
        <f>SUMIFS(Tabla4[Total],Tabla4[Codigo],Tabla2[[#This Row],[Cod]])</f>
        <v>178500</v>
      </c>
      <c r="N47" s="263">
        <f>SUMPRODUCT((Tabla1[Codigo]=Tabla2[[#This Row],[Cod]])*1,Tabla1[Valor])</f>
        <v>184450</v>
      </c>
      <c r="O47" s="264">
        <f>IF(AND(Tabla2[[#This Row],[Estado]]="ok",LEFT(Tabla2[[#This Row],['# Factura]],3)="TIS"),Tabla2[[#This Row],[TOTAL]]-Tabla2[[#This Row],[pagado]],0)</f>
        <v>0</v>
      </c>
      <c r="P47" s="262">
        <f>Tabla2[[#This Row],[TOTAL]]-Tabla2[[#This Row],[Valor pago]]</f>
        <v>-5950</v>
      </c>
      <c r="Q47" s="265">
        <f>IF(Tabla2[[#This Row],[Saldo]]=0,0,IF(Tabla2[[#This Row],[Tipo cliente]]="PJ",Tabla2[[#This Row],[SUBTOTAL]]*11%,0))</f>
        <v>16500</v>
      </c>
      <c r="R47" s="268">
        <f>IF(Tabla2[[#This Row],[Saldo]]=0,0,IF(Tabla2[[#This Row],[Tipo cliente]]="PJ",Tabla2[[#This Row],[SUBTOTAL]]*0.966%,0))</f>
        <v>1449</v>
      </c>
      <c r="S47" s="268">
        <f>IF(Tabla2[[#This Row],[Retiene IVA]]="S",Tabla2[[#This Row],[IVA]]*0.15,0)</f>
        <v>0</v>
      </c>
      <c r="T47" s="269">
        <f>+Tabla2[[#This Row],[Saldo]]-Tabla2[[#This Row],[Rete fte]]-Tabla2[[#This Row],[rete ica]]-Tabla2[[#This Row],[Rete IVA]]</f>
        <v>-23899</v>
      </c>
      <c r="U47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178500</v>
      </c>
      <c r="W47">
        <f>IF(Tabla2[[#This Row],[Fecha F.E.]]="","",YEAR(Tabla2[[#This Row],[Fecha F.E.]]))</f>
        <v>2021</v>
      </c>
      <c r="X47" s="23">
        <f>IF(Tabla2[[#This Row],[Fecha]]="","",YEAR(Tabla2[[#This Row],[Fecha]]))</f>
        <v>2021</v>
      </c>
    </row>
    <row r="48" spans="1:24" x14ac:dyDescent="0.25">
      <c r="A48" s="3">
        <v>46</v>
      </c>
      <c r="B48" s="75" t="s">
        <v>870</v>
      </c>
      <c r="C48" s="360">
        <v>44434</v>
      </c>
      <c r="D48" s="76" t="s">
        <v>871</v>
      </c>
      <c r="E48" s="360">
        <v>44561</v>
      </c>
      <c r="F48" s="78" t="s">
        <v>3</v>
      </c>
      <c r="G48" s="84">
        <v>901234560</v>
      </c>
      <c r="H48" s="177" t="str">
        <f>VLOOKUP(Tabla2[[#This Row],[NIT]],Clientes!A:C,2,0)</f>
        <v>Antonio Cely SAS</v>
      </c>
      <c r="I48" s="77" t="str">
        <f>VLOOKUP(Tabla2[[#This Row],[NIT]],Clientes!A:C,3,0)</f>
        <v>PJ</v>
      </c>
      <c r="J48" s="73" t="s">
        <v>794</v>
      </c>
      <c r="K48" s="267">
        <f>SUMIFS(Tabla4[Sub Total],Tabla4[Codigo],Tabla2[[#This Row],[Cod]])</f>
        <v>1080000</v>
      </c>
      <c r="L48" s="262">
        <f>SUMPRODUCT((Tabla4[Codigo]=Tabla2[[#This Row],[Cod]])*1,Tabla4[IVA])</f>
        <v>205200</v>
      </c>
      <c r="M48" s="262">
        <f>SUMIFS(Tabla4[Total],Tabla4[Codigo],Tabla2[[#This Row],[Cod]])</f>
        <v>1285200</v>
      </c>
      <c r="N48" s="263">
        <f>SUMPRODUCT((Tabla1[Codigo]=Tabla2[[#This Row],[Cod]])*1,Tabla1[Valor])</f>
        <v>1285200</v>
      </c>
      <c r="O48" s="264">
        <f>IF(AND(Tabla2[[#This Row],[Estado]]="ok",LEFT(Tabla2[[#This Row],['# Factura]],3)="TIS"),Tabla2[[#This Row],[TOTAL]]-Tabla2[[#This Row],[pagado]],0)</f>
        <v>0</v>
      </c>
      <c r="P48" s="262">
        <f>Tabla2[[#This Row],[TOTAL]]-Tabla2[[#This Row],[Valor pago]]</f>
        <v>0</v>
      </c>
      <c r="Q48" s="265">
        <f>IF(Tabla2[[#This Row],[Saldo]]=0,0,IF(Tabla2[[#This Row],[Tipo cliente]]="PJ",Tabla2[[#This Row],[SUBTOTAL]]*11%,0))</f>
        <v>0</v>
      </c>
      <c r="R48" s="268">
        <f>IF(Tabla2[[#This Row],[Saldo]]=0,0,IF(Tabla2[[#This Row],[Tipo cliente]]="PJ",Tabla2[[#This Row],[SUBTOTAL]]*0.966%,0))</f>
        <v>0</v>
      </c>
      <c r="S48" s="268">
        <f>IF(Tabla2[[#This Row],[Retiene IVA]]="S",Tabla2[[#This Row],[IVA]]*0.15,0)</f>
        <v>0</v>
      </c>
      <c r="T48" s="264">
        <f>+Tabla2[[#This Row],[Saldo]]-Tabla2[[#This Row],[Rete fte]]-Tabla2[[#This Row],[rete ica]]-Tabla2[[#This Row],[Rete IVA]]</f>
        <v>0</v>
      </c>
      <c r="U48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1285200</v>
      </c>
      <c r="W48">
        <f>IF(Tabla2[[#This Row],[Fecha F.E.]]="","",YEAR(Tabla2[[#This Row],[Fecha F.E.]]))</f>
        <v>2021</v>
      </c>
      <c r="X48" s="23">
        <f>IF(Tabla2[[#This Row],[Fecha]]="","",YEAR(Tabla2[[#This Row],[Fecha]]))</f>
        <v>2021</v>
      </c>
    </row>
    <row r="49" spans="1:24" s="5" customFormat="1" x14ac:dyDescent="0.25">
      <c r="A49" s="3">
        <v>47</v>
      </c>
      <c r="B49" s="75" t="s">
        <v>872</v>
      </c>
      <c r="C49" s="360">
        <v>44435</v>
      </c>
      <c r="D49" s="76" t="s">
        <v>873</v>
      </c>
      <c r="E49" s="360">
        <v>44477</v>
      </c>
      <c r="F49" s="78" t="s">
        <v>3</v>
      </c>
      <c r="G49" s="84">
        <v>901030518</v>
      </c>
      <c r="H49" s="177" t="str">
        <f>VLOOKUP(Tabla2[[#This Row],[NIT]],Clientes!A:C,2,0)</f>
        <v>Inversiones Sajamib SAS</v>
      </c>
      <c r="I49" s="77" t="str">
        <f>VLOOKUP(Tabla2[[#This Row],[NIT]],Clientes!A:C,3,0)</f>
        <v>PJ</v>
      </c>
      <c r="J49" s="73" t="s">
        <v>794</v>
      </c>
      <c r="K49" s="267">
        <f>SUMIFS(Tabla4[Sub Total],Tabla4[Codigo],Tabla2[[#This Row],[Cod]])</f>
        <v>1380000</v>
      </c>
      <c r="L49" s="262">
        <f>SUMPRODUCT((Tabla4[Codigo]=Tabla2[[#This Row],[Cod]])*1,Tabla4[IVA])</f>
        <v>0</v>
      </c>
      <c r="M49" s="262">
        <f>SUMIFS(Tabla4[Total],Tabla4[Codigo],Tabla2[[#This Row],[Cod]])</f>
        <v>1380000</v>
      </c>
      <c r="N49" s="263">
        <f>SUMPRODUCT((Tabla1[Codigo]=Tabla2[[#This Row],[Cod]])*1,Tabla1[Valor])</f>
        <v>1320000</v>
      </c>
      <c r="O49" s="264">
        <f>IF(AND(Tabla2[[#This Row],[Estado]]="ok",LEFT(Tabla2[[#This Row],['# Factura]],3)="TIS"),Tabla2[[#This Row],[TOTAL]]-Tabla2[[#This Row],[pagado]],0)</f>
        <v>0</v>
      </c>
      <c r="P49" s="262">
        <f>Tabla2[[#This Row],[TOTAL]]-Tabla2[[#This Row],[Valor pago]]</f>
        <v>60000</v>
      </c>
      <c r="Q49" s="265">
        <f>IF(Tabla2[[#This Row],[Saldo]]=0,0,IF(Tabla2[[#This Row],[Tipo cliente]]="PJ",Tabla2[[#This Row],[SUBTOTAL]]*11%,0))</f>
        <v>151800</v>
      </c>
      <c r="R49" s="268">
        <f>IF(Tabla2[[#This Row],[Saldo]]=0,0,IF(Tabla2[[#This Row],[Tipo cliente]]="PJ",Tabla2[[#This Row],[SUBTOTAL]]*0.966%,0))</f>
        <v>13330.800000000001</v>
      </c>
      <c r="S49" s="268">
        <f>IF(Tabla2[[#This Row],[Retiene IVA]]="S",Tabla2[[#This Row],[IVA]]*0.15,0)</f>
        <v>0</v>
      </c>
      <c r="T49" s="264">
        <f>+Tabla2[[#This Row],[Saldo]]-Tabla2[[#This Row],[Rete fte]]-Tabla2[[#This Row],[rete ica]]-Tabla2[[#This Row],[Rete IVA]]</f>
        <v>-105130.8</v>
      </c>
      <c r="U49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1380000</v>
      </c>
      <c r="V49" s="23"/>
      <c r="W49">
        <f>IF(Tabla2[[#This Row],[Fecha F.E.]]="","",YEAR(Tabla2[[#This Row],[Fecha F.E.]]))</f>
        <v>2021</v>
      </c>
      <c r="X49" s="23">
        <f>IF(Tabla2[[#This Row],[Fecha]]="","",YEAR(Tabla2[[#This Row],[Fecha]]))</f>
        <v>2021</v>
      </c>
    </row>
    <row r="50" spans="1:24" x14ac:dyDescent="0.25">
      <c r="A50" s="3">
        <v>48</v>
      </c>
      <c r="B50" s="75" t="s">
        <v>845</v>
      </c>
      <c r="C50" s="360">
        <v>44383</v>
      </c>
      <c r="D50" s="76" t="s">
        <v>874</v>
      </c>
      <c r="E50" s="360">
        <v>44435</v>
      </c>
      <c r="F50" s="78" t="s">
        <v>3</v>
      </c>
      <c r="G50" s="55">
        <v>901218098</v>
      </c>
      <c r="H50" s="177" t="str">
        <f>VLOOKUP(Tabla2[[#This Row],[NIT]],Clientes!A:C,2,0)</f>
        <v>H &amp; S FRANQUICIAS SAS</v>
      </c>
      <c r="I50" s="77" t="str">
        <f>VLOOKUP(Tabla2[[#This Row],[NIT]],Clientes!A:C,3,0)</f>
        <v>PJ</v>
      </c>
      <c r="J50" s="73" t="s">
        <v>794</v>
      </c>
      <c r="K50" s="267">
        <f>SUMIFS(Tabla4[Sub Total],Tabla4[Codigo],Tabla2[[#This Row],[Cod]])</f>
        <v>1400000</v>
      </c>
      <c r="L50" s="262">
        <f>SUMPRODUCT((Tabla4[Codigo]=Tabla2[[#This Row],[Cod]])*1,Tabla4[IVA])</f>
        <v>266000</v>
      </c>
      <c r="M50" s="262">
        <f>SUMIFS(Tabla4[Total],Tabla4[Codigo],Tabla2[[#This Row],[Cod]])</f>
        <v>1666000</v>
      </c>
      <c r="N50" s="263">
        <f>SUMPRODUCT((Tabla1[Codigo]=Tabla2[[#This Row],[Cod]])*1,Tabla1[Valor])</f>
        <v>1502340</v>
      </c>
      <c r="O50" s="264">
        <f>IF(AND(Tabla2[[#This Row],[Estado]]="ok",LEFT(Tabla2[[#This Row],['# Factura]],3)="TIS"),Tabla2[[#This Row],[TOTAL]]-Tabla2[[#This Row],[pagado]],0)</f>
        <v>0</v>
      </c>
      <c r="P50" s="262">
        <f>Tabla2[[#This Row],[TOTAL]]-Tabla2[[#This Row],[Valor pago]]</f>
        <v>163660</v>
      </c>
      <c r="Q50" s="265">
        <f>IF(Tabla2[[#This Row],[Saldo]]=0,0,IF(Tabla2[[#This Row],[Tipo cliente]]="PJ",Tabla2[[#This Row],[SUBTOTAL]]*11%,0))</f>
        <v>154000</v>
      </c>
      <c r="R50" s="268">
        <f>IF(Tabla2[[#This Row],[Saldo]]=0,0,IF(Tabla2[[#This Row],[Tipo cliente]]="PJ",Tabla2[[#This Row],[SUBTOTAL]]*0.966%,0))</f>
        <v>13524</v>
      </c>
      <c r="S50" s="268">
        <f>IF(Tabla2[[#This Row],[Retiene IVA]]="S",Tabla2[[#This Row],[IVA]]*0.15,0)</f>
        <v>0</v>
      </c>
      <c r="T50" s="264">
        <f>+Tabla2[[#This Row],[Saldo]]-Tabla2[[#This Row],[Rete fte]]-Tabla2[[#This Row],[rete ica]]-Tabla2[[#This Row],[Rete IVA]]</f>
        <v>-3864</v>
      </c>
      <c r="U50" s="266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1666000</v>
      </c>
      <c r="V50" s="289"/>
      <c r="W50">
        <f>IF(Tabla2[[#This Row],[Fecha F.E.]]="","",YEAR(Tabla2[[#This Row],[Fecha F.E.]]))</f>
        <v>2021</v>
      </c>
      <c r="X50" s="23">
        <f>IF(Tabla2[[#This Row],[Fecha]]="","",YEAR(Tabla2[[#This Row],[Fecha]]))</f>
        <v>2021</v>
      </c>
    </row>
    <row r="51" spans="1:24" ht="25.5" x14ac:dyDescent="0.25">
      <c r="A51" s="83">
        <v>49</v>
      </c>
      <c r="B51" s="75" t="s">
        <v>875</v>
      </c>
      <c r="C51" s="172">
        <v>44441</v>
      </c>
      <c r="D51" s="60" t="s">
        <v>876</v>
      </c>
      <c r="E51" s="172">
        <v>44477</v>
      </c>
      <c r="F51" s="173" t="s">
        <v>3</v>
      </c>
      <c r="G51" s="9">
        <v>800054984</v>
      </c>
      <c r="H51" s="178" t="str">
        <f>VLOOKUP(Tabla2[[#This Row],[NIT]],Clientes!A:C,2,0)</f>
        <v>HACIK SOLUCIONES INTEGRALES DE INGENIERIA SAS</v>
      </c>
      <c r="I51" s="56" t="str">
        <f>VLOOKUP(Tabla2[[#This Row],[NIT]],Clientes!A:C,3,0)</f>
        <v>PJ</v>
      </c>
      <c r="J51" s="73" t="s">
        <v>794</v>
      </c>
      <c r="K51" s="270">
        <f>SUMIFS(Tabla4[Sub Total],Tabla4[Codigo],Tabla2[[#This Row],[Cod]])</f>
        <v>750000</v>
      </c>
      <c r="L51" s="271">
        <f>SUMPRODUCT((Tabla4[Codigo]=Tabla2[[#This Row],[Cod]])*1,Tabla4[IVA])</f>
        <v>142500</v>
      </c>
      <c r="M51" s="271">
        <f>SUMIFS(Tabla4[Total],Tabla4[Codigo],Tabla2[[#This Row],[Cod]])</f>
        <v>892500</v>
      </c>
      <c r="N51" s="272">
        <f>SUMPRODUCT((Tabla1[Codigo]=Tabla2[[#This Row],[Cod]])*1,Tabla1[Valor])</f>
        <v>857326</v>
      </c>
      <c r="O51" s="273">
        <f>IF(AND(Tabla2[[#This Row],[Estado]]="ok",LEFT(Tabla2[[#This Row],['# Factura]],3)="TIS"),Tabla2[[#This Row],[TOTAL]]-Tabla2[[#This Row],[pagado]],0)</f>
        <v>0</v>
      </c>
      <c r="P51" s="271">
        <f>Tabla2[[#This Row],[TOTAL]]-Tabla2[[#This Row],[Valor pago]]</f>
        <v>35174</v>
      </c>
      <c r="Q51" s="265">
        <f>IF(Tabla2[[#This Row],[Saldo]]=0,0,IF(Tabla2[[#This Row],[Tipo cliente]]="PJ",Tabla2[[#This Row],[SUBTOTAL]]*11%,0))</f>
        <v>82500</v>
      </c>
      <c r="R51" s="274">
        <f>IF(Tabla2[[#This Row],[Saldo]]=0,0,IF(Tabla2[[#This Row],[Tipo cliente]]="PJ",Tabla2[[#This Row],[SUBTOTAL]]*0.966%,0))</f>
        <v>7245</v>
      </c>
      <c r="S51" s="274">
        <f>IF(Tabla2[[#This Row],[Retiene IVA]]="S",Tabla2[[#This Row],[IVA]]*0.15,0)</f>
        <v>0</v>
      </c>
      <c r="T51" s="273">
        <f>+Tabla2[[#This Row],[Saldo]]-Tabla2[[#This Row],[Rete fte]]-Tabla2[[#This Row],[rete ica]]-Tabla2[[#This Row],[Rete IVA]]</f>
        <v>-54571</v>
      </c>
      <c r="U51" s="275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892500</v>
      </c>
      <c r="V51" s="5"/>
      <c r="W51">
        <f>IF(Tabla2[[#This Row],[Fecha F.E.]]="","",YEAR(Tabla2[[#This Row],[Fecha F.E.]]))</f>
        <v>2021</v>
      </c>
      <c r="X51" s="5">
        <f>IF(Tabla2[[#This Row],[Fecha]]="","",YEAR(Tabla2[[#This Row],[Fecha]]))</f>
        <v>2021</v>
      </c>
    </row>
    <row r="52" spans="1:24" x14ac:dyDescent="0.25">
      <c r="A52" s="3">
        <v>51</v>
      </c>
      <c r="B52" s="75" t="s">
        <v>877</v>
      </c>
      <c r="C52" s="360">
        <v>44441</v>
      </c>
      <c r="D52" s="76" t="s">
        <v>878</v>
      </c>
      <c r="E52" s="360">
        <v>44461</v>
      </c>
      <c r="F52" s="78" t="s">
        <v>3</v>
      </c>
      <c r="G52" s="84">
        <v>52385710</v>
      </c>
      <c r="H52" s="177" t="str">
        <f>VLOOKUP(Tabla2[[#This Row],[NIT]],Clientes!A:C,2,0)</f>
        <v>Maria del Pilar Alvarado Joya</v>
      </c>
      <c r="I52" s="77" t="str">
        <f>VLOOKUP(Tabla2[[#This Row],[NIT]],Clientes!A:C,3,0)</f>
        <v>PN</v>
      </c>
      <c r="J52" s="73" t="s">
        <v>794</v>
      </c>
      <c r="K52" s="267">
        <f>SUMIFS(Tabla4[Sub Total],Tabla4[Codigo],Tabla2[[#This Row],[Cod]])</f>
        <v>900000</v>
      </c>
      <c r="L52" s="262">
        <f>SUMPRODUCT((Tabla4[Codigo]=Tabla2[[#This Row],[Cod]])*1,Tabla4[IVA])</f>
        <v>0</v>
      </c>
      <c r="M52" s="262">
        <f>SUMIFS(Tabla4[Total],Tabla4[Codigo],Tabla2[[#This Row],[Cod]])</f>
        <v>900000</v>
      </c>
      <c r="N52" s="263">
        <f>SUMPRODUCT((Tabla1[Codigo]=Tabla2[[#This Row],[Cod]])*1,Tabla1[Valor])</f>
        <v>900000</v>
      </c>
      <c r="O52" s="276">
        <f>IF(AND(Tabla2[[#This Row],[Estado]]="ok",LEFT(Tabla2[[#This Row],['# Factura]],3)="TIS"),Tabla2[[#This Row],[TOTAL]]-Tabla2[[#This Row],[pagado]],0)</f>
        <v>0</v>
      </c>
      <c r="P52" s="262">
        <f>Tabla2[[#This Row],[TOTAL]]-Tabla2[[#This Row],[Valor pago]]</f>
        <v>0</v>
      </c>
      <c r="Q52" s="265">
        <f>IF(Tabla2[[#This Row],[Saldo]]=0,0,IF(Tabla2[[#This Row],[Tipo cliente]]="PJ",Tabla2[[#This Row],[SUBTOTAL]]*11%,0))</f>
        <v>0</v>
      </c>
      <c r="R52" s="268">
        <f>IF(Tabla2[[#This Row],[Saldo]]=0,0,IF(Tabla2[[#This Row],[Tipo cliente]]="PJ",Tabla2[[#This Row],[SUBTOTAL]]*0.966%,0))</f>
        <v>0</v>
      </c>
      <c r="S52" s="268">
        <f>IF(Tabla2[[#This Row],[Retiene IVA]]="S",Tabla2[[#This Row],[IVA]]*0.15,0)</f>
        <v>0</v>
      </c>
      <c r="T52" s="268">
        <f>+Tabla2[[#This Row],[Saldo]]-Tabla2[[#This Row],[Rete fte]]-Tabla2[[#This Row],[rete ica]]-Tabla2[[#This Row],[Rete IVA]]</f>
        <v>0</v>
      </c>
      <c r="U52" s="277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52">
        <f>IF(Tabla2[[#This Row],[Fecha F.E.]]="","",YEAR(Tabla2[[#This Row],[Fecha F.E.]]))</f>
        <v>2021</v>
      </c>
      <c r="X52" s="23">
        <f>IF(Tabla2[[#This Row],[Fecha]]="","",YEAR(Tabla2[[#This Row],[Fecha]]))</f>
        <v>2021</v>
      </c>
    </row>
    <row r="53" spans="1:24" x14ac:dyDescent="0.25">
      <c r="A53" s="3">
        <v>52</v>
      </c>
      <c r="B53" s="75" t="s">
        <v>879</v>
      </c>
      <c r="C53" s="360">
        <v>44441</v>
      </c>
      <c r="D53" s="76" t="s">
        <v>880</v>
      </c>
      <c r="E53" s="360">
        <v>44441</v>
      </c>
      <c r="F53" s="78" t="s">
        <v>3</v>
      </c>
      <c r="G53" s="84">
        <v>900355950</v>
      </c>
      <c r="H53" s="177" t="str">
        <f>VLOOKUP(Tabla2[[#This Row],[NIT]],Clientes!A:C,2,0)</f>
        <v>TECNOLOGIA DE OFICINA S.A.S.</v>
      </c>
      <c r="I53" s="77" t="str">
        <f>VLOOKUP(Tabla2[[#This Row],[NIT]],Clientes!A:C,3,0)</f>
        <v>PJ</v>
      </c>
      <c r="J53" s="73" t="s">
        <v>794</v>
      </c>
      <c r="K53" s="267">
        <f>SUMIFS(Tabla4[Sub Total],Tabla4[Codigo],Tabla2[[#This Row],[Cod]])</f>
        <v>489299</v>
      </c>
      <c r="L53" s="262">
        <f>SUMPRODUCT((Tabla4[Codigo]=Tabla2[[#This Row],[Cod]])*1,Tabla4[IVA])</f>
        <v>92966.81</v>
      </c>
      <c r="M53" s="262">
        <f>SUMIFS(Tabla4[Total],Tabla4[Codigo],Tabla2[[#This Row],[Cod]])</f>
        <v>582265.81000000006</v>
      </c>
      <c r="N53" s="263">
        <f>SUMPRODUCT((Tabla1[Codigo]=Tabla2[[#This Row],[Cod]])*1,Tabla1[Valor])</f>
        <v>557967</v>
      </c>
      <c r="O53" s="276">
        <f>IF(AND(Tabla2[[#This Row],[Estado]]="ok",LEFT(Tabla2[[#This Row],['# Factura]],3)="TIS"),Tabla2[[#This Row],[TOTAL]]-Tabla2[[#This Row],[pagado]],0)</f>
        <v>0</v>
      </c>
      <c r="P53" s="262">
        <f>Tabla2[[#This Row],[TOTAL]]-Tabla2[[#This Row],[Valor pago]]</f>
        <v>24298.810000000056</v>
      </c>
      <c r="Q53" s="265">
        <f>IF(Tabla2[[#This Row],[Saldo]]=0,0,IF(Tabla2[[#This Row],[Tipo cliente]]="PJ",Tabla2[[#This Row],[SUBTOTAL]]*11%,0))</f>
        <v>53822.89</v>
      </c>
      <c r="R53" s="268">
        <f>IF(Tabla2[[#This Row],[Saldo]]=0,0,IF(Tabla2[[#This Row],[Tipo cliente]]="PJ",Tabla2[[#This Row],[SUBTOTAL]]*0.966%,0))</f>
        <v>4726.6283400000002</v>
      </c>
      <c r="S53" s="268">
        <f>IF(Tabla2[[#This Row],[Retiene IVA]]="S",Tabla2[[#This Row],[IVA]]*0.15,0)</f>
        <v>0</v>
      </c>
      <c r="T53" s="268">
        <f>+Tabla2[[#This Row],[Saldo]]-Tabla2[[#This Row],[Rete fte]]-Tabla2[[#This Row],[rete ica]]-Tabla2[[#This Row],[Rete IVA]]</f>
        <v>-34250.708339999946</v>
      </c>
      <c r="U53" s="277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582265.81000000006</v>
      </c>
      <c r="W53">
        <f>IF(Tabla2[[#This Row],[Fecha F.E.]]="","",YEAR(Tabla2[[#This Row],[Fecha F.E.]]))</f>
        <v>2021</v>
      </c>
      <c r="X53" s="23">
        <f>IF(Tabla2[[#This Row],[Fecha]]="","",YEAR(Tabla2[[#This Row],[Fecha]]))</f>
        <v>2021</v>
      </c>
    </row>
    <row r="54" spans="1:24" x14ac:dyDescent="0.25">
      <c r="A54" s="3">
        <v>53</v>
      </c>
      <c r="B54" s="75" t="s">
        <v>881</v>
      </c>
      <c r="C54" s="360">
        <v>44455</v>
      </c>
      <c r="D54" s="76" t="s">
        <v>882</v>
      </c>
      <c r="E54" s="360">
        <v>44468</v>
      </c>
      <c r="F54" s="78" t="s">
        <v>3</v>
      </c>
      <c r="G54" s="37">
        <v>901070126</v>
      </c>
      <c r="H54" s="177" t="str">
        <f>VLOOKUP(Tabla2[[#This Row],[NIT]],Clientes!A:C,2,0)</f>
        <v>NAVAR SOLUCIONES S.A.S</v>
      </c>
      <c r="I54" s="77" t="str">
        <f>VLOOKUP(Tabla2[[#This Row],[NIT]],Clientes!A:C,3,0)</f>
        <v>PJ</v>
      </c>
      <c r="J54" s="73" t="s">
        <v>794</v>
      </c>
      <c r="K54" s="267">
        <f>SUMIFS(Tabla4[Sub Total],Tabla4[Codigo],Tabla2[[#This Row],[Cod]])</f>
        <v>2048000</v>
      </c>
      <c r="L54" s="262">
        <f>SUMPRODUCT((Tabla4[Codigo]=Tabla2[[#This Row],[Cod]])*1,Tabla4[IVA])</f>
        <v>297920</v>
      </c>
      <c r="M54" s="262">
        <f>SUMIFS(Tabla4[Total],Tabla4[Codigo],Tabla2[[#This Row],[Cod]])</f>
        <v>2345920</v>
      </c>
      <c r="N54" s="263">
        <f>SUMPRODUCT((Tabla1[Codigo]=Tabla2[[#This Row],[Cod]])*1,Tabla1[Valor])</f>
        <v>2264000</v>
      </c>
      <c r="O54" s="276">
        <f>IF(AND(Tabla2[[#This Row],[Estado]]="ok",LEFT(Tabla2[[#This Row],['# Factura]],3)="TIS"),Tabla2[[#This Row],[TOTAL]]-Tabla2[[#This Row],[pagado]],0)</f>
        <v>0</v>
      </c>
      <c r="P54" s="262">
        <f>Tabla2[[#This Row],[TOTAL]]-Tabla2[[#This Row],[Valor pago]]</f>
        <v>81920</v>
      </c>
      <c r="Q54" s="265">
        <f>IF(Tabla2[[#This Row],[Saldo]]=0,0,IF(Tabla2[[#This Row],[Tipo cliente]]="PJ",Tabla2[[#This Row],[SUBTOTAL]]*11%,0))</f>
        <v>225280</v>
      </c>
      <c r="R54" s="268">
        <f>IF(Tabla2[[#This Row],[Saldo]]=0,0,IF(Tabla2[[#This Row],[Tipo cliente]]="PJ",Tabla2[[#This Row],[SUBTOTAL]]*0.966%,0))</f>
        <v>19783.68</v>
      </c>
      <c r="S54" s="268">
        <f>IF(Tabla2[[#This Row],[Retiene IVA]]="S",Tabla2[[#This Row],[IVA]]*0.15,0)</f>
        <v>0</v>
      </c>
      <c r="T54" s="268">
        <f>+Tabla2[[#This Row],[Saldo]]-Tabla2[[#This Row],[Rete fte]]-Tabla2[[#This Row],[rete ica]]-Tabla2[[#This Row],[Rete IVA]]</f>
        <v>-163143.67999999999</v>
      </c>
      <c r="U54" s="277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2345920</v>
      </c>
      <c r="W54">
        <f>IF(Tabla2[[#This Row],[Fecha F.E.]]="","",YEAR(Tabla2[[#This Row],[Fecha F.E.]]))</f>
        <v>2021</v>
      </c>
      <c r="X54" s="23">
        <f>IF(Tabla2[[#This Row],[Fecha]]="","",YEAR(Tabla2[[#This Row],[Fecha]]))</f>
        <v>2021</v>
      </c>
    </row>
    <row r="55" spans="1:24" x14ac:dyDescent="0.25">
      <c r="A55" s="3">
        <v>54</v>
      </c>
      <c r="B55" s="75" t="s">
        <v>883</v>
      </c>
      <c r="C55" s="360">
        <v>44455</v>
      </c>
      <c r="D55" s="76" t="s">
        <v>884</v>
      </c>
      <c r="E55" s="360">
        <v>44468</v>
      </c>
      <c r="F55" s="78" t="s">
        <v>3</v>
      </c>
      <c r="G55" s="37">
        <v>901261401</v>
      </c>
      <c r="H55" s="177" t="str">
        <f>VLOOKUP(Tabla2[[#This Row],[NIT]],Clientes!A:C,2,0)</f>
        <v>NAVAR CATERING SERVICES S.A.S ZOMAC</v>
      </c>
      <c r="I55" s="77" t="str">
        <f>VLOOKUP(Tabla2[[#This Row],[NIT]],Clientes!A:C,3,0)</f>
        <v>PJ</v>
      </c>
      <c r="J55" s="73" t="s">
        <v>794</v>
      </c>
      <c r="K55" s="267">
        <f>SUMIFS(Tabla4[Sub Total],Tabla4[Codigo],Tabla2[[#This Row],[Cod]])</f>
        <v>2754000</v>
      </c>
      <c r="L55" s="262">
        <f>SUMPRODUCT((Tabla4[Codigo]=Tabla2[[#This Row],[Cod]])*1,Tabla4[IVA])</f>
        <v>432060</v>
      </c>
      <c r="M55" s="262">
        <f>SUMIFS(Tabla4[Total],Tabla4[Codigo],Tabla2[[#This Row],[Cod]])</f>
        <v>3186060</v>
      </c>
      <c r="N55" s="263">
        <f>SUMPRODUCT((Tabla1[Codigo]=Tabla2[[#This Row],[Cod]])*1,Tabla1[Valor])</f>
        <v>2870950</v>
      </c>
      <c r="O55" s="276">
        <f>IF(AND(Tabla2[[#This Row],[Estado]]="ok",LEFT(Tabla2[[#This Row],['# Factura]],3)="TIS"),Tabla2[[#This Row],[TOTAL]]-Tabla2[[#This Row],[pagado]],0)</f>
        <v>0</v>
      </c>
      <c r="P55" s="262">
        <f>Tabla2[[#This Row],[TOTAL]]-Tabla2[[#This Row],[Valor pago]]</f>
        <v>315110</v>
      </c>
      <c r="Q55" s="265">
        <f>IF(Tabla2[[#This Row],[Saldo]]=0,0,IF(Tabla2[[#This Row],[Tipo cliente]]="PJ",Tabla2[[#This Row],[SUBTOTAL]]*11%,0))</f>
        <v>302940</v>
      </c>
      <c r="R55" s="268">
        <f>IF(Tabla2[[#This Row],[Saldo]]=0,0,IF(Tabla2[[#This Row],[Tipo cliente]]="PJ",Tabla2[[#This Row],[SUBTOTAL]]*0.966%,0))</f>
        <v>26603.64</v>
      </c>
      <c r="S55" s="268">
        <f>IF(Tabla2[[#This Row],[Retiene IVA]]="S",Tabla2[[#This Row],[IVA]]*0.15,0)</f>
        <v>0</v>
      </c>
      <c r="T55" s="268">
        <f>+Tabla2[[#This Row],[Saldo]]-Tabla2[[#This Row],[Rete fte]]-Tabla2[[#This Row],[rete ica]]-Tabla2[[#This Row],[Rete IVA]]</f>
        <v>-14433.64</v>
      </c>
      <c r="U55" s="277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3186060</v>
      </c>
      <c r="W55">
        <f>IF(Tabla2[[#This Row],[Fecha F.E.]]="","",YEAR(Tabla2[[#This Row],[Fecha F.E.]]))</f>
        <v>2021</v>
      </c>
      <c r="X55" s="23">
        <f>IF(Tabla2[[#This Row],[Fecha]]="","",YEAR(Tabla2[[#This Row],[Fecha]]))</f>
        <v>2021</v>
      </c>
    </row>
    <row r="56" spans="1:24" x14ac:dyDescent="0.25">
      <c r="A56" s="3">
        <v>56</v>
      </c>
      <c r="B56" s="75" t="s">
        <v>885</v>
      </c>
      <c r="C56" s="360">
        <v>44462</v>
      </c>
      <c r="D56" s="76" t="s">
        <v>886</v>
      </c>
      <c r="E56" s="360">
        <v>44470</v>
      </c>
      <c r="F56" s="78" t="s">
        <v>3</v>
      </c>
      <c r="G56" s="85">
        <v>800044402</v>
      </c>
      <c r="H56" s="177" t="str">
        <f>VLOOKUP(Tabla2[[#This Row],[NIT]],Clientes!A:C,2,0)</f>
        <v>INVERSIONES MEDICAS DE ANTIOQUIA S.A</v>
      </c>
      <c r="I56" s="77" t="str">
        <f>VLOOKUP(Tabla2[[#This Row],[NIT]],Clientes!A:C,3,0)</f>
        <v>PJ</v>
      </c>
      <c r="J56" s="73" t="s">
        <v>794</v>
      </c>
      <c r="K56" s="267">
        <f>SUMIFS(Tabla4[Sub Total],Tabla4[Codigo],Tabla2[[#This Row],[Cod]])</f>
        <v>1405000</v>
      </c>
      <c r="L56" s="262">
        <f>SUMPRODUCT((Tabla4[Codigo]=Tabla2[[#This Row],[Cod]])*1,Tabla4[IVA])</f>
        <v>266950</v>
      </c>
      <c r="M56" s="262">
        <f>SUMIFS(Tabla4[Total],Tabla4[Codigo],Tabla2[[#This Row],[Cod]])</f>
        <v>1671950</v>
      </c>
      <c r="N56" s="278">
        <f>SUMPRODUCT((Tabla1[Codigo]=Tabla2[[#This Row],[Cod]])*1,Tabla1[Valor])</f>
        <v>1636825</v>
      </c>
      <c r="O56" s="276">
        <f>IF(AND(Tabla2[[#This Row],[Estado]]="ok",LEFT(Tabla2[[#This Row],['# Factura]],3)="TIS"),Tabla2[[#This Row],[TOTAL]]-Tabla2[[#This Row],[pagado]],0)</f>
        <v>0</v>
      </c>
      <c r="P56" s="262">
        <f>Tabla2[[#This Row],[TOTAL]]-Tabla2[[#This Row],[Valor pago]]</f>
        <v>35125</v>
      </c>
      <c r="Q56" s="265">
        <f>IF(Tabla2[[#This Row],[Saldo]]=0,0,IF(Tabla2[[#This Row],[Tipo cliente]]="PJ",Tabla2[[#This Row],[SUBTOTAL]]*11%,0))</f>
        <v>154550</v>
      </c>
      <c r="R56" s="265">
        <f>IF(Tabla2[[#This Row],[Saldo]]=0,0,IF(Tabla2[[#This Row],[Tipo cliente]]="PJ",Tabla2[[#This Row],[SUBTOTAL]]*0.966%,0))</f>
        <v>13572.300000000001</v>
      </c>
      <c r="S56" s="265">
        <f>IF(Tabla2[[#This Row],[Retiene IVA]]="S",Tabla2[[#This Row],[IVA]]*0.15,0)</f>
        <v>0</v>
      </c>
      <c r="T56" s="265">
        <f>+Tabla2[[#This Row],[Saldo]]-Tabla2[[#This Row],[Rete fte]]-Tabla2[[#This Row],[rete ica]]-Tabla2[[#This Row],[Rete IVA]]</f>
        <v>-132997.29999999999</v>
      </c>
      <c r="U5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1671950</v>
      </c>
      <c r="W56">
        <f>IF(Tabla2[[#This Row],[Fecha F.E.]]="","",YEAR(Tabla2[[#This Row],[Fecha F.E.]]))</f>
        <v>2021</v>
      </c>
      <c r="X56" s="23">
        <f>IF(Tabla2[[#This Row],[Fecha]]="","",YEAR(Tabla2[[#This Row],[Fecha]]))</f>
        <v>2021</v>
      </c>
    </row>
    <row r="57" spans="1:24" x14ac:dyDescent="0.25">
      <c r="A57" s="3">
        <v>57</v>
      </c>
      <c r="B57" s="75" t="s">
        <v>887</v>
      </c>
      <c r="C57" s="360">
        <v>44462</v>
      </c>
      <c r="D57" s="76" t="s">
        <v>888</v>
      </c>
      <c r="E57" s="360">
        <v>44470</v>
      </c>
      <c r="F57" s="174" t="s">
        <v>3</v>
      </c>
      <c r="G57" s="86">
        <v>830069880</v>
      </c>
      <c r="H57" s="177" t="str">
        <f>VLOOKUP(Tabla2[[#This Row],[NIT]],Clientes!A:C,2,0)</f>
        <v>FUNDACION FERNANDO BORRERO CAICEDO</v>
      </c>
      <c r="I57" s="77" t="str">
        <f>VLOOKUP(Tabla2[[#This Row],[NIT]],Clientes!A:C,3,0)</f>
        <v>PJ</v>
      </c>
      <c r="J57" s="73" t="s">
        <v>794</v>
      </c>
      <c r="K57" s="267">
        <f>SUMIFS(Tabla4[Sub Total],Tabla4[Codigo],Tabla2[[#This Row],[Cod]])</f>
        <v>590000</v>
      </c>
      <c r="L57" s="262">
        <f>SUMPRODUCT((Tabla4[Codigo]=Tabla2[[#This Row],[Cod]])*1,Tabla4[IVA])</f>
        <v>112100</v>
      </c>
      <c r="M57" s="262">
        <f>SUMIFS(Tabla4[Total],Tabla4[Codigo],Tabla2[[#This Row],[Cod]])</f>
        <v>702100</v>
      </c>
      <c r="N57" s="278">
        <f>SUMPRODUCT((Tabla1[Codigo]=Tabla2[[#This Row],[Cod]])*1,Tabla1[Valor])</f>
        <v>678500</v>
      </c>
      <c r="O57" s="276">
        <f>IF(AND(Tabla2[[#This Row],[Estado]]="ok",LEFT(Tabla2[[#This Row],['# Factura]],3)="TIS"),Tabla2[[#This Row],[TOTAL]]-Tabla2[[#This Row],[pagado]],0)</f>
        <v>0</v>
      </c>
      <c r="P57" s="262">
        <f>Tabla2[[#This Row],[TOTAL]]-Tabla2[[#This Row],[Valor pago]]</f>
        <v>23600</v>
      </c>
      <c r="Q57" s="265">
        <f>IF(Tabla2[[#This Row],[Saldo]]=0,0,IF(Tabla2[[#This Row],[Tipo cliente]]="PJ",Tabla2[[#This Row],[SUBTOTAL]]*11%,0))</f>
        <v>64900</v>
      </c>
      <c r="R57" s="265">
        <f>IF(Tabla2[[#This Row],[Saldo]]=0,0,IF(Tabla2[[#This Row],[Tipo cliente]]="PJ",Tabla2[[#This Row],[SUBTOTAL]]*0.966%,0))</f>
        <v>5699.4000000000005</v>
      </c>
      <c r="S57" s="265">
        <f>IF(Tabla2[[#This Row],[Retiene IVA]]="S",Tabla2[[#This Row],[IVA]]*0.15,0)</f>
        <v>0</v>
      </c>
      <c r="T57" s="265">
        <f>+Tabla2[[#This Row],[Saldo]]-Tabla2[[#This Row],[Rete fte]]-Tabla2[[#This Row],[rete ica]]-Tabla2[[#This Row],[Rete IVA]]</f>
        <v>-46999.4</v>
      </c>
      <c r="U5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702100</v>
      </c>
      <c r="W57">
        <f>IF(Tabla2[[#This Row],[Fecha F.E.]]="","",YEAR(Tabla2[[#This Row],[Fecha F.E.]]))</f>
        <v>2021</v>
      </c>
      <c r="X57" s="23">
        <f>IF(Tabla2[[#This Row],[Fecha]]="","",YEAR(Tabla2[[#This Row],[Fecha]]))</f>
        <v>2021</v>
      </c>
    </row>
    <row r="58" spans="1:24" x14ac:dyDescent="0.25">
      <c r="A58" s="3">
        <v>58</v>
      </c>
      <c r="B58" s="75" t="s">
        <v>889</v>
      </c>
      <c r="C58" s="360">
        <v>44462</v>
      </c>
      <c r="D58" s="76" t="s">
        <v>890</v>
      </c>
      <c r="E58" s="360">
        <v>44482</v>
      </c>
      <c r="F58" s="78" t="s">
        <v>3</v>
      </c>
      <c r="G58" s="55">
        <v>811012461</v>
      </c>
      <c r="H58" s="177" t="str">
        <f>VLOOKUP(Tabla2[[#This Row],[NIT]],Clientes!A:C,2,0)</f>
        <v>Procesos 2000 S.A.S.</v>
      </c>
      <c r="I58" s="77" t="str">
        <f>VLOOKUP(Tabla2[[#This Row],[NIT]],Clientes!A:C,3,0)</f>
        <v>PJ</v>
      </c>
      <c r="J58" s="73" t="s">
        <v>794</v>
      </c>
      <c r="K58" s="267">
        <f>SUMIFS(Tabla4[Sub Total],Tabla4[Codigo],Tabla2[[#This Row],[Cod]])</f>
        <v>1606000</v>
      </c>
      <c r="L58" s="262">
        <f>SUMPRODUCT((Tabla4[Codigo]=Tabla2[[#This Row],[Cod]])*1,Tabla4[IVA])</f>
        <v>305140</v>
      </c>
      <c r="M58" s="262">
        <f>SUMIFS(Tabla4[Total],Tabla4[Codigo],Tabla2[[#This Row],[Cod]])</f>
        <v>1911140</v>
      </c>
      <c r="N58" s="278">
        <f>SUMPRODUCT((Tabla1[Codigo]=Tabla2[[#This Row],[Cod]])*1,Tabla1[Valor])</f>
        <v>1734480</v>
      </c>
      <c r="O58" s="276">
        <f>IF(AND(Tabla2[[#This Row],[Estado]]="ok",LEFT(Tabla2[[#This Row],['# Factura]],3)="TIS"),Tabla2[[#This Row],[TOTAL]]-Tabla2[[#This Row],[pagado]],0)</f>
        <v>0</v>
      </c>
      <c r="P58" s="262">
        <f>Tabla2[[#This Row],[TOTAL]]-Tabla2[[#This Row],[Valor pago]]</f>
        <v>176660</v>
      </c>
      <c r="Q58" s="265">
        <f>IF(Tabla2[[#This Row],[Saldo]]=0,0,IF(Tabla2[[#This Row],[Tipo cliente]]="PJ",Tabla2[[#This Row],[SUBTOTAL]]*11%,0))</f>
        <v>176660</v>
      </c>
      <c r="R58" s="265">
        <f>IF(Tabla2[[#This Row],[Saldo]]=0,0,IF(Tabla2[[#This Row],[Tipo cliente]]="PJ",Tabla2[[#This Row],[SUBTOTAL]]*0.966%,0))</f>
        <v>15513.960000000001</v>
      </c>
      <c r="S58" s="265">
        <f>IF(Tabla2[[#This Row],[Retiene IVA]]="S",Tabla2[[#This Row],[IVA]]*0.15,0)</f>
        <v>0</v>
      </c>
      <c r="T58" s="265">
        <f>+Tabla2[[#This Row],[Saldo]]-Tabla2[[#This Row],[Rete fte]]-Tabla2[[#This Row],[rete ica]]-Tabla2[[#This Row],[Rete IVA]]</f>
        <v>-15513.960000000001</v>
      </c>
      <c r="U5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1911140</v>
      </c>
      <c r="W58">
        <f>IF(Tabla2[[#This Row],[Fecha F.E.]]="","",YEAR(Tabla2[[#This Row],[Fecha F.E.]]))</f>
        <v>2021</v>
      </c>
      <c r="X58" s="23">
        <f>IF(Tabla2[[#This Row],[Fecha]]="","",YEAR(Tabla2[[#This Row],[Fecha]]))</f>
        <v>2021</v>
      </c>
    </row>
    <row r="59" spans="1:24" x14ac:dyDescent="0.25">
      <c r="A59" s="3">
        <v>59</v>
      </c>
      <c r="B59" s="75" t="s">
        <v>891</v>
      </c>
      <c r="C59" s="360">
        <v>44462</v>
      </c>
      <c r="D59" s="76" t="s">
        <v>892</v>
      </c>
      <c r="E59" s="360">
        <v>44468</v>
      </c>
      <c r="F59" s="78" t="s">
        <v>3</v>
      </c>
      <c r="G59" s="55">
        <v>901233425</v>
      </c>
      <c r="H59" s="177" t="str">
        <f>VLOOKUP(Tabla2[[#This Row],[NIT]],Clientes!A:C,2,0)</f>
        <v>EVAL.COM CONSULTING SAS</v>
      </c>
      <c r="I59" s="77" t="str">
        <f>VLOOKUP(Tabla2[[#This Row],[NIT]],Clientes!A:C,3,0)</f>
        <v>PJ</v>
      </c>
      <c r="J59" s="73" t="s">
        <v>794</v>
      </c>
      <c r="K59" s="267">
        <f>SUMIFS(Tabla4[Sub Total],Tabla4[Codigo],Tabla2[[#This Row],[Cod]])</f>
        <v>855000</v>
      </c>
      <c r="L59" s="262">
        <f>SUMPRODUCT((Tabla4[Codigo]=Tabla2[[#This Row],[Cod]])*1,Tabla4[IVA])</f>
        <v>162450</v>
      </c>
      <c r="M59" s="262">
        <f>SUMIFS(Tabla4[Total],Tabla4[Codigo],Tabla2[[#This Row],[Cod]])</f>
        <v>1017450</v>
      </c>
      <c r="N59" s="278">
        <f>SUMPRODUCT((Tabla1[Codigo]=Tabla2[[#This Row],[Cod]])*1,Tabla1[Valor])</f>
        <v>972230</v>
      </c>
      <c r="O59" s="276">
        <f>IF(AND(Tabla2[[#This Row],[Estado]]="ok",LEFT(Tabla2[[#This Row],['# Factura]],3)="TIS"),Tabla2[[#This Row],[TOTAL]]-Tabla2[[#This Row],[pagado]],0)</f>
        <v>0</v>
      </c>
      <c r="P59" s="262">
        <f>Tabla2[[#This Row],[TOTAL]]-Tabla2[[#This Row],[Valor pago]]</f>
        <v>45220</v>
      </c>
      <c r="Q59" s="265">
        <f>IF(Tabla2[[#This Row],[Saldo]]=0,0,IF(Tabla2[[#This Row],[Tipo cliente]]="PJ",Tabla2[[#This Row],[SUBTOTAL]]*11%,0))</f>
        <v>94050</v>
      </c>
      <c r="R59" s="265">
        <f>IF(Tabla2[[#This Row],[Saldo]]=0,0,IF(Tabla2[[#This Row],[Tipo cliente]]="PJ",Tabla2[[#This Row],[SUBTOTAL]]*0.966%,0))</f>
        <v>8259.2999999999993</v>
      </c>
      <c r="S59" s="265">
        <f>IF(Tabla2[[#This Row],[Retiene IVA]]="S",Tabla2[[#This Row],[IVA]]*0.15,0)</f>
        <v>0</v>
      </c>
      <c r="T59" s="265">
        <f>+Tabla2[[#This Row],[Saldo]]-Tabla2[[#This Row],[Rete fte]]-Tabla2[[#This Row],[rete ica]]-Tabla2[[#This Row],[Rete IVA]]</f>
        <v>-57089.3</v>
      </c>
      <c r="U5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1017450</v>
      </c>
      <c r="W59">
        <f>IF(Tabla2[[#This Row],[Fecha F.E.]]="","",YEAR(Tabla2[[#This Row],[Fecha F.E.]]))</f>
        <v>2021</v>
      </c>
      <c r="X59" s="23">
        <f>IF(Tabla2[[#This Row],[Fecha]]="","",YEAR(Tabla2[[#This Row],[Fecha]]))</f>
        <v>2021</v>
      </c>
    </row>
    <row r="60" spans="1:24" x14ac:dyDescent="0.25">
      <c r="A60" s="3">
        <v>60</v>
      </c>
      <c r="B60" s="75" t="s">
        <v>893</v>
      </c>
      <c r="C60" s="360">
        <v>44462</v>
      </c>
      <c r="D60" s="76" t="s">
        <v>894</v>
      </c>
      <c r="E60" s="360">
        <v>44496</v>
      </c>
      <c r="F60" s="78" t="s">
        <v>3</v>
      </c>
      <c r="G60" s="84">
        <v>52385710</v>
      </c>
      <c r="H60" s="177" t="str">
        <f>VLOOKUP(Tabla2[[#This Row],[NIT]],Clientes!A:C,2,0)</f>
        <v>Maria del Pilar Alvarado Joya</v>
      </c>
      <c r="I60" s="77" t="str">
        <f>VLOOKUP(Tabla2[[#This Row],[NIT]],Clientes!A:C,3,0)</f>
        <v>PN</v>
      </c>
      <c r="J60" s="73" t="s">
        <v>794</v>
      </c>
      <c r="K60" s="267">
        <f>SUMIFS(Tabla4[Sub Total],Tabla4[Codigo],Tabla2[[#This Row],[Cod]])</f>
        <v>900000</v>
      </c>
      <c r="L60" s="262">
        <f>SUMPRODUCT((Tabla4[Codigo]=Tabla2[[#This Row],[Cod]])*1,Tabla4[IVA])</f>
        <v>0</v>
      </c>
      <c r="M60" s="262">
        <f>SUMIFS(Tabla4[Total],Tabla4[Codigo],Tabla2[[#This Row],[Cod]])</f>
        <v>900000</v>
      </c>
      <c r="N60" s="278">
        <f>SUMPRODUCT((Tabla1[Codigo]=Tabla2[[#This Row],[Cod]])*1,Tabla1[Valor])</f>
        <v>900000</v>
      </c>
      <c r="O60" s="276">
        <f>IF(AND(Tabla2[[#This Row],[Estado]]="ok",LEFT(Tabla2[[#This Row],['# Factura]],3)="TIS"),Tabla2[[#This Row],[TOTAL]]-Tabla2[[#This Row],[pagado]],0)</f>
        <v>0</v>
      </c>
      <c r="P60" s="262">
        <f>Tabla2[[#This Row],[TOTAL]]-Tabla2[[#This Row],[Valor pago]]</f>
        <v>0</v>
      </c>
      <c r="Q60" s="265">
        <f>IF(Tabla2[[#This Row],[Saldo]]=0,0,IF(Tabla2[[#This Row],[Tipo cliente]]="PJ",Tabla2[[#This Row],[SUBTOTAL]]*11%,0))</f>
        <v>0</v>
      </c>
      <c r="R60" s="265">
        <f>IF(Tabla2[[#This Row],[Saldo]]=0,0,IF(Tabla2[[#This Row],[Tipo cliente]]="PJ",Tabla2[[#This Row],[SUBTOTAL]]*0.966%,0))</f>
        <v>0</v>
      </c>
      <c r="S60" s="265">
        <f>IF(Tabla2[[#This Row],[Retiene IVA]]="S",Tabla2[[#This Row],[IVA]]*0.15,0)</f>
        <v>0</v>
      </c>
      <c r="T60" s="265">
        <f>+Tabla2[[#This Row],[Saldo]]-Tabla2[[#This Row],[Rete fte]]-Tabla2[[#This Row],[rete ica]]-Tabla2[[#This Row],[Rete IVA]]</f>
        <v>0</v>
      </c>
      <c r="U6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60">
        <f>IF(Tabla2[[#This Row],[Fecha F.E.]]="","",YEAR(Tabla2[[#This Row],[Fecha F.E.]]))</f>
        <v>2021</v>
      </c>
      <c r="X60" s="23">
        <f>IF(Tabla2[[#This Row],[Fecha]]="","",YEAR(Tabla2[[#This Row],[Fecha]]))</f>
        <v>2021</v>
      </c>
    </row>
    <row r="61" spans="1:24" x14ac:dyDescent="0.25">
      <c r="A61" s="3">
        <v>61</v>
      </c>
      <c r="B61" s="75" t="s">
        <v>895</v>
      </c>
      <c r="C61" s="360">
        <v>44467</v>
      </c>
      <c r="D61" s="76" t="s">
        <v>896</v>
      </c>
      <c r="E61" s="360">
        <v>44496</v>
      </c>
      <c r="F61" s="78" t="s">
        <v>3</v>
      </c>
      <c r="G61" s="84">
        <v>52385710</v>
      </c>
      <c r="H61" s="177" t="str">
        <f>VLOOKUP(Tabla2[[#This Row],[NIT]],Clientes!A:C,2,0)</f>
        <v>Maria del Pilar Alvarado Joya</v>
      </c>
      <c r="I61" s="77" t="str">
        <f>VLOOKUP(Tabla2[[#This Row],[NIT]],Clientes!A:C,3,0)</f>
        <v>PN</v>
      </c>
      <c r="J61" s="73" t="s">
        <v>794</v>
      </c>
      <c r="K61" s="267">
        <f>SUMIFS(Tabla4[Sub Total],Tabla4[Codigo],Tabla2[[#This Row],[Cod]])</f>
        <v>150000</v>
      </c>
      <c r="L61" s="262">
        <f>SUMPRODUCT((Tabla4[Codigo]=Tabla2[[#This Row],[Cod]])*1,Tabla4[IVA])</f>
        <v>0</v>
      </c>
      <c r="M61" s="262">
        <f>SUMIFS(Tabla4[Total],Tabla4[Codigo],Tabla2[[#This Row],[Cod]])</f>
        <v>150000</v>
      </c>
      <c r="N61" s="278">
        <f>SUMPRODUCT((Tabla1[Codigo]=Tabla2[[#This Row],[Cod]])*1,Tabla1[Valor])</f>
        <v>150000</v>
      </c>
      <c r="O61" s="276">
        <f>IF(AND(Tabla2[[#This Row],[Estado]]="ok",LEFT(Tabla2[[#This Row],['# Factura]],3)="TIS"),Tabla2[[#This Row],[TOTAL]]-Tabla2[[#This Row],[pagado]],0)</f>
        <v>0</v>
      </c>
      <c r="P61" s="262">
        <f>Tabla2[[#This Row],[TOTAL]]-Tabla2[[#This Row],[Valor pago]]</f>
        <v>0</v>
      </c>
      <c r="Q61" s="265">
        <f>IF(Tabla2[[#This Row],[Saldo]]=0,0,IF(Tabla2[[#This Row],[Tipo cliente]]="PJ",Tabla2[[#This Row],[SUBTOTAL]]*11%,0))</f>
        <v>0</v>
      </c>
      <c r="R61" s="265">
        <f>IF(Tabla2[[#This Row],[Saldo]]=0,0,IF(Tabla2[[#This Row],[Tipo cliente]]="PJ",Tabla2[[#This Row],[SUBTOTAL]]*0.966%,0))</f>
        <v>0</v>
      </c>
      <c r="S61" s="265">
        <f>IF(Tabla2[[#This Row],[Retiene IVA]]="S",Tabla2[[#This Row],[IVA]]*0.15,0)</f>
        <v>0</v>
      </c>
      <c r="T61" s="265">
        <f>+Tabla2[[#This Row],[Saldo]]-Tabla2[[#This Row],[Rete fte]]-Tabla2[[#This Row],[rete ica]]-Tabla2[[#This Row],[Rete IVA]]</f>
        <v>0</v>
      </c>
      <c r="U6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150000</v>
      </c>
      <c r="W61">
        <f>IF(Tabla2[[#This Row],[Fecha F.E.]]="","",YEAR(Tabla2[[#This Row],[Fecha F.E.]]))</f>
        <v>2021</v>
      </c>
      <c r="X61" s="23">
        <f>IF(Tabla2[[#This Row],[Fecha]]="","",YEAR(Tabla2[[#This Row],[Fecha]]))</f>
        <v>2021</v>
      </c>
    </row>
    <row r="62" spans="1:24" x14ac:dyDescent="0.25">
      <c r="A62" s="3">
        <v>62</v>
      </c>
      <c r="B62" s="75" t="s">
        <v>897</v>
      </c>
      <c r="C62" s="360">
        <v>44467</v>
      </c>
      <c r="D62" s="76" t="s">
        <v>898</v>
      </c>
      <c r="E62" s="360">
        <v>44529</v>
      </c>
      <c r="F62" s="78" t="s">
        <v>3</v>
      </c>
      <c r="G62" s="55">
        <v>900942304</v>
      </c>
      <c r="H62" s="177" t="str">
        <f>VLOOKUP(Tabla2[[#This Row],[NIT]],Clientes!A:C,2,0)</f>
        <v>BETA LOGISTIC SERVICES SAS</v>
      </c>
      <c r="I62" s="77" t="str">
        <f>VLOOKUP(Tabla2[[#This Row],[NIT]],Clientes!A:C,3,0)</f>
        <v>PJ</v>
      </c>
      <c r="J62" s="73" t="s">
        <v>794</v>
      </c>
      <c r="K62" s="267">
        <f>SUMIFS(Tabla4[Sub Total],Tabla4[Codigo],Tabla2[[#This Row],[Cod]])</f>
        <v>876000</v>
      </c>
      <c r="L62" s="262">
        <f>SUMPRODUCT((Tabla4[Codigo]=Tabla2[[#This Row],[Cod]])*1,Tabla4[IVA])</f>
        <v>166440</v>
      </c>
      <c r="M62" s="262">
        <f>SUMIFS(Tabla4[Total],Tabla4[Codigo],Tabla2[[#This Row],[Cod]])</f>
        <v>1042440</v>
      </c>
      <c r="N62" s="278">
        <f>SUMPRODUCT((Tabla1[Codigo]=Tabla2[[#This Row],[Cod]])*1,Tabla1[Valor])</f>
        <v>937618</v>
      </c>
      <c r="O62" s="276">
        <f>IF(AND(Tabla2[[#This Row],[Estado]]="ok",LEFT(Tabla2[[#This Row],['# Factura]],3)="TIS"),Tabla2[[#This Row],[TOTAL]]-Tabla2[[#This Row],[pagado]],0)</f>
        <v>0</v>
      </c>
      <c r="P62" s="262">
        <f>Tabla2[[#This Row],[TOTAL]]-Tabla2[[#This Row],[Valor pago]]</f>
        <v>104822</v>
      </c>
      <c r="Q62" s="265">
        <f>IF(Tabla2[[#This Row],[Saldo]]=0,0,IF(Tabla2[[#This Row],[Tipo cliente]]="PJ",Tabla2[[#This Row],[SUBTOTAL]]*11%,0))</f>
        <v>96360</v>
      </c>
      <c r="R62" s="265">
        <f>IF(Tabla2[[#This Row],[Saldo]]=0,0,IF(Tabla2[[#This Row],[Tipo cliente]]="PJ",Tabla2[[#This Row],[SUBTOTAL]]*0.966%,0))</f>
        <v>8462.16</v>
      </c>
      <c r="S62" s="265">
        <f>IF(Tabla2[[#This Row],[Retiene IVA]]="S",Tabla2[[#This Row],[IVA]]*0.15,0)</f>
        <v>0</v>
      </c>
      <c r="T62" s="265">
        <f>+Tabla2[[#This Row],[Saldo]]-Tabla2[[#This Row],[Rete fte]]-Tabla2[[#This Row],[rete ica]]-Tabla2[[#This Row],[Rete IVA]]</f>
        <v>-0.15999999999985448</v>
      </c>
      <c r="U6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1042440</v>
      </c>
      <c r="W62">
        <f>IF(Tabla2[[#This Row],[Fecha F.E.]]="","",YEAR(Tabla2[[#This Row],[Fecha F.E.]]))</f>
        <v>2021</v>
      </c>
      <c r="X62" s="23">
        <f>IF(Tabla2[[#This Row],[Fecha]]="","",YEAR(Tabla2[[#This Row],[Fecha]]))</f>
        <v>2021</v>
      </c>
    </row>
    <row r="63" spans="1:24" x14ac:dyDescent="0.25">
      <c r="A63" s="3">
        <v>63</v>
      </c>
      <c r="B63" s="75" t="s">
        <v>899</v>
      </c>
      <c r="C63" s="360">
        <v>44468</v>
      </c>
      <c r="D63" s="76"/>
      <c r="E63" s="360"/>
      <c r="F63" s="78" t="s">
        <v>716</v>
      </c>
      <c r="G63">
        <v>800182918</v>
      </c>
      <c r="H63" s="177" t="str">
        <f>VLOOKUP(Tabla2[[#This Row],[NIT]],Clientes!A:C,2,0)</f>
        <v>RENAL MEDICAL MARKETING LIMITADA</v>
      </c>
      <c r="I63" s="77" t="str">
        <f>VLOOKUP(Tabla2[[#This Row],[NIT]],Clientes!A:C,3,0)</f>
        <v>PJ</v>
      </c>
      <c r="J63" s="73" t="s">
        <v>794</v>
      </c>
      <c r="K63" s="267">
        <f>SUMIFS(Tabla4[Sub Total],Tabla4[Codigo],Tabla2[[#This Row],[Cod]])</f>
        <v>450000</v>
      </c>
      <c r="L63" s="262">
        <f>SUMPRODUCT((Tabla4[Codigo]=Tabla2[[#This Row],[Cod]])*1,Tabla4[IVA])</f>
        <v>85500</v>
      </c>
      <c r="M63" s="262">
        <f>SUMIFS(Tabla4[Total],Tabla4[Codigo],Tabla2[[#This Row],[Cod]])</f>
        <v>535500</v>
      </c>
      <c r="N63" s="278">
        <f>SUMPRODUCT((Tabla1[Codigo]=Tabla2[[#This Row],[Cod]])*1,Tabla1[Valor])</f>
        <v>0</v>
      </c>
      <c r="O63" s="276">
        <f>IF(AND(Tabla2[[#This Row],[Estado]]="ok",LEFT(Tabla2[[#This Row],['# Factura]],3)="TIS"),Tabla2[[#This Row],[TOTAL]]-Tabla2[[#This Row],[pagado]],0)</f>
        <v>0</v>
      </c>
      <c r="P63" s="262">
        <f>Tabla2[[#This Row],[TOTAL]]-Tabla2[[#This Row],[Valor pago]]</f>
        <v>535500</v>
      </c>
      <c r="Q63" s="265">
        <f>IF(Tabla2[[#This Row],[Saldo]]=0,0,IF(Tabla2[[#This Row],[Tipo cliente]]="PJ",Tabla2[[#This Row],[SUBTOTAL]]*11%,0))</f>
        <v>49500</v>
      </c>
      <c r="R63" s="265">
        <f>IF(Tabla2[[#This Row],[Saldo]]=0,0,IF(Tabla2[[#This Row],[Tipo cliente]]="PJ",Tabla2[[#This Row],[SUBTOTAL]]*0.966%,0))</f>
        <v>4347</v>
      </c>
      <c r="S63" s="265">
        <f>IF(Tabla2[[#This Row],[Retiene IVA]]="S",Tabla2[[#This Row],[IVA]]*0.15,0)</f>
        <v>0</v>
      </c>
      <c r="T63" s="265">
        <f>+Tabla2[[#This Row],[Saldo]]-Tabla2[[#This Row],[Rete fte]]-Tabla2[[#This Row],[rete ica]]-Tabla2[[#This Row],[Rete IVA]]</f>
        <v>481653</v>
      </c>
      <c r="U6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3" t="str">
        <f>IF(Tabla2[[#This Row],[Fecha F.E.]]="","",YEAR(Tabla2[[#This Row],[Fecha F.E.]]))</f>
        <v/>
      </c>
      <c r="X63" s="23">
        <f>IF(Tabla2[[#This Row],[Fecha]]="","",YEAR(Tabla2[[#This Row],[Fecha]]))</f>
        <v>2021</v>
      </c>
    </row>
    <row r="64" spans="1:24" ht="26.25" x14ac:dyDescent="0.25">
      <c r="A64" s="3">
        <v>64</v>
      </c>
      <c r="B64" s="75" t="s">
        <v>900</v>
      </c>
      <c r="C64" s="360">
        <v>44474</v>
      </c>
      <c r="D64" s="76" t="s">
        <v>901</v>
      </c>
      <c r="E64" s="360">
        <v>44474</v>
      </c>
      <c r="F64" s="78" t="s">
        <v>3</v>
      </c>
      <c r="G64" s="85">
        <v>800028768</v>
      </c>
      <c r="H64" s="177" t="str">
        <f>VLOOKUP(Tabla2[[#This Row],[NIT]],Clientes!A:C,2,0)</f>
        <v>Comercializadora ERZ SAS</v>
      </c>
      <c r="I64" s="77" t="str">
        <f>VLOOKUP(Tabla2[[#This Row],[NIT]],Clientes!A:C,3,0)</f>
        <v>PJ</v>
      </c>
      <c r="J64" s="73" t="s">
        <v>794</v>
      </c>
      <c r="K64" s="267">
        <f>SUMIFS(Tabla4[Sub Total],Tabla4[Codigo],Tabla2[[#This Row],[Cod]])</f>
        <v>220000</v>
      </c>
      <c r="L64" s="262">
        <f>SUMPRODUCT((Tabla4[Codigo]=Tabla2[[#This Row],[Cod]])*1,Tabla4[IVA])</f>
        <v>41800</v>
      </c>
      <c r="M64" s="262">
        <f>SUMIFS(Tabla4[Total],Tabla4[Codigo],Tabla2[[#This Row],[Cod]])</f>
        <v>261800</v>
      </c>
      <c r="N64" s="278">
        <f>SUMPRODUCT((Tabla1[Codigo]=Tabla2[[#This Row],[Cod]])*1,Tabla1[Valor])</f>
        <v>252446</v>
      </c>
      <c r="O64" s="276">
        <f>IF(AND(Tabla2[[#This Row],[Estado]]="ok",LEFT(Tabla2[[#This Row],['# Factura]],3)="TIS"),Tabla2[[#This Row],[TOTAL]]-Tabla2[[#This Row],[pagado]],0)</f>
        <v>0</v>
      </c>
      <c r="P64" s="262">
        <f>Tabla2[[#This Row],[TOTAL]]-Tabla2[[#This Row],[Valor pago]]</f>
        <v>9354</v>
      </c>
      <c r="Q64" s="265">
        <f>IF(Tabla2[[#This Row],[Saldo]]=0,0,IF(Tabla2[[#This Row],[Tipo cliente]]="PJ",Tabla2[[#This Row],[SUBTOTAL]]*11%,0))</f>
        <v>24200</v>
      </c>
      <c r="R64" s="265">
        <f>IF(Tabla2[[#This Row],[Saldo]]=0,0,IF(Tabla2[[#This Row],[Tipo cliente]]="PJ",Tabla2[[#This Row],[SUBTOTAL]]*0.966%,0))</f>
        <v>2125.1999999999998</v>
      </c>
      <c r="S64" s="265">
        <f>IF(Tabla2[[#This Row],[Retiene IVA]]="S",Tabla2[[#This Row],[IVA]]*0.15,0)</f>
        <v>0</v>
      </c>
      <c r="T64" s="265">
        <f>+Tabla2[[#This Row],[Saldo]]-Tabla2[[#This Row],[Rete fte]]-Tabla2[[#This Row],[rete ica]]-Tabla2[[#This Row],[Rete IVA]]</f>
        <v>-16971.2</v>
      </c>
      <c r="U6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261800</v>
      </c>
      <c r="V64" s="368" t="s">
        <v>902</v>
      </c>
      <c r="W64">
        <f>IF(Tabla2[[#This Row],[Fecha F.E.]]="","",YEAR(Tabla2[[#This Row],[Fecha F.E.]]))</f>
        <v>2021</v>
      </c>
      <c r="X64" s="23">
        <f>IF(Tabla2[[#This Row],[Fecha]]="","",YEAR(Tabla2[[#This Row],[Fecha]]))</f>
        <v>2021</v>
      </c>
    </row>
    <row r="65" spans="1:24" x14ac:dyDescent="0.25">
      <c r="A65" s="3">
        <v>65</v>
      </c>
      <c r="B65" s="75" t="s">
        <v>903</v>
      </c>
      <c r="C65" s="360">
        <v>44475</v>
      </c>
      <c r="D65" s="76" t="s">
        <v>904</v>
      </c>
      <c r="E65" s="360">
        <v>44529</v>
      </c>
      <c r="F65" s="78" t="s">
        <v>3</v>
      </c>
      <c r="G65" s="85">
        <v>52385710</v>
      </c>
      <c r="H65" s="177" t="str">
        <f>VLOOKUP(Tabla2[[#This Row],[NIT]],Clientes!A:C,2,0)</f>
        <v>Maria del Pilar Alvarado Joya</v>
      </c>
      <c r="I65" s="77" t="str">
        <f>VLOOKUP(Tabla2[[#This Row],[NIT]],Clientes!A:C,3,0)</f>
        <v>PN</v>
      </c>
      <c r="J65" s="73" t="s">
        <v>794</v>
      </c>
      <c r="K65" s="267">
        <f>SUMIFS(Tabla4[Sub Total],Tabla4[Codigo],Tabla2[[#This Row],[Cod]])</f>
        <v>900000</v>
      </c>
      <c r="L65" s="262">
        <f>SUMPRODUCT((Tabla4[Codigo]=Tabla2[[#This Row],[Cod]])*1,Tabla4[IVA])</f>
        <v>0</v>
      </c>
      <c r="M65" s="262">
        <f>SUMIFS(Tabla4[Total],Tabla4[Codigo],Tabla2[[#This Row],[Cod]])</f>
        <v>900000</v>
      </c>
      <c r="N65" s="278">
        <f>SUMPRODUCT((Tabla1[Codigo]=Tabla2[[#This Row],[Cod]])*1,Tabla1[Valor])</f>
        <v>900000</v>
      </c>
      <c r="O65" s="276">
        <f>IF(AND(Tabla2[[#This Row],[Estado]]="ok",LEFT(Tabla2[[#This Row],['# Factura]],3)="TIS"),Tabla2[[#This Row],[TOTAL]]-Tabla2[[#This Row],[pagado]],0)</f>
        <v>0</v>
      </c>
      <c r="P65" s="262">
        <f>Tabla2[[#This Row],[TOTAL]]-Tabla2[[#This Row],[Valor pago]]</f>
        <v>0</v>
      </c>
      <c r="Q65" s="265">
        <f>IF(Tabla2[[#This Row],[Saldo]]=0,0,IF(Tabla2[[#This Row],[Tipo cliente]]="PJ",Tabla2[[#This Row],[SUBTOTAL]]*11%,0))</f>
        <v>0</v>
      </c>
      <c r="R65" s="265">
        <f>IF(Tabla2[[#This Row],[Saldo]]=0,0,IF(Tabla2[[#This Row],[Tipo cliente]]="PJ",Tabla2[[#This Row],[SUBTOTAL]]*0.966%,0))</f>
        <v>0</v>
      </c>
      <c r="S65" s="265">
        <f>IF(Tabla2[[#This Row],[Retiene IVA]]="S",Tabla2[[#This Row],[IVA]]*0.15,0)</f>
        <v>0</v>
      </c>
      <c r="T65" s="265">
        <f>+Tabla2[[#This Row],[Saldo]]-Tabla2[[#This Row],[Rete fte]]-Tabla2[[#This Row],[rete ica]]-Tabla2[[#This Row],[Rete IVA]]</f>
        <v>0</v>
      </c>
      <c r="U6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65">
        <f>IF(Tabla2[[#This Row],[Fecha F.E.]]="","",YEAR(Tabla2[[#This Row],[Fecha F.E.]]))</f>
        <v>2021</v>
      </c>
      <c r="X65" s="23">
        <f>IF(Tabla2[[#This Row],[Fecha]]="","",YEAR(Tabla2[[#This Row],[Fecha]]))</f>
        <v>2021</v>
      </c>
    </row>
    <row r="66" spans="1:24" x14ac:dyDescent="0.25">
      <c r="A66" s="3">
        <v>66</v>
      </c>
      <c r="B66" s="75" t="s">
        <v>905</v>
      </c>
      <c r="C66" s="360">
        <v>44476</v>
      </c>
      <c r="D66" s="76" t="s">
        <v>906</v>
      </c>
      <c r="E66" s="360">
        <v>44529</v>
      </c>
      <c r="F66" s="78" t="s">
        <v>3</v>
      </c>
      <c r="G66" s="85">
        <v>901030518</v>
      </c>
      <c r="H66" s="177" t="str">
        <f>VLOOKUP(Tabla2[[#This Row],[NIT]],Clientes!A:C,2,0)</f>
        <v>Inversiones Sajamib SAS</v>
      </c>
      <c r="I66" s="77" t="str">
        <f>VLOOKUP(Tabla2[[#This Row],[NIT]],Clientes!A:C,3,0)</f>
        <v>PJ</v>
      </c>
      <c r="J66" s="73" t="s">
        <v>794</v>
      </c>
      <c r="K66" s="267">
        <f>SUMIFS(Tabla4[Sub Total],Tabla4[Codigo],Tabla2[[#This Row],[Cod]])</f>
        <v>322000</v>
      </c>
      <c r="L66" s="262">
        <f>SUMPRODUCT((Tabla4[Codigo]=Tabla2[[#This Row],[Cod]])*1,Tabla4[IVA])</f>
        <v>0</v>
      </c>
      <c r="M66" s="262">
        <f>SUMIFS(Tabla4[Total],Tabla4[Codigo],Tabla2[[#This Row],[Cod]])</f>
        <v>322000</v>
      </c>
      <c r="N66" s="278">
        <f>SUMPRODUCT((Tabla1[Codigo]=Tabla2[[#This Row],[Cod]])*1,Tabla1[Valor])</f>
        <v>297000</v>
      </c>
      <c r="O66" s="276">
        <f>IF(AND(Tabla2[[#This Row],[Estado]]="ok",LEFT(Tabla2[[#This Row],['# Factura]],3)="TIS"),Tabla2[[#This Row],[TOTAL]]-Tabla2[[#This Row],[pagado]],0)</f>
        <v>0</v>
      </c>
      <c r="P66" s="262">
        <f>Tabla2[[#This Row],[TOTAL]]-Tabla2[[#This Row],[Valor pago]]</f>
        <v>25000</v>
      </c>
      <c r="Q66" s="265">
        <f>IF(Tabla2[[#This Row],[Saldo]]=0,0,IF(Tabla2[[#This Row],[Tipo cliente]]="PJ",Tabla2[[#This Row],[SUBTOTAL]]*11%,0))</f>
        <v>35420</v>
      </c>
      <c r="R66" s="265">
        <f>IF(Tabla2[[#This Row],[Saldo]]=0,0,IF(Tabla2[[#This Row],[Tipo cliente]]="PJ",Tabla2[[#This Row],[SUBTOTAL]]*0.966%,0))</f>
        <v>3110.52</v>
      </c>
      <c r="S66" s="265">
        <f>IF(Tabla2[[#This Row],[Retiene IVA]]="S",Tabla2[[#This Row],[IVA]]*0.15,0)</f>
        <v>0</v>
      </c>
      <c r="T66" s="265">
        <f>+Tabla2[[#This Row],[Saldo]]-Tabla2[[#This Row],[Rete fte]]-Tabla2[[#This Row],[rete ica]]-Tabla2[[#This Row],[Rete IVA]]</f>
        <v>-13530.52</v>
      </c>
      <c r="U6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322000</v>
      </c>
      <c r="W66">
        <f>IF(Tabla2[[#This Row],[Fecha F.E.]]="","",YEAR(Tabla2[[#This Row],[Fecha F.E.]]))</f>
        <v>2021</v>
      </c>
      <c r="X66" s="23">
        <f>IF(Tabla2[[#This Row],[Fecha]]="","",YEAR(Tabla2[[#This Row],[Fecha]]))</f>
        <v>2021</v>
      </c>
    </row>
    <row r="67" spans="1:24" x14ac:dyDescent="0.25">
      <c r="A67" s="3">
        <v>67</v>
      </c>
      <c r="B67" s="75" t="s">
        <v>907</v>
      </c>
      <c r="C67" s="360">
        <v>44480</v>
      </c>
      <c r="D67" s="76" t="s">
        <v>908</v>
      </c>
      <c r="E67" s="360">
        <v>44533</v>
      </c>
      <c r="F67" s="78" t="s">
        <v>3</v>
      </c>
      <c r="G67" s="85">
        <v>800182918</v>
      </c>
      <c r="H67" s="177" t="str">
        <f>VLOOKUP(Tabla2[[#This Row],[NIT]],Clientes!A:C,2,0)</f>
        <v>RENAL MEDICAL MARKETING LIMITADA</v>
      </c>
      <c r="I67" s="77" t="str">
        <f>VLOOKUP(Tabla2[[#This Row],[NIT]],Clientes!A:C,3,0)</f>
        <v>PJ</v>
      </c>
      <c r="J67" s="73" t="s">
        <v>794</v>
      </c>
      <c r="K67" s="267">
        <f>SUMIFS(Tabla4[Sub Total],Tabla4[Codigo],Tabla2[[#This Row],[Cod]])</f>
        <v>1470000</v>
      </c>
      <c r="L67" s="262">
        <f>SUMPRODUCT((Tabla4[Codigo]=Tabla2[[#This Row],[Cod]])*1,Tabla4[IVA])</f>
        <v>279300</v>
      </c>
      <c r="M67" s="262">
        <f>SUMIFS(Tabla4[Total],Tabla4[Codigo],Tabla2[[#This Row],[Cod]])</f>
        <v>1749300</v>
      </c>
      <c r="N67" s="278">
        <f>SUMPRODUCT((Tabla1[Codigo]=Tabla2[[#This Row],[Cod]])*1,Tabla1[Valor])</f>
        <v>1587600</v>
      </c>
      <c r="O67" s="276">
        <f>IF(AND(Tabla2[[#This Row],[Estado]]="ok",LEFT(Tabla2[[#This Row],['# Factura]],3)="TIS"),Tabla2[[#This Row],[TOTAL]]-Tabla2[[#This Row],[pagado]],0)</f>
        <v>0</v>
      </c>
      <c r="P67" s="262">
        <f>Tabla2[[#This Row],[TOTAL]]-Tabla2[[#This Row],[Valor pago]]</f>
        <v>161700</v>
      </c>
      <c r="Q67" s="265">
        <f>IF(Tabla2[[#This Row],[Saldo]]=0,0,IF(Tabla2[[#This Row],[Tipo cliente]]="PJ",Tabla2[[#This Row],[SUBTOTAL]]*11%,0))</f>
        <v>161700</v>
      </c>
      <c r="R67" s="265">
        <f>IF(Tabla2[[#This Row],[Saldo]]=0,0,IF(Tabla2[[#This Row],[Tipo cliente]]="PJ",Tabla2[[#This Row],[SUBTOTAL]]*0.966%,0))</f>
        <v>14200.2</v>
      </c>
      <c r="S67" s="265">
        <f>IF(Tabla2[[#This Row],[Retiene IVA]]="S",Tabla2[[#This Row],[IVA]]*0.15,0)</f>
        <v>0</v>
      </c>
      <c r="T67" s="265">
        <f>+Tabla2[[#This Row],[Saldo]]-Tabla2[[#This Row],[Rete fte]]-Tabla2[[#This Row],[rete ica]]-Tabla2[[#This Row],[Rete IVA]]</f>
        <v>-14200.2</v>
      </c>
      <c r="U6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1749300</v>
      </c>
      <c r="W67">
        <f>IF(Tabla2[[#This Row],[Fecha F.E.]]="","",YEAR(Tabla2[[#This Row],[Fecha F.E.]]))</f>
        <v>2021</v>
      </c>
      <c r="X67" s="23">
        <f>IF(Tabla2[[#This Row],[Fecha]]="","",YEAR(Tabla2[[#This Row],[Fecha]]))</f>
        <v>2021</v>
      </c>
    </row>
    <row r="68" spans="1:24" ht="18" customHeight="1" x14ac:dyDescent="0.25">
      <c r="A68" s="3">
        <v>68</v>
      </c>
      <c r="B68" s="77" t="s">
        <v>909</v>
      </c>
      <c r="C68" s="360">
        <v>44496</v>
      </c>
      <c r="D68" s="76" t="s">
        <v>910</v>
      </c>
      <c r="E68" s="360">
        <v>44496</v>
      </c>
      <c r="F68" s="78" t="s">
        <v>3</v>
      </c>
      <c r="G68" s="85">
        <v>900396116</v>
      </c>
      <c r="H68" s="177" t="str">
        <f>VLOOKUP(Tabla2[[#This Row],[NIT]],Clientes!A:C,2,0)</f>
        <v>PRODUCTORA INTERAMERICANA DE PLASTICOS S.A.S.</v>
      </c>
      <c r="I68" s="77" t="str">
        <f>VLOOKUP(Tabla2[[#This Row],[NIT]],Clientes!A:C,3,0)</f>
        <v>PJ</v>
      </c>
      <c r="J68" s="73" t="s">
        <v>794</v>
      </c>
      <c r="K68" s="267">
        <f>SUMIFS(Tabla4[Sub Total],Tabla4[Codigo],Tabla2[[#This Row],[Cod]])</f>
        <v>170000</v>
      </c>
      <c r="L68" s="262">
        <f>SUMPRODUCT((Tabla4[Codigo]=Tabla2[[#This Row],[Cod]])*1,Tabla4[IVA])</f>
        <v>32300</v>
      </c>
      <c r="M68" s="262">
        <f>SUMIFS(Tabla4[Total],Tabla4[Codigo],Tabla2[[#This Row],[Cod]])</f>
        <v>202300</v>
      </c>
      <c r="N68" s="278">
        <f>SUMPRODUCT((Tabla1[Codigo]=Tabla2[[#This Row],[Cod]])*1,Tabla1[Valor])</f>
        <v>183600</v>
      </c>
      <c r="O68" s="276">
        <f>IF(AND(Tabla2[[#This Row],[Estado]]="ok",LEFT(Tabla2[[#This Row],['# Factura]],3)="TIS"),Tabla2[[#This Row],[TOTAL]]-Tabla2[[#This Row],[pagado]],0)</f>
        <v>0</v>
      </c>
      <c r="P68" s="262">
        <f>Tabla2[[#This Row],[TOTAL]]-Tabla2[[#This Row],[Valor pago]]</f>
        <v>18700</v>
      </c>
      <c r="Q68" s="265">
        <f>IF(Tabla2[[#This Row],[Saldo]]=0,0,IF(Tabla2[[#This Row],[Tipo cliente]]="PJ",Tabla2[[#This Row],[SUBTOTAL]]*11%,0))</f>
        <v>18700</v>
      </c>
      <c r="R68" s="265">
        <f>IF(Tabla2[[#This Row],[Saldo]]=0,0,IF(Tabla2[[#This Row],[Tipo cliente]]="PJ",Tabla2[[#This Row],[SUBTOTAL]]*0.966%,0))</f>
        <v>1642.2</v>
      </c>
      <c r="S68" s="265">
        <f>IF(Tabla2[[#This Row],[Retiene IVA]]="S",Tabla2[[#This Row],[IVA]]*0.15,0)</f>
        <v>0</v>
      </c>
      <c r="T68" s="265">
        <f>+Tabla2[[#This Row],[Saldo]]-Tabla2[[#This Row],[Rete fte]]-Tabla2[[#This Row],[rete ica]]-Tabla2[[#This Row],[Rete IVA]]</f>
        <v>-1642.2</v>
      </c>
      <c r="U6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202300</v>
      </c>
      <c r="W68">
        <f>IF(Tabla2[[#This Row],[Fecha F.E.]]="","",YEAR(Tabla2[[#This Row],[Fecha F.E.]]))</f>
        <v>2021</v>
      </c>
      <c r="X68" s="23">
        <f>IF(Tabla2[[#This Row],[Fecha]]="","",YEAR(Tabla2[[#This Row],[Fecha]]))</f>
        <v>2021</v>
      </c>
    </row>
    <row r="69" spans="1:24" x14ac:dyDescent="0.25">
      <c r="A69" s="3">
        <v>69</v>
      </c>
      <c r="B69" s="77" t="s">
        <v>911</v>
      </c>
      <c r="C69" s="360">
        <v>44496</v>
      </c>
      <c r="D69" s="76"/>
      <c r="E69" s="360"/>
      <c r="F69" s="78" t="s">
        <v>716</v>
      </c>
      <c r="G69">
        <v>800182918</v>
      </c>
      <c r="H69" s="177" t="str">
        <f>VLOOKUP(Tabla2[[#This Row],[NIT]],Clientes!A:C,2,0)</f>
        <v>RENAL MEDICAL MARKETING LIMITADA</v>
      </c>
      <c r="I69" s="77" t="str">
        <f>VLOOKUP(Tabla2[[#This Row],[NIT]],Clientes!A:C,3,0)</f>
        <v>PJ</v>
      </c>
      <c r="J69" s="73" t="s">
        <v>794</v>
      </c>
      <c r="K69" s="267">
        <f>SUMIFS(Tabla4[Sub Total],Tabla4[Codigo],Tabla2[[#This Row],[Cod]])</f>
        <v>450000</v>
      </c>
      <c r="L69" s="262">
        <f>SUMPRODUCT((Tabla4[Codigo]=Tabla2[[#This Row],[Cod]])*1,Tabla4[IVA])</f>
        <v>85500</v>
      </c>
      <c r="M69" s="262">
        <f>SUMIFS(Tabla4[Total],Tabla4[Codigo],Tabla2[[#This Row],[Cod]])</f>
        <v>535500</v>
      </c>
      <c r="N69" s="278">
        <f>SUMPRODUCT((Tabla1[Codigo]=Tabla2[[#This Row],[Cod]])*1,Tabla1[Valor])</f>
        <v>0</v>
      </c>
      <c r="O69" s="265">
        <f>IF(AND(Tabla2[[#This Row],[Estado]]="ok",LEFT(Tabla2[[#This Row],['# Factura]],3)="TIS"),Tabla2[[#This Row],[TOTAL]]-Tabla2[[#This Row],[pagado]],0)</f>
        <v>0</v>
      </c>
      <c r="P69" s="262">
        <f>Tabla2[[#This Row],[TOTAL]]-Tabla2[[#This Row],[Valor pago]]</f>
        <v>535500</v>
      </c>
      <c r="Q69" s="265">
        <f>IF(Tabla2[[#This Row],[Saldo]]=0,0,IF(Tabla2[[#This Row],[Tipo cliente]]="PJ",Tabla2[[#This Row],[SUBTOTAL]]*11%,0))</f>
        <v>49500</v>
      </c>
      <c r="R69" s="276">
        <f>IF(Tabla2[[#This Row],[Saldo]]=0,0,IF(Tabla2[[#This Row],[Tipo cliente]]="PJ",Tabla2[[#This Row],[SUBTOTAL]]*0.966%,0))</f>
        <v>4347</v>
      </c>
      <c r="S69" s="276">
        <f>IF(Tabla2[[#This Row],[Retiene IVA]]="S",Tabla2[[#This Row],[IVA]]*0.15,0)</f>
        <v>0</v>
      </c>
      <c r="T69" s="265">
        <f>+Tabla2[[#This Row],[Saldo]]-Tabla2[[#This Row],[Rete fte]]-Tabla2[[#This Row],[rete ica]]-Tabla2[[#This Row],[Rete IVA]]</f>
        <v>481653</v>
      </c>
      <c r="U6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9" t="str">
        <f>IF(Tabla2[[#This Row],[Fecha F.E.]]="","",YEAR(Tabla2[[#This Row],[Fecha F.E.]]))</f>
        <v/>
      </c>
      <c r="X69" s="23">
        <f>IF(Tabla2[[#This Row],[Fecha]]="","",YEAR(Tabla2[[#This Row],[Fecha]]))</f>
        <v>2021</v>
      </c>
    </row>
    <row r="70" spans="1:24" x14ac:dyDescent="0.25">
      <c r="A70" s="3">
        <v>70</v>
      </c>
      <c r="B70" s="77" t="s">
        <v>855</v>
      </c>
      <c r="C70" s="360">
        <v>43859</v>
      </c>
      <c r="D70" s="76" t="s">
        <v>912</v>
      </c>
      <c r="E70" s="360">
        <v>43859</v>
      </c>
      <c r="F70" s="78" t="s">
        <v>3</v>
      </c>
      <c r="G70" s="85">
        <v>900416644</v>
      </c>
      <c r="H70" s="177" t="str">
        <f>VLOOKUP(Tabla2[[#This Row],[NIT]],Clientes!A:C,2,0)</f>
        <v>Arrigui Asociados SAS</v>
      </c>
      <c r="I70" s="77" t="str">
        <f>VLOOKUP(Tabla2[[#This Row],[NIT]],Clientes!A:C,3,0)</f>
        <v>PJ</v>
      </c>
      <c r="J70" s="73" t="s">
        <v>794</v>
      </c>
      <c r="K70" s="267">
        <f>SUMIFS(Tabla4[Sub Total],Tabla4[Codigo],Tabla2[[#This Row],[Cod]])</f>
        <v>1180000</v>
      </c>
      <c r="L70" s="262">
        <f>SUMPRODUCT((Tabla4[Codigo]=Tabla2[[#This Row],[Cod]])*1,Tabla4[IVA])</f>
        <v>224200</v>
      </c>
      <c r="M70" s="262">
        <f>SUMIFS(Tabla4[Total],Tabla4[Codigo],Tabla2[[#This Row],[Cod]])</f>
        <v>1404200</v>
      </c>
      <c r="N70" s="278">
        <f>SUMPRODUCT((Tabla1[Codigo]=Tabla2[[#This Row],[Cod]])*1,Tabla1[Valor])</f>
        <v>1266258</v>
      </c>
      <c r="O70" s="265">
        <f>IF(AND(Tabla2[[#This Row],[Estado]]="ok",LEFT(Tabla2[[#This Row],['# Factura]],3)="TIS"),Tabla2[[#This Row],[TOTAL]]-Tabla2[[#This Row],[pagado]],0)</f>
        <v>0</v>
      </c>
      <c r="P70" s="262">
        <f>Tabla2[[#This Row],[TOTAL]]-Tabla2[[#This Row],[Valor pago]]</f>
        <v>137942</v>
      </c>
      <c r="Q70" s="265">
        <f>IF(Tabla2[[#This Row],[Saldo]]=0,0,IF(Tabla2[[#This Row],[Tipo cliente]]="PJ",Tabla2[[#This Row],[SUBTOTAL]]*11%,0))</f>
        <v>129800</v>
      </c>
      <c r="R70" s="276">
        <f>IF(Tabla2[[#This Row],[Saldo]]=0,0,IF(Tabla2[[#This Row],[Tipo cliente]]="PJ",Tabla2[[#This Row],[SUBTOTAL]]*0.966%,0))</f>
        <v>11398.800000000001</v>
      </c>
      <c r="S70" s="276">
        <f>IF(Tabla2[[#This Row],[Retiene IVA]]="S",Tabla2[[#This Row],[IVA]]*0.15,0)</f>
        <v>0</v>
      </c>
      <c r="T70" s="265">
        <f>+Tabla2[[#This Row],[Saldo]]-Tabla2[[#This Row],[Rete fte]]-Tabla2[[#This Row],[rete ica]]-Tabla2[[#This Row],[Rete IVA]]</f>
        <v>-3256.8000000000011</v>
      </c>
      <c r="U7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1404200</v>
      </c>
      <c r="W70">
        <f>IF(Tabla2[[#This Row],[Fecha F.E.]]="","",YEAR(Tabla2[[#This Row],[Fecha F.E.]]))</f>
        <v>2020</v>
      </c>
      <c r="X70" s="23">
        <f>IF(Tabla2[[#This Row],[Fecha]]="","",YEAR(Tabla2[[#This Row],[Fecha]]))</f>
        <v>2020</v>
      </c>
    </row>
    <row r="71" spans="1:24" x14ac:dyDescent="0.25">
      <c r="A71" s="3">
        <v>71</v>
      </c>
      <c r="B71" s="77" t="s">
        <v>913</v>
      </c>
      <c r="C71" s="360">
        <v>44502</v>
      </c>
      <c r="D71" s="76" t="s">
        <v>914</v>
      </c>
      <c r="E71" s="360">
        <v>44530</v>
      </c>
      <c r="F71" s="78" t="s">
        <v>231</v>
      </c>
      <c r="G71" s="85">
        <v>811012461</v>
      </c>
      <c r="H71" s="177" t="str">
        <f>VLOOKUP(Tabla2[[#This Row],[NIT]],Clientes!A:C,2,0)</f>
        <v>Procesos 2000 S.A.S.</v>
      </c>
      <c r="I71" s="77" t="str">
        <f>VLOOKUP(Tabla2[[#This Row],[NIT]],Clientes!A:C,3,0)</f>
        <v>PJ</v>
      </c>
      <c r="J71" s="73" t="s">
        <v>794</v>
      </c>
      <c r="K71" s="267">
        <f>SUMIFS(Tabla4[Sub Total],Tabla4[Codigo],Tabla2[[#This Row],[Cod]])</f>
        <v>1199990</v>
      </c>
      <c r="L71" s="262">
        <f>SUMPRODUCT((Tabla4[Codigo]=Tabla2[[#This Row],[Cod]])*1,Tabla4[IVA])</f>
        <v>227998.1</v>
      </c>
      <c r="M71" s="262">
        <f>SUMIFS(Tabla4[Total],Tabla4[Codigo],Tabla2[[#This Row],[Cod]])</f>
        <v>1427988.1</v>
      </c>
      <c r="N71" s="278">
        <f>SUMPRODUCT((Tabla1[Codigo]=Tabla2[[#This Row],[Cod]])*1,Tabla1[Valor])</f>
        <v>1295989</v>
      </c>
      <c r="O71" s="265">
        <f>IF(AND(Tabla2[[#This Row],[Estado]]="ok",LEFT(Tabla2[[#This Row],['# Factura]],3)="TIS"),Tabla2[[#This Row],[TOTAL]]-Tabla2[[#This Row],[pagado]],0)</f>
        <v>0</v>
      </c>
      <c r="P71" s="262">
        <f>Tabla2[[#This Row],[TOTAL]]-Tabla2[[#This Row],[Valor pago]]</f>
        <v>131999.10000000009</v>
      </c>
      <c r="Q71" s="265">
        <f>IF(Tabla2[[#This Row],[Saldo]]=0,0,IF(Tabla2[[#This Row],[Tipo cliente]]="PJ",Tabla2[[#This Row],[SUBTOTAL]]*11%,0))</f>
        <v>131998.9</v>
      </c>
      <c r="R71" s="276">
        <f>IF(Tabla2[[#This Row],[Saldo]]=0,0,IF(Tabla2[[#This Row],[Tipo cliente]]="PJ",Tabla2[[#This Row],[SUBTOTAL]]*0.966%,0))</f>
        <v>11591.903400000001</v>
      </c>
      <c r="S71" s="276">
        <f>IF(Tabla2[[#This Row],[Retiene IVA]]="S",Tabla2[[#This Row],[IVA]]*0.15,0)</f>
        <v>0</v>
      </c>
      <c r="T71" s="265">
        <f>+Tabla2[[#This Row],[Saldo]]-Tabla2[[#This Row],[Rete fte]]-Tabla2[[#This Row],[rete ica]]-Tabla2[[#This Row],[Rete IVA]]</f>
        <v>-11591.703399999902</v>
      </c>
      <c r="U7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1427988.1</v>
      </c>
      <c r="W71">
        <f>IF(Tabla2[[#This Row],[Fecha F.E.]]="","",YEAR(Tabla2[[#This Row],[Fecha F.E.]]))</f>
        <v>2021</v>
      </c>
      <c r="X71" s="23">
        <f>IF(Tabla2[[#This Row],[Fecha]]="","",YEAR(Tabla2[[#This Row],[Fecha]]))</f>
        <v>2021</v>
      </c>
    </row>
    <row r="72" spans="1:24" x14ac:dyDescent="0.25">
      <c r="A72" s="3">
        <v>72</v>
      </c>
      <c r="B72" s="77" t="s">
        <v>266</v>
      </c>
      <c r="C72" s="360">
        <v>44511</v>
      </c>
      <c r="D72" s="76" t="s">
        <v>915</v>
      </c>
      <c r="E72" s="360">
        <v>44511</v>
      </c>
      <c r="F72" s="78" t="s">
        <v>231</v>
      </c>
      <c r="G72" s="85">
        <v>900709916</v>
      </c>
      <c r="H72" s="177" t="str">
        <f>VLOOKUP(Tabla2[[#This Row],[NIT]],Clientes!A:C,2,0)</f>
        <v>WOLTA SAS</v>
      </c>
      <c r="I72" s="77" t="str">
        <f>VLOOKUP(Tabla2[[#This Row],[NIT]],Clientes!A:C,3,0)</f>
        <v>PJ</v>
      </c>
      <c r="J72" s="73" t="s">
        <v>794</v>
      </c>
      <c r="K72" s="267">
        <f>SUMIFS(Tabla4[Sub Total],Tabla4[Codigo],Tabla2[[#This Row],[Cod]])</f>
        <v>525000</v>
      </c>
      <c r="L72" s="262">
        <f>SUMPRODUCT((Tabla4[Codigo]=Tabla2[[#This Row],[Cod]])*1,Tabla4[IVA])</f>
        <v>99750</v>
      </c>
      <c r="M72" s="262">
        <f>SUMIFS(Tabla4[Total],Tabla4[Codigo],Tabla2[[#This Row],[Cod]])</f>
        <v>624750</v>
      </c>
      <c r="N72" s="278">
        <f>SUMPRODUCT((Tabla1[Codigo]=Tabla2[[#This Row],[Cod]])*1,Tabla1[Valor])</f>
        <v>624750</v>
      </c>
      <c r="O72" s="265">
        <f>IF(AND(Tabla2[[#This Row],[Estado]]="ok",LEFT(Tabla2[[#This Row],['# Factura]],3)="TIS"),Tabla2[[#This Row],[TOTAL]]-Tabla2[[#This Row],[pagado]],0)</f>
        <v>0</v>
      </c>
      <c r="P72" s="262">
        <f>Tabla2[[#This Row],[TOTAL]]-Tabla2[[#This Row],[Valor pago]]</f>
        <v>0</v>
      </c>
      <c r="Q72" s="265">
        <f>IF(Tabla2[[#This Row],[Saldo]]=0,0,IF(Tabla2[[#This Row],[Tipo cliente]]="PJ",Tabla2[[#This Row],[SUBTOTAL]]*11%,0))</f>
        <v>0</v>
      </c>
      <c r="R72" s="276">
        <f>IF(Tabla2[[#This Row],[Saldo]]=0,0,IF(Tabla2[[#This Row],[Tipo cliente]]="PJ",Tabla2[[#This Row],[SUBTOTAL]]*0.966%,0))</f>
        <v>0</v>
      </c>
      <c r="S72" s="276">
        <f>IF(Tabla2[[#This Row],[Retiene IVA]]="S",Tabla2[[#This Row],[IVA]]*0.15,0)</f>
        <v>0</v>
      </c>
      <c r="T72" s="265">
        <f>+Tabla2[[#This Row],[Saldo]]-Tabla2[[#This Row],[Rete fte]]-Tabla2[[#This Row],[rete ica]]-Tabla2[[#This Row],[Rete IVA]]</f>
        <v>0</v>
      </c>
      <c r="U7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624750</v>
      </c>
      <c r="W72">
        <f>IF(Tabla2[[#This Row],[Fecha F.E.]]="","",YEAR(Tabla2[[#This Row],[Fecha F.E.]]))</f>
        <v>2021</v>
      </c>
      <c r="X72" s="23">
        <f>IF(Tabla2[[#This Row],[Fecha]]="","",YEAR(Tabla2[[#This Row],[Fecha]]))</f>
        <v>2021</v>
      </c>
    </row>
    <row r="73" spans="1:24" x14ac:dyDescent="0.25">
      <c r="A73" s="3">
        <v>73</v>
      </c>
      <c r="B73" s="77" t="s">
        <v>916</v>
      </c>
      <c r="C73" s="360">
        <v>44511</v>
      </c>
      <c r="D73" s="76" t="s">
        <v>917</v>
      </c>
      <c r="E73" s="360">
        <v>44564</v>
      </c>
      <c r="F73" s="78" t="s">
        <v>3</v>
      </c>
      <c r="G73" s="85">
        <v>9003233661</v>
      </c>
      <c r="H73" s="177" t="str">
        <f>VLOOKUP(Tabla2[[#This Row],[NIT]],Clientes!A:C,2,0)</f>
        <v>Aviatek SAS</v>
      </c>
      <c r="I73" s="77" t="str">
        <f>VLOOKUP(Tabla2[[#This Row],[NIT]],Clientes!A:C,3,0)</f>
        <v>PJ</v>
      </c>
      <c r="J73" s="73" t="s">
        <v>794</v>
      </c>
      <c r="K73" s="267">
        <f>SUMIFS(Tabla4[Sub Total],Tabla4[Codigo],Tabla2[[#This Row],[Cod]])</f>
        <v>462000</v>
      </c>
      <c r="L73" s="262">
        <f>SUMPRODUCT((Tabla4[Codigo]=Tabla2[[#This Row],[Cod]])*1,Tabla4[IVA])</f>
        <v>87780</v>
      </c>
      <c r="M73" s="262">
        <f>SUMIFS(Tabla4[Total],Tabla4[Codigo],Tabla2[[#This Row],[Cod]])</f>
        <v>549780</v>
      </c>
      <c r="N73" s="278">
        <f>SUMPRODUCT((Tabla1[Codigo]=Tabla2[[#This Row],[Cod]])*1,Tabla1[Valor])</f>
        <v>528112</v>
      </c>
      <c r="O73" s="265">
        <f>IF(AND(Tabla2[[#This Row],[Estado]]="ok",LEFT(Tabla2[[#This Row],['# Factura]],3)="TIS"),Tabla2[[#This Row],[TOTAL]]-Tabla2[[#This Row],[pagado]],0)</f>
        <v>0</v>
      </c>
      <c r="P73" s="262">
        <f>Tabla2[[#This Row],[TOTAL]]-Tabla2[[#This Row],[Valor pago]]</f>
        <v>21668</v>
      </c>
      <c r="Q73" s="265">
        <f>IF(Tabla2[[#This Row],[Saldo]]=0,0,IF(Tabla2[[#This Row],[Tipo cliente]]="PJ",Tabla2[[#This Row],[SUBTOTAL]]*11%,0))</f>
        <v>50820</v>
      </c>
      <c r="R73" s="276">
        <f>IF(Tabla2[[#This Row],[Saldo]]=0,0,IF(Tabla2[[#This Row],[Tipo cliente]]="PJ",Tabla2[[#This Row],[SUBTOTAL]]*0.966%,0))</f>
        <v>4462.92</v>
      </c>
      <c r="S73" s="276">
        <f>IF(Tabla2[[#This Row],[Retiene IVA]]="S",Tabla2[[#This Row],[IVA]]*0.15,0)</f>
        <v>0</v>
      </c>
      <c r="T73" s="265">
        <f>+Tabla2[[#This Row],[Saldo]]-Tabla2[[#This Row],[Rete fte]]-Tabla2[[#This Row],[rete ica]]-Tabla2[[#This Row],[Rete IVA]]</f>
        <v>-33614.92</v>
      </c>
      <c r="U7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549780</v>
      </c>
      <c r="W73">
        <f>IF(Tabla2[[#This Row],[Fecha F.E.]]="","",YEAR(Tabla2[[#This Row],[Fecha F.E.]]))</f>
        <v>2022</v>
      </c>
      <c r="X73" s="23">
        <f>IF(Tabla2[[#This Row],[Fecha]]="","",YEAR(Tabla2[[#This Row],[Fecha]]))</f>
        <v>2021</v>
      </c>
    </row>
    <row r="74" spans="1:24" x14ac:dyDescent="0.25">
      <c r="A74" s="3">
        <v>74</v>
      </c>
      <c r="B74" s="77" t="s">
        <v>918</v>
      </c>
      <c r="C74" s="360">
        <v>44511</v>
      </c>
      <c r="D74" s="76" t="s">
        <v>919</v>
      </c>
      <c r="E74" s="360">
        <v>44533</v>
      </c>
      <c r="F74" s="78" t="s">
        <v>231</v>
      </c>
      <c r="G74" s="85">
        <v>830041829</v>
      </c>
      <c r="H74" s="177" t="str">
        <f>VLOOKUP(Tabla2[[#This Row],[NIT]],Clientes!A:C,2,0)</f>
        <v xml:space="preserve">BOCCHERINI S A </v>
      </c>
      <c r="I74" s="77" t="str">
        <f>VLOOKUP(Tabla2[[#This Row],[NIT]],Clientes!A:C,3,0)</f>
        <v>PJ</v>
      </c>
      <c r="J74" s="73" t="s">
        <v>794</v>
      </c>
      <c r="K74" s="267">
        <f>SUMIFS(Tabla4[Sub Total],Tabla4[Codigo],Tabla2[[#This Row],[Cod]])</f>
        <v>4275000</v>
      </c>
      <c r="L74" s="262">
        <f>SUMPRODUCT((Tabla4[Codigo]=Tabla2[[#This Row],[Cod]])*1,Tabla4[IVA])</f>
        <v>812250</v>
      </c>
      <c r="M74" s="262">
        <f>SUMIFS(Tabla4[Total],Tabla4[Codigo],Tabla2[[#This Row],[Cod]])</f>
        <v>5087250</v>
      </c>
      <c r="N74" s="278">
        <f>SUMPRODUCT((Tabla1[Codigo]=Tabla2[[#This Row],[Cod]])*1,Tabla1[Valor])</f>
        <v>4575703</v>
      </c>
      <c r="O74" s="265">
        <f>IF(AND(Tabla2[[#This Row],[Estado]]="ok",LEFT(Tabla2[[#This Row],['# Factura]],3)="TIS"),Tabla2[[#This Row],[TOTAL]]-Tabla2[[#This Row],[pagado]],0)</f>
        <v>0.5</v>
      </c>
      <c r="P74" s="262">
        <f>Tabla2[[#This Row],[TOTAL]]-Tabla2[[#This Row],[Valor pago]]</f>
        <v>511547</v>
      </c>
      <c r="Q74" s="265">
        <f>IF(Tabla2[[#This Row],[Saldo]]=0,0,IF(Tabla2[[#This Row],[Tipo cliente]]="PJ",Tabla2[[#This Row],[SUBTOTAL]]*11%,0))</f>
        <v>470250</v>
      </c>
      <c r="R74" s="276">
        <f>IF(Tabla2[[#This Row],[Saldo]]=0,0,IF(Tabla2[[#This Row],[Tipo cliente]]="PJ",Tabla2[[#This Row],[SUBTOTAL]]*0.966%,0))</f>
        <v>41296.5</v>
      </c>
      <c r="S74" s="276">
        <f>IF(Tabla2[[#This Row],[Retiene IVA]]="S",Tabla2[[#This Row],[IVA]]*0.15,0)</f>
        <v>0</v>
      </c>
      <c r="T74" s="265">
        <f>+Tabla2[[#This Row],[Saldo]]-Tabla2[[#This Row],[Rete fte]]-Tabla2[[#This Row],[rete ica]]-Tabla2[[#This Row],[Rete IVA]]</f>
        <v>0.5</v>
      </c>
      <c r="U7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5087249.5</v>
      </c>
      <c r="W74">
        <f>IF(Tabla2[[#This Row],[Fecha F.E.]]="","",YEAR(Tabla2[[#This Row],[Fecha F.E.]]))</f>
        <v>2021</v>
      </c>
      <c r="X74" s="23">
        <f>IF(Tabla2[[#This Row],[Fecha]]="","",YEAR(Tabla2[[#This Row],[Fecha]]))</f>
        <v>2021</v>
      </c>
    </row>
    <row r="75" spans="1:24" x14ac:dyDescent="0.25">
      <c r="A75" s="3">
        <v>75</v>
      </c>
      <c r="B75" s="77" t="s">
        <v>920</v>
      </c>
      <c r="C75" s="360">
        <v>44518</v>
      </c>
      <c r="D75" s="76"/>
      <c r="E75" s="360"/>
      <c r="F75" s="78" t="s">
        <v>231</v>
      </c>
      <c r="G75" s="85">
        <v>900855931</v>
      </c>
      <c r="H75" s="177" t="str">
        <f>VLOOKUP(Tabla2[[#This Row],[NIT]],Clientes!A:C,2,0)</f>
        <v>ANKER CONSULTORIA Y CONSTRUCCION S A S</v>
      </c>
      <c r="I75" s="77" t="str">
        <f>VLOOKUP(Tabla2[[#This Row],[NIT]],Clientes!A:C,3,0)</f>
        <v>PJ</v>
      </c>
      <c r="J75" s="73" t="s">
        <v>794</v>
      </c>
      <c r="K75" s="267">
        <f>SUMIFS(Tabla4[Sub Total],Tabla4[Codigo],Tabla2[[#This Row],[Cod]])</f>
        <v>900000</v>
      </c>
      <c r="L75" s="262">
        <f>SUMPRODUCT((Tabla4[Codigo]=Tabla2[[#This Row],[Cod]])*1,Tabla4[IVA])</f>
        <v>171000</v>
      </c>
      <c r="M75" s="262">
        <f>SUMIFS(Tabla4[Total],Tabla4[Codigo],Tabla2[[#This Row],[Cod]])</f>
        <v>1071000</v>
      </c>
      <c r="N75" s="278">
        <f>SUMPRODUCT((Tabla1[Codigo]=Tabla2[[#This Row],[Cod]])*1,Tabla1[Valor])</f>
        <v>0</v>
      </c>
      <c r="O75" s="265">
        <f>IF(AND(Tabla2[[#This Row],[Estado]]="ok",LEFT(Tabla2[[#This Row],['# Factura]],3)="TIS"),Tabla2[[#This Row],[TOTAL]]-Tabla2[[#This Row],[pagado]],0)</f>
        <v>0</v>
      </c>
      <c r="P75" s="262">
        <f>Tabla2[[#This Row],[TOTAL]]-Tabla2[[#This Row],[Valor pago]]</f>
        <v>1071000</v>
      </c>
      <c r="Q75" s="265">
        <f>IF(Tabla2[[#This Row],[Saldo]]=0,0,IF(Tabla2[[#This Row],[Tipo cliente]]="PJ",Tabla2[[#This Row],[SUBTOTAL]]*11%,0))</f>
        <v>99000</v>
      </c>
      <c r="R75" s="276">
        <f>IF(Tabla2[[#This Row],[Saldo]]=0,0,IF(Tabla2[[#This Row],[Tipo cliente]]="PJ",Tabla2[[#This Row],[SUBTOTAL]]*0.966%,0))</f>
        <v>8694</v>
      </c>
      <c r="S75" s="276">
        <f>IF(Tabla2[[#This Row],[Retiene IVA]]="S",Tabla2[[#This Row],[IVA]]*0.15,0)</f>
        <v>0</v>
      </c>
      <c r="T75" s="265">
        <f>+Tabla2[[#This Row],[Saldo]]-Tabla2[[#This Row],[Rete fte]]-Tabla2[[#This Row],[rete ica]]-Tabla2[[#This Row],[Rete IVA]]</f>
        <v>963306</v>
      </c>
      <c r="U7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75" t="str">
        <f>IF(Tabla2[[#This Row],[Fecha F.E.]]="","",YEAR(Tabla2[[#This Row],[Fecha F.E.]]))</f>
        <v/>
      </c>
      <c r="X75" s="23">
        <f>IF(Tabla2[[#This Row],[Fecha]]="","",YEAR(Tabla2[[#This Row],[Fecha]]))</f>
        <v>2021</v>
      </c>
    </row>
    <row r="76" spans="1:24" ht="26.25" x14ac:dyDescent="0.25">
      <c r="A76" s="3">
        <v>76</v>
      </c>
      <c r="B76" s="77" t="s">
        <v>921</v>
      </c>
      <c r="C76" s="360">
        <v>44518</v>
      </c>
      <c r="D76" s="76" t="s">
        <v>922</v>
      </c>
      <c r="E76" s="360">
        <v>44529</v>
      </c>
      <c r="F76" s="78" t="s">
        <v>231</v>
      </c>
      <c r="G76" s="85">
        <v>900396116</v>
      </c>
      <c r="H76" s="177" t="str">
        <f>VLOOKUP(Tabla2[[#This Row],[NIT]],Clientes!A:C,2,0)</f>
        <v>PRODUCTORA INTERAMERICANA DE PLASTICOS S.A.S.</v>
      </c>
      <c r="I76" s="77" t="str">
        <f>VLOOKUP(Tabla2[[#This Row],[NIT]],Clientes!A:C,3,0)</f>
        <v>PJ</v>
      </c>
      <c r="J76" s="73" t="s">
        <v>794</v>
      </c>
      <c r="K76" s="267">
        <f>SUMIFS(Tabla4[Sub Total],Tabla4[Codigo],Tabla2[[#This Row],[Cod]])</f>
        <v>170000</v>
      </c>
      <c r="L76" s="262">
        <f>SUMPRODUCT((Tabla4[Codigo]=Tabla2[[#This Row],[Cod]])*1,Tabla4[IVA])</f>
        <v>32300</v>
      </c>
      <c r="M76" s="262">
        <f>SUMIFS(Tabla4[Total],Tabla4[Codigo],Tabla2[[#This Row],[Cod]])</f>
        <v>202300</v>
      </c>
      <c r="N76" s="278">
        <f>SUMPRODUCT((Tabla1[Codigo]=Tabla2[[#This Row],[Cod]])*1,Tabla1[Valor])</f>
        <v>181958</v>
      </c>
      <c r="O76" s="265">
        <f>IF(AND(Tabla2[[#This Row],[Estado]]="ok",LEFT(Tabla2[[#This Row],['# Factura]],3)="TIS"),Tabla2[[#This Row],[TOTAL]]-Tabla2[[#This Row],[pagado]],0)</f>
        <v>0</v>
      </c>
      <c r="P76" s="262">
        <f>Tabla2[[#This Row],[TOTAL]]-Tabla2[[#This Row],[Valor pago]]</f>
        <v>20342</v>
      </c>
      <c r="Q76" s="265">
        <f>IF(Tabla2[[#This Row],[Saldo]]=0,0,IF(Tabla2[[#This Row],[Tipo cliente]]="PJ",Tabla2[[#This Row],[SUBTOTAL]]*11%,0))</f>
        <v>18700</v>
      </c>
      <c r="R76" s="276">
        <f>IF(Tabla2[[#This Row],[Saldo]]=0,0,IF(Tabla2[[#This Row],[Tipo cliente]]="PJ",Tabla2[[#This Row],[SUBTOTAL]]*0.966%,0))</f>
        <v>1642.2</v>
      </c>
      <c r="S76" s="276">
        <f>IF(Tabla2[[#This Row],[Retiene IVA]]="S",Tabla2[[#This Row],[IVA]]*0.15,0)</f>
        <v>0</v>
      </c>
      <c r="T76" s="265">
        <f>+Tabla2[[#This Row],[Saldo]]-Tabla2[[#This Row],[Rete fte]]-Tabla2[[#This Row],[rete ica]]-Tabla2[[#This Row],[Rete IVA]]</f>
        <v>-0.20000000000004547</v>
      </c>
      <c r="U7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202300</v>
      </c>
      <c r="W76">
        <f>IF(Tabla2[[#This Row],[Fecha F.E.]]="","",YEAR(Tabla2[[#This Row],[Fecha F.E.]]))</f>
        <v>2021</v>
      </c>
      <c r="X76" s="23">
        <f>IF(Tabla2[[#This Row],[Fecha]]="","",YEAR(Tabla2[[#This Row],[Fecha]]))</f>
        <v>2021</v>
      </c>
    </row>
    <row r="77" spans="1:24" x14ac:dyDescent="0.25">
      <c r="A77" s="3">
        <v>77</v>
      </c>
      <c r="B77" s="77" t="s">
        <v>923</v>
      </c>
      <c r="C77" s="360">
        <v>44518</v>
      </c>
      <c r="D77" s="76" t="s">
        <v>924</v>
      </c>
      <c r="E77" s="360">
        <v>44600</v>
      </c>
      <c r="F77" s="78" t="s">
        <v>231</v>
      </c>
      <c r="G77" s="85">
        <v>901030518</v>
      </c>
      <c r="H77" s="177" t="str">
        <f>VLOOKUP(Tabla2[[#This Row],[NIT]],Clientes!A:C,2,0)</f>
        <v>Inversiones Sajamib SAS</v>
      </c>
      <c r="I77" s="77" t="str">
        <f>VLOOKUP(Tabla2[[#This Row],[NIT]],Clientes!A:C,3,0)</f>
        <v>PJ</v>
      </c>
      <c r="J77" s="73" t="s">
        <v>794</v>
      </c>
      <c r="K77" s="267">
        <f>SUMIFS(Tabla4[Sub Total],Tabla4[Codigo],Tabla2[[#This Row],[Cod]])</f>
        <v>322000</v>
      </c>
      <c r="L77" s="262">
        <f>SUMPRODUCT((Tabla4[Codigo]=Tabla2[[#This Row],[Cod]])*1,Tabla4[IVA])</f>
        <v>0</v>
      </c>
      <c r="M77" s="262">
        <f>SUMIFS(Tabla4[Total],Tabla4[Codigo],Tabla2[[#This Row],[Cod]])</f>
        <v>322000</v>
      </c>
      <c r="N77" s="278">
        <f>SUMPRODUCT((Tabla1[Codigo]=Tabla2[[#This Row],[Cod]])*1,Tabla1[Valor])</f>
        <v>306010</v>
      </c>
      <c r="O77" s="265">
        <f>IF(AND(Tabla2[[#This Row],[Estado]]="ok",LEFT(Tabla2[[#This Row],['# Factura]],3)="TIS"),Tabla2[[#This Row],[TOTAL]]-Tabla2[[#This Row],[pagado]],0)</f>
        <v>0</v>
      </c>
      <c r="P77" s="262">
        <f>Tabla2[[#This Row],[TOTAL]]-Tabla2[[#This Row],[Valor pago]]</f>
        <v>15990</v>
      </c>
      <c r="Q77" s="265">
        <f>IF(Tabla2[[#This Row],[Saldo]]=0,0,IF(Tabla2[[#This Row],[Tipo cliente]]="PJ",Tabla2[[#This Row],[SUBTOTAL]]*11%,0))</f>
        <v>35420</v>
      </c>
      <c r="R77" s="276">
        <f>IF(Tabla2[[#This Row],[Saldo]]=0,0,IF(Tabla2[[#This Row],[Tipo cliente]]="PJ",Tabla2[[#This Row],[SUBTOTAL]]*0.966%,0))</f>
        <v>3110.52</v>
      </c>
      <c r="S77" s="276">
        <f>IF(Tabla2[[#This Row],[Retiene IVA]]="S",Tabla2[[#This Row],[IVA]]*0.15,0)</f>
        <v>0</v>
      </c>
      <c r="T77" s="265">
        <f>+Tabla2[[#This Row],[Saldo]]-Tabla2[[#This Row],[Rete fte]]-Tabla2[[#This Row],[rete ica]]-Tabla2[[#This Row],[Rete IVA]]</f>
        <v>-22540.52</v>
      </c>
      <c r="U7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322000</v>
      </c>
      <c r="W77">
        <f>IF(Tabla2[[#This Row],[Fecha F.E.]]="","",YEAR(Tabla2[[#This Row],[Fecha F.E.]]))</f>
        <v>2022</v>
      </c>
      <c r="X77" s="23">
        <f>IF(Tabla2[[#This Row],[Fecha]]="","",YEAR(Tabla2[[#This Row],[Fecha]]))</f>
        <v>2021</v>
      </c>
    </row>
    <row r="78" spans="1:24" ht="26.25" x14ac:dyDescent="0.25">
      <c r="A78" s="3">
        <v>78</v>
      </c>
      <c r="B78" s="77" t="s">
        <v>925</v>
      </c>
      <c r="C78" s="360">
        <v>44518</v>
      </c>
      <c r="D78" s="76" t="s">
        <v>926</v>
      </c>
      <c r="E78" s="360">
        <v>44529</v>
      </c>
      <c r="F78" s="78" t="s">
        <v>231</v>
      </c>
      <c r="G78" s="85">
        <v>800028768</v>
      </c>
      <c r="H78" s="177" t="str">
        <f>VLOOKUP(Tabla2[[#This Row],[NIT]],Clientes!A:C,2,0)</f>
        <v>Comercializadora ERZ SAS</v>
      </c>
      <c r="I78" s="77" t="str">
        <f>VLOOKUP(Tabla2[[#This Row],[NIT]],Clientes!A:C,3,0)</f>
        <v>PJ</v>
      </c>
      <c r="J78" s="73" t="s">
        <v>794</v>
      </c>
      <c r="K78" s="267">
        <f>SUMIFS(Tabla4[Sub Total],Tabla4[Codigo],Tabla2[[#This Row],[Cod]])</f>
        <v>220000</v>
      </c>
      <c r="L78" s="262">
        <f>SUMPRODUCT((Tabla4[Codigo]=Tabla2[[#This Row],[Cod]])*1,Tabla4[IVA])</f>
        <v>41800</v>
      </c>
      <c r="M78" s="262">
        <f>SUMIFS(Tabla4[Total],Tabla4[Codigo],Tabla2[[#This Row],[Cod]])</f>
        <v>261800</v>
      </c>
      <c r="N78" s="278">
        <f>SUMPRODUCT((Tabla1[Codigo]=Tabla2[[#This Row],[Cod]])*1,Tabla1[Valor])</f>
        <v>251482</v>
      </c>
      <c r="O78" s="265">
        <f>IF(AND(Tabla2[[#This Row],[Estado]]="ok",LEFT(Tabla2[[#This Row],['# Factura]],3)="TIS"),Tabla2[[#This Row],[TOTAL]]-Tabla2[[#This Row],[pagado]],0)</f>
        <v>0</v>
      </c>
      <c r="P78" s="262">
        <f>Tabla2[[#This Row],[TOTAL]]-Tabla2[[#This Row],[Valor pago]]</f>
        <v>10318</v>
      </c>
      <c r="Q78" s="265">
        <f>IF(Tabla2[[#This Row],[Saldo]]=0,0,IF(Tabla2[[#This Row],[Tipo cliente]]="PJ",Tabla2[[#This Row],[SUBTOTAL]]*11%,0))</f>
        <v>24200</v>
      </c>
      <c r="R78" s="276">
        <f>IF(Tabla2[[#This Row],[Saldo]]=0,0,IF(Tabla2[[#This Row],[Tipo cliente]]="PJ",Tabla2[[#This Row],[SUBTOTAL]]*0.966%,0))</f>
        <v>2125.1999999999998</v>
      </c>
      <c r="S78" s="276">
        <f>IF(Tabla2[[#This Row],[Retiene IVA]]="S",Tabla2[[#This Row],[IVA]]*0.15,0)</f>
        <v>0</v>
      </c>
      <c r="T78" s="265">
        <f>+Tabla2[[#This Row],[Saldo]]-Tabla2[[#This Row],[Rete fte]]-Tabla2[[#This Row],[rete ica]]-Tabla2[[#This Row],[Rete IVA]]</f>
        <v>-16007.2</v>
      </c>
      <c r="U7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261800</v>
      </c>
      <c r="V78" s="350" t="s">
        <v>927</v>
      </c>
      <c r="W78">
        <f>IF(Tabla2[[#This Row],[Fecha F.E.]]="","",YEAR(Tabla2[[#This Row],[Fecha F.E.]]))</f>
        <v>2021</v>
      </c>
      <c r="X78" s="23">
        <f>IF(Tabla2[[#This Row],[Fecha]]="","",YEAR(Tabla2[[#This Row],[Fecha]]))</f>
        <v>2021</v>
      </c>
    </row>
    <row r="79" spans="1:24" x14ac:dyDescent="0.25">
      <c r="A79" s="3">
        <v>79</v>
      </c>
      <c r="B79" s="77" t="s">
        <v>928</v>
      </c>
      <c r="C79" s="360">
        <v>44519</v>
      </c>
      <c r="D79" s="187" t="s">
        <v>929</v>
      </c>
      <c r="E79" s="188">
        <v>44225</v>
      </c>
      <c r="F79" s="78" t="s">
        <v>3</v>
      </c>
      <c r="G79" s="85">
        <v>52385710</v>
      </c>
      <c r="H79" s="177" t="str">
        <f>VLOOKUP(Tabla2[[#This Row],[NIT]],Clientes!A:C,2,0)</f>
        <v>Maria del Pilar Alvarado Joya</v>
      </c>
      <c r="I79" s="77" t="str">
        <f>VLOOKUP(Tabla2[[#This Row],[NIT]],Clientes!A:C,3,0)</f>
        <v>PN</v>
      </c>
      <c r="J79" s="73" t="s">
        <v>794</v>
      </c>
      <c r="K79" s="267">
        <f>SUMIFS(Tabla4[Sub Total],Tabla4[Codigo],Tabla2[[#This Row],[Cod]])</f>
        <v>900000</v>
      </c>
      <c r="L79" s="262">
        <f>SUMPRODUCT((Tabla4[Codigo]=Tabla2[[#This Row],[Cod]])*1,Tabla4[IVA])</f>
        <v>0</v>
      </c>
      <c r="M79" s="262">
        <f>SUMIFS(Tabla4[Total],Tabla4[Codigo],Tabla2[[#This Row],[Cod]])</f>
        <v>900000</v>
      </c>
      <c r="N79" s="278">
        <f>SUMPRODUCT((Tabla1[Codigo]=Tabla2[[#This Row],[Cod]])*1,Tabla1[Valor])</f>
        <v>900000</v>
      </c>
      <c r="O79" s="265">
        <f>IF(AND(Tabla2[[#This Row],[Estado]]="ok",LEFT(Tabla2[[#This Row],['# Factura]],3)="TIS"),Tabla2[[#This Row],[TOTAL]]-Tabla2[[#This Row],[pagado]],0)</f>
        <v>0</v>
      </c>
      <c r="P79" s="262">
        <f>Tabla2[[#This Row],[TOTAL]]-Tabla2[[#This Row],[Valor pago]]</f>
        <v>0</v>
      </c>
      <c r="Q79" s="265">
        <f>IF(Tabla2[[#This Row],[Saldo]]=0,0,IF(Tabla2[[#This Row],[Tipo cliente]]="PJ",Tabla2[[#This Row],[SUBTOTAL]]*11%,0))</f>
        <v>0</v>
      </c>
      <c r="R79" s="276">
        <f>IF(Tabla2[[#This Row],[Saldo]]=0,0,IF(Tabla2[[#This Row],[Tipo cliente]]="PJ",Tabla2[[#This Row],[SUBTOTAL]]*0.966%,0))</f>
        <v>0</v>
      </c>
      <c r="S79" s="276">
        <f>IF(Tabla2[[#This Row],[Retiene IVA]]="S",Tabla2[[#This Row],[IVA]]*0.15,0)</f>
        <v>0</v>
      </c>
      <c r="T79" s="265">
        <f>+Tabla2[[#This Row],[Saldo]]-Tabla2[[#This Row],[Rete fte]]-Tabla2[[#This Row],[rete ica]]-Tabla2[[#This Row],[Rete IVA]]</f>
        <v>0</v>
      </c>
      <c r="U7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79">
        <f>IF(Tabla2[[#This Row],[Fecha F.E.]]="","",YEAR(Tabla2[[#This Row],[Fecha F.E.]]))</f>
        <v>2021</v>
      </c>
      <c r="X79" s="23">
        <f>IF(Tabla2[[#This Row],[Fecha]]="","",YEAR(Tabla2[[#This Row],[Fecha]]))</f>
        <v>2021</v>
      </c>
    </row>
    <row r="80" spans="1:24" x14ac:dyDescent="0.25">
      <c r="A80" s="3">
        <v>80</v>
      </c>
      <c r="B80" s="77" t="s">
        <v>930</v>
      </c>
      <c r="C80" s="360">
        <v>44523</v>
      </c>
      <c r="D80" s="76" t="s">
        <v>931</v>
      </c>
      <c r="E80" s="360">
        <v>44529</v>
      </c>
      <c r="F80" s="78" t="s">
        <v>231</v>
      </c>
      <c r="G80" s="85">
        <v>832009861</v>
      </c>
      <c r="H80" s="177" t="str">
        <f>VLOOKUP(Tabla2[[#This Row],[NIT]],Clientes!A:C,2,0)</f>
        <v>LACTEOS APPENZELL S.A.S</v>
      </c>
      <c r="I80" s="77" t="str">
        <f>VLOOKUP(Tabla2[[#This Row],[NIT]],Clientes!A:C,3,0)</f>
        <v>PJ</v>
      </c>
      <c r="J80" s="73" t="s">
        <v>794</v>
      </c>
      <c r="K80" s="267">
        <f>SUMIFS(Tabla4[Sub Total],Tabla4[Codigo],Tabla2[[#This Row],[Cod]])</f>
        <v>1180000</v>
      </c>
      <c r="L80" s="262">
        <f>SUMPRODUCT((Tabla4[Codigo]=Tabla2[[#This Row],[Cod]])*1,Tabla4[IVA])</f>
        <v>224200</v>
      </c>
      <c r="M80" s="262">
        <f>SUMIFS(Tabla4[Total],Tabla4[Codigo],Tabla2[[#This Row],[Cod]])</f>
        <v>1404200</v>
      </c>
      <c r="N80" s="278">
        <f>SUMPRODUCT((Tabla1[Codigo]=Tabla2[[#This Row],[Cod]])*1,Tabla1[Valor])</f>
        <v>1404200</v>
      </c>
      <c r="O80" s="265">
        <f>IF(AND(Tabla2[[#This Row],[Estado]]="ok",LEFT(Tabla2[[#This Row],['# Factura]],3)="TIS"),Tabla2[[#This Row],[TOTAL]]-Tabla2[[#This Row],[pagado]],0)</f>
        <v>0</v>
      </c>
      <c r="P80" s="262">
        <f>Tabla2[[#This Row],[TOTAL]]-Tabla2[[#This Row],[Valor pago]]</f>
        <v>0</v>
      </c>
      <c r="Q80" s="265">
        <f>IF(Tabla2[[#This Row],[Saldo]]=0,0,IF(Tabla2[[#This Row],[Tipo cliente]]="PJ",Tabla2[[#This Row],[SUBTOTAL]]*11%,0))</f>
        <v>0</v>
      </c>
      <c r="R80" s="276">
        <f>IF(Tabla2[[#This Row],[Saldo]]=0,0,IF(Tabla2[[#This Row],[Tipo cliente]]="PJ",Tabla2[[#This Row],[SUBTOTAL]]*0.966%,0))</f>
        <v>0</v>
      </c>
      <c r="S80" s="276">
        <f>IF(Tabla2[[#This Row],[Retiene IVA]]="S",Tabla2[[#This Row],[IVA]]*0.15,0)</f>
        <v>0</v>
      </c>
      <c r="T80" s="265">
        <f>+Tabla2[[#This Row],[Saldo]]-Tabla2[[#This Row],[Rete fte]]-Tabla2[[#This Row],[rete ica]]-Tabla2[[#This Row],[Rete IVA]]</f>
        <v>0</v>
      </c>
      <c r="U8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1404200</v>
      </c>
      <c r="W80">
        <f>IF(Tabla2[[#This Row],[Fecha F.E.]]="","",YEAR(Tabla2[[#This Row],[Fecha F.E.]]))</f>
        <v>2021</v>
      </c>
      <c r="X80" s="23">
        <f>IF(Tabla2[[#This Row],[Fecha]]="","",YEAR(Tabla2[[#This Row],[Fecha]]))</f>
        <v>2021</v>
      </c>
    </row>
    <row r="81" spans="1:24" x14ac:dyDescent="0.25">
      <c r="A81" s="3">
        <v>81</v>
      </c>
      <c r="B81" s="77" t="s">
        <v>932</v>
      </c>
      <c r="C81" s="360">
        <v>44523</v>
      </c>
      <c r="D81" s="76" t="s">
        <v>933</v>
      </c>
      <c r="E81" s="360">
        <v>44531</v>
      </c>
      <c r="F81" s="78" t="s">
        <v>231</v>
      </c>
      <c r="G81" s="85">
        <v>800182918</v>
      </c>
      <c r="H81" s="179" t="str">
        <f>VLOOKUP(Tabla2[[#This Row],[NIT]],Clientes!A:C,2,0)</f>
        <v>RENAL MEDICAL MARKETING LIMITADA</v>
      </c>
      <c r="I81" s="77" t="str">
        <f>VLOOKUP(Tabla2[[#This Row],[NIT]],Clientes!A:C,3,0)</f>
        <v>PJ</v>
      </c>
      <c r="J81" s="73" t="s">
        <v>794</v>
      </c>
      <c r="K81" s="267">
        <f>SUMIFS(Tabla4[Sub Total],Tabla4[Codigo],Tabla2[[#This Row],[Cod]])</f>
        <v>900000</v>
      </c>
      <c r="L81" s="262">
        <f>SUMPRODUCT((Tabla4[Codigo]=Tabla2[[#This Row],[Cod]])*1,Tabla4[IVA])</f>
        <v>171000</v>
      </c>
      <c r="M81" s="262">
        <f>SUMIFS(Tabla4[Total],Tabla4[Codigo],Tabla2[[#This Row],[Cod]])</f>
        <v>1071000</v>
      </c>
      <c r="N81" s="278">
        <f>SUMPRODUCT((Tabla1[Codigo]=Tabla2[[#This Row],[Cod]])*1,Tabla1[Valor])</f>
        <v>972000</v>
      </c>
      <c r="O81" s="265">
        <f>IF(AND(Tabla2[[#This Row],[Estado]]="ok",LEFT(Tabla2[[#This Row],['# Factura]],3)="TIS"),Tabla2[[#This Row],[TOTAL]]-Tabla2[[#This Row],[pagado]],0)</f>
        <v>0</v>
      </c>
      <c r="P81" s="262">
        <f>Tabla2[[#This Row],[TOTAL]]-Tabla2[[#This Row],[Valor pago]]</f>
        <v>99000</v>
      </c>
      <c r="Q81" s="265">
        <f>IF(Tabla2[[#This Row],[Saldo]]=0,0,IF(Tabla2[[#This Row],[Tipo cliente]]="PJ",Tabla2[[#This Row],[SUBTOTAL]]*11%,0))</f>
        <v>99000</v>
      </c>
      <c r="R81" s="276">
        <f>IF(Tabla2[[#This Row],[Saldo]]=0,0,IF(Tabla2[[#This Row],[Tipo cliente]]="PJ",Tabla2[[#This Row],[SUBTOTAL]]*0.966%,0))</f>
        <v>8694</v>
      </c>
      <c r="S81" s="276">
        <f>IF(Tabla2[[#This Row],[Retiene IVA]]="S",Tabla2[[#This Row],[IVA]]*0.15,0)</f>
        <v>0</v>
      </c>
      <c r="T81" s="265">
        <f>+Tabla2[[#This Row],[Saldo]]-Tabla2[[#This Row],[Rete fte]]-Tabla2[[#This Row],[rete ica]]-Tabla2[[#This Row],[Rete IVA]]</f>
        <v>-8694</v>
      </c>
      <c r="U8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1071000</v>
      </c>
      <c r="W81">
        <f>IF(Tabla2[[#This Row],[Fecha F.E.]]="","",YEAR(Tabla2[[#This Row],[Fecha F.E.]]))</f>
        <v>2021</v>
      </c>
      <c r="X81" s="23">
        <f>IF(Tabla2[[#This Row],[Fecha]]="","",YEAR(Tabla2[[#This Row],[Fecha]]))</f>
        <v>2021</v>
      </c>
    </row>
    <row r="82" spans="1:24" x14ac:dyDescent="0.25">
      <c r="A82" s="3">
        <v>82</v>
      </c>
      <c r="B82" s="77" t="s">
        <v>934</v>
      </c>
      <c r="C82" s="360">
        <v>44530</v>
      </c>
      <c r="D82" s="76" t="s">
        <v>935</v>
      </c>
      <c r="E82" s="360">
        <v>44529</v>
      </c>
      <c r="F82" s="78" t="s">
        <v>231</v>
      </c>
      <c r="G82" s="85">
        <v>901070126</v>
      </c>
      <c r="H82" s="177" t="str">
        <f>VLOOKUP(Tabla2[[#This Row],[NIT]],Clientes!A:C,2,0)</f>
        <v>NAVAR SOLUCIONES S.A.S</v>
      </c>
      <c r="I82" s="77" t="str">
        <f>VLOOKUP(Tabla2[[#This Row],[NIT]],Clientes!A:C,3,0)</f>
        <v>PJ</v>
      </c>
      <c r="J82" s="73" t="s">
        <v>794</v>
      </c>
      <c r="K82" s="267">
        <f>SUMIFS(Tabla4[Sub Total],Tabla4[Codigo],Tabla2[[#This Row],[Cod]])</f>
        <v>200000</v>
      </c>
      <c r="L82" s="262">
        <f>SUMPRODUCT((Tabla4[Codigo]=Tabla2[[#This Row],[Cod]])*1,Tabla4[IVA])</f>
        <v>38000</v>
      </c>
      <c r="M82" s="262">
        <f>SUMIFS(Tabla4[Total],Tabla4[Codigo],Tabla2[[#This Row],[Cod]])</f>
        <v>238000</v>
      </c>
      <c r="N82" s="278">
        <f>SUMPRODUCT((Tabla1[Codigo]=Tabla2[[#This Row],[Cod]])*1,Tabla1[Valor])</f>
        <v>230000</v>
      </c>
      <c r="O82" s="265">
        <f>IF(AND(Tabla2[[#This Row],[Estado]]="ok",LEFT(Tabla2[[#This Row],['# Factura]],3)="TIS"),Tabla2[[#This Row],[TOTAL]]-Tabla2[[#This Row],[pagado]],0)</f>
        <v>0</v>
      </c>
      <c r="P82" s="262">
        <f>Tabla2[[#This Row],[TOTAL]]-Tabla2[[#This Row],[Valor pago]]</f>
        <v>8000</v>
      </c>
      <c r="Q82" s="265">
        <f>IF(Tabla2[[#This Row],[Saldo]]=0,0,IF(Tabla2[[#This Row],[Tipo cliente]]="PJ",Tabla2[[#This Row],[SUBTOTAL]]*11%,0))</f>
        <v>22000</v>
      </c>
      <c r="R82" s="276">
        <f>IF(Tabla2[[#This Row],[Saldo]]=0,0,IF(Tabla2[[#This Row],[Tipo cliente]]="PJ",Tabla2[[#This Row],[SUBTOTAL]]*0.966%,0))</f>
        <v>1932</v>
      </c>
      <c r="S82" s="276">
        <f>IF(Tabla2[[#This Row],[Retiene IVA]]="S",Tabla2[[#This Row],[IVA]]*0.15,0)</f>
        <v>0</v>
      </c>
      <c r="T82" s="265">
        <f>+Tabla2[[#This Row],[Saldo]]-Tabla2[[#This Row],[Rete fte]]-Tabla2[[#This Row],[rete ica]]-Tabla2[[#This Row],[Rete IVA]]</f>
        <v>-15932</v>
      </c>
      <c r="U8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238000</v>
      </c>
      <c r="W82">
        <f>IF(Tabla2[[#This Row],[Fecha F.E.]]="","",YEAR(Tabla2[[#This Row],[Fecha F.E.]]))</f>
        <v>2021</v>
      </c>
      <c r="X82" s="23">
        <f>IF(Tabla2[[#This Row],[Fecha]]="","",YEAR(Tabla2[[#This Row],[Fecha]]))</f>
        <v>2021</v>
      </c>
    </row>
    <row r="83" spans="1:24" x14ac:dyDescent="0.25">
      <c r="A83" s="3">
        <v>83</v>
      </c>
      <c r="B83" s="77" t="s">
        <v>936</v>
      </c>
      <c r="C83" s="360">
        <v>44530</v>
      </c>
      <c r="D83" s="76" t="s">
        <v>937</v>
      </c>
      <c r="E83" s="360">
        <v>44529</v>
      </c>
      <c r="F83" s="78" t="s">
        <v>231</v>
      </c>
      <c r="G83" s="85">
        <v>901261401</v>
      </c>
      <c r="H83" s="177" t="str">
        <f>VLOOKUP(Tabla2[[#This Row],[NIT]],Clientes!A:C,2,0)</f>
        <v>NAVAR CATERING SERVICES S.A.S ZOMAC</v>
      </c>
      <c r="I83" s="77" t="str">
        <f>VLOOKUP(Tabla2[[#This Row],[NIT]],Clientes!A:C,3,0)</f>
        <v>PJ</v>
      </c>
      <c r="J83" s="73" t="s">
        <v>794</v>
      </c>
      <c r="K83" s="267">
        <f>SUMIFS(Tabla4[Sub Total],Tabla4[Codigo],Tabla2[[#This Row],[Cod]])</f>
        <v>200000</v>
      </c>
      <c r="L83" s="262">
        <f>SUMPRODUCT((Tabla4[Codigo]=Tabla2[[#This Row],[Cod]])*1,Tabla4[IVA])</f>
        <v>38000</v>
      </c>
      <c r="M83" s="262">
        <f>SUMIFS(Tabla4[Total],Tabla4[Codigo],Tabla2[[#This Row],[Cod]])</f>
        <v>238000</v>
      </c>
      <c r="N83" s="278">
        <f>SUMPRODUCT((Tabla1[Codigo]=Tabla2[[#This Row],[Cod]])*1,Tabla1[Valor])</f>
        <v>442950</v>
      </c>
      <c r="O83" s="265">
        <f>IF(AND(Tabla2[[#This Row],[Estado]]="ok",LEFT(Tabla2[[#This Row],['# Factura]],3)="TIS"),Tabla2[[#This Row],[TOTAL]]-Tabla2[[#This Row],[pagado]],0)</f>
        <v>0</v>
      </c>
      <c r="P83" s="262">
        <f>Tabla2[[#This Row],[TOTAL]]-Tabla2[[#This Row],[Valor pago]]</f>
        <v>-204950</v>
      </c>
      <c r="Q83" s="265">
        <f>IF(Tabla2[[#This Row],[Saldo]]=0,0,IF(Tabla2[[#This Row],[Tipo cliente]]="PJ",Tabla2[[#This Row],[SUBTOTAL]]*11%,0))</f>
        <v>22000</v>
      </c>
      <c r="R83" s="276">
        <f>IF(Tabla2[[#This Row],[Saldo]]=0,0,IF(Tabla2[[#This Row],[Tipo cliente]]="PJ",Tabla2[[#This Row],[SUBTOTAL]]*0.966%,0))</f>
        <v>1932</v>
      </c>
      <c r="S83" s="276">
        <f>IF(Tabla2[[#This Row],[Retiene IVA]]="S",Tabla2[[#This Row],[IVA]]*0.15,0)</f>
        <v>0</v>
      </c>
      <c r="T83" s="265">
        <f>+Tabla2[[#This Row],[Saldo]]-Tabla2[[#This Row],[Rete fte]]-Tabla2[[#This Row],[rete ica]]-Tabla2[[#This Row],[Rete IVA]]</f>
        <v>-228882</v>
      </c>
      <c r="U8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238000</v>
      </c>
      <c r="W83">
        <f>IF(Tabla2[[#This Row],[Fecha F.E.]]="","",YEAR(Tabla2[[#This Row],[Fecha F.E.]]))</f>
        <v>2021</v>
      </c>
      <c r="X83" s="23">
        <f>IF(Tabla2[[#This Row],[Fecha]]="","",YEAR(Tabla2[[#This Row],[Fecha]]))</f>
        <v>2021</v>
      </c>
    </row>
    <row r="84" spans="1:24" x14ac:dyDescent="0.25">
      <c r="A84" s="3">
        <v>84</v>
      </c>
      <c r="B84" s="77" t="s">
        <v>938</v>
      </c>
      <c r="C84" s="360">
        <v>44672</v>
      </c>
      <c r="D84" s="76" t="s">
        <v>939</v>
      </c>
      <c r="E84" s="360">
        <v>44693</v>
      </c>
      <c r="F84" s="78" t="s">
        <v>231</v>
      </c>
      <c r="G84" s="85">
        <v>830083023</v>
      </c>
      <c r="H84" s="177" t="str">
        <f>VLOOKUP(Tabla2[[#This Row],[NIT]],Clientes!A:C,2,0)</f>
        <v>MICROSITIOS SAS</v>
      </c>
      <c r="I84" s="77" t="str">
        <f>VLOOKUP(Tabla2[[#This Row],[NIT]],Clientes!A:C,3,0)</f>
        <v>PJ</v>
      </c>
      <c r="J84" s="73" t="s">
        <v>794</v>
      </c>
      <c r="K84" s="267">
        <f>SUMIFS(Tabla4[Sub Total],Tabla4[Codigo],Tabla2[[#This Row],[Cod]])</f>
        <v>308000</v>
      </c>
      <c r="L84" s="262">
        <f>SUMPRODUCT((Tabla4[Codigo]=Tabla2[[#This Row],[Cod]])*1,Tabla4[IVA])</f>
        <v>58520</v>
      </c>
      <c r="M84" s="262">
        <f>SUMIFS(Tabla4[Total],Tabla4[Codigo],Tabla2[[#This Row],[Cod]])</f>
        <v>366520</v>
      </c>
      <c r="N84" s="278">
        <f>SUMPRODUCT((Tabla1[Codigo]=Tabla2[[#This Row],[Cod]])*1,Tabla1[Valor])</f>
        <v>352765</v>
      </c>
      <c r="O84" s="265">
        <f>IF(AND(Tabla2[[#This Row],[Estado]]="ok",LEFT(Tabla2[[#This Row],['# Factura]],3)="TIS"),Tabla2[[#This Row],[TOTAL]]-Tabla2[[#This Row],[pagado]],0)</f>
        <v>0</v>
      </c>
      <c r="P84" s="262">
        <f>Tabla2[[#This Row],[TOTAL]]-Tabla2[[#This Row],[Valor pago]]</f>
        <v>13755</v>
      </c>
      <c r="Q84" s="265">
        <f>IF(Tabla2[[#This Row],[Saldo]]=0,0,IF(Tabla2[[#This Row],[Tipo cliente]]="PJ",Tabla2[[#This Row],[SUBTOTAL]]*11%,0))</f>
        <v>33880</v>
      </c>
      <c r="R84" s="276">
        <f>IF(Tabla2[[#This Row],[Saldo]]=0,0,IF(Tabla2[[#This Row],[Tipo cliente]]="PJ",Tabla2[[#This Row],[SUBTOTAL]]*0.966%,0))</f>
        <v>2975.28</v>
      </c>
      <c r="S84" s="276">
        <f>IF(Tabla2[[#This Row],[Retiene IVA]]="S",Tabla2[[#This Row],[IVA]]*0.15,0)</f>
        <v>0</v>
      </c>
      <c r="T84" s="265">
        <f>+Tabla2[[#This Row],[Saldo]]-Tabla2[[#This Row],[Rete fte]]-Tabla2[[#This Row],[rete ica]]-Tabla2[[#This Row],[Rete IVA]]</f>
        <v>-23100.28</v>
      </c>
      <c r="U8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366520</v>
      </c>
      <c r="W84">
        <f>IF(Tabla2[[#This Row],[Fecha F.E.]]="","",YEAR(Tabla2[[#This Row],[Fecha F.E.]]))</f>
        <v>2022</v>
      </c>
      <c r="X84" s="23">
        <f>IF(Tabla2[[#This Row],[Fecha]]="","",YEAR(Tabla2[[#This Row],[Fecha]]))</f>
        <v>2022</v>
      </c>
    </row>
    <row r="85" spans="1:24" ht="26.25" x14ac:dyDescent="0.25">
      <c r="A85" s="3">
        <v>85</v>
      </c>
      <c r="B85" s="77" t="s">
        <v>940</v>
      </c>
      <c r="C85" s="360">
        <v>44533</v>
      </c>
      <c r="D85" s="76" t="s">
        <v>941</v>
      </c>
      <c r="E85" s="360">
        <v>44533</v>
      </c>
      <c r="F85" s="78" t="s">
        <v>231</v>
      </c>
      <c r="G85" s="85">
        <v>800028768</v>
      </c>
      <c r="H85" s="177" t="str">
        <f>VLOOKUP(Tabla2[[#This Row],[NIT]],Clientes!A:C,2,0)</f>
        <v>Comercializadora ERZ SAS</v>
      </c>
      <c r="I85" s="77" t="str">
        <f>VLOOKUP(Tabla2[[#This Row],[NIT]],Clientes!A:C,3,0)</f>
        <v>PJ</v>
      </c>
      <c r="J85" s="73" t="s">
        <v>794</v>
      </c>
      <c r="K85" s="267">
        <f>SUMIFS(Tabla4[Sub Total],Tabla4[Codigo],Tabla2[[#This Row],[Cod]])</f>
        <v>220000</v>
      </c>
      <c r="L85" s="262">
        <f>SUMPRODUCT((Tabla4[Codigo]=Tabla2[[#This Row],[Cod]])*1,Tabla4[IVA])</f>
        <v>41800</v>
      </c>
      <c r="M85" s="262">
        <f>SUMIFS(Tabla4[Total],Tabla4[Codigo],Tabla2[[#This Row],[Cod]])</f>
        <v>261800</v>
      </c>
      <c r="N85" s="278">
        <f>SUMPRODUCT((Tabla1[Codigo]=Tabla2[[#This Row],[Cod]])*1,Tabla1[Valor])</f>
        <v>0</v>
      </c>
      <c r="O85" s="265">
        <f>IF(AND(Tabla2[[#This Row],[Estado]]="ok",LEFT(Tabla2[[#This Row],['# Factura]],3)="TIS"),Tabla2[[#This Row],[TOTAL]]-Tabla2[[#This Row],[pagado]],0)</f>
        <v>261800</v>
      </c>
      <c r="P85" s="262">
        <f>Tabla2[[#This Row],[TOTAL]]-Tabla2[[#This Row],[Valor pago]]</f>
        <v>261800</v>
      </c>
      <c r="Q85" s="265">
        <f>IF(Tabla2[[#This Row],[Saldo]]=0,0,IF(Tabla2[[#This Row],[Tipo cliente]]="PJ",Tabla2[[#This Row],[SUBTOTAL]]*11%,0))</f>
        <v>24200</v>
      </c>
      <c r="R85" s="276">
        <f>IF(Tabla2[[#This Row],[Saldo]]=0,0,IF(Tabla2[[#This Row],[Tipo cliente]]="PJ",Tabla2[[#This Row],[SUBTOTAL]]*0.966%,0))</f>
        <v>2125.1999999999998</v>
      </c>
      <c r="S85" s="276">
        <f>IF(Tabla2[[#This Row],[Retiene IVA]]="S",Tabla2[[#This Row],[IVA]]*0.15,0)</f>
        <v>0</v>
      </c>
      <c r="T85" s="265">
        <f>+Tabla2[[#This Row],[Saldo]]-Tabla2[[#This Row],[Rete fte]]-Tabla2[[#This Row],[rete ica]]-Tabla2[[#This Row],[Rete IVA]]</f>
        <v>235474.8</v>
      </c>
      <c r="U8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V85" s="350" t="s">
        <v>942</v>
      </c>
      <c r="W85">
        <f>IF(Tabla2[[#This Row],[Fecha F.E.]]="","",YEAR(Tabla2[[#This Row],[Fecha F.E.]]))</f>
        <v>2021</v>
      </c>
      <c r="X85" s="23">
        <f>IF(Tabla2[[#This Row],[Fecha]]="","",YEAR(Tabla2[[#This Row],[Fecha]]))</f>
        <v>2021</v>
      </c>
    </row>
    <row r="86" spans="1:24" x14ac:dyDescent="0.25">
      <c r="A86" s="3">
        <v>86</v>
      </c>
      <c r="B86" s="77" t="s">
        <v>943</v>
      </c>
      <c r="C86" s="360">
        <v>44537</v>
      </c>
      <c r="D86" s="76" t="s">
        <v>944</v>
      </c>
      <c r="E86" s="360">
        <v>44545</v>
      </c>
      <c r="F86" s="78" t="s">
        <v>716</v>
      </c>
      <c r="G86" s="85">
        <v>800152665</v>
      </c>
      <c r="H86" s="177" t="str">
        <f>VLOOKUP(Tabla2[[#This Row],[NIT]],Clientes!A:C,2,0)</f>
        <v>Universidad Santo tomas</v>
      </c>
      <c r="I86" s="77" t="str">
        <f>VLOOKUP(Tabla2[[#This Row],[NIT]],Clientes!A:C,3,0)</f>
        <v>PJ</v>
      </c>
      <c r="J86" s="73" t="s">
        <v>794</v>
      </c>
      <c r="K86" s="267">
        <f>SUMIFS(Tabla4[Sub Total],Tabla4[Codigo],Tabla2[[#This Row],[Cod]])</f>
        <v>540000</v>
      </c>
      <c r="L86" s="262">
        <f>SUMPRODUCT((Tabla4[Codigo]=Tabla2[[#This Row],[Cod]])*1,Tabla4[IVA])</f>
        <v>102600</v>
      </c>
      <c r="M86" s="262">
        <f>SUMIFS(Tabla4[Total],Tabla4[Codigo],Tabla2[[#This Row],[Cod]])</f>
        <v>642600</v>
      </c>
      <c r="N86" s="278">
        <f>SUMPRODUCT((Tabla1[Codigo]=Tabla2[[#This Row],[Cod]])*1,Tabla1[Valor])</f>
        <v>0</v>
      </c>
      <c r="O86" s="265">
        <f>IF(AND(Tabla2[[#This Row],[Estado]]="ok",LEFT(Tabla2[[#This Row],['# Factura]],3)="TIS"),Tabla2[[#This Row],[TOTAL]]-Tabla2[[#This Row],[pagado]],0)</f>
        <v>0</v>
      </c>
      <c r="P86" s="262">
        <f>Tabla2[[#This Row],[TOTAL]]-Tabla2[[#This Row],[Valor pago]]</f>
        <v>642600</v>
      </c>
      <c r="Q86" s="265">
        <f>IF(Tabla2[[#This Row],[Saldo]]=0,0,IF(Tabla2[[#This Row],[Tipo cliente]]="PJ",Tabla2[[#This Row],[SUBTOTAL]]*11%,0))</f>
        <v>59400</v>
      </c>
      <c r="R86" s="276">
        <f>IF(Tabla2[[#This Row],[Saldo]]=0,0,IF(Tabla2[[#This Row],[Tipo cliente]]="PJ",Tabla2[[#This Row],[SUBTOTAL]]*0.966%,0))</f>
        <v>5216.4000000000005</v>
      </c>
      <c r="S86" s="276">
        <f>IF(Tabla2[[#This Row],[Retiene IVA]]="S",Tabla2[[#This Row],[IVA]]*0.15,0)</f>
        <v>0</v>
      </c>
      <c r="T86" s="265">
        <f>+Tabla2[[#This Row],[Saldo]]-Tabla2[[#This Row],[Rete fte]]-Tabla2[[#This Row],[rete ica]]-Tabla2[[#This Row],[Rete IVA]]</f>
        <v>577983.6</v>
      </c>
      <c r="U8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86">
        <f>IF(Tabla2[[#This Row],[Fecha F.E.]]="","",YEAR(Tabla2[[#This Row],[Fecha F.E.]]))</f>
        <v>2021</v>
      </c>
      <c r="X86" s="23">
        <f>IF(Tabla2[[#This Row],[Fecha]]="","",YEAR(Tabla2[[#This Row],[Fecha]]))</f>
        <v>2021</v>
      </c>
    </row>
    <row r="87" spans="1:24" x14ac:dyDescent="0.25">
      <c r="A87" s="3">
        <v>87</v>
      </c>
      <c r="B87" s="77" t="s">
        <v>945</v>
      </c>
      <c r="C87" s="360">
        <v>44537</v>
      </c>
      <c r="D87" s="76" t="s">
        <v>946</v>
      </c>
      <c r="E87" s="360">
        <v>44653</v>
      </c>
      <c r="F87" s="78" t="s">
        <v>3</v>
      </c>
      <c r="G87" s="85">
        <v>52385710</v>
      </c>
      <c r="H87" s="177" t="str">
        <f>VLOOKUP(Tabla2[[#This Row],[NIT]],Clientes!A:C,2,0)</f>
        <v>Maria del Pilar Alvarado Joya</v>
      </c>
      <c r="I87" s="77" t="str">
        <f>VLOOKUP(Tabla2[[#This Row],[NIT]],Clientes!A:C,3,0)</f>
        <v>PN</v>
      </c>
      <c r="J87" s="73" t="s">
        <v>794</v>
      </c>
      <c r="K87" s="267">
        <f>SUMIFS(Tabla4[Sub Total],Tabla4[Codigo],Tabla2[[#This Row],[Cod]])</f>
        <v>900000</v>
      </c>
      <c r="L87" s="262">
        <f>SUMPRODUCT((Tabla4[Codigo]=Tabla2[[#This Row],[Cod]])*1,Tabla4[IVA])</f>
        <v>0</v>
      </c>
      <c r="M87" s="262">
        <f>SUMIFS(Tabla4[Total],Tabla4[Codigo],Tabla2[[#This Row],[Cod]])</f>
        <v>900000</v>
      </c>
      <c r="N87" s="278">
        <f>SUMPRODUCT((Tabla1[Codigo]=Tabla2[[#This Row],[Cod]])*1,Tabla1[Valor])</f>
        <v>900000</v>
      </c>
      <c r="O87" s="265">
        <f>IF(AND(Tabla2[[#This Row],[Estado]]="ok",LEFT(Tabla2[[#This Row],['# Factura]],3)="TIS"),Tabla2[[#This Row],[TOTAL]]-Tabla2[[#This Row],[pagado]],0)</f>
        <v>0</v>
      </c>
      <c r="P87" s="262">
        <f>Tabla2[[#This Row],[TOTAL]]-Tabla2[[#This Row],[Valor pago]]</f>
        <v>0</v>
      </c>
      <c r="Q87" s="265">
        <f>IF(Tabla2[[#This Row],[Saldo]]=0,0,IF(Tabla2[[#This Row],[Tipo cliente]]="PJ",Tabla2[[#This Row],[SUBTOTAL]]*11%,0))</f>
        <v>0</v>
      </c>
      <c r="R87" s="276">
        <f>IF(Tabla2[[#This Row],[Saldo]]=0,0,IF(Tabla2[[#This Row],[Tipo cliente]]="PJ",Tabla2[[#This Row],[SUBTOTAL]]*0.966%,0))</f>
        <v>0</v>
      </c>
      <c r="S87" s="276">
        <f>IF(Tabla2[[#This Row],[Retiene IVA]]="S",Tabla2[[#This Row],[IVA]]*0.15,0)</f>
        <v>0</v>
      </c>
      <c r="T87" s="265">
        <f>+Tabla2[[#This Row],[Saldo]]-Tabla2[[#This Row],[Rete fte]]-Tabla2[[#This Row],[rete ica]]-Tabla2[[#This Row],[Rete IVA]]</f>
        <v>0</v>
      </c>
      <c r="U8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87">
        <f>IF(Tabla2[[#This Row],[Fecha F.E.]]="","",YEAR(Tabla2[[#This Row],[Fecha F.E.]]))</f>
        <v>2022</v>
      </c>
      <c r="X87" s="23">
        <f>IF(Tabla2[[#This Row],[Fecha]]="","",YEAR(Tabla2[[#This Row],[Fecha]]))</f>
        <v>2021</v>
      </c>
    </row>
    <row r="88" spans="1:24" x14ac:dyDescent="0.25">
      <c r="A88" s="3">
        <v>88</v>
      </c>
      <c r="B88" s="77" t="s">
        <v>947</v>
      </c>
      <c r="C88" s="360">
        <v>44537</v>
      </c>
      <c r="D88" s="76" t="s">
        <v>948</v>
      </c>
      <c r="E88" s="360">
        <v>44537</v>
      </c>
      <c r="F88" s="78" t="s">
        <v>231</v>
      </c>
      <c r="G88" s="85">
        <v>800182918</v>
      </c>
      <c r="H88" s="177" t="str">
        <f>VLOOKUP(Tabla2[[#This Row],[NIT]],Clientes!A:C,2,0)</f>
        <v>RENAL MEDICAL MARKETING LIMITADA</v>
      </c>
      <c r="I88" s="77" t="str">
        <f>VLOOKUP(Tabla2[[#This Row],[NIT]],Clientes!A:C,3,0)</f>
        <v>PJ</v>
      </c>
      <c r="J88" s="73" t="s">
        <v>794</v>
      </c>
      <c r="K88" s="267">
        <f>SUMIFS(Tabla4[Sub Total],Tabla4[Codigo],Tabla2[[#This Row],[Cod]])</f>
        <v>560000</v>
      </c>
      <c r="L88" s="262">
        <f>SUMPRODUCT((Tabla4[Codigo]=Tabla2[[#This Row],[Cod]])*1,Tabla4[IVA])</f>
        <v>106400</v>
      </c>
      <c r="M88" s="262">
        <f>SUMIFS(Tabla4[Total],Tabla4[Codigo],Tabla2[[#This Row],[Cod]])</f>
        <v>666400</v>
      </c>
      <c r="N88" s="278">
        <f>SUMPRODUCT((Tabla1[Codigo]=Tabla2[[#This Row],[Cod]])*1,Tabla1[Valor])</f>
        <v>604800</v>
      </c>
      <c r="O88" s="265">
        <f>IF(AND(Tabla2[[#This Row],[Estado]]="ok",LEFT(Tabla2[[#This Row],['# Factura]],3)="TIS"),Tabla2[[#This Row],[TOTAL]]-Tabla2[[#This Row],[pagado]],0)</f>
        <v>0</v>
      </c>
      <c r="P88" s="262">
        <f>Tabla2[[#This Row],[TOTAL]]-Tabla2[[#This Row],[Valor pago]]</f>
        <v>61600</v>
      </c>
      <c r="Q88" s="265">
        <f>IF(Tabla2[[#This Row],[Saldo]]=0,0,IF(Tabla2[[#This Row],[Tipo cliente]]="PJ",Tabla2[[#This Row],[SUBTOTAL]]*11%,0))</f>
        <v>61600</v>
      </c>
      <c r="R88" s="276">
        <f>IF(Tabla2[[#This Row],[Saldo]]=0,0,IF(Tabla2[[#This Row],[Tipo cliente]]="PJ",Tabla2[[#This Row],[SUBTOTAL]]*0.966%,0))</f>
        <v>5409.6</v>
      </c>
      <c r="S88" s="276">
        <f>IF(Tabla2[[#This Row],[Retiene IVA]]="S",Tabla2[[#This Row],[IVA]]*0.15,0)</f>
        <v>0</v>
      </c>
      <c r="T88" s="265">
        <f>+Tabla2[[#This Row],[Saldo]]-Tabla2[[#This Row],[Rete fte]]-Tabla2[[#This Row],[rete ica]]-Tabla2[[#This Row],[Rete IVA]]</f>
        <v>-5409.6</v>
      </c>
      <c r="U8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666400</v>
      </c>
      <c r="W88">
        <f>IF(Tabla2[[#This Row],[Fecha F.E.]]="","",YEAR(Tabla2[[#This Row],[Fecha F.E.]]))</f>
        <v>2021</v>
      </c>
      <c r="X88" s="23">
        <f>IF(Tabla2[[#This Row],[Fecha]]="","",YEAR(Tabla2[[#This Row],[Fecha]]))</f>
        <v>2021</v>
      </c>
    </row>
    <row r="89" spans="1:24" ht="26.25" x14ac:dyDescent="0.25">
      <c r="A89" s="3">
        <v>89</v>
      </c>
      <c r="B89" s="77" t="s">
        <v>949</v>
      </c>
      <c r="C89" s="360">
        <v>44544</v>
      </c>
      <c r="D89" s="76" t="s">
        <v>950</v>
      </c>
      <c r="E89" s="360">
        <v>44558</v>
      </c>
      <c r="F89" s="78" t="s">
        <v>231</v>
      </c>
      <c r="G89" s="85">
        <v>900813505</v>
      </c>
      <c r="H89" s="177" t="str">
        <f>VLOOKUP(Tabla2[[#This Row],[NIT]],Clientes!A:C,2,0)</f>
        <v xml:space="preserve">ASOCIACION RED DE DEFENSORES Y DEFENSORAS DE DERECHOS HUMANOS </v>
      </c>
      <c r="I89" s="77" t="str">
        <f>VLOOKUP(Tabla2[[#This Row],[NIT]],Clientes!A:C,3,0)</f>
        <v>PJ</v>
      </c>
      <c r="J89" s="73" t="s">
        <v>794</v>
      </c>
      <c r="K89" s="267">
        <f>SUMIFS(Tabla4[Sub Total],Tabla4[Codigo],Tabla2[[#This Row],[Cod]])</f>
        <v>2200000</v>
      </c>
      <c r="L89" s="262">
        <f>SUMPRODUCT((Tabla4[Codigo]=Tabla2[[#This Row],[Cod]])*1,Tabla4[IVA])</f>
        <v>418000</v>
      </c>
      <c r="M89" s="262">
        <f>SUMIFS(Tabla4[Total],Tabla4[Codigo],Tabla2[[#This Row],[Cod]])</f>
        <v>2618000</v>
      </c>
      <c r="N89" s="278">
        <f>SUMPRODUCT((Tabla1[Codigo]=Tabla2[[#This Row],[Cod]])*1,Tabla1[Valor])</f>
        <v>2376000</v>
      </c>
      <c r="O89" s="265">
        <f>IF(AND(Tabla2[[#This Row],[Estado]]="ok",LEFT(Tabla2[[#This Row],['# Factura]],3)="TIS"),Tabla2[[#This Row],[TOTAL]]-Tabla2[[#This Row],[pagado]],0)</f>
        <v>0</v>
      </c>
      <c r="P89" s="262">
        <f>Tabla2[[#This Row],[TOTAL]]-Tabla2[[#This Row],[Valor pago]]</f>
        <v>242000</v>
      </c>
      <c r="Q89" s="265">
        <f>IF(Tabla2[[#This Row],[Saldo]]=0,0,IF(Tabla2[[#This Row],[Tipo cliente]]="PJ",Tabla2[[#This Row],[SUBTOTAL]]*11%,0))</f>
        <v>242000</v>
      </c>
      <c r="R89" s="276">
        <f>IF(Tabla2[[#This Row],[Saldo]]=0,0,IF(Tabla2[[#This Row],[Tipo cliente]]="PJ",Tabla2[[#This Row],[SUBTOTAL]]*0.966%,0))</f>
        <v>21252</v>
      </c>
      <c r="S89" s="276">
        <f>IF(Tabla2[[#This Row],[Retiene IVA]]="S",Tabla2[[#This Row],[IVA]]*0.15,0)</f>
        <v>0</v>
      </c>
      <c r="T89" s="265">
        <f>+Tabla2[[#This Row],[Saldo]]-Tabla2[[#This Row],[Rete fte]]-Tabla2[[#This Row],[rete ica]]-Tabla2[[#This Row],[Rete IVA]]</f>
        <v>-21252</v>
      </c>
      <c r="U8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2618000</v>
      </c>
      <c r="W89">
        <f>IF(Tabla2[[#This Row],[Fecha F.E.]]="","",YEAR(Tabla2[[#This Row],[Fecha F.E.]]))</f>
        <v>2021</v>
      </c>
      <c r="X89" s="23">
        <f>IF(Tabla2[[#This Row],[Fecha]]="","",YEAR(Tabla2[[#This Row],[Fecha]]))</f>
        <v>2021</v>
      </c>
    </row>
    <row r="90" spans="1:24" x14ac:dyDescent="0.25">
      <c r="A90" s="3">
        <v>90</v>
      </c>
      <c r="B90" s="77" t="s">
        <v>951</v>
      </c>
      <c r="C90" s="360">
        <v>44544</v>
      </c>
      <c r="D90" s="76" t="s">
        <v>952</v>
      </c>
      <c r="E90" s="360">
        <v>44653</v>
      </c>
      <c r="F90" s="78" t="s">
        <v>231</v>
      </c>
      <c r="G90" s="85">
        <v>800054239</v>
      </c>
      <c r="H90" s="177" t="str">
        <f>VLOOKUP(Tabla2[[#This Row],[NIT]],Clientes!A:C,2,0)</f>
        <v>SERVIPETROLEOS S.A.S</v>
      </c>
      <c r="I90" s="77" t="str">
        <f>VLOOKUP(Tabla2[[#This Row],[NIT]],Clientes!A:C,3,0)</f>
        <v>PJ</v>
      </c>
      <c r="J90" s="73" t="s">
        <v>794</v>
      </c>
      <c r="K90" s="267">
        <f>SUMIFS(Tabla4[Sub Total],Tabla4[Codigo],Tabla2[[#This Row],[Cod]])</f>
        <v>525000</v>
      </c>
      <c r="L90" s="262">
        <f>SUMPRODUCT((Tabla4[Codigo]=Tabla2[[#This Row],[Cod]])*1,Tabla4[IVA])</f>
        <v>99750</v>
      </c>
      <c r="M90" s="262">
        <f>SUMIFS(Tabla4[Total],Tabla4[Codigo],Tabla2[[#This Row],[Cod]])</f>
        <v>624750</v>
      </c>
      <c r="N90" s="278">
        <f>SUMPRODUCT((Tabla1[Codigo]=Tabla2[[#This Row],[Cod]])*1,Tabla1[Valor])</f>
        <v>567000</v>
      </c>
      <c r="O90" s="265">
        <f>IF(AND(Tabla2[[#This Row],[Estado]]="ok",LEFT(Tabla2[[#This Row],['# Factura]],3)="TIS"),Tabla2[[#This Row],[TOTAL]]-Tabla2[[#This Row],[pagado]],0)</f>
        <v>0</v>
      </c>
      <c r="P90" s="262">
        <f>Tabla2[[#This Row],[TOTAL]]-Tabla2[[#This Row],[Valor pago]]</f>
        <v>57750</v>
      </c>
      <c r="Q90" s="265">
        <f>IF(Tabla2[[#This Row],[Saldo]]=0,0,IF(Tabla2[[#This Row],[Tipo cliente]]="PJ",Tabla2[[#This Row],[SUBTOTAL]]*11%,0))</f>
        <v>57750</v>
      </c>
      <c r="R90" s="276">
        <f>IF(Tabla2[[#This Row],[Saldo]]=0,0,IF(Tabla2[[#This Row],[Tipo cliente]]="PJ",Tabla2[[#This Row],[SUBTOTAL]]*0.966%,0))</f>
        <v>5071.5</v>
      </c>
      <c r="S90" s="276">
        <f>IF(Tabla2[[#This Row],[Retiene IVA]]="S",Tabla2[[#This Row],[IVA]]*0.15,0)</f>
        <v>0</v>
      </c>
      <c r="T90" s="265">
        <f>+Tabla2[[#This Row],[Saldo]]-Tabla2[[#This Row],[Rete fte]]-Tabla2[[#This Row],[rete ica]]-Tabla2[[#This Row],[Rete IVA]]</f>
        <v>-5071.5</v>
      </c>
      <c r="U9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624750</v>
      </c>
      <c r="W90">
        <f>IF(Tabla2[[#This Row],[Fecha F.E.]]="","",YEAR(Tabla2[[#This Row],[Fecha F.E.]]))</f>
        <v>2022</v>
      </c>
      <c r="X90" s="23">
        <f>IF(Tabla2[[#This Row],[Fecha]]="","",YEAR(Tabla2[[#This Row],[Fecha]]))</f>
        <v>2021</v>
      </c>
    </row>
    <row r="91" spans="1:24" x14ac:dyDescent="0.25">
      <c r="A91" s="3">
        <v>91</v>
      </c>
      <c r="B91" s="77" t="s">
        <v>953</v>
      </c>
      <c r="C91" s="360">
        <v>44547</v>
      </c>
      <c r="D91" s="76" t="s">
        <v>954</v>
      </c>
      <c r="E91" s="360">
        <v>44547</v>
      </c>
      <c r="F91" s="78" t="s">
        <v>231</v>
      </c>
      <c r="G91" s="85">
        <v>830135167</v>
      </c>
      <c r="H91" s="177" t="str">
        <f>VLOOKUP(Tabla2[[#This Row],[NIT]],Clientes!A:C,2,0)</f>
        <v>PROYECTO COLOMBIA DIVERSA</v>
      </c>
      <c r="I91" s="77" t="str">
        <f>VLOOKUP(Tabla2[[#This Row],[NIT]],Clientes!A:C,3,0)</f>
        <v>PJ</v>
      </c>
      <c r="J91" s="73" t="s">
        <v>794</v>
      </c>
      <c r="K91" s="267">
        <f>SUMIFS(Tabla4[Sub Total],Tabla4[Codigo],Tabla2[[#This Row],[Cod]])</f>
        <v>575000</v>
      </c>
      <c r="L91" s="262">
        <f>SUMPRODUCT((Tabla4[Codigo]=Tabla2[[#This Row],[Cod]])*1,Tabla4[IVA])</f>
        <v>109250</v>
      </c>
      <c r="M91" s="262">
        <f>SUMIFS(Tabla4[Total],Tabla4[Codigo],Tabla2[[#This Row],[Cod]])</f>
        <v>684250</v>
      </c>
      <c r="N91" s="278">
        <f>SUMPRODUCT((Tabla1[Codigo]=Tabla2[[#This Row],[Cod]])*1,Tabla1[Valor])</f>
        <v>621000</v>
      </c>
      <c r="O91" s="265">
        <f>IF(AND(Tabla2[[#This Row],[Estado]]="ok",LEFT(Tabla2[[#This Row],['# Factura]],3)="TIS"),Tabla2[[#This Row],[TOTAL]]-Tabla2[[#This Row],[pagado]],0)</f>
        <v>0</v>
      </c>
      <c r="P91" s="262">
        <f>Tabla2[[#This Row],[TOTAL]]-Tabla2[[#This Row],[Valor pago]]</f>
        <v>63250</v>
      </c>
      <c r="Q91" s="265">
        <f>IF(Tabla2[[#This Row],[Saldo]]=0,0,IF(Tabla2[[#This Row],[Tipo cliente]]="PJ",Tabla2[[#This Row],[SUBTOTAL]]*11%,0))</f>
        <v>63250</v>
      </c>
      <c r="R91" s="276">
        <f>IF(Tabla2[[#This Row],[Saldo]]=0,0,IF(Tabla2[[#This Row],[Tipo cliente]]="PJ",Tabla2[[#This Row],[SUBTOTAL]]*0.966%,0))</f>
        <v>5554.5</v>
      </c>
      <c r="S91" s="276">
        <f>IF(Tabla2[[#This Row],[Retiene IVA]]="S",Tabla2[[#This Row],[IVA]]*0.15,0)</f>
        <v>0</v>
      </c>
      <c r="T91" s="265">
        <f>+Tabla2[[#This Row],[Saldo]]-Tabla2[[#This Row],[Rete fte]]-Tabla2[[#This Row],[rete ica]]-Tabla2[[#This Row],[Rete IVA]]</f>
        <v>-5554.5</v>
      </c>
      <c r="U9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684250</v>
      </c>
      <c r="W91">
        <f>IF(Tabla2[[#This Row],[Fecha F.E.]]="","",YEAR(Tabla2[[#This Row],[Fecha F.E.]]))</f>
        <v>2021</v>
      </c>
      <c r="X91" s="23">
        <f>IF(Tabla2[[#This Row],[Fecha]]="","",YEAR(Tabla2[[#This Row],[Fecha]]))</f>
        <v>2021</v>
      </c>
    </row>
    <row r="92" spans="1:24" x14ac:dyDescent="0.25">
      <c r="A92" s="3">
        <v>92</v>
      </c>
      <c r="B92" s="77" t="s">
        <v>955</v>
      </c>
      <c r="C92" s="360">
        <v>44550</v>
      </c>
      <c r="D92" s="76" t="s">
        <v>956</v>
      </c>
      <c r="E92" s="360">
        <v>44550</v>
      </c>
      <c r="F92" s="78" t="s">
        <v>231</v>
      </c>
      <c r="G92" s="85">
        <v>800182918</v>
      </c>
      <c r="H92" s="177" t="str">
        <f>VLOOKUP(Tabla2[[#This Row],[NIT]],Clientes!A:C,2,0)</f>
        <v>RENAL MEDICAL MARKETING LIMITADA</v>
      </c>
      <c r="I92" s="77" t="str">
        <f>VLOOKUP(Tabla2[[#This Row],[NIT]],Clientes!A:C,3,0)</f>
        <v>PJ</v>
      </c>
      <c r="J92" s="73" t="s">
        <v>794</v>
      </c>
      <c r="K92" s="267">
        <f>SUMIFS(Tabla4[Sub Total],Tabla4[Codigo],Tabla2[[#This Row],[Cod]])</f>
        <v>450000</v>
      </c>
      <c r="L92" s="262">
        <f>SUMPRODUCT((Tabla4[Codigo]=Tabla2[[#This Row],[Cod]])*1,Tabla4[IVA])</f>
        <v>85500</v>
      </c>
      <c r="M92" s="262">
        <f>SUMIFS(Tabla4[Total],Tabla4[Codigo],Tabla2[[#This Row],[Cod]])</f>
        <v>535500</v>
      </c>
      <c r="N92" s="278">
        <f>SUMPRODUCT((Tabla1[Codigo]=Tabla2[[#This Row],[Cod]])*1,Tabla1[Valor])</f>
        <v>486000</v>
      </c>
      <c r="O92" s="265">
        <f>IF(AND(Tabla2[[#This Row],[Estado]]="ok",LEFT(Tabla2[[#This Row],['# Factura]],3)="TIS"),Tabla2[[#This Row],[TOTAL]]-Tabla2[[#This Row],[pagado]],0)</f>
        <v>0</v>
      </c>
      <c r="P92" s="262">
        <f>Tabla2[[#This Row],[TOTAL]]-Tabla2[[#This Row],[Valor pago]]</f>
        <v>49500</v>
      </c>
      <c r="Q92" s="265">
        <f>IF(Tabla2[[#This Row],[Saldo]]=0,0,IF(Tabla2[[#This Row],[Tipo cliente]]="PJ",Tabla2[[#This Row],[SUBTOTAL]]*11%,0))</f>
        <v>49500</v>
      </c>
      <c r="R92" s="276">
        <f>IF(Tabla2[[#This Row],[Saldo]]=0,0,IF(Tabla2[[#This Row],[Tipo cliente]]="PJ",Tabla2[[#This Row],[SUBTOTAL]]*0.966%,0))</f>
        <v>4347</v>
      </c>
      <c r="S92" s="276">
        <f>IF(Tabla2[[#This Row],[Retiene IVA]]="S",Tabla2[[#This Row],[IVA]]*0.15,0)</f>
        <v>0</v>
      </c>
      <c r="T92" s="265">
        <f>+Tabla2[[#This Row],[Saldo]]-Tabla2[[#This Row],[Rete fte]]-Tabla2[[#This Row],[rete ica]]-Tabla2[[#This Row],[Rete IVA]]</f>
        <v>-4347</v>
      </c>
      <c r="U9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535500</v>
      </c>
      <c r="W92">
        <f>IF(Tabla2[[#This Row],[Fecha F.E.]]="","",YEAR(Tabla2[[#This Row],[Fecha F.E.]]))</f>
        <v>2021</v>
      </c>
      <c r="X92" s="23">
        <f>IF(Tabla2[[#This Row],[Fecha]]="","",YEAR(Tabla2[[#This Row],[Fecha]]))</f>
        <v>2021</v>
      </c>
    </row>
    <row r="93" spans="1:24" x14ac:dyDescent="0.25">
      <c r="A93" s="3">
        <v>93</v>
      </c>
      <c r="B93" s="77" t="s">
        <v>957</v>
      </c>
      <c r="C93" s="360">
        <v>44550</v>
      </c>
      <c r="D93" s="76" t="s">
        <v>958</v>
      </c>
      <c r="E93" s="360">
        <v>44699</v>
      </c>
      <c r="F93" s="78" t="s">
        <v>231</v>
      </c>
      <c r="G93" s="85">
        <v>830086023</v>
      </c>
      <c r="H93" s="177" t="str">
        <f>VLOOKUP(Tabla2[[#This Row],[NIT]],Clientes!A:C,2,0)</f>
        <v>SEQ CONSULTORES LTDA</v>
      </c>
      <c r="I93" s="77" t="str">
        <f>VLOOKUP(Tabla2[[#This Row],[NIT]],Clientes!A:C,3,0)</f>
        <v>PJ</v>
      </c>
      <c r="J93" s="73" t="s">
        <v>794</v>
      </c>
      <c r="K93" s="267">
        <f>SUMIFS(Tabla4[Sub Total],Tabla4[Codigo],Tabla2[[#This Row],[Cod]])</f>
        <v>5616000</v>
      </c>
      <c r="L93" s="262">
        <f>SUMPRODUCT((Tabla4[Codigo]=Tabla2[[#This Row],[Cod]])*1,Tabla4[IVA])</f>
        <v>1067040</v>
      </c>
      <c r="M93" s="262">
        <f>SUMIFS(Tabla4[Total],Tabla4[Codigo],Tabla2[[#This Row],[Cod]])</f>
        <v>6683040</v>
      </c>
      <c r="N93" s="278">
        <f>SUMPRODUCT((Tabla1[Codigo]=Tabla2[[#This Row],[Cod]])*1,Tabla1[Valor])</f>
        <v>6409705</v>
      </c>
      <c r="O93" s="265">
        <f>IF(AND(Tabla2[[#This Row],[Estado]]="ok",LEFT(Tabla2[[#This Row],['# Factura]],3)="TIS"),Tabla2[[#This Row],[TOTAL]]-Tabla2[[#This Row],[pagado]],0)</f>
        <v>0</v>
      </c>
      <c r="P93" s="262">
        <f>Tabla2[[#This Row],[TOTAL]]-Tabla2[[#This Row],[Valor pago]]</f>
        <v>273335</v>
      </c>
      <c r="Q93" s="265">
        <f>IF(Tabla2[[#This Row],[Saldo]]=0,0,IF(Tabla2[[#This Row],[Tipo cliente]]="PJ",Tabla2[[#This Row],[SUBTOTAL]]*11%,0))</f>
        <v>617760</v>
      </c>
      <c r="R93" s="276">
        <f>IF(Tabla2[[#This Row],[Saldo]]=0,0,IF(Tabla2[[#This Row],[Tipo cliente]]="PJ",Tabla2[[#This Row],[SUBTOTAL]]*0.966%,0))</f>
        <v>54250.559999999998</v>
      </c>
      <c r="S93" s="276">
        <f>IF(Tabla2[[#This Row],[Retiene IVA]]="S",Tabla2[[#This Row],[IVA]]*0.15,0)</f>
        <v>0</v>
      </c>
      <c r="T93" s="265">
        <f>+Tabla2[[#This Row],[Saldo]]-Tabla2[[#This Row],[Rete fte]]-Tabla2[[#This Row],[rete ica]]-Tabla2[[#This Row],[Rete IVA]]</f>
        <v>-398675.56</v>
      </c>
      <c r="U9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6683040</v>
      </c>
      <c r="W93">
        <f>IF(Tabla2[[#This Row],[Fecha F.E.]]="","",YEAR(Tabla2[[#This Row],[Fecha F.E.]]))</f>
        <v>2022</v>
      </c>
      <c r="X93" s="23">
        <f>IF(Tabla2[[#This Row],[Fecha]]="","",YEAR(Tabla2[[#This Row],[Fecha]]))</f>
        <v>2021</v>
      </c>
    </row>
    <row r="94" spans="1:24" ht="30" x14ac:dyDescent="0.25">
      <c r="A94" s="3">
        <v>94</v>
      </c>
      <c r="B94" s="77" t="s">
        <v>959</v>
      </c>
      <c r="C94" s="360">
        <v>44593</v>
      </c>
      <c r="D94" s="76" t="s">
        <v>960</v>
      </c>
      <c r="E94" s="360">
        <v>44610</v>
      </c>
      <c r="F94" s="78" t="s">
        <v>231</v>
      </c>
      <c r="G94" s="85">
        <v>900579862</v>
      </c>
      <c r="H94" s="177" t="str">
        <f>VLOOKUP(Tabla2[[#This Row],[NIT]],Clientes!A:C,2,0)</f>
        <v>PILYQ COLOMBIA S.A.S.</v>
      </c>
      <c r="I94" s="77" t="str">
        <f>VLOOKUP(Tabla2[[#This Row],[NIT]],Clientes!A:C,3,0)</f>
        <v>PJ</v>
      </c>
      <c r="J94" s="73" t="s">
        <v>794</v>
      </c>
      <c r="K94" s="267">
        <f>SUMIFS(Tabla4[Sub Total],Tabla4[Codigo],Tabla2[[#This Row],[Cod]])</f>
        <v>1050000</v>
      </c>
      <c r="L94" s="262">
        <f>SUMPRODUCT((Tabla4[Codigo]=Tabla2[[#This Row],[Cod]])*1,Tabla4[IVA])</f>
        <v>199500</v>
      </c>
      <c r="M94" s="262">
        <f>SUMIFS(Tabla4[Total],Tabla4[Codigo],Tabla2[[#This Row],[Cod]])</f>
        <v>1249500</v>
      </c>
      <c r="N94" s="278">
        <f>SUMPRODUCT((Tabla1[Codigo]=Tabla2[[#This Row],[Cod]])*1,Tabla1[Valor])</f>
        <v>1134000</v>
      </c>
      <c r="O94" s="265">
        <f>IF(AND(Tabla2[[#This Row],[Estado]]="ok",LEFT(Tabla2[[#This Row],['# Factura]],3)="TIS"),Tabla2[[#This Row],[TOTAL]]-Tabla2[[#This Row],[pagado]],0)</f>
        <v>0</v>
      </c>
      <c r="P94" s="262">
        <f>Tabla2[[#This Row],[TOTAL]]-Tabla2[[#This Row],[Valor pago]]</f>
        <v>115500</v>
      </c>
      <c r="Q94" s="265">
        <f>IF(Tabla2[[#This Row],[Saldo]]=0,0,IF(Tabla2[[#This Row],[Tipo cliente]]="PJ",Tabla2[[#This Row],[SUBTOTAL]]*11%,0))</f>
        <v>115500</v>
      </c>
      <c r="R94" s="276">
        <f>IF(Tabla2[[#This Row],[Saldo]]=0,0,IF(Tabla2[[#This Row],[Tipo cliente]]="PJ",Tabla2[[#This Row],[SUBTOTAL]]*0.966%,0))</f>
        <v>10143</v>
      </c>
      <c r="S94" s="276">
        <f>IF(Tabla2[[#This Row],[Retiene IVA]]="S",Tabla2[[#This Row],[IVA]]*0.15,0)</f>
        <v>0</v>
      </c>
      <c r="T94" s="265">
        <f>+Tabla2[[#This Row],[Saldo]]-Tabla2[[#This Row],[Rete fte]]-Tabla2[[#This Row],[rete ica]]-Tabla2[[#This Row],[Rete IVA]]</f>
        <v>-10143</v>
      </c>
      <c r="U9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1249500</v>
      </c>
      <c r="V94" s="23" t="s">
        <v>961</v>
      </c>
      <c r="W94">
        <f>IF(Tabla2[[#This Row],[Fecha F.E.]]="","",YEAR(Tabla2[[#This Row],[Fecha F.E.]]))</f>
        <v>2022</v>
      </c>
      <c r="X94" s="23">
        <f>IF(Tabla2[[#This Row],[Fecha]]="","",YEAR(Tabla2[[#This Row],[Fecha]]))</f>
        <v>2022</v>
      </c>
    </row>
    <row r="95" spans="1:24" x14ac:dyDescent="0.25">
      <c r="A95" s="3">
        <v>95</v>
      </c>
      <c r="B95" s="77" t="s">
        <v>962</v>
      </c>
      <c r="C95" s="360">
        <v>44559</v>
      </c>
      <c r="D95" s="76" t="s">
        <v>924</v>
      </c>
      <c r="E95" s="360">
        <v>44600</v>
      </c>
      <c r="F95" s="78" t="s">
        <v>231</v>
      </c>
      <c r="G95" s="85">
        <v>901030518</v>
      </c>
      <c r="H95" s="177" t="str">
        <f>VLOOKUP(Tabla2[[#This Row],[NIT]],Clientes!A:C,2,0)</f>
        <v>Inversiones Sajamib SAS</v>
      </c>
      <c r="I95" s="77" t="str">
        <f>VLOOKUP(Tabla2[[#This Row],[NIT]],Clientes!A:C,3,0)</f>
        <v>PJ</v>
      </c>
      <c r="J95" s="73" t="s">
        <v>794</v>
      </c>
      <c r="K95" s="267">
        <f>SUMIFS(Tabla4[Sub Total],Tabla4[Codigo],Tabla2[[#This Row],[Cod]])</f>
        <v>322000</v>
      </c>
      <c r="L95" s="262">
        <f>SUMPRODUCT((Tabla4[Codigo]=Tabla2[[#This Row],[Cod]])*1,Tabla4[IVA])</f>
        <v>0</v>
      </c>
      <c r="M95" s="262">
        <f>SUMIFS(Tabla4[Total],Tabla4[Codigo],Tabla2[[#This Row],[Cod]])</f>
        <v>322000</v>
      </c>
      <c r="N95" s="278">
        <f>SUMPRODUCT((Tabla1[Codigo]=Tabla2[[#This Row],[Cod]])*1,Tabla1[Valor])</f>
        <v>306010</v>
      </c>
      <c r="O95" s="265">
        <f>IF(AND(Tabla2[[#This Row],[Estado]]="ok",LEFT(Tabla2[[#This Row],['# Factura]],3)="TIS"),Tabla2[[#This Row],[TOTAL]]-Tabla2[[#This Row],[pagado]],0)</f>
        <v>0</v>
      </c>
      <c r="P95" s="262">
        <f>Tabla2[[#This Row],[TOTAL]]-Tabla2[[#This Row],[Valor pago]]</f>
        <v>15990</v>
      </c>
      <c r="Q95" s="265">
        <f>IF(Tabla2[[#This Row],[Saldo]]=0,0,IF(Tabla2[[#This Row],[Tipo cliente]]="PJ",Tabla2[[#This Row],[SUBTOTAL]]*11%,0))</f>
        <v>35420</v>
      </c>
      <c r="R95" s="276">
        <f>IF(Tabla2[[#This Row],[Saldo]]=0,0,IF(Tabla2[[#This Row],[Tipo cliente]]="PJ",Tabla2[[#This Row],[SUBTOTAL]]*0.966%,0))</f>
        <v>3110.52</v>
      </c>
      <c r="S95" s="276">
        <f>IF(Tabla2[[#This Row],[Retiene IVA]]="S",Tabla2[[#This Row],[IVA]]*0.15,0)</f>
        <v>0</v>
      </c>
      <c r="T95" s="265">
        <f>+Tabla2[[#This Row],[Saldo]]-Tabla2[[#This Row],[Rete fte]]-Tabla2[[#This Row],[rete ica]]-Tabla2[[#This Row],[Rete IVA]]</f>
        <v>-22540.52</v>
      </c>
      <c r="U9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322000</v>
      </c>
      <c r="W95">
        <f>IF(Tabla2[[#This Row],[Fecha F.E.]]="","",YEAR(Tabla2[[#This Row],[Fecha F.E.]]))</f>
        <v>2022</v>
      </c>
      <c r="X95" s="23">
        <f>IF(Tabla2[[#This Row],[Fecha]]="","",YEAR(Tabla2[[#This Row],[Fecha]]))</f>
        <v>2021</v>
      </c>
    </row>
    <row r="96" spans="1:24" ht="26.25" x14ac:dyDescent="0.25">
      <c r="A96" s="3">
        <v>96</v>
      </c>
      <c r="B96" s="77" t="s">
        <v>963</v>
      </c>
      <c r="C96" s="360">
        <v>44590</v>
      </c>
      <c r="D96" s="76" t="s">
        <v>964</v>
      </c>
      <c r="E96" s="360">
        <v>44590</v>
      </c>
      <c r="F96" s="78" t="s">
        <v>231</v>
      </c>
      <c r="G96" s="85">
        <v>900396116</v>
      </c>
      <c r="H96" s="177" t="str">
        <f>VLOOKUP(Tabla2[[#This Row],[NIT]],Clientes!A:C,2,0)</f>
        <v>PRODUCTORA INTERAMERICANA DE PLASTICOS S.A.S.</v>
      </c>
      <c r="I96" s="77" t="str">
        <f>VLOOKUP(Tabla2[[#This Row],[NIT]],Clientes!A:C,3,0)</f>
        <v>PJ</v>
      </c>
      <c r="J96" s="73" t="s">
        <v>794</v>
      </c>
      <c r="K96" s="267">
        <f>SUMIFS(Tabla4[Sub Total],Tabla4[Codigo],Tabla2[[#This Row],[Cod]])</f>
        <v>200000</v>
      </c>
      <c r="L96" s="262">
        <f>SUMPRODUCT((Tabla4[Codigo]=Tabla2[[#This Row],[Cod]])*1,Tabla4[IVA])</f>
        <v>38000</v>
      </c>
      <c r="M96" s="262">
        <f>SUMIFS(Tabla4[Total],Tabla4[Codigo],Tabla2[[#This Row],[Cod]])</f>
        <v>238000</v>
      </c>
      <c r="N96" s="278">
        <f>SUMPRODUCT((Tabla1[Codigo]=Tabla2[[#This Row],[Cod]])*1,Tabla1[Valor])</f>
        <v>214068</v>
      </c>
      <c r="O96" s="265">
        <f>IF(AND(Tabla2[[#This Row],[Estado]]="ok",LEFT(Tabla2[[#This Row],['# Factura]],3)="TIS"),Tabla2[[#This Row],[TOTAL]]-Tabla2[[#This Row],[pagado]],0)</f>
        <v>0</v>
      </c>
      <c r="P96" s="262">
        <f>Tabla2[[#This Row],[TOTAL]]-Tabla2[[#This Row],[Valor pago]]</f>
        <v>23932</v>
      </c>
      <c r="Q96" s="265">
        <f>IF(Tabla2[[#This Row],[Saldo]]=0,0,IF(Tabla2[[#This Row],[Tipo cliente]]="PJ",Tabla2[[#This Row],[SUBTOTAL]]*11%,0))</f>
        <v>22000</v>
      </c>
      <c r="R96" s="276">
        <f>IF(Tabla2[[#This Row],[Saldo]]=0,0,IF(Tabla2[[#This Row],[Tipo cliente]]="PJ",Tabla2[[#This Row],[SUBTOTAL]]*0.966%,0))</f>
        <v>1932</v>
      </c>
      <c r="S96" s="276">
        <f>IF(Tabla2[[#This Row],[Retiene IVA]]="S",Tabla2[[#This Row],[IVA]]*0.15,0)</f>
        <v>0</v>
      </c>
      <c r="T96" s="265">
        <f>+Tabla2[[#This Row],[Saldo]]-Tabla2[[#This Row],[Rete fte]]-Tabla2[[#This Row],[rete ica]]-Tabla2[[#This Row],[Rete IVA]]</f>
        <v>0</v>
      </c>
      <c r="U9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238000</v>
      </c>
      <c r="W96">
        <f>IF(Tabla2[[#This Row],[Fecha F.E.]]="","",YEAR(Tabla2[[#This Row],[Fecha F.E.]]))</f>
        <v>2022</v>
      </c>
      <c r="X96" s="23">
        <f>IF(Tabla2[[#This Row],[Fecha]]="","",YEAR(Tabla2[[#This Row],[Fecha]]))</f>
        <v>2022</v>
      </c>
    </row>
    <row r="97" spans="1:24" x14ac:dyDescent="0.25">
      <c r="A97" s="3">
        <v>97</v>
      </c>
      <c r="B97" s="77" t="s">
        <v>965</v>
      </c>
      <c r="C97" s="360">
        <v>44593</v>
      </c>
      <c r="D97" s="187" t="s">
        <v>966</v>
      </c>
      <c r="E97" s="188">
        <v>44607</v>
      </c>
      <c r="F97" s="78" t="s">
        <v>231</v>
      </c>
      <c r="G97" s="85">
        <v>811012461</v>
      </c>
      <c r="H97" s="177" t="str">
        <f>VLOOKUP(Tabla2[[#This Row],[NIT]],Clientes!A:C,2,0)</f>
        <v>Procesos 2000 S.A.S.</v>
      </c>
      <c r="I97" s="77" t="str">
        <f>VLOOKUP(Tabla2[[#This Row],[NIT]],Clientes!A:C,3,0)</f>
        <v>PJ</v>
      </c>
      <c r="J97" s="73" t="s">
        <v>794</v>
      </c>
      <c r="K97" s="267">
        <f>SUMIFS(Tabla4[Sub Total],Tabla4[Codigo],Tabla2[[#This Row],[Cod]])</f>
        <v>2760000</v>
      </c>
      <c r="L97" s="262">
        <f>SUMPRODUCT((Tabla4[Codigo]=Tabla2[[#This Row],[Cod]])*1,Tabla4[IVA])</f>
        <v>524400</v>
      </c>
      <c r="M97" s="262">
        <f>SUMIFS(Tabla4[Total],Tabla4[Codigo],Tabla2[[#This Row],[Cod]])</f>
        <v>3284400</v>
      </c>
      <c r="N97" s="278">
        <f>SUMPRODUCT((Tabla1[Codigo]=Tabla2[[#This Row],[Cod]])*1,Tabla1[Valor])</f>
        <v>2980800</v>
      </c>
      <c r="O97" s="265">
        <f>IF(AND(Tabla2[[#This Row],[Estado]]="ok",LEFT(Tabla2[[#This Row],['# Factura]],3)="TIS"),Tabla2[[#This Row],[TOTAL]]-Tabla2[[#This Row],[pagado]],0)</f>
        <v>0</v>
      </c>
      <c r="P97" s="262">
        <f>Tabla2[[#This Row],[TOTAL]]-Tabla2[[#This Row],[Valor pago]]</f>
        <v>303600</v>
      </c>
      <c r="Q97" s="265">
        <f>IF(Tabla2[[#This Row],[Saldo]]=0,0,IF(Tabla2[[#This Row],[Tipo cliente]]="PJ",Tabla2[[#This Row],[SUBTOTAL]]*11%,0))</f>
        <v>303600</v>
      </c>
      <c r="R97" s="276">
        <f>IF(Tabla2[[#This Row],[Saldo]]=0,0,IF(Tabla2[[#This Row],[Tipo cliente]]="PJ",Tabla2[[#This Row],[SUBTOTAL]]*0.966%,0))</f>
        <v>26661.600000000002</v>
      </c>
      <c r="S97" s="276">
        <f>IF(Tabla2[[#This Row],[Retiene IVA]]="S",Tabla2[[#This Row],[IVA]]*0.15,0)</f>
        <v>0</v>
      </c>
      <c r="T97" s="265">
        <f>+Tabla2[[#This Row],[Saldo]]-Tabla2[[#This Row],[Rete fte]]-Tabla2[[#This Row],[rete ica]]-Tabla2[[#This Row],[Rete IVA]]</f>
        <v>-26661.600000000002</v>
      </c>
      <c r="U9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3284400</v>
      </c>
      <c r="W97">
        <f>IF(Tabla2[[#This Row],[Fecha F.E.]]="","",YEAR(Tabla2[[#This Row],[Fecha F.E.]]))</f>
        <v>2022</v>
      </c>
      <c r="X97" s="23">
        <f>IF(Tabla2[[#This Row],[Fecha]]="","",YEAR(Tabla2[[#This Row],[Fecha]]))</f>
        <v>2022</v>
      </c>
    </row>
    <row r="98" spans="1:24" x14ac:dyDescent="0.25">
      <c r="A98" s="3">
        <v>98</v>
      </c>
      <c r="B98" s="77" t="s">
        <v>967</v>
      </c>
      <c r="C98" s="360">
        <v>44593</v>
      </c>
      <c r="D98" s="76" t="s">
        <v>968</v>
      </c>
      <c r="E98" s="360">
        <v>44679</v>
      </c>
      <c r="F98" s="78" t="s">
        <v>231</v>
      </c>
      <c r="G98" s="85">
        <v>901030518</v>
      </c>
      <c r="H98" s="177" t="str">
        <f>VLOOKUP(Tabla2[[#This Row],[NIT]],Clientes!A:C,2,0)</f>
        <v>Inversiones Sajamib SAS</v>
      </c>
      <c r="I98" s="77" t="str">
        <f>VLOOKUP(Tabla2[[#This Row],[NIT]],Clientes!A:C,3,0)</f>
        <v>PJ</v>
      </c>
      <c r="J98" s="73" t="s">
        <v>794</v>
      </c>
      <c r="K98" s="267">
        <f>SUMIFS(Tabla4[Sub Total],Tabla4[Codigo],Tabla2[[#This Row],[Cod]])</f>
        <v>322000</v>
      </c>
      <c r="L98" s="262">
        <f>SUMPRODUCT((Tabla4[Codigo]=Tabla2[[#This Row],[Cod]])*1,Tabla4[IVA])</f>
        <v>0</v>
      </c>
      <c r="M98" s="262">
        <f>SUMIFS(Tabla4[Total],Tabla4[Codigo],Tabla2[[#This Row],[Cod]])</f>
        <v>322000</v>
      </c>
      <c r="N98" s="278">
        <f>SUMPRODUCT((Tabla1[Codigo]=Tabla2[[#This Row],[Cod]])*1,Tabla1[Valor])</f>
        <v>322000</v>
      </c>
      <c r="O98" s="265">
        <f>IF(AND(Tabla2[[#This Row],[Estado]]="ok",LEFT(Tabla2[[#This Row],['# Factura]],3)="TIS"),Tabla2[[#This Row],[TOTAL]]-Tabla2[[#This Row],[pagado]],0)</f>
        <v>0</v>
      </c>
      <c r="P98" s="262">
        <f>Tabla2[[#This Row],[TOTAL]]-Tabla2[[#This Row],[Valor pago]]</f>
        <v>0</v>
      </c>
      <c r="Q98" s="265">
        <f>IF(Tabla2[[#This Row],[Saldo]]=0,0,IF(Tabla2[[#This Row],[Tipo cliente]]="PJ",Tabla2[[#This Row],[SUBTOTAL]]*11%,0))</f>
        <v>0</v>
      </c>
      <c r="R98" s="276">
        <f>IF(Tabla2[[#This Row],[Saldo]]=0,0,IF(Tabla2[[#This Row],[Tipo cliente]]="PJ",Tabla2[[#This Row],[SUBTOTAL]]*0.966%,0))</f>
        <v>0</v>
      </c>
      <c r="S98" s="276">
        <f>IF(Tabla2[[#This Row],[Retiene IVA]]="S",Tabla2[[#This Row],[IVA]]*0.15,0)</f>
        <v>0</v>
      </c>
      <c r="T98" s="265">
        <f>+Tabla2[[#This Row],[Saldo]]-Tabla2[[#This Row],[Rete fte]]-Tabla2[[#This Row],[rete ica]]-Tabla2[[#This Row],[Rete IVA]]</f>
        <v>0</v>
      </c>
      <c r="U9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322000</v>
      </c>
      <c r="W98">
        <f>IF(Tabla2[[#This Row],[Fecha F.E.]]="","",YEAR(Tabla2[[#This Row],[Fecha F.E.]]))</f>
        <v>2022</v>
      </c>
      <c r="X98" s="23">
        <f>IF(Tabla2[[#This Row],[Fecha]]="","",YEAR(Tabla2[[#This Row],[Fecha]]))</f>
        <v>2022</v>
      </c>
    </row>
    <row r="99" spans="1:24" x14ac:dyDescent="0.25">
      <c r="A99" s="3">
        <v>99</v>
      </c>
      <c r="B99" s="77" t="s">
        <v>969</v>
      </c>
      <c r="C99" s="360">
        <v>44593</v>
      </c>
      <c r="D99" s="76" t="s">
        <v>970</v>
      </c>
      <c r="E99" s="360">
        <v>44593</v>
      </c>
      <c r="F99" s="78" t="s">
        <v>231</v>
      </c>
      <c r="G99" s="85">
        <v>800182918</v>
      </c>
      <c r="H99" s="177" t="str">
        <f>VLOOKUP(Tabla2[[#This Row],[NIT]],Clientes!A:C,2,0)</f>
        <v>RENAL MEDICAL MARKETING LIMITADA</v>
      </c>
      <c r="I99" s="77" t="str">
        <f>VLOOKUP(Tabla2[[#This Row],[NIT]],Clientes!A:C,3,0)</f>
        <v>PJ</v>
      </c>
      <c r="J99" s="73" t="s">
        <v>794</v>
      </c>
      <c r="K99" s="267">
        <f>SUMIFS(Tabla4[Sub Total],Tabla4[Codigo],Tabla2[[#This Row],[Cod]])</f>
        <v>450000</v>
      </c>
      <c r="L99" s="262">
        <f>SUMPRODUCT((Tabla4[Codigo]=Tabla2[[#This Row],[Cod]])*1,Tabla4[IVA])</f>
        <v>85500</v>
      </c>
      <c r="M99" s="262">
        <f>SUMIFS(Tabla4[Total],Tabla4[Codigo],Tabla2[[#This Row],[Cod]])</f>
        <v>535500</v>
      </c>
      <c r="N99" s="278">
        <f>SUMPRODUCT((Tabla1[Codigo]=Tabla2[[#This Row],[Cod]])*1,Tabla1[Valor])</f>
        <v>486000</v>
      </c>
      <c r="O99" s="265">
        <f>IF(AND(Tabla2[[#This Row],[Estado]]="ok",LEFT(Tabla2[[#This Row],['# Factura]],3)="TIS"),Tabla2[[#This Row],[TOTAL]]-Tabla2[[#This Row],[pagado]],0)</f>
        <v>0</v>
      </c>
      <c r="P99" s="262">
        <f>Tabla2[[#This Row],[TOTAL]]-Tabla2[[#This Row],[Valor pago]]</f>
        <v>49500</v>
      </c>
      <c r="Q99" s="265">
        <f>IF(Tabla2[[#This Row],[Saldo]]=0,0,IF(Tabla2[[#This Row],[Tipo cliente]]="PJ",Tabla2[[#This Row],[SUBTOTAL]]*11%,0))</f>
        <v>49500</v>
      </c>
      <c r="R99" s="276">
        <f>IF(Tabla2[[#This Row],[Saldo]]=0,0,IF(Tabla2[[#This Row],[Tipo cliente]]="PJ",Tabla2[[#This Row],[SUBTOTAL]]*0.966%,0))</f>
        <v>4347</v>
      </c>
      <c r="S99" s="276">
        <f>IF(Tabla2[[#This Row],[Retiene IVA]]="S",Tabla2[[#This Row],[IVA]]*0.15,0)</f>
        <v>0</v>
      </c>
      <c r="T99" s="265">
        <f>+Tabla2[[#This Row],[Saldo]]-Tabla2[[#This Row],[Rete fte]]-Tabla2[[#This Row],[rete ica]]-Tabla2[[#This Row],[Rete IVA]]</f>
        <v>-4347</v>
      </c>
      <c r="U9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535500</v>
      </c>
      <c r="W99">
        <f>IF(Tabla2[[#This Row],[Fecha F.E.]]="","",YEAR(Tabla2[[#This Row],[Fecha F.E.]]))</f>
        <v>2022</v>
      </c>
      <c r="X99" s="23">
        <f>IF(Tabla2[[#This Row],[Fecha]]="","",YEAR(Tabla2[[#This Row],[Fecha]]))</f>
        <v>2022</v>
      </c>
    </row>
    <row r="100" spans="1:24" x14ac:dyDescent="0.25">
      <c r="A100" s="3">
        <v>100</v>
      </c>
      <c r="B100" s="77" t="s">
        <v>971</v>
      </c>
      <c r="C100" s="360">
        <v>44593</v>
      </c>
      <c r="D100" s="76" t="s">
        <v>972</v>
      </c>
      <c r="E100" s="360">
        <v>44594</v>
      </c>
      <c r="F100" s="78" t="s">
        <v>3</v>
      </c>
      <c r="G100" s="85">
        <v>890802678</v>
      </c>
      <c r="H100" s="177" t="str">
        <f>VLOOKUP(Tabla2[[#This Row],[NIT]],Clientes!A:C,2,0)</f>
        <v>Colegio Integrado Nacional Oriente de Caldas</v>
      </c>
      <c r="I100" s="77" t="str">
        <f>VLOOKUP(Tabla2[[#This Row],[NIT]],Clientes!A:C,3,0)</f>
        <v>PJ</v>
      </c>
      <c r="J100" s="73" t="s">
        <v>794</v>
      </c>
      <c r="K100" s="267">
        <f>SUMIFS(Tabla4[Sub Total],Tabla4[Codigo],Tabla2[[#This Row],[Cod]])</f>
        <v>1156000</v>
      </c>
      <c r="L100" s="262">
        <f>SUMPRODUCT((Tabla4[Codigo]=Tabla2[[#This Row],[Cod]])*1,Tabla4[IVA])</f>
        <v>219640</v>
      </c>
      <c r="M100" s="262">
        <f>SUMIFS(Tabla4[Total],Tabla4[Codigo],Tabla2[[#This Row],[Cod]])</f>
        <v>1375640</v>
      </c>
      <c r="N100" s="278">
        <f>SUMPRODUCT((Tabla1[Codigo]=Tabla2[[#This Row],[Cod]])*1,Tabla1[Valor])</f>
        <v>1353950</v>
      </c>
      <c r="O100" s="265">
        <f>IF(AND(Tabla2[[#This Row],[Estado]]="ok",LEFT(Tabla2[[#This Row],['# Factura]],3)="TIS"),Tabla2[[#This Row],[TOTAL]]-Tabla2[[#This Row],[pagado]],0)</f>
        <v>0</v>
      </c>
      <c r="P100" s="262">
        <f>Tabla2[[#This Row],[TOTAL]]-Tabla2[[#This Row],[Valor pago]]</f>
        <v>21690</v>
      </c>
      <c r="Q100" s="265">
        <f>IF(Tabla2[[#This Row],[Saldo]]=0,0,IF(Tabla2[[#This Row],[Tipo cliente]]="PJ",Tabla2[[#This Row],[SUBTOTAL]]*11%,0))</f>
        <v>127160</v>
      </c>
      <c r="R100" s="276">
        <v>0</v>
      </c>
      <c r="S100" s="276">
        <f>IF(Tabla2[[#This Row],[Retiene IVA]]="S",Tabla2[[#This Row],[IVA]]*0.15,0)</f>
        <v>0</v>
      </c>
      <c r="T100" s="265">
        <f>+Tabla2[[#This Row],[Saldo]]-Tabla2[[#This Row],[Rete fte]]-Tabla2[[#This Row],[rete ica]]-Tabla2[[#This Row],[Rete IVA]]</f>
        <v>-105470</v>
      </c>
      <c r="U10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1375640</v>
      </c>
      <c r="W100">
        <f>IF(Tabla2[[#This Row],[Fecha F.E.]]="","",YEAR(Tabla2[[#This Row],[Fecha F.E.]]))</f>
        <v>2022</v>
      </c>
      <c r="X100" s="23">
        <f>IF(Tabla2[[#This Row],[Fecha]]="","",YEAR(Tabla2[[#This Row],[Fecha]]))</f>
        <v>2022</v>
      </c>
    </row>
    <row r="101" spans="1:24" ht="26.25" x14ac:dyDescent="0.25">
      <c r="A101" s="3">
        <v>101</v>
      </c>
      <c r="B101" s="77" t="s">
        <v>973</v>
      </c>
      <c r="C101" s="360">
        <v>44594</v>
      </c>
      <c r="D101" s="76" t="s">
        <v>974</v>
      </c>
      <c r="E101" s="360">
        <v>44607</v>
      </c>
      <c r="F101" s="78" t="s">
        <v>231</v>
      </c>
      <c r="G101" s="85">
        <v>900641244</v>
      </c>
      <c r="H101" s="177" t="str">
        <f>VLOOKUP(Tabla2[[#This Row],[NIT]],Clientes!A:C,2,0)</f>
        <v>PASTRY CHEF PASTELERIA Y COCINA GOURMET SAS</v>
      </c>
      <c r="I101" s="77" t="str">
        <f>VLOOKUP(Tabla2[[#This Row],[NIT]],Clientes!A:C,3,0)</f>
        <v>PJ</v>
      </c>
      <c r="J101" s="73" t="s">
        <v>794</v>
      </c>
      <c r="K101" s="267">
        <f>SUMIFS(Tabla4[Sub Total],Tabla4[Codigo],Tabla2[[#This Row],[Cod]])</f>
        <v>3720000</v>
      </c>
      <c r="L101" s="262">
        <f>SUMPRODUCT((Tabla4[Codigo]=Tabla2[[#This Row],[Cod]])*1,Tabla4[IVA])</f>
        <v>706800</v>
      </c>
      <c r="M101" s="262">
        <f>SUMIFS(Tabla4[Total],Tabla4[Codigo],Tabla2[[#This Row],[Cod]])</f>
        <v>4426800</v>
      </c>
      <c r="N101" s="278">
        <f>SUMPRODUCT((Tabla1[Codigo]=Tabla2[[#This Row],[Cod]])*1,Tabla1[Valor])</f>
        <v>3991932</v>
      </c>
      <c r="O101" s="265">
        <f>IF(AND(Tabla2[[#This Row],[Estado]]="ok",LEFT(Tabla2[[#This Row],['# Factura]],3)="TIS"),Tabla2[[#This Row],[TOTAL]]-Tabla2[[#This Row],[pagado]],0)</f>
        <v>0</v>
      </c>
      <c r="P101" s="262">
        <f>Tabla2[[#This Row],[TOTAL]]-Tabla2[[#This Row],[Valor pago]]</f>
        <v>434868</v>
      </c>
      <c r="Q101" s="265">
        <f>IF(Tabla2[[#This Row],[Saldo]]=0,0,IF(Tabla2[[#This Row],[Tipo cliente]]="PJ",Tabla2[[#This Row],[SUBTOTAL]]*11%,0))</f>
        <v>409200</v>
      </c>
      <c r="R101" s="276">
        <f>IF(Tabla2[[#This Row],[Saldo]]=0,0,IF(Tabla2[[#This Row],[Tipo cliente]]="PJ",Tabla2[[#This Row],[SUBTOTAL]]*0.69%,0))</f>
        <v>25668</v>
      </c>
      <c r="S101" s="276">
        <f>IF(Tabla2[[#This Row],[Retiene IVA]]="S",Tabla2[[#This Row],[IVA]]*0.15,0)</f>
        <v>0</v>
      </c>
      <c r="T101" s="265">
        <f>+Tabla2[[#This Row],[Saldo]]-Tabla2[[#This Row],[Rete fte]]-Tabla2[[#This Row],[rete ica]]-Tabla2[[#This Row],[Rete IVA]]</f>
        <v>0</v>
      </c>
      <c r="U10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4426800</v>
      </c>
      <c r="W101">
        <f>IF(Tabla2[[#This Row],[Fecha F.E.]]="","",YEAR(Tabla2[[#This Row],[Fecha F.E.]]))</f>
        <v>2022</v>
      </c>
      <c r="X101" s="23">
        <f>IF(Tabla2[[#This Row],[Fecha]]="","",YEAR(Tabla2[[#This Row],[Fecha]]))</f>
        <v>2022</v>
      </c>
    </row>
    <row r="102" spans="1:24" x14ac:dyDescent="0.25">
      <c r="A102" s="3">
        <v>102</v>
      </c>
      <c r="B102" s="77" t="s">
        <v>975</v>
      </c>
      <c r="C102" s="360">
        <v>44653</v>
      </c>
      <c r="D102" s="76" t="s">
        <v>793</v>
      </c>
      <c r="E102" s="360">
        <v>44656</v>
      </c>
      <c r="F102" s="78" t="s">
        <v>3</v>
      </c>
      <c r="G102" s="85">
        <v>52385710</v>
      </c>
      <c r="H102" s="177" t="str">
        <f>VLOOKUP(Tabla2[[#This Row],[NIT]],Clientes!A:C,2,0)</f>
        <v>Maria del Pilar Alvarado Joya</v>
      </c>
      <c r="I102" s="77" t="str">
        <f>VLOOKUP(Tabla2[[#This Row],[NIT]],Clientes!A:C,3,0)</f>
        <v>PN</v>
      </c>
      <c r="J102" s="73" t="s">
        <v>794</v>
      </c>
      <c r="K102" s="267">
        <f>SUMIFS(Tabla4[Sub Total],Tabla4[Codigo],Tabla2[[#This Row],[Cod]])</f>
        <v>900000</v>
      </c>
      <c r="L102" s="262">
        <f>SUMPRODUCT((Tabla4[Codigo]=Tabla2[[#This Row],[Cod]])*1,Tabla4[IVA])</f>
        <v>0</v>
      </c>
      <c r="M102" s="262">
        <f>SUMIFS(Tabla4[Total],Tabla4[Codigo],Tabla2[[#This Row],[Cod]])</f>
        <v>900000</v>
      </c>
      <c r="N102" s="278">
        <f>SUMPRODUCT((Tabla1[Codigo]=Tabla2[[#This Row],[Cod]])*1,Tabla1[Valor])</f>
        <v>900000</v>
      </c>
      <c r="O102" s="265">
        <f>IF(AND(Tabla2[[#This Row],[Estado]]="ok",LEFT(Tabla2[[#This Row],['# Factura]],3)="TIS"),Tabla2[[#This Row],[TOTAL]]-Tabla2[[#This Row],[pagado]],0)</f>
        <v>0</v>
      </c>
      <c r="P102" s="262">
        <f>Tabla2[[#This Row],[TOTAL]]-Tabla2[[#This Row],[Valor pago]]</f>
        <v>0</v>
      </c>
      <c r="Q102" s="265">
        <f>IF(Tabla2[[#This Row],[Saldo]]=0,0,IF(Tabla2[[#This Row],[Tipo cliente]]="PJ",Tabla2[[#This Row],[SUBTOTAL]]*11%,0))</f>
        <v>0</v>
      </c>
      <c r="R102" s="276">
        <f>IF(Tabla2[[#This Row],[Saldo]]=0,0,IF(Tabla2[[#This Row],[Tipo cliente]]="PJ",Tabla2[[#This Row],[SUBTOTAL]]*0.966%,0))</f>
        <v>0</v>
      </c>
      <c r="S102" s="276">
        <f>IF(Tabla2[[#This Row],[Retiene IVA]]="S",Tabla2[[#This Row],[IVA]]*0.15,0)</f>
        <v>0</v>
      </c>
      <c r="T102" s="265">
        <f>+Tabla2[[#This Row],[Saldo]]-Tabla2[[#This Row],[Rete fte]]-Tabla2[[#This Row],[rete ica]]-Tabla2[[#This Row],[Rete IVA]]</f>
        <v>0</v>
      </c>
      <c r="U10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102">
        <f>IF(Tabla2[[#This Row],[Fecha F.E.]]="","",YEAR(Tabla2[[#This Row],[Fecha F.E.]]))</f>
        <v>2022</v>
      </c>
      <c r="X102" s="23">
        <f>IF(Tabla2[[#This Row],[Fecha]]="","",YEAR(Tabla2[[#This Row],[Fecha]]))</f>
        <v>2022</v>
      </c>
    </row>
    <row r="103" spans="1:24" x14ac:dyDescent="0.25">
      <c r="A103" s="3">
        <v>103</v>
      </c>
      <c r="B103" s="77" t="s">
        <v>976</v>
      </c>
      <c r="C103" s="360">
        <v>44600</v>
      </c>
      <c r="D103" s="76" t="s">
        <v>977</v>
      </c>
      <c r="E103" s="360">
        <v>44600</v>
      </c>
      <c r="F103" s="78" t="s">
        <v>716</v>
      </c>
      <c r="G103" s="85">
        <v>800152665</v>
      </c>
      <c r="H103" s="177" t="str">
        <f>VLOOKUP(Tabla2[[#This Row],[NIT]],Clientes!A:C,2,0)</f>
        <v>Universidad Santo tomas</v>
      </c>
      <c r="I103" s="77" t="str">
        <f>VLOOKUP(Tabla2[[#This Row],[NIT]],Clientes!A:C,3,0)</f>
        <v>PJ</v>
      </c>
      <c r="J103" s="73" t="s">
        <v>794</v>
      </c>
      <c r="K103" s="267">
        <f>SUMIFS(Tabla4[Sub Total],Tabla4[Codigo],Tabla2[[#This Row],[Cod]])</f>
        <v>-540000</v>
      </c>
      <c r="L103" s="262">
        <f>SUMPRODUCT((Tabla4[Codigo]=Tabla2[[#This Row],[Cod]])*1,Tabla4[IVA])</f>
        <v>-102600</v>
      </c>
      <c r="M103" s="262">
        <f>SUMIFS(Tabla4[Total],Tabla4[Codigo],Tabla2[[#This Row],[Cod]])</f>
        <v>-642600</v>
      </c>
      <c r="N103" s="278">
        <f>SUMPRODUCT((Tabla1[Codigo]=Tabla2[[#This Row],[Cod]])*1,Tabla1[Valor])</f>
        <v>0</v>
      </c>
      <c r="O103" s="265">
        <f>IF(AND(Tabla2[[#This Row],[Estado]]="ok",LEFT(Tabla2[[#This Row],['# Factura]],3)="TIS"),Tabla2[[#This Row],[TOTAL]]-Tabla2[[#This Row],[pagado]],0)</f>
        <v>0</v>
      </c>
      <c r="P103" s="262">
        <f>Tabla2[[#This Row],[TOTAL]]-Tabla2[[#This Row],[Valor pago]]</f>
        <v>-642600</v>
      </c>
      <c r="Q103" s="265">
        <f>IF(Tabla2[[#This Row],[Saldo]]=0,0,IF(Tabla2[[#This Row],[Tipo cliente]]="PJ",Tabla2[[#This Row],[SUBTOTAL]]*11%,0))</f>
        <v>-59400</v>
      </c>
      <c r="R103" s="276">
        <f>IF(Tabla2[[#This Row],[Saldo]]=0,0,IF(Tabla2[[#This Row],[Tipo cliente]]="PJ",Tabla2[[#This Row],[SUBTOTAL]]*0.966%,0))</f>
        <v>-5216.4000000000005</v>
      </c>
      <c r="S103" s="276">
        <f>IF(Tabla2[[#This Row],[Retiene IVA]]="S",Tabla2[[#This Row],[IVA]]*0.15,0)</f>
        <v>0</v>
      </c>
      <c r="T103" s="265">
        <f>+Tabla2[[#This Row],[Saldo]]-Tabla2[[#This Row],[Rete fte]]-Tabla2[[#This Row],[rete ica]]-Tabla2[[#This Row],[Rete IVA]]</f>
        <v>-577983.6</v>
      </c>
      <c r="U10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03">
        <f>IF(Tabla2[[#This Row],[Fecha F.E.]]="","",YEAR(Tabla2[[#This Row],[Fecha F.E.]]))</f>
        <v>2022</v>
      </c>
      <c r="X103" s="23">
        <f>IF(Tabla2[[#This Row],[Fecha]]="","",YEAR(Tabla2[[#This Row],[Fecha]]))</f>
        <v>2022</v>
      </c>
    </row>
    <row r="104" spans="1:24" x14ac:dyDescent="0.25">
      <c r="A104" s="3">
        <v>104</v>
      </c>
      <c r="B104" s="77" t="s">
        <v>978</v>
      </c>
      <c r="C104" s="360">
        <v>44601</v>
      </c>
      <c r="D104" s="76" t="s">
        <v>979</v>
      </c>
      <c r="E104" s="360">
        <v>44735</v>
      </c>
      <c r="F104" s="78" t="s">
        <v>3</v>
      </c>
      <c r="G104" s="85">
        <v>900693605</v>
      </c>
      <c r="H104" s="177" t="str">
        <f>VLOOKUP(Tabla2[[#This Row],[NIT]],Clientes!A:C,2,0)</f>
        <v>CONSTRUCCIONES CIVILES JMR S.A.S</v>
      </c>
      <c r="I104" s="77" t="str">
        <f>VLOOKUP(Tabla2[[#This Row],[NIT]],Clientes!A:C,3,0)</f>
        <v>PJ</v>
      </c>
      <c r="J104" s="73" t="s">
        <v>794</v>
      </c>
      <c r="K104" s="267">
        <f>SUMIFS(Tabla4[Sub Total],Tabla4[Codigo],Tabla2[[#This Row],[Cod]])</f>
        <v>1009000</v>
      </c>
      <c r="L104" s="262">
        <f>SUMPRODUCT((Tabla4[Codigo]=Tabla2[[#This Row],[Cod]])*1,Tabla4[IVA])</f>
        <v>191710</v>
      </c>
      <c r="M104" s="280">
        <f>SUMIFS(Tabla4[Total],Tabla4[Codigo],Tabla2[[#This Row],[Cod]])</f>
        <v>1200710</v>
      </c>
      <c r="N104" s="278">
        <f>SUMPRODUCT((Tabla1[Codigo]=Tabla2[[#This Row],[Cod]])*1,Tabla1[Valor])</f>
        <v>1080000</v>
      </c>
      <c r="O104" s="265">
        <f>IF(AND(Tabla2[[#This Row],[Estado]]="ok",LEFT(Tabla2[[#This Row],['# Factura]],3)="TIS"),Tabla2[[#This Row],[TOTAL]]-Tabla2[[#This Row],[pagado]],0)</f>
        <v>0</v>
      </c>
      <c r="P104" s="262">
        <f>Tabla2[[#This Row],[TOTAL]]-Tabla2[[#This Row],[Valor pago]]</f>
        <v>120710</v>
      </c>
      <c r="Q104" s="265">
        <f>IF(Tabla2[[#This Row],[Saldo]]=0,0,IF(Tabla2[[#This Row],[Tipo cliente]]="PJ",Tabla2[[#This Row],[SUBTOTAL]]*11%,0))</f>
        <v>110990</v>
      </c>
      <c r="R104" s="276">
        <f>IF(Tabla2[[#This Row],[Saldo]]=0,0,IF(Tabla2[[#This Row],[Tipo cliente]]="PJ",Tabla2[[#This Row],[SUBTOTAL]]*0.966%,0))</f>
        <v>9746.94</v>
      </c>
      <c r="S104" s="276">
        <f>IF(Tabla2[[#This Row],[Retiene IVA]]="S",Tabla2[[#This Row],[IVA]]*0.15,0)</f>
        <v>0</v>
      </c>
      <c r="T104" s="265">
        <f>+Tabla2[[#This Row],[Saldo]]-Tabla2[[#This Row],[Rete fte]]-Tabla2[[#This Row],[rete ica]]-Tabla2[[#This Row],[Rete IVA]]</f>
        <v>-26.940000000000509</v>
      </c>
      <c r="U10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1200710</v>
      </c>
      <c r="W104">
        <f>IF(Tabla2[[#This Row],[Fecha F.E.]]="","",YEAR(Tabla2[[#This Row],[Fecha F.E.]]))</f>
        <v>2022</v>
      </c>
      <c r="X104" s="23">
        <f>IF(Tabla2[[#This Row],[Fecha]]="","",YEAR(Tabla2[[#This Row],[Fecha]]))</f>
        <v>2022</v>
      </c>
    </row>
    <row r="105" spans="1:24" x14ac:dyDescent="0.25">
      <c r="A105" s="3">
        <v>105</v>
      </c>
      <c r="B105" s="77" t="s">
        <v>980</v>
      </c>
      <c r="C105" s="360">
        <v>44606</v>
      </c>
      <c r="D105" s="76" t="s">
        <v>981</v>
      </c>
      <c r="E105" s="360">
        <v>44603</v>
      </c>
      <c r="F105" s="78" t="s">
        <v>231</v>
      </c>
      <c r="G105" s="85">
        <v>804007055</v>
      </c>
      <c r="H105" s="177" t="str">
        <f>VLOOKUP(Tabla2[[#This Row],[NIT]],Clientes!A:C,2,0)</f>
        <v>K-2 INGENIERIA S.A.S.</v>
      </c>
      <c r="I105" s="77" t="str">
        <f>VLOOKUP(Tabla2[[#This Row],[NIT]],Clientes!A:C,3,0)</f>
        <v>PJ</v>
      </c>
      <c r="J105" s="73" t="s">
        <v>794</v>
      </c>
      <c r="K105" s="267">
        <f>SUMIFS(Tabla4[Sub Total],Tabla4[Codigo],Tabla2[[#This Row],[Cod]])</f>
        <v>375000</v>
      </c>
      <c r="L105" s="262">
        <f>SUMPRODUCT((Tabla4[Codigo]=Tabla2[[#This Row],[Cod]])*1,Tabla4[IVA])</f>
        <v>71250</v>
      </c>
      <c r="M105" s="262">
        <f>SUMIFS(Tabla4[Total],Tabla4[Codigo],Tabla2[[#This Row],[Cod]])</f>
        <v>446250</v>
      </c>
      <c r="N105" s="278">
        <f>SUMPRODUCT((Tabla1[Codigo]=Tabla2[[#This Row],[Cod]])*1,Tabla1[Valor])</f>
        <v>401752</v>
      </c>
      <c r="O105" s="265">
        <f>IF(AND(Tabla2[[#This Row],[Estado]]="ok",LEFT(Tabla2[[#This Row],['# Factura]],3)="TIS"),Tabla2[[#This Row],[TOTAL]]-Tabla2[[#This Row],[pagado]],0)</f>
        <v>0</v>
      </c>
      <c r="P105" s="262">
        <f>Tabla2[[#This Row],[TOTAL]]-Tabla2[[#This Row],[Valor pago]]</f>
        <v>44498</v>
      </c>
      <c r="Q105" s="265">
        <f>IF(Tabla2[[#This Row],[Saldo]]=0,0,IF(Tabla2[[#This Row],[Tipo cliente]]="PJ",Tabla2[[#This Row],[SUBTOTAL]]*11%,0))</f>
        <v>41250</v>
      </c>
      <c r="R105" s="276">
        <f>IF(Tabla2[[#This Row],[Saldo]]=0,0,IF(Tabla2[[#This Row],[Tipo cliente]]="PJ",Tabla2[[#This Row],[SUBTOTAL]]*0.966%,0))</f>
        <v>3622.5</v>
      </c>
      <c r="S105" s="276">
        <f>IF(Tabla2[[#This Row],[Retiene IVA]]="S",Tabla2[[#This Row],[IVA]]*0.15,0)</f>
        <v>0</v>
      </c>
      <c r="T105" s="265">
        <f>+Tabla2[[#This Row],[Saldo]]-Tabla2[[#This Row],[Rete fte]]-Tabla2[[#This Row],[rete ica]]-Tabla2[[#This Row],[Rete IVA]]</f>
        <v>-374.5</v>
      </c>
      <c r="U10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446250</v>
      </c>
      <c r="W105">
        <f>IF(Tabla2[[#This Row],[Fecha F.E.]]="","",YEAR(Tabla2[[#This Row],[Fecha F.E.]]))</f>
        <v>2022</v>
      </c>
      <c r="X105" s="23">
        <f>IF(Tabla2[[#This Row],[Fecha]]="","",YEAR(Tabla2[[#This Row],[Fecha]]))</f>
        <v>2022</v>
      </c>
    </row>
    <row r="106" spans="1:24" x14ac:dyDescent="0.25">
      <c r="A106" s="3">
        <v>106</v>
      </c>
      <c r="B106" s="77" t="s">
        <v>982</v>
      </c>
      <c r="C106" s="360">
        <v>44610</v>
      </c>
      <c r="D106" s="76" t="s">
        <v>983</v>
      </c>
      <c r="E106" s="360">
        <v>44608</v>
      </c>
      <c r="F106" s="78" t="s">
        <v>716</v>
      </c>
      <c r="G106" s="85">
        <v>900579862</v>
      </c>
      <c r="H106" s="177" t="str">
        <f>VLOOKUP(Tabla2[[#This Row],[NIT]],Clientes!A:C,2,0)</f>
        <v>PILYQ COLOMBIA S.A.S.</v>
      </c>
      <c r="I106" s="77" t="str">
        <f>VLOOKUP(Tabla2[[#This Row],[NIT]],Clientes!A:C,3,0)</f>
        <v>PJ</v>
      </c>
      <c r="J106" s="73" t="s">
        <v>794</v>
      </c>
      <c r="K106" s="267">
        <f>SUMIFS(Tabla4[Sub Total],Tabla4[Codigo],Tabla2[[#This Row],[Cod]])</f>
        <v>840000</v>
      </c>
      <c r="L106" s="262">
        <f>SUMPRODUCT((Tabla4[Codigo]=Tabla2[[#This Row],[Cod]])*1,Tabla4[IVA])</f>
        <v>159600</v>
      </c>
      <c r="M106" s="262">
        <f>SUMIFS(Tabla4[Total],Tabla4[Codigo],Tabla2[[#This Row],[Cod]])</f>
        <v>999600</v>
      </c>
      <c r="N106" s="278">
        <f>SUMPRODUCT((Tabla1[Codigo]=Tabla2[[#This Row],[Cod]])*1,Tabla1[Valor])</f>
        <v>0</v>
      </c>
      <c r="O106" s="265">
        <f>IF(AND(Tabla2[[#This Row],[Estado]]="ok",LEFT(Tabla2[[#This Row],['# Factura]],3)="TIS"),Tabla2[[#This Row],[TOTAL]]-Tabla2[[#This Row],[pagado]],0)</f>
        <v>0</v>
      </c>
      <c r="P106" s="262">
        <f>Tabla2[[#This Row],[TOTAL]]-Tabla2[[#This Row],[Valor pago]]</f>
        <v>999600</v>
      </c>
      <c r="Q106" s="265">
        <f>IF(Tabla2[[#This Row],[Saldo]]=0,0,IF(Tabla2[[#This Row],[Tipo cliente]]="PJ",Tabla2[[#This Row],[SUBTOTAL]]*11%,0))</f>
        <v>92400</v>
      </c>
      <c r="R106" s="276">
        <f>IF(Tabla2[[#This Row],[Saldo]]=0,0,IF(Tabla2[[#This Row],[Tipo cliente]]="PJ",Tabla2[[#This Row],[SUBTOTAL]]*0.966%,0))</f>
        <v>8114.4000000000005</v>
      </c>
      <c r="S106" s="276">
        <f>IF(Tabla2[[#This Row],[Retiene IVA]]="S",Tabla2[[#This Row],[IVA]]*0.15,0)</f>
        <v>0</v>
      </c>
      <c r="T106" s="265">
        <f>+Tabla2[[#This Row],[Saldo]]-Tabla2[[#This Row],[Rete fte]]-Tabla2[[#This Row],[rete ica]]-Tabla2[[#This Row],[Rete IVA]]</f>
        <v>899085.6</v>
      </c>
      <c r="U10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06">
        <f>IF(Tabla2[[#This Row],[Fecha F.E.]]="","",YEAR(Tabla2[[#This Row],[Fecha F.E.]]))</f>
        <v>2022</v>
      </c>
      <c r="X106" s="23">
        <f>IF(Tabla2[[#This Row],[Fecha]]="","",YEAR(Tabla2[[#This Row],[Fecha]]))</f>
        <v>2022</v>
      </c>
    </row>
    <row r="107" spans="1:24" x14ac:dyDescent="0.25">
      <c r="A107" s="3">
        <v>107</v>
      </c>
      <c r="B107" s="77" t="s">
        <v>984</v>
      </c>
      <c r="C107" s="360">
        <v>44610</v>
      </c>
      <c r="D107" s="76" t="s">
        <v>985</v>
      </c>
      <c r="E107" s="360">
        <v>44610</v>
      </c>
      <c r="F107" s="78" t="s">
        <v>716</v>
      </c>
      <c r="G107" s="85">
        <v>900579862</v>
      </c>
      <c r="H107" s="177" t="str">
        <f>VLOOKUP(Tabla2[[#This Row],[NIT]],Clientes!A:C,2,0)</f>
        <v>PILYQ COLOMBIA S.A.S.</v>
      </c>
      <c r="I107" s="77" t="str">
        <f>VLOOKUP(Tabla2[[#This Row],[NIT]],Clientes!A:C,3,0)</f>
        <v>PJ</v>
      </c>
      <c r="J107" s="73" t="s">
        <v>794</v>
      </c>
      <c r="K107" s="267">
        <f>SUMIFS(Tabla4[Sub Total],Tabla4[Codigo],Tabla2[[#This Row],[Cod]])</f>
        <v>-840000</v>
      </c>
      <c r="L107" s="262">
        <f>SUMPRODUCT((Tabla4[Codigo]=Tabla2[[#This Row],[Cod]])*1,Tabla4[IVA])</f>
        <v>-159600</v>
      </c>
      <c r="M107" s="262">
        <f>SUMIFS(Tabla4[Total],Tabla4[Codigo],Tabla2[[#This Row],[Cod]])</f>
        <v>-999600</v>
      </c>
      <c r="N107" s="278">
        <f>SUMPRODUCT((Tabla1[Codigo]=Tabla2[[#This Row],[Cod]])*1,Tabla1[Valor])</f>
        <v>0</v>
      </c>
      <c r="O107" s="265">
        <f>IF(AND(Tabla2[[#This Row],[Estado]]="ok",LEFT(Tabla2[[#This Row],['# Factura]],3)="TIS"),Tabla2[[#This Row],[TOTAL]]-Tabla2[[#This Row],[pagado]],0)</f>
        <v>0</v>
      </c>
      <c r="P107" s="262">
        <f>Tabla2[[#This Row],[TOTAL]]-Tabla2[[#This Row],[Valor pago]]</f>
        <v>-999600</v>
      </c>
      <c r="Q107" s="265">
        <f>IF(Tabla2[[#This Row],[Saldo]]=0,0,IF(Tabla2[[#This Row],[Tipo cliente]]="PJ",Tabla2[[#This Row],[SUBTOTAL]]*11%,0))</f>
        <v>-92400</v>
      </c>
      <c r="R107" s="276">
        <f>IF(Tabla2[[#This Row],[Saldo]]=0,0,IF(Tabla2[[#This Row],[Tipo cliente]]="PJ",Tabla2[[#This Row],[SUBTOTAL]]*0.966%,0))</f>
        <v>-8114.4000000000005</v>
      </c>
      <c r="S107" s="276">
        <f>IF(Tabla2[[#This Row],[Retiene IVA]]="S",Tabla2[[#This Row],[IVA]]*0.15,0)</f>
        <v>0</v>
      </c>
      <c r="T107" s="265">
        <f>+Tabla2[[#This Row],[Saldo]]-Tabla2[[#This Row],[Rete fte]]-Tabla2[[#This Row],[rete ica]]-Tabla2[[#This Row],[Rete IVA]]</f>
        <v>-899085.6</v>
      </c>
      <c r="U10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07">
        <f>IF(Tabla2[[#This Row],[Fecha F.E.]]="","",YEAR(Tabla2[[#This Row],[Fecha F.E.]]))</f>
        <v>2022</v>
      </c>
      <c r="X107" s="23">
        <f>IF(Tabla2[[#This Row],[Fecha]]="","",YEAR(Tabla2[[#This Row],[Fecha]]))</f>
        <v>2022</v>
      </c>
    </row>
    <row r="108" spans="1:24" x14ac:dyDescent="0.25">
      <c r="A108" s="3">
        <v>108</v>
      </c>
      <c r="B108" s="77" t="s">
        <v>986</v>
      </c>
      <c r="C108" s="360">
        <v>44610</v>
      </c>
      <c r="D108" s="76" t="s">
        <v>987</v>
      </c>
      <c r="E108" s="360">
        <v>44600</v>
      </c>
      <c r="F108" s="78" t="s">
        <v>716</v>
      </c>
      <c r="G108" s="85">
        <v>800152665</v>
      </c>
      <c r="H108" s="177" t="str">
        <f>VLOOKUP(Tabla2[[#This Row],[NIT]],Clientes!A:C,2,0)</f>
        <v>Universidad Santo tomas</v>
      </c>
      <c r="I108" s="77" t="str">
        <f>VLOOKUP(Tabla2[[#This Row],[NIT]],Clientes!A:C,3,0)</f>
        <v>PJ</v>
      </c>
      <c r="J108" s="73" t="s">
        <v>794</v>
      </c>
      <c r="K108" s="267">
        <f>SUMIFS(Tabla4[Sub Total],Tabla4[Codigo],Tabla2[[#This Row],[Cod]])</f>
        <v>-540000</v>
      </c>
      <c r="L108" s="262">
        <f>SUMPRODUCT((Tabla4[Codigo]=Tabla2[[#This Row],[Cod]])*1,Tabla4[IVA])</f>
        <v>-102600</v>
      </c>
      <c r="M108" s="262">
        <f>SUMIFS(Tabla4[Total],Tabla4[Codigo],Tabla2[[#This Row],[Cod]])</f>
        <v>-642600</v>
      </c>
      <c r="N108" s="278">
        <f>SUMPRODUCT((Tabla1[Codigo]=Tabla2[[#This Row],[Cod]])*1,Tabla1[Valor])</f>
        <v>0</v>
      </c>
      <c r="O108" s="265">
        <f>IF(AND(Tabla2[[#This Row],[Estado]]="ok",LEFT(Tabla2[[#This Row],['# Factura]],3)="TIS"),Tabla2[[#This Row],[TOTAL]]-Tabla2[[#This Row],[pagado]],0)</f>
        <v>0</v>
      </c>
      <c r="P108" s="262">
        <f>Tabla2[[#This Row],[TOTAL]]-Tabla2[[#This Row],[Valor pago]]</f>
        <v>-642600</v>
      </c>
      <c r="Q108" s="265">
        <f>IF(Tabla2[[#This Row],[Saldo]]=0,0,IF(Tabla2[[#This Row],[Tipo cliente]]="PJ",Tabla2[[#This Row],[SUBTOTAL]]*11%,0))</f>
        <v>-59400</v>
      </c>
      <c r="R108" s="276">
        <f>IF(Tabla2[[#This Row],[Saldo]]=0,0,IF(Tabla2[[#This Row],[Tipo cliente]]="PJ",Tabla2[[#This Row],[SUBTOTAL]]*0.966%,0))</f>
        <v>-5216.4000000000005</v>
      </c>
      <c r="S108" s="276">
        <f>IF(Tabla2[[#This Row],[Retiene IVA]]="S",Tabla2[[#This Row],[IVA]]*0.15,0)</f>
        <v>0</v>
      </c>
      <c r="T108" s="265">
        <f>+Tabla2[[#This Row],[Saldo]]-Tabla2[[#This Row],[Rete fte]]-Tabla2[[#This Row],[rete ica]]-Tabla2[[#This Row],[Rete IVA]]</f>
        <v>-577983.6</v>
      </c>
      <c r="U10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08">
        <f>IF(Tabla2[[#This Row],[Fecha F.E.]]="","",YEAR(Tabla2[[#This Row],[Fecha F.E.]]))</f>
        <v>2022</v>
      </c>
      <c r="X108" s="23">
        <f>IF(Tabla2[[#This Row],[Fecha]]="","",YEAR(Tabla2[[#This Row],[Fecha]]))</f>
        <v>2022</v>
      </c>
    </row>
    <row r="109" spans="1:24" x14ac:dyDescent="0.25">
      <c r="A109" s="3">
        <v>109</v>
      </c>
      <c r="B109" s="77" t="s">
        <v>988</v>
      </c>
      <c r="C109" s="360">
        <v>44615</v>
      </c>
      <c r="D109" s="187" t="s">
        <v>989</v>
      </c>
      <c r="E109" s="188">
        <v>44648</v>
      </c>
      <c r="F109" s="78" t="s">
        <v>231</v>
      </c>
      <c r="G109" s="85">
        <v>39537015</v>
      </c>
      <c r="H109" s="177" t="str">
        <f>VLOOKUP(Tabla2[[#This Row],[NIT]],Clientes!A:C,2,0)</f>
        <v>Liz Adriana Granados</v>
      </c>
      <c r="I109" s="77" t="str">
        <f>VLOOKUP(Tabla2[[#This Row],[NIT]],Clientes!A:C,3,0)</f>
        <v>PN</v>
      </c>
      <c r="J109" s="73" t="s">
        <v>794</v>
      </c>
      <c r="K109" s="267">
        <f>SUMIFS(Tabla4[Sub Total],Tabla4[Codigo],Tabla2[[#This Row],[Cod]])</f>
        <v>200000</v>
      </c>
      <c r="L109" s="262">
        <f>SUMPRODUCT((Tabla4[Codigo]=Tabla2[[#This Row],[Cod]])*1,Tabla4[IVA])</f>
        <v>0</v>
      </c>
      <c r="M109" s="262">
        <f>SUMIFS(Tabla4[Total],Tabla4[Codigo],Tabla2[[#This Row],[Cod]])</f>
        <v>200000</v>
      </c>
      <c r="N109" s="278">
        <f>SUMPRODUCT((Tabla1[Codigo]=Tabla2[[#This Row],[Cod]])*1,Tabla1[Valor])</f>
        <v>200000</v>
      </c>
      <c r="O109" s="265">
        <f>IF(AND(Tabla2[[#This Row],[Estado]]="ok",LEFT(Tabla2[[#This Row],['# Factura]],3)="TIS"),Tabla2[[#This Row],[TOTAL]]-Tabla2[[#This Row],[pagado]],0)</f>
        <v>0</v>
      </c>
      <c r="P109" s="262">
        <f>Tabla2[[#This Row],[TOTAL]]-Tabla2[[#This Row],[Valor pago]]</f>
        <v>0</v>
      </c>
      <c r="Q109" s="265">
        <f>IF(Tabla2[[#This Row],[Saldo]]=0,0,IF(Tabla2[[#This Row],[Tipo cliente]]="PJ",Tabla2[[#This Row],[SUBTOTAL]]*11%,0))</f>
        <v>0</v>
      </c>
      <c r="R109" s="276">
        <f>IF(Tabla2[[#This Row],[Saldo]]=0,0,IF(Tabla2[[#This Row],[Tipo cliente]]="PJ",Tabla2[[#This Row],[SUBTOTAL]]*0.966%,0))</f>
        <v>0</v>
      </c>
      <c r="S109" s="276">
        <f>IF(Tabla2[[#This Row],[Retiene IVA]]="S",Tabla2[[#This Row],[IVA]]*0.15,0)</f>
        <v>0</v>
      </c>
      <c r="T109" s="265">
        <f>+Tabla2[[#This Row],[Saldo]]-Tabla2[[#This Row],[Rete fte]]-Tabla2[[#This Row],[rete ica]]-Tabla2[[#This Row],[Rete IVA]]</f>
        <v>0</v>
      </c>
      <c r="U10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200000</v>
      </c>
      <c r="W109">
        <f>IF(Tabla2[[#This Row],[Fecha F.E.]]="","",YEAR(Tabla2[[#This Row],[Fecha F.E.]]))</f>
        <v>2022</v>
      </c>
      <c r="X109" s="23">
        <f>IF(Tabla2[[#This Row],[Fecha]]="","",YEAR(Tabla2[[#This Row],[Fecha]]))</f>
        <v>2022</v>
      </c>
    </row>
    <row r="110" spans="1:24" ht="26.25" x14ac:dyDescent="0.25">
      <c r="A110" s="3">
        <v>110</v>
      </c>
      <c r="B110" s="77" t="s">
        <v>990</v>
      </c>
      <c r="C110" s="360">
        <v>44627</v>
      </c>
      <c r="D110" s="76" t="s">
        <v>991</v>
      </c>
      <c r="E110" s="360">
        <v>44636</v>
      </c>
      <c r="F110" s="78" t="s">
        <v>231</v>
      </c>
      <c r="G110" s="85">
        <v>900444251</v>
      </c>
      <c r="H110" s="177" t="str">
        <f>VLOOKUP(Tabla2[[#This Row],[NIT]],Clientes!A:C,2,0)</f>
        <v>MASTERLINE COLOMBIA SOCIEDAD POR ACCIONES SIMPLIFICADA</v>
      </c>
      <c r="I110" s="77" t="str">
        <f>VLOOKUP(Tabla2[[#This Row],[NIT]],Clientes!A:C,3,0)</f>
        <v>PJ</v>
      </c>
      <c r="J110" s="73" t="s">
        <v>794</v>
      </c>
      <c r="K110" s="267">
        <f>SUMIFS(Tabla4[Sub Total],Tabla4[Codigo],Tabla2[[#This Row],[Cod]])</f>
        <v>2880000</v>
      </c>
      <c r="L110" s="262">
        <f>SUMPRODUCT((Tabla4[Codigo]=Tabla2[[#This Row],[Cod]])*1,Tabla4[IVA])</f>
        <v>547200</v>
      </c>
      <c r="M110" s="262">
        <f>SUMIFS(Tabla4[Total],Tabla4[Codigo],Tabla2[[#This Row],[Cod]])</f>
        <v>3427200</v>
      </c>
      <c r="N110" s="278">
        <f>SUMPRODUCT((Tabla1[Codigo]=Tabla2[[#This Row],[Cod]])*1,Tabla1[Valor])</f>
        <v>3284179</v>
      </c>
      <c r="O110" s="265">
        <f>IF(AND(Tabla2[[#This Row],[Estado]]="ok",LEFT(Tabla2[[#This Row],['# Factura]],3)="TIS"),Tabla2[[#This Row],[TOTAL]]-Tabla2[[#This Row],[pagado]],0)</f>
        <v>0</v>
      </c>
      <c r="P110" s="262">
        <f>Tabla2[[#This Row],[TOTAL]]-Tabla2[[#This Row],[Valor pago]]</f>
        <v>143021</v>
      </c>
      <c r="Q110" s="265">
        <f>IF(Tabla2[[#This Row],[Saldo]]=0,0,IF(Tabla2[[#This Row],[Tipo cliente]]="PJ",Tabla2[[#This Row],[SUBTOTAL]]*11%,0))</f>
        <v>316800</v>
      </c>
      <c r="R110" s="276">
        <f>IF(Tabla2[[#This Row],[Saldo]]=0,0,IF(Tabla2[[#This Row],[Tipo cliente]]="PJ",Tabla2[[#This Row],[SUBTOTAL]]*0.966%,0))</f>
        <v>27820.799999999999</v>
      </c>
      <c r="S110" s="276">
        <f>IF(Tabla2[[#This Row],[Retiene IVA]]="S",Tabla2[[#This Row],[IVA]]*0.15,0)</f>
        <v>0</v>
      </c>
      <c r="T110" s="265">
        <f>+Tabla2[[#This Row],[Saldo]]-Tabla2[[#This Row],[Rete fte]]-Tabla2[[#This Row],[rete ica]]-Tabla2[[#This Row],[Rete IVA]]</f>
        <v>-201599.8</v>
      </c>
      <c r="U11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3427200</v>
      </c>
      <c r="W110">
        <f>IF(Tabla2[[#This Row],[Fecha F.E.]]="","",YEAR(Tabla2[[#This Row],[Fecha F.E.]]))</f>
        <v>2022</v>
      </c>
      <c r="X110" s="23">
        <f>IF(Tabla2[[#This Row],[Fecha]]="","",YEAR(Tabla2[[#This Row],[Fecha]]))</f>
        <v>2022</v>
      </c>
    </row>
    <row r="111" spans="1:24" ht="26.25" x14ac:dyDescent="0.25">
      <c r="A111" s="3">
        <v>111</v>
      </c>
      <c r="B111" s="77" t="s">
        <v>992</v>
      </c>
      <c r="C111" s="360">
        <v>44634</v>
      </c>
      <c r="D111" s="187" t="s">
        <v>993</v>
      </c>
      <c r="E111" s="188">
        <v>44657</v>
      </c>
      <c r="F111" s="78" t="s">
        <v>231</v>
      </c>
      <c r="G111" s="85">
        <v>900396116</v>
      </c>
      <c r="H111" s="177" t="str">
        <f>VLOOKUP(Tabla2[[#This Row],[NIT]],Clientes!A:C,2,0)</f>
        <v>PRODUCTORA INTERAMERICANA DE PLASTICOS S.A.S.</v>
      </c>
      <c r="I111" s="77" t="str">
        <f>VLOOKUP(Tabla2[[#This Row],[NIT]],Clientes!A:C,3,0)</f>
        <v>PJ</v>
      </c>
      <c r="J111" s="73" t="s">
        <v>794</v>
      </c>
      <c r="K111" s="267">
        <f>SUMIFS(Tabla4[Sub Total],Tabla4[Codigo],Tabla2[[#This Row],[Cod]])</f>
        <v>200000</v>
      </c>
      <c r="L111" s="262">
        <f>SUMPRODUCT((Tabla4[Codigo]=Tabla2[[#This Row],[Cod]])*1,Tabla4[IVA])</f>
        <v>38000</v>
      </c>
      <c r="M111" s="262">
        <f>SUMIFS(Tabla4[Total],Tabla4[Codigo],Tabla2[[#This Row],[Cod]])</f>
        <v>238000</v>
      </c>
      <c r="N111" s="278">
        <f>SUMPRODUCT((Tabla1[Codigo]=Tabla2[[#This Row],[Cod]])*1,Tabla1[Valor])</f>
        <v>214068</v>
      </c>
      <c r="O111" s="265">
        <f>IF(AND(Tabla2[[#This Row],[Estado]]="ok",LEFT(Tabla2[[#This Row],['# Factura]],3)="TIS"),Tabla2[[#This Row],[TOTAL]]-Tabla2[[#This Row],[pagado]],0)</f>
        <v>0</v>
      </c>
      <c r="P111" s="262">
        <f>Tabla2[[#This Row],[TOTAL]]-Tabla2[[#This Row],[Valor pago]]</f>
        <v>23932</v>
      </c>
      <c r="Q111" s="265">
        <f>IF(Tabla2[[#This Row],[Saldo]]=0,0,IF(Tabla2[[#This Row],[Tipo cliente]]="PJ",Tabla2[[#This Row],[SUBTOTAL]]*11%,0))</f>
        <v>22000</v>
      </c>
      <c r="R111" s="276">
        <f>IF(Tabla2[[#This Row],[Saldo]]=0,0,IF(Tabla2[[#This Row],[Tipo cliente]]="PJ",Tabla2[[#This Row],[SUBTOTAL]]*0.966%,0))</f>
        <v>1932</v>
      </c>
      <c r="S111" s="276">
        <f>IF(Tabla2[[#This Row],[Retiene IVA]]="S",Tabla2[[#This Row],[IVA]]*0.15,0)</f>
        <v>0</v>
      </c>
      <c r="T111" s="265">
        <f>+Tabla2[[#This Row],[Saldo]]-Tabla2[[#This Row],[Rete fte]]-Tabla2[[#This Row],[rete ica]]-Tabla2[[#This Row],[Rete IVA]]</f>
        <v>0</v>
      </c>
      <c r="U11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238000</v>
      </c>
      <c r="W111" s="23">
        <f>IF(Tabla2[[#This Row],[Fecha F.E.]]="","",YEAR(Tabla2[[#This Row],[Fecha F.E.]]))</f>
        <v>2022</v>
      </c>
      <c r="X111" s="23">
        <f>IF(Tabla2[[#This Row],[Fecha]]="","",YEAR(Tabla2[[#This Row],[Fecha]]))</f>
        <v>2022</v>
      </c>
    </row>
    <row r="112" spans="1:24" x14ac:dyDescent="0.25">
      <c r="A112" s="3">
        <v>112</v>
      </c>
      <c r="B112" s="77" t="s">
        <v>994</v>
      </c>
      <c r="C112" s="360">
        <v>44634</v>
      </c>
      <c r="D112" s="76" t="s">
        <v>995</v>
      </c>
      <c r="E112" s="360">
        <v>44679</v>
      </c>
      <c r="F112" s="78" t="s">
        <v>231</v>
      </c>
      <c r="G112" s="85">
        <v>901030518</v>
      </c>
      <c r="H112" s="177" t="str">
        <f>VLOOKUP(Tabla2[[#This Row],[NIT]],Clientes!A:C,2,0)</f>
        <v>Inversiones Sajamib SAS</v>
      </c>
      <c r="I112" s="77" t="str">
        <f>VLOOKUP(Tabla2[[#This Row],[NIT]],Clientes!A:C,3,0)</f>
        <v>PJ</v>
      </c>
      <c r="J112" s="73" t="s">
        <v>794</v>
      </c>
      <c r="K112" s="267">
        <f>SUMIFS(Tabla4[Sub Total],Tabla4[Codigo],Tabla2[[#This Row],[Cod]])</f>
        <v>322000</v>
      </c>
      <c r="L112" s="262">
        <f>SUMPRODUCT((Tabla4[Codigo]=Tabla2[[#This Row],[Cod]])*1,Tabla4[IVA])</f>
        <v>0</v>
      </c>
      <c r="M112" s="262">
        <f>SUMIFS(Tabla4[Total],Tabla4[Codigo],Tabla2[[#This Row],[Cod]])</f>
        <v>322000</v>
      </c>
      <c r="N112" s="278">
        <f>SUMPRODUCT((Tabla1[Codigo]=Tabla2[[#This Row],[Cod]])*1,Tabla1[Valor])</f>
        <v>353980</v>
      </c>
      <c r="O112" s="265">
        <f>IF(AND(Tabla2[[#This Row],[Estado]]="ok",LEFT(Tabla2[[#This Row],['# Factura]],3)="TIS"),Tabla2[[#This Row],[TOTAL]]-Tabla2[[#This Row],[pagado]],0)</f>
        <v>0</v>
      </c>
      <c r="P112" s="262">
        <f>Tabla2[[#This Row],[TOTAL]]-Tabla2[[#This Row],[Valor pago]]</f>
        <v>-31980</v>
      </c>
      <c r="Q112" s="265">
        <f>IF(Tabla2[[#This Row],[Saldo]]=0,0,IF(Tabla2[[#This Row],[Tipo cliente]]="PJ",Tabla2[[#This Row],[SUBTOTAL]]*11%,0))</f>
        <v>35420</v>
      </c>
      <c r="R112" s="276">
        <f>IF(Tabla2[[#This Row],[Saldo]]=0,0,IF(Tabla2[[#This Row],[Tipo cliente]]="PJ",Tabla2[[#This Row],[SUBTOTAL]]*0.966%,0))</f>
        <v>3110.52</v>
      </c>
      <c r="S112" s="276">
        <f>IF(Tabla2[[#This Row],[Retiene IVA]]="S",Tabla2[[#This Row],[IVA]]*0.15,0)</f>
        <v>0</v>
      </c>
      <c r="T112" s="265">
        <f>+Tabla2[[#This Row],[Saldo]]-Tabla2[[#This Row],[Rete fte]]-Tabla2[[#This Row],[rete ica]]-Tabla2[[#This Row],[Rete IVA]]</f>
        <v>-70510.52</v>
      </c>
      <c r="U11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322000</v>
      </c>
      <c r="W112" s="23">
        <f>IF(Tabla2[[#This Row],[Fecha F.E.]]="","",YEAR(Tabla2[[#This Row],[Fecha F.E.]]))</f>
        <v>2022</v>
      </c>
      <c r="X112" s="23">
        <f>IF(Tabla2[[#This Row],[Fecha]]="","",YEAR(Tabla2[[#This Row],[Fecha]]))</f>
        <v>2022</v>
      </c>
    </row>
    <row r="113" spans="1:24" ht="26.25" x14ac:dyDescent="0.25">
      <c r="A113" s="3">
        <v>113</v>
      </c>
      <c r="B113" s="77" t="s">
        <v>996</v>
      </c>
      <c r="C113" s="360">
        <v>44653</v>
      </c>
      <c r="D113" s="76" t="s">
        <v>997</v>
      </c>
      <c r="E113" s="360">
        <v>44686</v>
      </c>
      <c r="F113" s="78" t="s">
        <v>231</v>
      </c>
      <c r="G113" s="85">
        <v>800028768</v>
      </c>
      <c r="H113" s="177" t="str">
        <f>VLOOKUP(Tabla2[[#This Row],[NIT]],Clientes!A:C,2,0)</f>
        <v>Comercializadora ERZ SAS</v>
      </c>
      <c r="I113" s="77" t="str">
        <f>VLOOKUP(Tabla2[[#This Row],[NIT]],Clientes!A:C,3,0)</f>
        <v>PJ</v>
      </c>
      <c r="J113" s="73" t="s">
        <v>794</v>
      </c>
      <c r="K113" s="267">
        <f>SUMIFS(Tabla4[Sub Total],Tabla4[Codigo],Tabla2[[#This Row],[Cod]])</f>
        <v>880000</v>
      </c>
      <c r="L113" s="262">
        <f>SUMPRODUCT((Tabla4[Codigo]=Tabla2[[#This Row],[Cod]])*1,Tabla4[IVA])</f>
        <v>167200</v>
      </c>
      <c r="M113" s="262">
        <f>SUMIFS(Tabla4[Total],Tabla4[Codigo],Tabla2[[#This Row],[Cod]])</f>
        <v>1047200</v>
      </c>
      <c r="N113" s="278">
        <f>SUMPRODUCT((Tabla1[Codigo]=Tabla2[[#This Row],[Cod]])*1,Tabla1[Valor])</f>
        <v>1048410</v>
      </c>
      <c r="O113" s="265">
        <f>IF(AND(Tabla2[[#This Row],[Estado]]="ok",LEFT(Tabla2[[#This Row],['# Factura]],3)="TIS"),Tabla2[[#This Row],[TOTAL]]-Tabla2[[#This Row],[pagado]],0)</f>
        <v>0</v>
      </c>
      <c r="P113" s="262">
        <f>Tabla2[[#This Row],[TOTAL]]-Tabla2[[#This Row],[Valor pago]]</f>
        <v>-1210</v>
      </c>
      <c r="Q113" s="265">
        <f>IF(Tabla2[[#This Row],[Saldo]]=0,0,IF(Tabla2[[#This Row],[Tipo cliente]]="PJ",Tabla2[[#This Row],[SUBTOTAL]]*11%,0))</f>
        <v>96800</v>
      </c>
      <c r="R113" s="276">
        <f>IF(Tabla2[[#This Row],[Saldo]]=0,0,IF(Tabla2[[#This Row],[Tipo cliente]]="PJ",Tabla2[[#This Row],[SUBTOTAL]]*0.966%,0))</f>
        <v>8500.7999999999993</v>
      </c>
      <c r="S113" s="276">
        <f>IF(Tabla2[[#This Row],[Retiene IVA]]="S",Tabla2[[#This Row],[IVA]]*0.15,0)</f>
        <v>0</v>
      </c>
      <c r="T113" s="265">
        <f>+Tabla2[[#This Row],[Saldo]]-Tabla2[[#This Row],[Rete fte]]-Tabla2[[#This Row],[rete ica]]-Tabla2[[#This Row],[Rete IVA]]</f>
        <v>-106510.8</v>
      </c>
      <c r="U11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1047200</v>
      </c>
      <c r="V113" s="350" t="s">
        <v>998</v>
      </c>
      <c r="W113" s="23">
        <f>IF(Tabla2[[#This Row],[Fecha F.E.]]="","",YEAR(Tabla2[[#This Row],[Fecha F.E.]]))</f>
        <v>2022</v>
      </c>
      <c r="X113" s="23">
        <f>IF(Tabla2[[#This Row],[Fecha]]="","",YEAR(Tabla2[[#This Row],[Fecha]]))</f>
        <v>2022</v>
      </c>
    </row>
    <row r="114" spans="1:24" x14ac:dyDescent="0.25">
      <c r="A114" s="3">
        <v>114</v>
      </c>
      <c r="B114" s="77" t="s">
        <v>999</v>
      </c>
      <c r="C114" s="360">
        <v>44634</v>
      </c>
      <c r="D114" s="76" t="s">
        <v>1000</v>
      </c>
      <c r="E114" s="360">
        <v>44653</v>
      </c>
      <c r="F114" s="78" t="s">
        <v>231</v>
      </c>
      <c r="G114" s="85">
        <v>800182918</v>
      </c>
      <c r="H114" s="177" t="str">
        <f>VLOOKUP(Tabla2[[#This Row],[NIT]],Clientes!A:C,2,0)</f>
        <v>RENAL MEDICAL MARKETING LIMITADA</v>
      </c>
      <c r="I114" s="77" t="str">
        <f>VLOOKUP(Tabla2[[#This Row],[NIT]],Clientes!A:C,3,0)</f>
        <v>PJ</v>
      </c>
      <c r="J114" s="73" t="s">
        <v>794</v>
      </c>
      <c r="K114" s="267">
        <f>SUMIFS(Tabla4[Sub Total],Tabla4[Codigo],Tabla2[[#This Row],[Cod]])</f>
        <v>450000</v>
      </c>
      <c r="L114" s="262">
        <f>SUMPRODUCT((Tabla4[Codigo]=Tabla2[[#This Row],[Cod]])*1,Tabla4[IVA])</f>
        <v>85500</v>
      </c>
      <c r="M114" s="262">
        <f>SUMIFS(Tabla4[Total],Tabla4[Codigo],Tabla2[[#This Row],[Cod]])</f>
        <v>535500</v>
      </c>
      <c r="N114" s="278">
        <f>SUMPRODUCT((Tabla1[Codigo]=Tabla2[[#This Row],[Cod]])*1,Tabla1[Valor])</f>
        <v>486000</v>
      </c>
      <c r="O114" s="265">
        <f>IF(AND(Tabla2[[#This Row],[Estado]]="ok",LEFT(Tabla2[[#This Row],['# Factura]],3)="TIS"),Tabla2[[#This Row],[TOTAL]]-Tabla2[[#This Row],[pagado]],0)</f>
        <v>0</v>
      </c>
      <c r="P114" s="262">
        <f>Tabla2[[#This Row],[TOTAL]]-Tabla2[[#This Row],[Valor pago]]</f>
        <v>49500</v>
      </c>
      <c r="Q114" s="265">
        <f>IF(Tabla2[[#This Row],[Saldo]]=0,0,IF(Tabla2[[#This Row],[Tipo cliente]]="PJ",Tabla2[[#This Row],[SUBTOTAL]]*11%,0))</f>
        <v>49500</v>
      </c>
      <c r="R114" s="276">
        <f>IF(Tabla2[[#This Row],[Saldo]]=0,0,IF(Tabla2[[#This Row],[Tipo cliente]]="PJ",Tabla2[[#This Row],[SUBTOTAL]]*0.966%,0))</f>
        <v>4347</v>
      </c>
      <c r="S114" s="276">
        <f>IF(Tabla2[[#This Row],[Retiene IVA]]="S",Tabla2[[#This Row],[IVA]]*0.15,0)</f>
        <v>0</v>
      </c>
      <c r="T114" s="265">
        <f>+Tabla2[[#This Row],[Saldo]]-Tabla2[[#This Row],[Rete fte]]-Tabla2[[#This Row],[rete ica]]-Tabla2[[#This Row],[Rete IVA]]</f>
        <v>-4347</v>
      </c>
      <c r="U11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535500</v>
      </c>
      <c r="W114" s="23">
        <f>IF(Tabla2[[#This Row],[Fecha F.E.]]="","",YEAR(Tabla2[[#This Row],[Fecha F.E.]]))</f>
        <v>2022</v>
      </c>
      <c r="X114" s="23">
        <f>IF(Tabla2[[#This Row],[Fecha]]="","",YEAR(Tabla2[[#This Row],[Fecha]]))</f>
        <v>2022</v>
      </c>
    </row>
    <row r="115" spans="1:24" x14ac:dyDescent="0.25">
      <c r="A115" s="3">
        <v>115</v>
      </c>
      <c r="B115" s="77" t="s">
        <v>1001</v>
      </c>
      <c r="C115" s="360">
        <v>44634</v>
      </c>
      <c r="D115" s="76" t="s">
        <v>1002</v>
      </c>
      <c r="E115" s="360">
        <v>44631</v>
      </c>
      <c r="F115" s="78" t="s">
        <v>716</v>
      </c>
      <c r="G115" s="85">
        <v>811012461</v>
      </c>
      <c r="H115" s="177" t="str">
        <f>VLOOKUP(Tabla2[[#This Row],[NIT]],Clientes!A:C,2,0)</f>
        <v>Procesos 2000 S.A.S.</v>
      </c>
      <c r="I115" s="77" t="str">
        <f>VLOOKUP(Tabla2[[#This Row],[NIT]],Clientes!A:C,3,0)</f>
        <v>PJ</v>
      </c>
      <c r="J115" s="73" t="s">
        <v>794</v>
      </c>
      <c r="K115" s="267">
        <f>SUMIFS(Tabla4[Sub Total],Tabla4[Codigo],Tabla2[[#This Row],[Cod]])</f>
        <v>9200000</v>
      </c>
      <c r="L115" s="262">
        <f>SUMPRODUCT((Tabla4[Codigo]=Tabla2[[#This Row],[Cod]])*1,Tabla4[IVA])</f>
        <v>1748000</v>
      </c>
      <c r="M115" s="262">
        <f>SUMIFS(Tabla4[Total],Tabla4[Codigo],Tabla2[[#This Row],[Cod]])</f>
        <v>10948000</v>
      </c>
      <c r="N115" s="278">
        <f>SUMPRODUCT((Tabla1[Codigo]=Tabla2[[#This Row],[Cod]])*1,Tabla1[Valor])</f>
        <v>0</v>
      </c>
      <c r="O115" s="265">
        <f>IF(AND(Tabla2[[#This Row],[Estado]]="ok",LEFT(Tabla2[[#This Row],['# Factura]],3)="TIS"),Tabla2[[#This Row],[TOTAL]]-Tabla2[[#This Row],[pagado]],0)</f>
        <v>0</v>
      </c>
      <c r="P115" s="262">
        <f>Tabla2[[#This Row],[TOTAL]]-Tabla2[[#This Row],[Valor pago]]</f>
        <v>10948000</v>
      </c>
      <c r="Q115" s="265">
        <f>IF(Tabla2[[#This Row],[Saldo]]=0,0,IF(Tabla2[[#This Row],[Tipo cliente]]="PJ",Tabla2[[#This Row],[SUBTOTAL]]*11%,0))</f>
        <v>1012000</v>
      </c>
      <c r="R115" s="276">
        <f>IF(Tabla2[[#This Row],[Saldo]]=0,0,IF(Tabla2[[#This Row],[Tipo cliente]]="PJ",Tabla2[[#This Row],[SUBTOTAL]]*0.966%,0))</f>
        <v>88872</v>
      </c>
      <c r="S115" s="276">
        <f>IF(Tabla2[[#This Row],[Retiene IVA]]="S",Tabla2[[#This Row],[IVA]]*0.15,0)</f>
        <v>0</v>
      </c>
      <c r="T115" s="265">
        <f>+Tabla2[[#This Row],[Saldo]]-Tabla2[[#This Row],[Rete fte]]-Tabla2[[#This Row],[rete ica]]-Tabla2[[#This Row],[Rete IVA]]</f>
        <v>9847128</v>
      </c>
      <c r="U11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15" s="23">
        <f>IF(Tabla2[[#This Row],[Fecha F.E.]]="","",YEAR(Tabla2[[#This Row],[Fecha F.E.]]))</f>
        <v>2022</v>
      </c>
      <c r="X115" s="23">
        <f>IF(Tabla2[[#This Row],[Fecha]]="","",YEAR(Tabla2[[#This Row],[Fecha]]))</f>
        <v>2022</v>
      </c>
    </row>
    <row r="116" spans="1:24" x14ac:dyDescent="0.25">
      <c r="A116" s="3">
        <v>116</v>
      </c>
      <c r="B116" s="77" t="s">
        <v>1003</v>
      </c>
      <c r="C116" s="360">
        <v>44634</v>
      </c>
      <c r="D116" s="76" t="s">
        <v>1004</v>
      </c>
      <c r="E116" s="360">
        <v>44631</v>
      </c>
      <c r="F116" s="78" t="s">
        <v>716</v>
      </c>
      <c r="G116" s="85">
        <v>811012461</v>
      </c>
      <c r="H116" s="177" t="str">
        <f>VLOOKUP(Tabla2[[#This Row],[NIT]],Clientes!A:C,2,0)</f>
        <v>Procesos 2000 S.A.S.</v>
      </c>
      <c r="I116" s="77" t="str">
        <f>VLOOKUP(Tabla2[[#This Row],[NIT]],Clientes!A:C,3,0)</f>
        <v>PJ</v>
      </c>
      <c r="J116" s="73" t="s">
        <v>794</v>
      </c>
      <c r="K116" s="267">
        <f>SUMIFS(Tabla4[Sub Total],Tabla4[Codigo],Tabla2[[#This Row],[Cod]])</f>
        <v>-2760000</v>
      </c>
      <c r="L116" s="262">
        <f>SUMPRODUCT((Tabla4[Codigo]=Tabla2[[#This Row],[Cod]])*1,Tabla4[IVA])</f>
        <v>-524400</v>
      </c>
      <c r="M116" s="262">
        <f>SUMIFS(Tabla4[Total],Tabla4[Codigo],Tabla2[[#This Row],[Cod]])</f>
        <v>-3284400</v>
      </c>
      <c r="N116" s="278">
        <f>SUMPRODUCT((Tabla1[Codigo]=Tabla2[[#This Row],[Cod]])*1,Tabla1[Valor])</f>
        <v>0</v>
      </c>
      <c r="O116" s="265">
        <f>IF(AND(Tabla2[[#This Row],[Estado]]="ok",LEFT(Tabla2[[#This Row],['# Factura]],3)="TIS"),Tabla2[[#This Row],[TOTAL]]-Tabla2[[#This Row],[pagado]],0)</f>
        <v>0</v>
      </c>
      <c r="P116" s="262">
        <f>Tabla2[[#This Row],[TOTAL]]-Tabla2[[#This Row],[Valor pago]]</f>
        <v>-3284400</v>
      </c>
      <c r="Q116" s="265">
        <f>IF(Tabla2[[#This Row],[Saldo]]=0,0,IF(Tabla2[[#This Row],[Tipo cliente]]="PJ",Tabla2[[#This Row],[SUBTOTAL]]*11%,0))</f>
        <v>-303600</v>
      </c>
      <c r="R116" s="276">
        <f>IF(Tabla2[[#This Row],[Saldo]]=0,0,IF(Tabla2[[#This Row],[Tipo cliente]]="PJ",Tabla2[[#This Row],[SUBTOTAL]]*0.966%,0))</f>
        <v>-26661.600000000002</v>
      </c>
      <c r="S116" s="276">
        <f>IF(Tabla2[[#This Row],[Retiene IVA]]="S",Tabla2[[#This Row],[IVA]]*0.15,0)</f>
        <v>0</v>
      </c>
      <c r="T116" s="265">
        <f>+Tabla2[[#This Row],[Saldo]]-Tabla2[[#This Row],[Rete fte]]-Tabla2[[#This Row],[rete ica]]-Tabla2[[#This Row],[Rete IVA]]</f>
        <v>-2954138.4</v>
      </c>
      <c r="U11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16" s="23">
        <f>IF(Tabla2[[#This Row],[Fecha F.E.]]="","",YEAR(Tabla2[[#This Row],[Fecha F.E.]]))</f>
        <v>2022</v>
      </c>
      <c r="X116" s="23">
        <f>IF(Tabla2[[#This Row],[Fecha]]="","",YEAR(Tabla2[[#This Row],[Fecha]]))</f>
        <v>2022</v>
      </c>
    </row>
    <row r="117" spans="1:24" x14ac:dyDescent="0.25">
      <c r="A117" s="3">
        <v>117</v>
      </c>
      <c r="B117" s="77" t="s">
        <v>1005</v>
      </c>
      <c r="C117" s="360">
        <v>44648</v>
      </c>
      <c r="D117" s="76" t="s">
        <v>1006</v>
      </c>
      <c r="E117" s="360">
        <v>44648</v>
      </c>
      <c r="F117" s="78" t="s">
        <v>231</v>
      </c>
      <c r="G117" s="85">
        <v>901217662</v>
      </c>
      <c r="H117" s="177" t="str">
        <f>VLOOKUP(Tabla2[[#This Row],[NIT]],Clientes!A:C,2,0)</f>
        <v>ENERGINN S.A.S</v>
      </c>
      <c r="I117" s="77" t="str">
        <f>VLOOKUP(Tabla2[[#This Row],[NIT]],Clientes!A:C,3,0)</f>
        <v>PJ</v>
      </c>
      <c r="J117" s="73" t="s">
        <v>794</v>
      </c>
      <c r="K117" s="267">
        <f>SUMIFS(Tabla4[Sub Total],Tabla4[Codigo],Tabla2[[#This Row],[Cod]])</f>
        <v>1351500</v>
      </c>
      <c r="L117" s="262">
        <f>SUMPRODUCT((Tabla4[Codigo]=Tabla2[[#This Row],[Cod]])*1,Tabla4[IVA])</f>
        <v>256785</v>
      </c>
      <c r="M117" s="262">
        <f>SUMIFS(Tabla4[Total],Tabla4[Codigo],Tabla2[[#This Row],[Cod]])</f>
        <v>1608285</v>
      </c>
      <c r="N117" s="278">
        <f>SUMPRODUCT((Tabla1[Codigo]=Tabla2[[#This Row],[Cod]])*1,Tabla1[Valor])</f>
        <v>1543413</v>
      </c>
      <c r="O117" s="265">
        <f>IF(AND(Tabla2[[#This Row],[Estado]]="ok",LEFT(Tabla2[[#This Row],['# Factura]],3)="TIS"),Tabla2[[#This Row],[TOTAL]]-Tabla2[[#This Row],[pagado]],0)</f>
        <v>0</v>
      </c>
      <c r="P117" s="262">
        <f>Tabla2[[#This Row],[TOTAL]]-Tabla2[[#This Row],[Valor pago]]</f>
        <v>64872</v>
      </c>
      <c r="Q117" s="265">
        <f>IF(Tabla2[[#This Row],[Saldo]]=0,0,IF(Tabla2[[#This Row],[Tipo cliente]]="PJ",Tabla2[[#This Row],[SUBTOTAL]]*11%,0))</f>
        <v>148665</v>
      </c>
      <c r="R117" s="276">
        <f>IF(Tabla2[[#This Row],[Saldo]]=0,0,IF(Tabla2[[#This Row],[Tipo cliente]]="PJ",Tabla2[[#This Row],[SUBTOTAL]]*0.966%,0))</f>
        <v>13055.49</v>
      </c>
      <c r="S117" s="276">
        <f>IF(Tabla2[[#This Row],[Retiene IVA]]="S",Tabla2[[#This Row],[IVA]]*0.15,0)</f>
        <v>0</v>
      </c>
      <c r="T117" s="265">
        <f>+Tabla2[[#This Row],[Saldo]]-Tabla2[[#This Row],[Rete fte]]-Tabla2[[#This Row],[rete ica]]-Tabla2[[#This Row],[Rete IVA]]</f>
        <v>-96848.49</v>
      </c>
      <c r="U11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1608285</v>
      </c>
      <c r="W117" s="23">
        <f>IF(Tabla2[[#This Row],[Fecha F.E.]]="","",YEAR(Tabla2[[#This Row],[Fecha F.E.]]))</f>
        <v>2022</v>
      </c>
      <c r="X117" s="23">
        <f>IF(Tabla2[[#This Row],[Fecha]]="","",YEAR(Tabla2[[#This Row],[Fecha]]))</f>
        <v>2022</v>
      </c>
    </row>
    <row r="118" spans="1:24" x14ac:dyDescent="0.25">
      <c r="A118" s="3">
        <v>118</v>
      </c>
      <c r="B118" s="77" t="s">
        <v>1007</v>
      </c>
      <c r="C118" s="360">
        <v>44653</v>
      </c>
      <c r="D118" s="76" t="s">
        <v>1008</v>
      </c>
      <c r="E118" s="360">
        <v>44627</v>
      </c>
      <c r="F118" s="78" t="s">
        <v>231</v>
      </c>
      <c r="G118" s="85">
        <v>800183564</v>
      </c>
      <c r="H118" s="177" t="str">
        <f>VLOOKUP(Tabla2[[#This Row],[NIT]],Clientes!A:C,2,0)</f>
        <v>VUELTACANELA S.A.S</v>
      </c>
      <c r="I118" s="77" t="str">
        <f>VLOOKUP(Tabla2[[#This Row],[NIT]],Clientes!A:C,3,0)</f>
        <v>PJ</v>
      </c>
      <c r="J118" s="73" t="s">
        <v>794</v>
      </c>
      <c r="K118" s="267">
        <f>SUMIFS(Tabla4[Sub Total],Tabla4[Codigo],Tabla2[[#This Row],[Cod]])</f>
        <v>450000</v>
      </c>
      <c r="L118" s="262">
        <f>SUMPRODUCT((Tabla4[Codigo]=Tabla2[[#This Row],[Cod]])*1,Tabla4[IVA])</f>
        <v>85500</v>
      </c>
      <c r="M118" s="262">
        <f>SUMIFS(Tabla4[Total],Tabla4[Codigo],Tabla2[[#This Row],[Cod]])</f>
        <v>535500</v>
      </c>
      <c r="N118" s="278">
        <f>SUMPRODUCT((Tabla1[Codigo]=Tabla2[[#This Row],[Cod]])*1,Tabla1[Valor])</f>
        <v>513153</v>
      </c>
      <c r="O118" s="265">
        <f>IF(AND(Tabla2[[#This Row],[Estado]]="ok",LEFT(Tabla2[[#This Row],['# Factura]],3)="TIS"),Tabla2[[#This Row],[TOTAL]]-Tabla2[[#This Row],[pagado]],0)</f>
        <v>0</v>
      </c>
      <c r="P118" s="262">
        <f>Tabla2[[#This Row],[TOTAL]]-Tabla2[[#This Row],[Valor pago]]</f>
        <v>22347</v>
      </c>
      <c r="Q118" s="265">
        <f>IF(Tabla2[[#This Row],[Saldo]]=0,0,IF(Tabla2[[#This Row],[Tipo cliente]]="PJ",Tabla2[[#This Row],[SUBTOTAL]]*11%,0))</f>
        <v>49500</v>
      </c>
      <c r="R118" s="276">
        <f>IF(Tabla2[[#This Row],[Saldo]]=0,0,IF(Tabla2[[#This Row],[Tipo cliente]]="PJ",Tabla2[[#This Row],[SUBTOTAL]]*0.966%,0))</f>
        <v>4347</v>
      </c>
      <c r="S118" s="276">
        <f>IF(Tabla2[[#This Row],[Retiene IVA]]="S",Tabla2[[#This Row],[IVA]]*0.15,0)</f>
        <v>0</v>
      </c>
      <c r="T118" s="265">
        <f>+Tabla2[[#This Row],[Saldo]]-Tabla2[[#This Row],[Rete fte]]-Tabla2[[#This Row],[rete ica]]-Tabla2[[#This Row],[Rete IVA]]</f>
        <v>-31500</v>
      </c>
      <c r="U11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535500</v>
      </c>
      <c r="W118" s="23">
        <f>IF(Tabla2[[#This Row],[Fecha F.E.]]="","",YEAR(Tabla2[[#This Row],[Fecha F.E.]]))</f>
        <v>2022</v>
      </c>
      <c r="X118" s="23">
        <f>IF(Tabla2[[#This Row],[Fecha]]="","",YEAR(Tabla2[[#This Row],[Fecha]]))</f>
        <v>2022</v>
      </c>
    </row>
    <row r="119" spans="1:24" x14ac:dyDescent="0.25">
      <c r="A119" s="3">
        <v>119</v>
      </c>
      <c r="B119" s="77" t="s">
        <v>1009</v>
      </c>
      <c r="C119" s="360">
        <v>44631</v>
      </c>
      <c r="D119" s="76" t="s">
        <v>1002</v>
      </c>
      <c r="E119" s="360">
        <v>44631</v>
      </c>
      <c r="F119" s="78" t="s">
        <v>231</v>
      </c>
      <c r="G119" s="85">
        <v>811012461</v>
      </c>
      <c r="H119" s="177" t="str">
        <f>VLOOKUP(Tabla2[[#This Row],[NIT]],Clientes!A:C,2,0)</f>
        <v>Procesos 2000 S.A.S.</v>
      </c>
      <c r="I119" s="77" t="str">
        <f>VLOOKUP(Tabla2[[#This Row],[NIT]],Clientes!A:C,3,0)</f>
        <v>PJ</v>
      </c>
      <c r="J119" s="73" t="s">
        <v>794</v>
      </c>
      <c r="K119" s="267">
        <f>SUMIFS(Tabla4[Sub Total],Tabla4[Codigo],Tabla2[[#This Row],[Cod]])</f>
        <v>6440000</v>
      </c>
      <c r="L119" s="262">
        <f>SUMPRODUCT((Tabla4[Codigo]=Tabla2[[#This Row],[Cod]])*1,Tabla4[IVA])</f>
        <v>1223600</v>
      </c>
      <c r="M119" s="262">
        <f>SUMIFS(Tabla4[Total],Tabla4[Codigo],Tabla2[[#This Row],[Cod]])</f>
        <v>7663600</v>
      </c>
      <c r="N119" s="278">
        <f>SUMPRODUCT((Tabla1[Codigo]=Tabla2[[#This Row],[Cod]])*1,Tabla1[Valor])</f>
        <v>7047200</v>
      </c>
      <c r="O119" s="265">
        <f>IF(AND(Tabla2[[#This Row],[Estado]]="ok",LEFT(Tabla2[[#This Row],['# Factura]],3)="TIS"),Tabla2[[#This Row],[TOTAL]]-Tabla2[[#This Row],[pagado]],0)</f>
        <v>0</v>
      </c>
      <c r="P119" s="262">
        <f>Tabla2[[#This Row],[TOTAL]]-Tabla2[[#This Row],[Valor pago]]</f>
        <v>616400</v>
      </c>
      <c r="Q119" s="265">
        <f>IF(Tabla2[[#This Row],[Saldo]]=0,0,IF(Tabla2[[#This Row],[Tipo cliente]]="PJ",Tabla2[[#This Row],[SUBTOTAL]]*11%,0))</f>
        <v>708400</v>
      </c>
      <c r="R119" s="276">
        <f>IF(Tabla2[[#This Row],[Saldo]]=0,0,IF(Tabla2[[#This Row],[Tipo cliente]]="PJ",Tabla2[[#This Row],[SUBTOTAL]]*0.966%,0))</f>
        <v>62210.400000000001</v>
      </c>
      <c r="S119" s="276">
        <f>IF(Tabla2[[#This Row],[Retiene IVA]]="S",Tabla2[[#This Row],[IVA]]*0.15,0)</f>
        <v>0</v>
      </c>
      <c r="T119" s="265">
        <f>+Tabla2[[#This Row],[Saldo]]-Tabla2[[#This Row],[Rete fte]]-Tabla2[[#This Row],[rete ica]]-Tabla2[[#This Row],[Rete IVA]]</f>
        <v>-154210.4</v>
      </c>
      <c r="U11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7663600</v>
      </c>
      <c r="W119" s="23">
        <f>IF(Tabla2[[#This Row],[Fecha F.E.]]="","",YEAR(Tabla2[[#This Row],[Fecha F.E.]]))</f>
        <v>2022</v>
      </c>
      <c r="X119" s="23">
        <f>IF(Tabla2[[#This Row],[Fecha]]="","",YEAR(Tabla2[[#This Row],[Fecha]]))</f>
        <v>2022</v>
      </c>
    </row>
    <row r="120" spans="1:24" x14ac:dyDescent="0.25">
      <c r="A120" s="3">
        <v>120</v>
      </c>
      <c r="B120" s="77" t="s">
        <v>1010</v>
      </c>
      <c r="C120" s="360">
        <v>44653</v>
      </c>
      <c r="D120" s="76" t="s">
        <v>1011</v>
      </c>
      <c r="E120" s="360">
        <v>44653</v>
      </c>
      <c r="F120" s="78" t="s">
        <v>231</v>
      </c>
      <c r="G120" s="85">
        <v>800182918</v>
      </c>
      <c r="H120" s="177" t="str">
        <f>VLOOKUP(Tabla2[[#This Row],[NIT]],Clientes!A:C,2,0)</f>
        <v>RENAL MEDICAL MARKETING LIMITADA</v>
      </c>
      <c r="I120" s="77" t="str">
        <f>VLOOKUP(Tabla2[[#This Row],[NIT]],Clientes!A:C,3,0)</f>
        <v>PJ</v>
      </c>
      <c r="J120" s="73" t="s">
        <v>794</v>
      </c>
      <c r="K120" s="267">
        <f>SUMIFS(Tabla4[Sub Total],Tabla4[Codigo],Tabla2[[#This Row],[Cod]])</f>
        <v>450000</v>
      </c>
      <c r="L120" s="262">
        <f>SUMPRODUCT((Tabla4[Codigo]=Tabla2[[#This Row],[Cod]])*1,Tabla4[IVA])</f>
        <v>85500</v>
      </c>
      <c r="M120" s="262">
        <f>SUMIFS(Tabla4[Total],Tabla4[Codigo],Tabla2[[#This Row],[Cod]])</f>
        <v>535500</v>
      </c>
      <c r="N120" s="278">
        <f>SUMPRODUCT((Tabla1[Codigo]=Tabla2[[#This Row],[Cod]])*1,Tabla1[Valor])</f>
        <v>486000</v>
      </c>
      <c r="O120" s="265">
        <f>IF(AND(Tabla2[[#This Row],[Estado]]="ok",LEFT(Tabla2[[#This Row],['# Factura]],3)="TIS"),Tabla2[[#This Row],[TOTAL]]-Tabla2[[#This Row],[pagado]],0)</f>
        <v>0</v>
      </c>
      <c r="P120" s="262">
        <f>Tabla2[[#This Row],[TOTAL]]-Tabla2[[#This Row],[Valor pago]]</f>
        <v>49500</v>
      </c>
      <c r="Q120" s="265">
        <f>IF(Tabla2[[#This Row],[Saldo]]=0,0,IF(Tabla2[[#This Row],[Tipo cliente]]="PJ",Tabla2[[#This Row],[SUBTOTAL]]*11%,0))</f>
        <v>49500</v>
      </c>
      <c r="R120" s="276">
        <f>IF(Tabla2[[#This Row],[Saldo]]=0,0,IF(Tabla2[[#This Row],[Tipo cliente]]="PJ",Tabla2[[#This Row],[SUBTOTAL]]*0.966%,0))</f>
        <v>4347</v>
      </c>
      <c r="S120" s="276">
        <f>IF(Tabla2[[#This Row],[Retiene IVA]]="S",Tabla2[[#This Row],[IVA]]*0.15,0)</f>
        <v>0</v>
      </c>
      <c r="T120" s="265">
        <f>+Tabla2[[#This Row],[Saldo]]-Tabla2[[#This Row],[Rete fte]]-Tabla2[[#This Row],[rete ica]]-Tabla2[[#This Row],[Rete IVA]]</f>
        <v>-4347</v>
      </c>
      <c r="U12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535500</v>
      </c>
      <c r="W120" s="23">
        <f>IF(Tabla2[[#This Row],[Fecha F.E.]]="","",YEAR(Tabla2[[#This Row],[Fecha F.E.]]))</f>
        <v>2022</v>
      </c>
      <c r="X120" s="23">
        <f>IF(Tabla2[[#This Row],[Fecha]]="","",YEAR(Tabla2[[#This Row],[Fecha]]))</f>
        <v>2022</v>
      </c>
    </row>
    <row r="121" spans="1:24" x14ac:dyDescent="0.25">
      <c r="A121" s="3">
        <v>121</v>
      </c>
      <c r="B121" s="77" t="s">
        <v>1012</v>
      </c>
      <c r="C121" s="360">
        <v>44653</v>
      </c>
      <c r="D121" s="76" t="s">
        <v>1013</v>
      </c>
      <c r="E121" s="360">
        <v>44653</v>
      </c>
      <c r="F121" s="78" t="s">
        <v>231</v>
      </c>
      <c r="G121" s="85">
        <v>830056068</v>
      </c>
      <c r="H121" s="177" t="str">
        <f>VLOOKUP(Tabla2[[#This Row],[NIT]],Clientes!A:C,2,0)</f>
        <v>Fonseca Abogados Asesoria Empresarial SAS</v>
      </c>
      <c r="I121" s="77" t="str">
        <f>VLOOKUP(Tabla2[[#This Row],[NIT]],Clientes!A:C,3,0)</f>
        <v>PJ</v>
      </c>
      <c r="J121" s="73" t="s">
        <v>794</v>
      </c>
      <c r="K121" s="267">
        <f>SUMIFS(Tabla4[Sub Total],Tabla4[Codigo],Tabla2[[#This Row],[Cod]])</f>
        <v>175000</v>
      </c>
      <c r="L121" s="262">
        <f>SUMPRODUCT((Tabla4[Codigo]=Tabla2[[#This Row],[Cod]])*1,Tabla4[IVA])</f>
        <v>33250</v>
      </c>
      <c r="M121" s="262">
        <f>SUMIFS(Tabla4[Total],Tabla4[Codigo],Tabla2[[#This Row],[Cod]])</f>
        <v>208250</v>
      </c>
      <c r="N121" s="278">
        <f>SUMPRODUCT((Tabla1[Codigo]=Tabla2[[#This Row],[Cod]])*1,Tabla1[Valor])</f>
        <v>208250</v>
      </c>
      <c r="O121" s="265">
        <f>IF(AND(Tabla2[[#This Row],[Estado]]="ok",LEFT(Tabla2[[#This Row],['# Factura]],3)="TIS"),Tabla2[[#This Row],[TOTAL]]-Tabla2[[#This Row],[pagado]],0)</f>
        <v>0</v>
      </c>
      <c r="P121" s="262">
        <f>Tabla2[[#This Row],[TOTAL]]-Tabla2[[#This Row],[Valor pago]]</f>
        <v>0</v>
      </c>
      <c r="Q121" s="265">
        <f>IF(Tabla2[[#This Row],[Saldo]]=0,0,IF(Tabla2[[#This Row],[Tipo cliente]]="PJ",Tabla2[[#This Row],[SUBTOTAL]]*11%,0))</f>
        <v>0</v>
      </c>
      <c r="R121" s="276">
        <f>IF(Tabla2[[#This Row],[Saldo]]=0,0,IF(Tabla2[[#This Row],[Tipo cliente]]="PJ",Tabla2[[#This Row],[SUBTOTAL]]*0.966%,0))</f>
        <v>0</v>
      </c>
      <c r="S121" s="276">
        <f>IF(Tabla2[[#This Row],[Retiene IVA]]="S",Tabla2[[#This Row],[IVA]]*0.15,0)</f>
        <v>0</v>
      </c>
      <c r="T121" s="265">
        <f>+Tabla2[[#This Row],[Saldo]]-Tabla2[[#This Row],[Rete fte]]-Tabla2[[#This Row],[rete ica]]-Tabla2[[#This Row],[Rete IVA]]</f>
        <v>0</v>
      </c>
      <c r="U12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208250</v>
      </c>
      <c r="W121" s="23">
        <f>IF(Tabla2[[#This Row],[Fecha F.E.]]="","",YEAR(Tabla2[[#This Row],[Fecha F.E.]]))</f>
        <v>2022</v>
      </c>
      <c r="X121" s="23">
        <f>IF(Tabla2[[#This Row],[Fecha]]="","",YEAR(Tabla2[[#This Row],[Fecha]]))</f>
        <v>2022</v>
      </c>
    </row>
    <row r="122" spans="1:24" x14ac:dyDescent="0.25">
      <c r="A122" s="3">
        <v>122</v>
      </c>
      <c r="B122" s="77" t="s">
        <v>1014</v>
      </c>
      <c r="C122" s="360">
        <v>44653</v>
      </c>
      <c r="D122" s="76" t="s">
        <v>1015</v>
      </c>
      <c r="E122" s="360">
        <v>44653</v>
      </c>
      <c r="F122" s="78" t="s">
        <v>231</v>
      </c>
      <c r="G122" s="85">
        <v>901195703</v>
      </c>
      <c r="H122" s="177" t="str">
        <f>VLOOKUP(Tabla2[[#This Row],[NIT]],Clientes!A:C,2,0)</f>
        <v>ROCKETFY S.A.S.</v>
      </c>
      <c r="I122" s="77" t="str">
        <f>VLOOKUP(Tabla2[[#This Row],[NIT]],Clientes!A:C,3,0)</f>
        <v>PJ</v>
      </c>
      <c r="J122" s="73" t="s">
        <v>794</v>
      </c>
      <c r="K122" s="267">
        <f>SUMIFS(Tabla4[Sub Total],Tabla4[Codigo],Tabla2[[#This Row],[Cod]])</f>
        <v>1386000</v>
      </c>
      <c r="L122" s="262">
        <f>SUMPRODUCT((Tabla4[Codigo]=Tabla2[[#This Row],[Cod]])*1,Tabla4[IVA])</f>
        <v>263340</v>
      </c>
      <c r="M122" s="262">
        <f>SUMIFS(Tabla4[Total],Tabla4[Codigo],Tabla2[[#This Row],[Cod]])</f>
        <v>1649340</v>
      </c>
      <c r="N122" s="278">
        <f>SUMPRODUCT((Tabla1[Codigo]=Tabla2[[#This Row],[Cod]])*1,Tabla1[Valor])</f>
        <v>1593900</v>
      </c>
      <c r="O122" s="265">
        <f>IF(AND(Tabla2[[#This Row],[Estado]]="ok",LEFT(Tabla2[[#This Row],['# Factura]],3)="TIS"),Tabla2[[#This Row],[TOTAL]]-Tabla2[[#This Row],[pagado]],0)</f>
        <v>0</v>
      </c>
      <c r="P122" s="262">
        <f>Tabla2[[#This Row],[TOTAL]]-Tabla2[[#This Row],[Valor pago]]</f>
        <v>55440</v>
      </c>
      <c r="Q122" s="265">
        <f>IF(Tabla2[[#This Row],[Saldo]]=0,0,IF(Tabla2[[#This Row],[Tipo cliente]]="PJ",Tabla2[[#This Row],[SUBTOTAL]]*11%,0))</f>
        <v>152460</v>
      </c>
      <c r="R122" s="276">
        <f>IF(Tabla2[[#This Row],[Saldo]]=0,0,IF(Tabla2[[#This Row],[Tipo cliente]]="PJ",Tabla2[[#This Row],[SUBTOTAL]]*0.966%,0))</f>
        <v>13388.76</v>
      </c>
      <c r="S122" s="276">
        <f>IF(Tabla2[[#This Row],[Retiene IVA]]="S",Tabla2[[#This Row],[IVA]]*0.15,0)</f>
        <v>0</v>
      </c>
      <c r="T122" s="265">
        <f>+Tabla2[[#This Row],[Saldo]]-Tabla2[[#This Row],[Rete fte]]-Tabla2[[#This Row],[rete ica]]-Tabla2[[#This Row],[Rete IVA]]</f>
        <v>-110408.76</v>
      </c>
      <c r="U12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1649340</v>
      </c>
      <c r="W122" s="23">
        <f>IF(Tabla2[[#This Row],[Fecha F.E.]]="","",YEAR(Tabla2[[#This Row],[Fecha F.E.]]))</f>
        <v>2022</v>
      </c>
      <c r="X122" s="23">
        <f>IF(Tabla2[[#This Row],[Fecha]]="","",YEAR(Tabla2[[#This Row],[Fecha]]))</f>
        <v>2022</v>
      </c>
    </row>
    <row r="123" spans="1:24" x14ac:dyDescent="0.25">
      <c r="A123" s="3">
        <v>123</v>
      </c>
      <c r="B123" s="77" t="s">
        <v>1016</v>
      </c>
      <c r="C123" s="360">
        <v>44656</v>
      </c>
      <c r="D123" s="76" t="s">
        <v>1017</v>
      </c>
      <c r="E123" s="360">
        <v>44656</v>
      </c>
      <c r="F123" s="78" t="s">
        <v>231</v>
      </c>
      <c r="G123" s="85">
        <v>804007055</v>
      </c>
      <c r="H123" s="177" t="str">
        <f>VLOOKUP(Tabla2[[#This Row],[NIT]],Clientes!A:C,2,0)</f>
        <v>K-2 INGENIERIA S.A.S.</v>
      </c>
      <c r="I123" s="77" t="str">
        <f>VLOOKUP(Tabla2[[#This Row],[NIT]],Clientes!A:C,3,0)</f>
        <v>PJ</v>
      </c>
      <c r="J123" s="73" t="s">
        <v>794</v>
      </c>
      <c r="K123" s="267">
        <f>SUMIFS(Tabla4[Sub Total],Tabla4[Codigo],Tabla2[[#This Row],[Cod]])</f>
        <v>225000</v>
      </c>
      <c r="L123" s="262">
        <f>SUMPRODUCT((Tabla4[Codigo]=Tabla2[[#This Row],[Cod]])*1,Tabla4[IVA])</f>
        <v>42750</v>
      </c>
      <c r="M123" s="262">
        <f>SUMIFS(Tabla4[Total],Tabla4[Codigo],Tabla2[[#This Row],[Cod]])</f>
        <v>267750</v>
      </c>
      <c r="N123" s="278">
        <f>SUMPRODUCT((Tabla1[Codigo]=Tabla2[[#This Row],[Cod]])*1,Tabla1[Valor])</f>
        <v>241201</v>
      </c>
      <c r="O123" s="265">
        <f>IF(AND(Tabla2[[#This Row],[Estado]]="ok",LEFT(Tabla2[[#This Row],['# Factura]],3)="TIS"),Tabla2[[#This Row],[TOTAL]]-Tabla2[[#This Row],[pagado]],0)</f>
        <v>0</v>
      </c>
      <c r="P123" s="262">
        <f>Tabla2[[#This Row],[TOTAL]]-Tabla2[[#This Row],[Valor pago]]</f>
        <v>26549</v>
      </c>
      <c r="Q123" s="265">
        <f>IF(Tabla2[[#This Row],[Saldo]]=0,0,IF(Tabla2[[#This Row],[Tipo cliente]]="PJ",Tabla2[[#This Row],[SUBTOTAL]]*11%,0))</f>
        <v>24750</v>
      </c>
      <c r="R123" s="276">
        <f>IF(Tabla2[[#This Row],[Saldo]]=0,0,IF(Tabla2[[#This Row],[Tipo cliente]]="PJ",Tabla2[[#This Row],[SUBTOTAL]]*0.966%,0))</f>
        <v>2173.5</v>
      </c>
      <c r="S123" s="276">
        <f>IF(Tabla2[[#This Row],[Retiene IVA]]="S",Tabla2[[#This Row],[IVA]]*0.15,0)</f>
        <v>0</v>
      </c>
      <c r="T123" s="265">
        <f>+Tabla2[[#This Row],[Saldo]]-Tabla2[[#This Row],[Rete fte]]-Tabla2[[#This Row],[rete ica]]-Tabla2[[#This Row],[Rete IVA]]</f>
        <v>-374.5</v>
      </c>
      <c r="U12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267750</v>
      </c>
      <c r="W123" s="23">
        <f>IF(Tabla2[[#This Row],[Fecha F.E.]]="","",YEAR(Tabla2[[#This Row],[Fecha F.E.]]))</f>
        <v>2022</v>
      </c>
      <c r="X123" s="23">
        <f>IF(Tabla2[[#This Row],[Fecha]]="","",YEAR(Tabla2[[#This Row],[Fecha]]))</f>
        <v>2022</v>
      </c>
    </row>
    <row r="124" spans="1:24" x14ac:dyDescent="0.25">
      <c r="A124" s="3">
        <v>124</v>
      </c>
      <c r="B124" s="77" t="s">
        <v>1018</v>
      </c>
      <c r="C124" s="360">
        <v>44656</v>
      </c>
      <c r="D124" s="76" t="s">
        <v>1019</v>
      </c>
      <c r="E124" s="360">
        <v>44656</v>
      </c>
      <c r="F124" s="78" t="s">
        <v>231</v>
      </c>
      <c r="G124" s="85">
        <v>804007055</v>
      </c>
      <c r="H124" s="177" t="str">
        <f>VLOOKUP(Tabla2[[#This Row],[NIT]],Clientes!A:C,2,0)</f>
        <v>K-2 INGENIERIA S.A.S.</v>
      </c>
      <c r="I124" s="77" t="str">
        <f>VLOOKUP(Tabla2[[#This Row],[NIT]],Clientes!A:C,3,0)</f>
        <v>PJ</v>
      </c>
      <c r="J124" s="73" t="s">
        <v>794</v>
      </c>
      <c r="K124" s="267">
        <f>SUMIFS(Tabla4[Sub Total],Tabla4[Codigo],Tabla2[[#This Row],[Cod]])</f>
        <v>150000</v>
      </c>
      <c r="L124" s="262">
        <f>SUMPRODUCT((Tabla4[Codigo]=Tabla2[[#This Row],[Cod]])*1,Tabla4[IVA])</f>
        <v>28500</v>
      </c>
      <c r="M124" s="262">
        <f>SUMIFS(Tabla4[Total],Tabla4[Codigo],Tabla2[[#This Row],[Cod]])</f>
        <v>178500</v>
      </c>
      <c r="N124" s="278">
        <f>SUMPRODUCT((Tabla1[Codigo]=Tabla2[[#This Row],[Cod]])*1,Tabla1[Valor])</f>
        <v>160551</v>
      </c>
      <c r="O124" s="265">
        <f>IF(AND(Tabla2[[#This Row],[Estado]]="ok",LEFT(Tabla2[[#This Row],['# Factura]],3)="TIS"),Tabla2[[#This Row],[TOTAL]]-Tabla2[[#This Row],[pagado]],0)</f>
        <v>0</v>
      </c>
      <c r="P124" s="262">
        <f>Tabla2[[#This Row],[TOTAL]]-Tabla2[[#This Row],[Valor pago]]</f>
        <v>17949</v>
      </c>
      <c r="Q124" s="265">
        <f>IF(Tabla2[[#This Row],[Saldo]]=0,0,IF(Tabla2[[#This Row],[Tipo cliente]]="PJ",Tabla2[[#This Row],[SUBTOTAL]]*11%,0))</f>
        <v>16500</v>
      </c>
      <c r="R124" s="276">
        <f>IF(Tabla2[[#This Row],[Saldo]]=0,0,IF(Tabla2[[#This Row],[Tipo cliente]]="PJ",Tabla2[[#This Row],[SUBTOTAL]]*0.966%,0))</f>
        <v>1449</v>
      </c>
      <c r="S124" s="276">
        <f>IF(Tabla2[[#This Row],[Retiene IVA]]="S",Tabla2[[#This Row],[IVA]]*0.15,0)</f>
        <v>0</v>
      </c>
      <c r="T124" s="265">
        <f>+Tabla2[[#This Row],[Saldo]]-Tabla2[[#This Row],[Rete fte]]-Tabla2[[#This Row],[rete ica]]-Tabla2[[#This Row],[Rete IVA]]</f>
        <v>0</v>
      </c>
      <c r="U12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178500</v>
      </c>
      <c r="W124" s="23">
        <f>IF(Tabla2[[#This Row],[Fecha F.E.]]="","",YEAR(Tabla2[[#This Row],[Fecha F.E.]]))</f>
        <v>2022</v>
      </c>
      <c r="X124" s="23">
        <f>IF(Tabla2[[#This Row],[Fecha]]="","",YEAR(Tabla2[[#This Row],[Fecha]]))</f>
        <v>2022</v>
      </c>
    </row>
    <row r="125" spans="1:24" x14ac:dyDescent="0.25">
      <c r="A125" s="3">
        <v>125</v>
      </c>
      <c r="B125" s="77" t="s">
        <v>1020</v>
      </c>
      <c r="C125" s="360">
        <v>44657</v>
      </c>
      <c r="D125" s="76" t="s">
        <v>1021</v>
      </c>
      <c r="E125" s="360">
        <v>44657</v>
      </c>
      <c r="F125" s="78" t="s">
        <v>231</v>
      </c>
      <c r="G125" s="85">
        <v>900747203</v>
      </c>
      <c r="H125" s="177" t="str">
        <f>VLOOKUP(Tabla2[[#This Row],[NIT]],Clientes!A:C,2,0)</f>
        <v>BARRO BLANCO FARMS SAS</v>
      </c>
      <c r="I125" s="77" t="str">
        <f>VLOOKUP(Tabla2[[#This Row],[NIT]],Clientes!A:C,3,0)</f>
        <v>PJ</v>
      </c>
      <c r="J125" s="73" t="s">
        <v>794</v>
      </c>
      <c r="K125" s="267">
        <f>SUMIFS(Tabla4[Sub Total],Tabla4[Codigo],Tabla2[[#This Row],[Cod]])</f>
        <v>720000</v>
      </c>
      <c r="L125" s="262">
        <f>SUMPRODUCT((Tabla4[Codigo]=Tabla2[[#This Row],[Cod]])*1,Tabla4[IVA])</f>
        <v>136800</v>
      </c>
      <c r="M125" s="262">
        <f>SUMIFS(Tabla4[Total],Tabla4[Codigo],Tabla2[[#This Row],[Cod]])</f>
        <v>856800</v>
      </c>
      <c r="N125" s="278">
        <f>SUMPRODUCT((Tabla1[Codigo]=Tabla2[[#This Row],[Cod]])*1,Tabla1[Valor])</f>
        <v>856800</v>
      </c>
      <c r="O125" s="265">
        <f>IF(AND(Tabla2[[#This Row],[Estado]]="ok",LEFT(Tabla2[[#This Row],['# Factura]],3)="TIS"),Tabla2[[#This Row],[TOTAL]]-Tabla2[[#This Row],[pagado]],0)</f>
        <v>0</v>
      </c>
      <c r="P125" s="262">
        <f>Tabla2[[#This Row],[TOTAL]]-Tabla2[[#This Row],[Valor pago]]</f>
        <v>0</v>
      </c>
      <c r="Q125" s="265">
        <f>IF(Tabla2[[#This Row],[Saldo]]=0,0,IF(Tabla2[[#This Row],[Tipo cliente]]="PJ",Tabla2[[#This Row],[SUBTOTAL]]*11%,0))</f>
        <v>0</v>
      </c>
      <c r="R125" s="276">
        <f>IF(Tabla2[[#This Row],[Saldo]]=0,0,IF(Tabla2[[#This Row],[Tipo cliente]]="PJ",Tabla2[[#This Row],[SUBTOTAL]]*0.966%,0))</f>
        <v>0</v>
      </c>
      <c r="S125" s="276">
        <f>IF(Tabla2[[#This Row],[Retiene IVA]]="S",Tabla2[[#This Row],[IVA]]*0.15,0)</f>
        <v>0</v>
      </c>
      <c r="T125" s="265">
        <f>+Tabla2[[#This Row],[Saldo]]-Tabla2[[#This Row],[Rete fte]]-Tabla2[[#This Row],[rete ica]]-Tabla2[[#This Row],[Rete IVA]]</f>
        <v>0</v>
      </c>
      <c r="U12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856800</v>
      </c>
      <c r="W125" s="23">
        <f>IF(Tabla2[[#This Row],[Fecha F.E.]]="","",YEAR(Tabla2[[#This Row],[Fecha F.E.]]))</f>
        <v>2022</v>
      </c>
      <c r="X125" s="23">
        <f>IF(Tabla2[[#This Row],[Fecha]]="","",YEAR(Tabla2[[#This Row],[Fecha]]))</f>
        <v>2022</v>
      </c>
    </row>
    <row r="126" spans="1:24" x14ac:dyDescent="0.25">
      <c r="A126" s="3">
        <v>126</v>
      </c>
      <c r="B126" s="77" t="s">
        <v>1022</v>
      </c>
      <c r="C126" s="360">
        <v>44671</v>
      </c>
      <c r="D126" s="76" t="s">
        <v>1023</v>
      </c>
      <c r="E126" s="360">
        <v>44733</v>
      </c>
      <c r="F126" s="78" t="s">
        <v>231</v>
      </c>
      <c r="G126" s="85">
        <v>901286797</v>
      </c>
      <c r="H126" s="177" t="str">
        <f>VLOOKUP(Tabla2[[#This Row],[NIT]],Clientes!A:C,2,0)</f>
        <v>FET GROUP SAS</v>
      </c>
      <c r="I126" s="77" t="str">
        <f>VLOOKUP(Tabla2[[#This Row],[NIT]],Clientes!A:C,3,0)</f>
        <v>PJ</v>
      </c>
      <c r="J126" s="73" t="s">
        <v>794</v>
      </c>
      <c r="K126" s="267">
        <f>SUMIFS(Tabla4[Sub Total],Tabla4[Codigo],Tabla2[[#This Row],[Cod]])</f>
        <v>1700000</v>
      </c>
      <c r="L126" s="262">
        <f>SUMPRODUCT((Tabla4[Codigo]=Tabla2[[#This Row],[Cod]])*1,Tabla4[IVA])</f>
        <v>323000</v>
      </c>
      <c r="M126" s="262">
        <f>SUMIFS(Tabla4[Total],Tabla4[Codigo],Tabla2[[#This Row],[Cod]])</f>
        <v>2023000</v>
      </c>
      <c r="N126" s="278">
        <f>SUMPRODUCT((Tabla1[Codigo]=Tabla2[[#This Row],[Cod]])*1,Tabla1[Valor])</f>
        <v>3196000</v>
      </c>
      <c r="O126" s="265">
        <f>IF(AND(Tabla2[[#This Row],[Estado]]="ok",LEFT(Tabla2[[#This Row],['# Factura]],3)="TIS"),Tabla2[[#This Row],[TOTAL]]-Tabla2[[#This Row],[pagado]],0)</f>
        <v>0</v>
      </c>
      <c r="P126" s="262">
        <f>Tabla2[[#This Row],[TOTAL]]-Tabla2[[#This Row],[Valor pago]]</f>
        <v>-1173000</v>
      </c>
      <c r="Q126" s="265">
        <f>IF(Tabla2[[#This Row],[Saldo]]=0,0,IF(Tabla2[[#This Row],[Tipo cliente]]="PJ",Tabla2[[#This Row],[SUBTOTAL]]*11%,0))</f>
        <v>187000</v>
      </c>
      <c r="R126" s="276">
        <f>IF(Tabla2[[#This Row],[Saldo]]=0,0,IF(Tabla2[[#This Row],[Tipo cliente]]="PJ",Tabla2[[#This Row],[SUBTOTAL]]*0.966%,0))</f>
        <v>16422</v>
      </c>
      <c r="S126" s="276">
        <f>IF(Tabla2[[#This Row],[Retiene IVA]]="S",Tabla2[[#This Row],[IVA]]*0.15,0)</f>
        <v>0</v>
      </c>
      <c r="T126" s="265">
        <f>+Tabla2[[#This Row],[Saldo]]-Tabla2[[#This Row],[Rete fte]]-Tabla2[[#This Row],[rete ica]]-Tabla2[[#This Row],[Rete IVA]]</f>
        <v>-1376422</v>
      </c>
      <c r="U12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2023000</v>
      </c>
      <c r="W126" s="23">
        <f>IF(Tabla2[[#This Row],[Fecha F.E.]]="","",YEAR(Tabla2[[#This Row],[Fecha F.E.]]))</f>
        <v>2022</v>
      </c>
      <c r="X126" s="23">
        <f>IF(Tabla2[[#This Row],[Fecha]]="","",YEAR(Tabla2[[#This Row],[Fecha]]))</f>
        <v>2022</v>
      </c>
    </row>
    <row r="127" spans="1:24" ht="26.25" x14ac:dyDescent="0.25">
      <c r="A127" s="3">
        <v>127</v>
      </c>
      <c r="B127" s="77" t="s">
        <v>1024</v>
      </c>
      <c r="C127" s="360">
        <v>44671</v>
      </c>
      <c r="D127" s="76" t="s">
        <v>1025</v>
      </c>
      <c r="E127" s="360">
        <v>44686</v>
      </c>
      <c r="F127" s="78" t="s">
        <v>231</v>
      </c>
      <c r="G127" s="85">
        <v>900641244</v>
      </c>
      <c r="H127" s="177" t="str">
        <f>VLOOKUP(Tabla2[[#This Row],[NIT]],Clientes!A:C,2,0)</f>
        <v>PASTRY CHEF PASTELERIA Y COCINA GOURMET SAS</v>
      </c>
      <c r="I127" s="77" t="str">
        <f>VLOOKUP(Tabla2[[#This Row],[NIT]],Clientes!A:C,3,0)</f>
        <v>PJ</v>
      </c>
      <c r="J127" s="73" t="s">
        <v>794</v>
      </c>
      <c r="K127" s="267">
        <f>SUMIFS(Tabla4[Sub Total],Tabla4[Codigo],Tabla2[[#This Row],[Cod]])</f>
        <v>723333.61344537814</v>
      </c>
      <c r="L127" s="262">
        <f>SUMPRODUCT((Tabla4[Codigo]=Tabla2[[#This Row],[Cod]])*1,Tabla4[IVA])</f>
        <v>137433.38655462186</v>
      </c>
      <c r="M127" s="262">
        <f>SUMIFS(Tabla4[Total],Tabla4[Codigo],Tabla2[[#This Row],[Cod]])</f>
        <v>860767</v>
      </c>
      <c r="N127" s="278">
        <f>SUMPRODUCT((Tabla1[Codigo]=Tabla2[[#This Row],[Cod]])*1,Tabla1[Valor])</f>
        <v>776208</v>
      </c>
      <c r="O127" s="265">
        <f>IF(AND(Tabla2[[#This Row],[Estado]]="ok",LEFT(Tabla2[[#This Row],['# Factura]],3)="TIS"),Tabla2[[#This Row],[TOTAL]]-Tabla2[[#This Row],[pagado]],0)</f>
        <v>0</v>
      </c>
      <c r="P127" s="262">
        <f>Tabla2[[#This Row],[TOTAL]]-Tabla2[[#This Row],[Valor pago]]</f>
        <v>84559</v>
      </c>
      <c r="Q127" s="265">
        <f>IF(Tabla2[[#This Row],[Saldo]]=0,0,IF(Tabla2[[#This Row],[Tipo cliente]]="PJ",Tabla2[[#This Row],[SUBTOTAL]]*11%,0))</f>
        <v>79566.697478991598</v>
      </c>
      <c r="R127" s="276">
        <f>IF(Tabla2[[#This Row],[Saldo]]=0,0,IF(Tabla2[[#This Row],[Tipo cliente]]="PJ",Tabla2[[#This Row],[SUBTOTAL]]*0.966%,0))</f>
        <v>6987.4027058823531</v>
      </c>
      <c r="S127" s="276">
        <f>IF(Tabla2[[#This Row],[Retiene IVA]]="S",Tabla2[[#This Row],[IVA]]*0.15,0)</f>
        <v>0</v>
      </c>
      <c r="T127" s="265">
        <f>+Tabla2[[#This Row],[Saldo]]-Tabla2[[#This Row],[Rete fte]]-Tabla2[[#This Row],[rete ica]]-Tabla2[[#This Row],[Rete IVA]]</f>
        <v>-1995.1001848739515</v>
      </c>
      <c r="U12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860767</v>
      </c>
      <c r="W127" s="23">
        <f>IF(Tabla2[[#This Row],[Fecha F.E.]]="","",YEAR(Tabla2[[#This Row],[Fecha F.E.]]))</f>
        <v>2022</v>
      </c>
      <c r="X127" s="23">
        <f>IF(Tabla2[[#This Row],[Fecha]]="","",YEAR(Tabla2[[#This Row],[Fecha]]))</f>
        <v>2022</v>
      </c>
    </row>
    <row r="128" spans="1:24" x14ac:dyDescent="0.25">
      <c r="A128" s="3">
        <v>128</v>
      </c>
      <c r="B128" s="77" t="s">
        <v>1026</v>
      </c>
      <c r="C128" s="360">
        <v>44671</v>
      </c>
      <c r="D128" s="76" t="s">
        <v>1027</v>
      </c>
      <c r="E128" s="360">
        <v>44679</v>
      </c>
      <c r="F128" s="78" t="s">
        <v>231</v>
      </c>
      <c r="G128" s="85">
        <v>901030518</v>
      </c>
      <c r="H128" s="177" t="str">
        <f>VLOOKUP(Tabla2[[#This Row],[NIT]],Clientes!A:C,2,0)</f>
        <v>Inversiones Sajamib SAS</v>
      </c>
      <c r="I128" s="77" t="str">
        <f>VLOOKUP(Tabla2[[#This Row],[NIT]],Clientes!A:C,3,0)</f>
        <v>PJ</v>
      </c>
      <c r="J128" s="73" t="s">
        <v>794</v>
      </c>
      <c r="K128" s="267">
        <f>SUMIFS(Tabla4[Sub Total],Tabla4[Codigo],Tabla2[[#This Row],[Cod]])</f>
        <v>322000</v>
      </c>
      <c r="L128" s="262">
        <f>SUMPRODUCT((Tabla4[Codigo]=Tabla2[[#This Row],[Cod]])*1,Tabla4[IVA])</f>
        <v>0</v>
      </c>
      <c r="M128" s="262">
        <f>SUMIFS(Tabla4[Total],Tabla4[Codigo],Tabla2[[#This Row],[Cod]])</f>
        <v>322000</v>
      </c>
      <c r="N128" s="278">
        <f>SUMPRODUCT((Tabla1[Codigo]=Tabla2[[#This Row],[Cod]])*1,Tabla1[Valor])</f>
        <v>322000</v>
      </c>
      <c r="O128" s="265">
        <f>IF(AND(Tabla2[[#This Row],[Estado]]="ok",LEFT(Tabla2[[#This Row],['# Factura]],3)="TIS"),Tabla2[[#This Row],[TOTAL]]-Tabla2[[#This Row],[pagado]],0)</f>
        <v>0</v>
      </c>
      <c r="P128" s="262">
        <f>Tabla2[[#This Row],[TOTAL]]-Tabla2[[#This Row],[Valor pago]]</f>
        <v>0</v>
      </c>
      <c r="Q128" s="265">
        <f>IF(Tabla2[[#This Row],[Saldo]]=0,0,IF(Tabla2[[#This Row],[Tipo cliente]]="PJ",Tabla2[[#This Row],[SUBTOTAL]]*11%,0))</f>
        <v>0</v>
      </c>
      <c r="R128" s="276">
        <f>IF(Tabla2[[#This Row],[Saldo]]=0,0,IF(Tabla2[[#This Row],[Tipo cliente]]="PJ",Tabla2[[#This Row],[SUBTOTAL]]*0.966%,0))</f>
        <v>0</v>
      </c>
      <c r="S128" s="276">
        <f>IF(Tabla2[[#This Row],[Retiene IVA]]="S",Tabla2[[#This Row],[IVA]]*0.15,0)</f>
        <v>0</v>
      </c>
      <c r="T128" s="265">
        <f>+Tabla2[[#This Row],[Saldo]]-Tabla2[[#This Row],[Rete fte]]-Tabla2[[#This Row],[rete ica]]-Tabla2[[#This Row],[Rete IVA]]</f>
        <v>0</v>
      </c>
      <c r="U12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322000</v>
      </c>
      <c r="W128" s="23">
        <f>IF(Tabla2[[#This Row],[Fecha F.E.]]="","",YEAR(Tabla2[[#This Row],[Fecha F.E.]]))</f>
        <v>2022</v>
      </c>
      <c r="X128" s="23">
        <f>IF(Tabla2[[#This Row],[Fecha]]="","",YEAR(Tabla2[[#This Row],[Fecha]]))</f>
        <v>2022</v>
      </c>
    </row>
    <row r="129" spans="1:24" x14ac:dyDescent="0.25">
      <c r="A129" s="3">
        <v>129</v>
      </c>
      <c r="B129" s="77" t="s">
        <v>1028</v>
      </c>
      <c r="C129" s="360">
        <v>44679</v>
      </c>
      <c r="D129" s="76" t="s">
        <v>1029</v>
      </c>
      <c r="E129" s="360">
        <v>44679</v>
      </c>
      <c r="F129" s="78" t="s">
        <v>231</v>
      </c>
      <c r="G129" s="85">
        <v>830033212</v>
      </c>
      <c r="H129" s="177" t="str">
        <f>VLOOKUP(Tabla2[[#This Row],[NIT]],Clientes!A:C,2,0)</f>
        <v>HUTERCOL S.A.S.</v>
      </c>
      <c r="I129" s="77" t="str">
        <f>VLOOKUP(Tabla2[[#This Row],[NIT]],Clientes!A:C,3,0)</f>
        <v>PJ</v>
      </c>
      <c r="J129" s="73" t="s">
        <v>794</v>
      </c>
      <c r="K129" s="267">
        <f>SUMIFS(Tabla4[Sub Total],Tabla4[Codigo],Tabla2[[#This Row],[Cod]])</f>
        <v>1050000</v>
      </c>
      <c r="L129" s="262">
        <f>SUMPRODUCT((Tabla4[Codigo]=Tabla2[[#This Row],[Cod]])*1,Tabla4[IVA])</f>
        <v>199500</v>
      </c>
      <c r="M129" s="262">
        <f>SUMIFS(Tabla4[Total],Tabla4[Codigo],Tabla2[[#This Row],[Cod]])</f>
        <v>1249500</v>
      </c>
      <c r="N129" s="278">
        <f>SUMPRODUCT((Tabla1[Codigo]=Tabla2[[#This Row],[Cod]])*1,Tabla1[Valor])</f>
        <v>1126650</v>
      </c>
      <c r="O129" s="265">
        <f>IF(AND(Tabla2[[#This Row],[Estado]]="ok",LEFT(Tabla2[[#This Row],['# Factura]],3)="TIS"),Tabla2[[#This Row],[TOTAL]]-Tabla2[[#This Row],[pagado]],0)</f>
        <v>0</v>
      </c>
      <c r="P129" s="262">
        <f>Tabla2[[#This Row],[TOTAL]]-Tabla2[[#This Row],[Valor pago]]</f>
        <v>122850</v>
      </c>
      <c r="Q129" s="265">
        <f>IF(Tabla2[[#This Row],[Saldo]]=0,0,IF(Tabla2[[#This Row],[Tipo cliente]]="PJ",Tabla2[[#This Row],[SUBTOTAL]]*11%,0))</f>
        <v>115500</v>
      </c>
      <c r="R129" s="276">
        <f>IF(Tabla2[[#This Row],[Saldo]]=0,0,IF(Tabla2[[#This Row],[Tipo cliente]]="PJ",Tabla2[[#This Row],[SUBTOTAL]]*0.966%,0))</f>
        <v>10143</v>
      </c>
      <c r="S129" s="276">
        <f>IF(Tabla2[[#This Row],[Retiene IVA]]="S",Tabla2[[#This Row],[IVA]]*0.15,0)</f>
        <v>0</v>
      </c>
      <c r="T129" s="265">
        <f>+Tabla2[[#This Row],[Saldo]]-Tabla2[[#This Row],[Rete fte]]-Tabla2[[#This Row],[rete ica]]-Tabla2[[#This Row],[Rete IVA]]</f>
        <v>-2793</v>
      </c>
      <c r="U12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1249500</v>
      </c>
      <c r="W129" s="23">
        <f>IF(Tabla2[[#This Row],[Fecha F.E.]]="","",YEAR(Tabla2[[#This Row],[Fecha F.E.]]))</f>
        <v>2022</v>
      </c>
      <c r="X129" s="23">
        <f>IF(Tabla2[[#This Row],[Fecha]]="","",YEAR(Tabla2[[#This Row],[Fecha]]))</f>
        <v>2022</v>
      </c>
    </row>
    <row r="130" spans="1:24" x14ac:dyDescent="0.25">
      <c r="A130" s="3">
        <v>130</v>
      </c>
      <c r="B130" s="77" t="s">
        <v>1030</v>
      </c>
      <c r="C130" s="360">
        <v>44679</v>
      </c>
      <c r="D130" s="76" t="s">
        <v>1031</v>
      </c>
      <c r="E130" s="360">
        <v>44679</v>
      </c>
      <c r="F130" s="78" t="s">
        <v>231</v>
      </c>
      <c r="G130" s="85">
        <v>800182918</v>
      </c>
      <c r="H130" s="177" t="str">
        <f>VLOOKUP(Tabla2[[#This Row],[NIT]],Clientes!A:C,2,0)</f>
        <v>RENAL MEDICAL MARKETING LIMITADA</v>
      </c>
      <c r="I130" s="77" t="str">
        <f>VLOOKUP(Tabla2[[#This Row],[NIT]],Clientes!A:C,3,0)</f>
        <v>PJ</v>
      </c>
      <c r="J130" s="73" t="s">
        <v>794</v>
      </c>
      <c r="K130" s="267">
        <f>SUMIFS(Tabla4[Sub Total],Tabla4[Codigo],Tabla2[[#This Row],[Cod]])</f>
        <v>450000</v>
      </c>
      <c r="L130" s="262">
        <f>SUMPRODUCT((Tabla4[Codigo]=Tabla2[[#This Row],[Cod]])*1,Tabla4[IVA])</f>
        <v>85500</v>
      </c>
      <c r="M130" s="262">
        <f>SUMIFS(Tabla4[Total],Tabla4[Codigo],Tabla2[[#This Row],[Cod]])</f>
        <v>535500</v>
      </c>
      <c r="N130" s="278">
        <f>SUMPRODUCT((Tabla1[Codigo]=Tabla2[[#This Row],[Cod]])*1,Tabla1[Valor])</f>
        <v>486000</v>
      </c>
      <c r="O130" s="265">
        <f>IF(AND(Tabla2[[#This Row],[Estado]]="ok",LEFT(Tabla2[[#This Row],['# Factura]],3)="TIS"),Tabla2[[#This Row],[TOTAL]]-Tabla2[[#This Row],[pagado]],0)</f>
        <v>0</v>
      </c>
      <c r="P130" s="262">
        <f>Tabla2[[#This Row],[TOTAL]]-Tabla2[[#This Row],[Valor pago]]</f>
        <v>49500</v>
      </c>
      <c r="Q130" s="265">
        <f>IF(Tabla2[[#This Row],[Saldo]]=0,0,IF(Tabla2[[#This Row],[Tipo cliente]]="PJ",Tabla2[[#This Row],[SUBTOTAL]]*11%,0))</f>
        <v>49500</v>
      </c>
      <c r="R130" s="276">
        <f>IF(Tabla2[[#This Row],[Saldo]]=0,0,IF(Tabla2[[#This Row],[Tipo cliente]]="PJ",Tabla2[[#This Row],[SUBTOTAL]]*0.966%,0))</f>
        <v>4347</v>
      </c>
      <c r="S130" s="276">
        <f>IF(Tabla2[[#This Row],[Retiene IVA]]="S",Tabla2[[#This Row],[IVA]]*0.15,0)</f>
        <v>0</v>
      </c>
      <c r="T130" s="265">
        <f>+Tabla2[[#This Row],[Saldo]]-Tabla2[[#This Row],[Rete fte]]-Tabla2[[#This Row],[rete ica]]-Tabla2[[#This Row],[Rete IVA]]</f>
        <v>-4347</v>
      </c>
      <c r="U13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535500</v>
      </c>
      <c r="W130" s="23">
        <f>IF(Tabla2[[#This Row],[Fecha F.E.]]="","",YEAR(Tabla2[[#This Row],[Fecha F.E.]]))</f>
        <v>2022</v>
      </c>
      <c r="X130" s="23">
        <f>IF(Tabla2[[#This Row],[Fecha]]="","",YEAR(Tabla2[[#This Row],[Fecha]]))</f>
        <v>2022</v>
      </c>
    </row>
    <row r="131" spans="1:24" ht="26.25" x14ac:dyDescent="0.25">
      <c r="A131" s="3">
        <v>131</v>
      </c>
      <c r="B131" s="77" t="s">
        <v>1032</v>
      </c>
      <c r="C131" s="360">
        <v>44679</v>
      </c>
      <c r="D131" s="76" t="s">
        <v>1033</v>
      </c>
      <c r="E131" s="360">
        <v>44679</v>
      </c>
      <c r="F131" s="78" t="s">
        <v>231</v>
      </c>
      <c r="G131" s="85">
        <v>900396116</v>
      </c>
      <c r="H131" s="177" t="str">
        <f>VLOOKUP(Tabla2[[#This Row],[NIT]],Clientes!A:C,2,0)</f>
        <v>PRODUCTORA INTERAMERICANA DE PLASTICOS S.A.S.</v>
      </c>
      <c r="I131" s="77" t="str">
        <f>VLOOKUP(Tabla2[[#This Row],[NIT]],Clientes!A:C,3,0)</f>
        <v>PJ</v>
      </c>
      <c r="J131" s="73" t="s">
        <v>794</v>
      </c>
      <c r="K131" s="267">
        <f>SUMIFS(Tabla4[Sub Total],Tabla4[Codigo],Tabla2[[#This Row],[Cod]])</f>
        <v>200000</v>
      </c>
      <c r="L131" s="262">
        <f>SUMPRODUCT((Tabla4[Codigo]=Tabla2[[#This Row],[Cod]])*1,Tabla4[IVA])</f>
        <v>38000</v>
      </c>
      <c r="M131" s="262">
        <f>SUMIFS(Tabla4[Total],Tabla4[Codigo],Tabla2[[#This Row],[Cod]])</f>
        <v>238000</v>
      </c>
      <c r="N131" s="278">
        <f>SUMPRODUCT((Tabla1[Codigo]=Tabla2[[#This Row],[Cod]])*1,Tabla1[Valor])</f>
        <v>214068</v>
      </c>
      <c r="O131" s="265">
        <f>IF(AND(Tabla2[[#This Row],[Estado]]="ok",LEFT(Tabla2[[#This Row],['# Factura]],3)="TIS"),Tabla2[[#This Row],[TOTAL]]-Tabla2[[#This Row],[pagado]],0)</f>
        <v>0</v>
      </c>
      <c r="P131" s="262">
        <f>Tabla2[[#This Row],[TOTAL]]-Tabla2[[#This Row],[Valor pago]]</f>
        <v>23932</v>
      </c>
      <c r="Q131" s="265">
        <f>IF(Tabla2[[#This Row],[Saldo]]=0,0,IF(Tabla2[[#This Row],[Tipo cliente]]="PJ",Tabla2[[#This Row],[SUBTOTAL]]*11%,0))</f>
        <v>22000</v>
      </c>
      <c r="R131" s="276">
        <f>IF(Tabla2[[#This Row],[Saldo]]=0,0,IF(Tabla2[[#This Row],[Tipo cliente]]="PJ",Tabla2[[#This Row],[SUBTOTAL]]*0.966%,0))</f>
        <v>1932</v>
      </c>
      <c r="S131" s="276">
        <f>IF(Tabla2[[#This Row],[Retiene IVA]]="S",Tabla2[[#This Row],[IVA]]*0.15,0)</f>
        <v>0</v>
      </c>
      <c r="T131" s="265">
        <f>+Tabla2[[#This Row],[Saldo]]-Tabla2[[#This Row],[Rete fte]]-Tabla2[[#This Row],[rete ica]]-Tabla2[[#This Row],[Rete IVA]]</f>
        <v>0</v>
      </c>
      <c r="U13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238000</v>
      </c>
      <c r="W131" s="23">
        <f>IF(Tabla2[[#This Row],[Fecha F.E.]]="","",YEAR(Tabla2[[#This Row],[Fecha F.E.]]))</f>
        <v>2022</v>
      </c>
      <c r="X131" s="23">
        <f>IF(Tabla2[[#This Row],[Fecha]]="","",YEAR(Tabla2[[#This Row],[Fecha]]))</f>
        <v>2022</v>
      </c>
    </row>
    <row r="132" spans="1:24" x14ac:dyDescent="0.25">
      <c r="A132" s="3">
        <v>132</v>
      </c>
      <c r="B132" s="77" t="s">
        <v>1034</v>
      </c>
      <c r="C132" s="360">
        <v>44679</v>
      </c>
      <c r="D132" s="76" t="s">
        <v>1035</v>
      </c>
      <c r="E132" s="360">
        <v>44958</v>
      </c>
      <c r="F132" s="78" t="s">
        <v>231</v>
      </c>
      <c r="G132" s="85">
        <v>830137517</v>
      </c>
      <c r="H132" s="177" t="str">
        <f>VLOOKUP(Tabla2[[#This Row],[NIT]],Clientes!A:C,2,0)</f>
        <v>CAVACOR S.A.S</v>
      </c>
      <c r="I132" s="77" t="str">
        <f>VLOOKUP(Tabla2[[#This Row],[NIT]],Clientes!A:C,3,0)</f>
        <v>PJ</v>
      </c>
      <c r="J132" s="73" t="s">
        <v>794</v>
      </c>
      <c r="K132" s="267">
        <f>SUMIFS(Tabla4[Sub Total],Tabla4[Codigo],Tabla2[[#This Row],[Cod]])</f>
        <v>2100000</v>
      </c>
      <c r="L132" s="262">
        <f>SUMPRODUCT((Tabla4[Codigo]=Tabla2[[#This Row],[Cod]])*1,Tabla4[IVA])</f>
        <v>0</v>
      </c>
      <c r="M132" s="262">
        <f>SUMIFS(Tabla4[Total],Tabla4[Codigo],Tabla2[[#This Row],[Cod]])</f>
        <v>2100000</v>
      </c>
      <c r="N132" s="278">
        <f>SUMPRODUCT((Tabla1[Codigo]=Tabla2[[#This Row],[Cod]])*1,Tabla1[Valor])</f>
        <v>1995840</v>
      </c>
      <c r="O132" s="265">
        <f>IF(AND(Tabla2[[#This Row],[Estado]]="ok",LEFT(Tabla2[[#This Row],['# Factura]],3)="TIS"),Tabla2[[#This Row],[TOTAL]]-Tabla2[[#This Row],[pagado]],0)</f>
        <v>0</v>
      </c>
      <c r="P132" s="262">
        <f>Tabla2[[#This Row],[TOTAL]]-Tabla2[[#This Row],[Valor pago]]</f>
        <v>104160</v>
      </c>
      <c r="Q132" s="265">
        <f>IF(Tabla2[[#This Row],[Saldo]]=0,0,IF(Tabla2[[#This Row],[Tipo cliente]]="PJ",Tabla2[[#This Row],[SUBTOTAL]]*11%,0))</f>
        <v>231000</v>
      </c>
      <c r="R132" s="276">
        <f>IF(Tabla2[[#This Row],[Saldo]]=0,0,IF(Tabla2[[#This Row],[Tipo cliente]]="PJ",Tabla2[[#This Row],[SUBTOTAL]]*0.966%,0))</f>
        <v>20286</v>
      </c>
      <c r="S132" s="276">
        <f>IF(Tabla2[[#This Row],[Retiene IVA]]="S",Tabla2[[#This Row],[IVA]]*0.15,0)</f>
        <v>0</v>
      </c>
      <c r="T132" s="265">
        <f>+Tabla2[[#This Row],[Saldo]]-Tabla2[[#This Row],[Rete fte]]-Tabla2[[#This Row],[rete ica]]-Tabla2[[#This Row],[Rete IVA]]</f>
        <v>-147126</v>
      </c>
      <c r="U13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2100000</v>
      </c>
      <c r="W132" s="23">
        <f>IF(Tabla2[[#This Row],[Fecha F.E.]]="","",YEAR(Tabla2[[#This Row],[Fecha F.E.]]))</f>
        <v>2023</v>
      </c>
      <c r="X132" s="23">
        <f>IF(Tabla2[[#This Row],[Fecha]]="","",YEAR(Tabla2[[#This Row],[Fecha]]))</f>
        <v>2022</v>
      </c>
    </row>
    <row r="133" spans="1:24" x14ac:dyDescent="0.25">
      <c r="A133" s="3">
        <v>133</v>
      </c>
      <c r="B133" s="77" t="s">
        <v>1036</v>
      </c>
      <c r="C133" s="360">
        <v>44694</v>
      </c>
      <c r="D133" s="76" t="s">
        <v>1037</v>
      </c>
      <c r="E133" s="360">
        <v>44694</v>
      </c>
      <c r="F133" s="78" t="s">
        <v>231</v>
      </c>
      <c r="G133" s="85">
        <v>901030518</v>
      </c>
      <c r="H133" s="177" t="str">
        <f>VLOOKUP(Tabla2[[#This Row],[NIT]],Clientes!A:C,2,0)</f>
        <v>Inversiones Sajamib SAS</v>
      </c>
      <c r="I133" s="77" t="str">
        <f>VLOOKUP(Tabla2[[#This Row],[NIT]],Clientes!A:C,3,0)</f>
        <v>PJ</v>
      </c>
      <c r="J133" s="73" t="s">
        <v>794</v>
      </c>
      <c r="K133" s="267">
        <f>SUMIFS(Tabla4[Sub Total],Tabla4[Codigo],Tabla2[[#This Row],[Cod]])</f>
        <v>322000</v>
      </c>
      <c r="L133" s="262">
        <f>SUMPRODUCT((Tabla4[Codigo]=Tabla2[[#This Row],[Cod]])*1,Tabla4[IVA])</f>
        <v>0</v>
      </c>
      <c r="M133" s="262">
        <f>SUMIFS(Tabla4[Total],Tabla4[Codigo],Tabla2[[#This Row],[Cod]])</f>
        <v>322000</v>
      </c>
      <c r="N133" s="278">
        <f>SUMPRODUCT((Tabla1[Codigo]=Tabla2[[#This Row],[Cod]])*1,Tabla1[Valor])</f>
        <v>322000</v>
      </c>
      <c r="O133" s="265">
        <f>IF(AND(Tabla2[[#This Row],[Estado]]="ok",LEFT(Tabla2[[#This Row],['# Factura]],3)="TIS"),Tabla2[[#This Row],[TOTAL]]-Tabla2[[#This Row],[pagado]],0)</f>
        <v>0</v>
      </c>
      <c r="P133" s="262">
        <f>Tabla2[[#This Row],[TOTAL]]-Tabla2[[#This Row],[Valor pago]]</f>
        <v>0</v>
      </c>
      <c r="Q133" s="265">
        <f>IF(Tabla2[[#This Row],[Saldo]]=0,0,IF(Tabla2[[#This Row],[Tipo cliente]]="PJ",Tabla2[[#This Row],[SUBTOTAL]]*11%,0))</f>
        <v>0</v>
      </c>
      <c r="R133" s="276">
        <f>IF(Tabla2[[#This Row],[Saldo]]=0,0,IF(Tabla2[[#This Row],[Tipo cliente]]="PJ",Tabla2[[#This Row],[SUBTOTAL]]*0.966%,0))</f>
        <v>0</v>
      </c>
      <c r="S133" s="276">
        <f>IF(Tabla2[[#This Row],[Retiene IVA]]="S",Tabla2[[#This Row],[IVA]]*0.15,0)</f>
        <v>0</v>
      </c>
      <c r="T133" s="265">
        <f>+Tabla2[[#This Row],[Saldo]]-Tabla2[[#This Row],[Rete fte]]-Tabla2[[#This Row],[rete ica]]-Tabla2[[#This Row],[Rete IVA]]</f>
        <v>0</v>
      </c>
      <c r="U13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322000</v>
      </c>
      <c r="W133" s="23">
        <f>IF(Tabla2[[#This Row],[Fecha F.E.]]="","",YEAR(Tabla2[[#This Row],[Fecha F.E.]]))</f>
        <v>2022</v>
      </c>
      <c r="X133" s="23">
        <f>IF(Tabla2[[#This Row],[Fecha]]="","",YEAR(Tabla2[[#This Row],[Fecha]]))</f>
        <v>2022</v>
      </c>
    </row>
    <row r="134" spans="1:24" x14ac:dyDescent="0.25">
      <c r="A134" s="3">
        <v>134</v>
      </c>
      <c r="B134" s="77" t="s">
        <v>1038</v>
      </c>
      <c r="C134" s="360">
        <v>44694</v>
      </c>
      <c r="D134" s="76" t="s">
        <v>1039</v>
      </c>
      <c r="E134" s="360">
        <v>44693</v>
      </c>
      <c r="F134" s="78" t="s">
        <v>231</v>
      </c>
      <c r="G134" s="85">
        <v>860002964</v>
      </c>
      <c r="H134" s="177" t="str">
        <f>VLOOKUP(Tabla2[[#This Row],[NIT]],Clientes!A:C,2,0)</f>
        <v>Banco de Bogota S.A.</v>
      </c>
      <c r="I134" s="77" t="str">
        <f>VLOOKUP(Tabla2[[#This Row],[NIT]],Clientes!A:C,3,0)</f>
        <v>PJ</v>
      </c>
      <c r="J134" s="73" t="s">
        <v>1040</v>
      </c>
      <c r="K134" s="267">
        <f>SUMIFS(Tabla4[Sub Total],Tabla4[Codigo],Tabla2[[#This Row],[Cod]])</f>
        <v>67903200</v>
      </c>
      <c r="L134" s="262">
        <f>SUMPRODUCT((Tabla4[Codigo]=Tabla2[[#This Row],[Cod]])*1,Tabla4[IVA])</f>
        <v>12901608</v>
      </c>
      <c r="M134" s="262">
        <f>SUMIFS(Tabla4[Total],Tabla4[Codigo],Tabla2[[#This Row],[Cod]])</f>
        <v>80804808</v>
      </c>
      <c r="N134" s="278">
        <f>SUMPRODUCT((Tabla1[Codigo]=Tabla2[[#This Row],[Cod]])*1,Tabla1[Valor])</f>
        <v>75565397.090000004</v>
      </c>
      <c r="O134" s="265">
        <f>IF(AND(Tabla2[[#This Row],[Estado]]="ok",LEFT(Tabla2[[#This Row],['# Factura]],3)="TIS"),Tabla2[[#This Row],[TOTAL]]-Tabla2[[#This Row],[pagado]],0)</f>
        <v>0</v>
      </c>
      <c r="P134" s="262">
        <f>Tabla2[[#This Row],[TOTAL]]-Tabla2[[#This Row],[Valor pago]]</f>
        <v>5239410.9099999964</v>
      </c>
      <c r="Q134" s="265">
        <f>IF(Tabla2[[#This Row],[Saldo]]=0,0,IF(Tabla2[[#This Row],[Tipo cliente]]="PJ",Tabla2[[#This Row],[SUBTOTAL]]*11%,0))</f>
        <v>7469352</v>
      </c>
      <c r="R134" s="276">
        <f>IF(Tabla2[[#This Row],[Saldo]]=0,0,IF(Tabla2[[#This Row],[Tipo cliente]]="PJ",Tabla2[[#This Row],[SUBTOTAL]]*0.966%,0))</f>
        <v>655944.91200000001</v>
      </c>
      <c r="S134" s="276">
        <f>IF(Tabla2[[#This Row],[Retiene IVA]]="S",Tabla2[[#This Row],[IVA]]*0.15,0)</f>
        <v>1935241.2</v>
      </c>
      <c r="T134" s="265">
        <f>+Tabla2[[#This Row],[Saldo]]-Tabla2[[#This Row],[Rete fte]]-Tabla2[[#This Row],[rete ica]]-Tabla2[[#This Row],[Rete IVA]]</f>
        <v>-4821127.2020000033</v>
      </c>
      <c r="U13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80804808</v>
      </c>
      <c r="W134" s="23">
        <f>IF(Tabla2[[#This Row],[Fecha F.E.]]="","",YEAR(Tabla2[[#This Row],[Fecha F.E.]]))</f>
        <v>2022</v>
      </c>
      <c r="X134" s="23">
        <f>IF(Tabla2[[#This Row],[Fecha]]="","",YEAR(Tabla2[[#This Row],[Fecha]]))</f>
        <v>2022</v>
      </c>
    </row>
    <row r="135" spans="1:24" ht="26.25" x14ac:dyDescent="0.25">
      <c r="A135" s="3">
        <v>135</v>
      </c>
      <c r="B135" s="77" t="s">
        <v>1041</v>
      </c>
      <c r="C135" s="360">
        <v>44694</v>
      </c>
      <c r="D135" s="76" t="s">
        <v>1042</v>
      </c>
      <c r="E135" s="360">
        <v>44694</v>
      </c>
      <c r="F135" s="78" t="s">
        <v>231</v>
      </c>
      <c r="G135" s="85">
        <v>900396116</v>
      </c>
      <c r="H135" s="177" t="str">
        <f>VLOOKUP(Tabla2[[#This Row],[NIT]],Clientes!A:C,2,0)</f>
        <v>PRODUCTORA INTERAMERICANA DE PLASTICOS S.A.S.</v>
      </c>
      <c r="I135" s="77" t="str">
        <f>VLOOKUP(Tabla2[[#This Row],[NIT]],Clientes!A:C,3,0)</f>
        <v>PJ</v>
      </c>
      <c r="J135" s="73" t="s">
        <v>794</v>
      </c>
      <c r="K135" s="267">
        <f>SUMIFS(Tabla4[Sub Total],Tabla4[Codigo],Tabla2[[#This Row],[Cod]])</f>
        <v>400000</v>
      </c>
      <c r="L135" s="262">
        <f>SUMPRODUCT((Tabla4[Codigo]=Tabla2[[#This Row],[Cod]])*1,Tabla4[IVA])</f>
        <v>76000</v>
      </c>
      <c r="M135" s="262">
        <f>SUMIFS(Tabla4[Total],Tabla4[Codigo],Tabla2[[#This Row],[Cod]])</f>
        <v>476000</v>
      </c>
      <c r="N135" s="278">
        <f>SUMPRODUCT((Tabla1[Codigo]=Tabla2[[#This Row],[Cod]])*1,Tabla1[Valor])</f>
        <v>428136</v>
      </c>
      <c r="O135" s="265">
        <f>IF(AND(Tabla2[[#This Row],[Estado]]="ok",LEFT(Tabla2[[#This Row],['# Factura]],3)="TIS"),Tabla2[[#This Row],[TOTAL]]-Tabla2[[#This Row],[pagado]],0)</f>
        <v>0</v>
      </c>
      <c r="P135" s="262">
        <f>Tabla2[[#This Row],[TOTAL]]-Tabla2[[#This Row],[Valor pago]]</f>
        <v>47864</v>
      </c>
      <c r="Q135" s="265">
        <f>IF(Tabla2[[#This Row],[Saldo]]=0,0,IF(Tabla2[[#This Row],[Tipo cliente]]="PJ",Tabla2[[#This Row],[SUBTOTAL]]*11%,0))</f>
        <v>44000</v>
      </c>
      <c r="R135" s="276">
        <f>IF(Tabla2[[#This Row],[Saldo]]=0,0,IF(Tabla2[[#This Row],[Tipo cliente]]="PJ",Tabla2[[#This Row],[SUBTOTAL]]*0.966%,0))</f>
        <v>3864</v>
      </c>
      <c r="S135" s="276">
        <f>IF(Tabla2[[#This Row],[Retiene IVA]]="S",Tabla2[[#This Row],[IVA]]*0.15,0)</f>
        <v>0</v>
      </c>
      <c r="T135" s="265">
        <f>+Tabla2[[#This Row],[Saldo]]-Tabla2[[#This Row],[Rete fte]]-Tabla2[[#This Row],[rete ica]]-Tabla2[[#This Row],[Rete IVA]]</f>
        <v>0</v>
      </c>
      <c r="U13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476000</v>
      </c>
      <c r="W135" s="23">
        <f>IF(Tabla2[[#This Row],[Fecha F.E.]]="","",YEAR(Tabla2[[#This Row],[Fecha F.E.]]))</f>
        <v>2022</v>
      </c>
      <c r="X135" s="23">
        <f>IF(Tabla2[[#This Row],[Fecha]]="","",YEAR(Tabla2[[#This Row],[Fecha]]))</f>
        <v>2022</v>
      </c>
    </row>
    <row r="136" spans="1:24" x14ac:dyDescent="0.25">
      <c r="A136" s="3">
        <v>136</v>
      </c>
      <c r="B136" s="77" t="s">
        <v>1043</v>
      </c>
      <c r="C136" s="360">
        <v>44694</v>
      </c>
      <c r="D136" s="76" t="s">
        <v>1044</v>
      </c>
      <c r="E136" s="360">
        <v>44747</v>
      </c>
      <c r="F136" s="78" t="s">
        <v>231</v>
      </c>
      <c r="G136" s="85">
        <v>52385710</v>
      </c>
      <c r="H136" s="177" t="str">
        <f>VLOOKUP(Tabla2[[#This Row],[NIT]],Clientes!A:C,2,0)</f>
        <v>Maria del Pilar Alvarado Joya</v>
      </c>
      <c r="I136" s="77" t="str">
        <f>VLOOKUP(Tabla2[[#This Row],[NIT]],Clientes!A:C,3,0)</f>
        <v>PN</v>
      </c>
      <c r="J136" s="73" t="s">
        <v>794</v>
      </c>
      <c r="K136" s="267">
        <f>SUMIFS(Tabla4[Sub Total],Tabla4[Codigo],Tabla2[[#This Row],[Cod]])</f>
        <v>300000</v>
      </c>
      <c r="L136" s="262">
        <f>SUMPRODUCT((Tabla4[Codigo]=Tabla2[[#This Row],[Cod]])*1,Tabla4[IVA])</f>
        <v>0</v>
      </c>
      <c r="M136" s="262">
        <f>SUMIFS(Tabla4[Total],Tabla4[Codigo],Tabla2[[#This Row],[Cod]])</f>
        <v>300000</v>
      </c>
      <c r="N136" s="278">
        <f>SUMPRODUCT((Tabla1[Codigo]=Tabla2[[#This Row],[Cod]])*1,Tabla1[Valor])</f>
        <v>448000</v>
      </c>
      <c r="O136" s="265">
        <f>IF(AND(Tabla2[[#This Row],[Estado]]="ok",LEFT(Tabla2[[#This Row],['# Factura]],3)="TIS"),Tabla2[[#This Row],[TOTAL]]-Tabla2[[#This Row],[pagado]],0)</f>
        <v>0</v>
      </c>
      <c r="P136" s="262">
        <f>Tabla2[[#This Row],[TOTAL]]-Tabla2[[#This Row],[Valor pago]]</f>
        <v>-148000</v>
      </c>
      <c r="Q136" s="265">
        <f>IF(Tabla2[[#This Row],[Saldo]]=0,0,IF(Tabla2[[#This Row],[Tipo cliente]]="PJ",Tabla2[[#This Row],[SUBTOTAL]]*11%,0))</f>
        <v>0</v>
      </c>
      <c r="R136" s="276">
        <f>IF(Tabla2[[#This Row],[Saldo]]=0,0,IF(Tabla2[[#This Row],[Tipo cliente]]="PJ",Tabla2[[#This Row],[SUBTOTAL]]*0.966%,0))</f>
        <v>0</v>
      </c>
      <c r="S136" s="276">
        <f>IF(Tabla2[[#This Row],[Retiene IVA]]="S",Tabla2[[#This Row],[IVA]]*0.15,0)</f>
        <v>0</v>
      </c>
      <c r="T136" s="265">
        <f>+Tabla2[[#This Row],[Saldo]]-Tabla2[[#This Row],[Rete fte]]-Tabla2[[#This Row],[rete ica]]-Tabla2[[#This Row],[Rete IVA]]</f>
        <v>-148000</v>
      </c>
      <c r="U13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300000</v>
      </c>
      <c r="W136" s="23">
        <f>IF(Tabla2[[#This Row],[Fecha F.E.]]="","",YEAR(Tabla2[[#This Row],[Fecha F.E.]]))</f>
        <v>2022</v>
      </c>
      <c r="X136" s="23">
        <f>IF(Tabla2[[#This Row],[Fecha]]="","",YEAR(Tabla2[[#This Row],[Fecha]]))</f>
        <v>2022</v>
      </c>
    </row>
    <row r="137" spans="1:24" ht="26.25" x14ac:dyDescent="0.25">
      <c r="A137" s="3">
        <v>137</v>
      </c>
      <c r="B137" s="77" t="s">
        <v>1045</v>
      </c>
      <c r="C137" s="360">
        <v>44694</v>
      </c>
      <c r="D137" s="76" t="s">
        <v>1046</v>
      </c>
      <c r="E137" s="360">
        <v>44694</v>
      </c>
      <c r="F137" s="78" t="s">
        <v>231</v>
      </c>
      <c r="G137" s="85">
        <v>900641244</v>
      </c>
      <c r="H137" s="177" t="str">
        <f>VLOOKUP(Tabla2[[#This Row],[NIT]],Clientes!A:C,2,0)</f>
        <v>PASTRY CHEF PASTELERIA Y COCINA GOURMET SAS</v>
      </c>
      <c r="I137" s="77" t="str">
        <f>VLOOKUP(Tabla2[[#This Row],[NIT]],Clientes!A:C,3,0)</f>
        <v>PJ</v>
      </c>
      <c r="J137" s="73" t="s">
        <v>794</v>
      </c>
      <c r="K137" s="267">
        <f>SUMIFS(Tabla4[Sub Total],Tabla4[Codigo],Tabla2[[#This Row],[Cod]])</f>
        <v>723333</v>
      </c>
      <c r="L137" s="262">
        <f>SUMPRODUCT((Tabla4[Codigo]=Tabla2[[#This Row],[Cod]])*1,Tabla4[IVA])</f>
        <v>137433.26999999999</v>
      </c>
      <c r="M137" s="262">
        <f>SUMIFS(Tabla4[Total],Tabla4[Codigo],Tabla2[[#This Row],[Cod]])</f>
        <v>860766.27</v>
      </c>
      <c r="N137" s="278">
        <f>SUMPRODUCT((Tabla1[Codigo]=Tabla2[[#This Row],[Cod]])*1,Tabla1[Valor])</f>
        <v>776208</v>
      </c>
      <c r="O137" s="265">
        <f>IF(AND(Tabla2[[#This Row],[Estado]]="ok",LEFT(Tabla2[[#This Row],['# Factura]],3)="TIS"),Tabla2[[#This Row],[TOTAL]]-Tabla2[[#This Row],[pagado]],0)</f>
        <v>0</v>
      </c>
      <c r="P137" s="262">
        <f>Tabla2[[#This Row],[TOTAL]]-Tabla2[[#This Row],[Valor pago]]</f>
        <v>84558.270000000019</v>
      </c>
      <c r="Q137" s="265">
        <f>IF(Tabla2[[#This Row],[Saldo]]=0,0,IF(Tabla2[[#This Row],[Tipo cliente]]="PJ",Tabla2[[#This Row],[SUBTOTAL]]*11%,0))</f>
        <v>79566.63</v>
      </c>
      <c r="R137" s="276">
        <f>IF(Tabla2[[#This Row],[Saldo]]=0,0,IF(Tabla2[[#This Row],[Tipo cliente]]="PJ",Tabla2[[#This Row],[SUBTOTAL]]*0.966%,0))</f>
        <v>6987.39678</v>
      </c>
      <c r="S137" s="276">
        <f>IF(Tabla2[[#This Row],[Retiene IVA]]="S",Tabla2[[#This Row],[IVA]]*0.15,0)</f>
        <v>0</v>
      </c>
      <c r="T137" s="265">
        <f>+Tabla2[[#This Row],[Saldo]]-Tabla2[[#This Row],[Rete fte]]-Tabla2[[#This Row],[rete ica]]-Tabla2[[#This Row],[Rete IVA]]</f>
        <v>-1995.7567799999861</v>
      </c>
      <c r="U13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860766.27</v>
      </c>
      <c r="W137" s="23">
        <f>IF(Tabla2[[#This Row],[Fecha F.E.]]="","",YEAR(Tabla2[[#This Row],[Fecha F.E.]]))</f>
        <v>2022</v>
      </c>
      <c r="X137" s="23">
        <f>IF(Tabla2[[#This Row],[Fecha]]="","",YEAR(Tabla2[[#This Row],[Fecha]]))</f>
        <v>2022</v>
      </c>
    </row>
    <row r="138" spans="1:24" x14ac:dyDescent="0.25">
      <c r="A138" s="3">
        <v>138</v>
      </c>
      <c r="B138" s="77" t="s">
        <v>1047</v>
      </c>
      <c r="C138" s="360">
        <v>44713</v>
      </c>
      <c r="D138" s="76" t="s">
        <v>1048</v>
      </c>
      <c r="E138" s="360">
        <v>44713</v>
      </c>
      <c r="F138" s="78" t="s">
        <v>231</v>
      </c>
      <c r="G138" s="85">
        <v>900465670</v>
      </c>
      <c r="H138" s="177" t="str">
        <f>VLOOKUP(Tabla2[[#This Row],[NIT]],Clientes!A:C,2,0)</f>
        <v>AXIOMATICA SOLUCIONES TECNOLOGICAS SAS</v>
      </c>
      <c r="I138" s="77" t="str">
        <f>VLOOKUP(Tabla2[[#This Row],[NIT]],Clientes!A:C,3,0)</f>
        <v>PJ</v>
      </c>
      <c r="J138" s="73" t="s">
        <v>794</v>
      </c>
      <c r="K138" s="267">
        <f>SUMIFS(Tabla4[Sub Total],Tabla4[Codigo],Tabla2[[#This Row],[Cod]])</f>
        <v>590000</v>
      </c>
      <c r="L138" s="262">
        <f>SUMPRODUCT((Tabla4[Codigo]=Tabla2[[#This Row],[Cod]])*1,Tabla4[IVA])</f>
        <v>112100</v>
      </c>
      <c r="M138" s="262">
        <f>SUMIFS(Tabla4[Total],Tabla4[Codigo],Tabla2[[#This Row],[Cod]])</f>
        <v>702100</v>
      </c>
      <c r="N138" s="278">
        <f>SUMPRODUCT((Tabla1[Codigo]=Tabla2[[#This Row],[Cod]])*1,Tabla1[Valor])</f>
        <v>627187</v>
      </c>
      <c r="O138" s="265">
        <f>IF(AND(Tabla2[[#This Row],[Estado]]="ok",LEFT(Tabla2[[#This Row],['# Factura]],3)="TIS"),Tabla2[[#This Row],[TOTAL]]-Tabla2[[#This Row],[pagado]],0)</f>
        <v>4313.5999999999767</v>
      </c>
      <c r="P138" s="262">
        <f>Tabla2[[#This Row],[TOTAL]]-Tabla2[[#This Row],[Valor pago]]</f>
        <v>74913</v>
      </c>
      <c r="Q138" s="265">
        <f>IF(Tabla2[[#This Row],[Saldo]]=0,0,IF(Tabla2[[#This Row],[Tipo cliente]]="PJ",Tabla2[[#This Row],[SUBTOTAL]]*11%,0))</f>
        <v>64900</v>
      </c>
      <c r="R138" s="276">
        <f>IF(Tabla2[[#This Row],[Saldo]]=0,0,IF(Tabla2[[#This Row],[Tipo cliente]]="PJ",Tabla2[[#This Row],[SUBTOTAL]]*0.966%,0))</f>
        <v>5699.4000000000005</v>
      </c>
      <c r="S138" s="276">
        <f>IF(Tabla2[[#This Row],[Retiene IVA]]="S",Tabla2[[#This Row],[IVA]]*0.15,0)</f>
        <v>0</v>
      </c>
      <c r="T138" s="265">
        <f>+Tabla2[[#This Row],[Saldo]]-Tabla2[[#This Row],[Rete fte]]-Tabla2[[#This Row],[rete ica]]-Tabla2[[#This Row],[Rete IVA]]</f>
        <v>4313.5999999999995</v>
      </c>
      <c r="U13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697786.4</v>
      </c>
      <c r="W138" s="23">
        <f>IF(Tabla2[[#This Row],[Fecha F.E.]]="","",YEAR(Tabla2[[#This Row],[Fecha F.E.]]))</f>
        <v>2022</v>
      </c>
      <c r="X138" s="23">
        <f>IF(Tabla2[[#This Row],[Fecha]]="","",YEAR(Tabla2[[#This Row],[Fecha]]))</f>
        <v>2022</v>
      </c>
    </row>
    <row r="139" spans="1:24" x14ac:dyDescent="0.25">
      <c r="A139" s="3">
        <v>139</v>
      </c>
      <c r="B139" s="77" t="s">
        <v>1049</v>
      </c>
      <c r="C139" s="360">
        <v>44713</v>
      </c>
      <c r="D139" s="76" t="s">
        <v>1050</v>
      </c>
      <c r="E139" s="360">
        <v>44781</v>
      </c>
      <c r="F139" s="78" t="s">
        <v>3</v>
      </c>
      <c r="G139" s="85">
        <v>860012357</v>
      </c>
      <c r="H139" s="177" t="str">
        <f>VLOOKUP(Tabla2[[#This Row],[NIT]],Clientes!A:C,2,0)</f>
        <v>Universidad Santo Tomas</v>
      </c>
      <c r="I139" s="77" t="str">
        <f>VLOOKUP(Tabla2[[#This Row],[NIT]],Clientes!A:C,3,0)</f>
        <v>PJ</v>
      </c>
      <c r="J139" s="73" t="s">
        <v>1051</v>
      </c>
      <c r="K139" s="267">
        <f>SUMIFS(Tabla4[Sub Total],Tabla4[Codigo],Tabla2[[#This Row],[Cod]])</f>
        <v>10350000</v>
      </c>
      <c r="L139" s="262">
        <f>SUMPRODUCT((Tabla4[Codigo]=Tabla2[[#This Row],[Cod]])*1,Tabla4[IVA])</f>
        <v>1966500</v>
      </c>
      <c r="M139" s="262">
        <f>SUMIFS(Tabla4[Total],Tabla4[Codigo],Tabla2[[#This Row],[Cod]])</f>
        <v>12316500</v>
      </c>
      <c r="N139" s="278">
        <f>SUMPRODUCT((Tabla1[Codigo]=Tabla2[[#This Row],[Cod]])*1,Tabla1[Valor])</f>
        <v>10779525</v>
      </c>
      <c r="O139" s="265">
        <f>IF(AND(Tabla2[[#This Row],[Estado]]="ok",LEFT(Tabla2[[#This Row],['# Factura]],3)="TIS"),Tabla2[[#This Row],[TOTAL]]-Tabla2[[#This Row],[pagado]],0)</f>
        <v>3519</v>
      </c>
      <c r="P139" s="262">
        <f>Tabla2[[#This Row],[TOTAL]]-Tabla2[[#This Row],[Valor pago]]</f>
        <v>1536975</v>
      </c>
      <c r="Q139" s="265">
        <f>IF(Tabla2[[#This Row],[Saldo]]=0,0,IF(Tabla2[[#This Row],[Tipo cliente]]="PJ",Tabla2[[#This Row],[SUBTOTAL]]*11%,0))</f>
        <v>1138500</v>
      </c>
      <c r="R139" s="276">
        <f>IF(Tabla2[[#This Row],[Saldo]]=0,0,IF(Tabla2[[#This Row],[Tipo cliente]]="PJ",Tabla2[[#This Row],[SUBTOTAL]]*0.966%,0))</f>
        <v>99981</v>
      </c>
      <c r="S139" s="276">
        <f>IF(Tabla2[[#This Row],[Retiene IVA]]="S",Tabla2[[#This Row],[IVA]]*0.15,0)</f>
        <v>294975</v>
      </c>
      <c r="T139" s="265">
        <f>+Tabla2[[#This Row],[Saldo]]-Tabla2[[#This Row],[Rete fte]]-Tabla2[[#This Row],[rete ica]]-Tabla2[[#This Row],[Rete IVA]]</f>
        <v>3519</v>
      </c>
      <c r="U13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12312981</v>
      </c>
      <c r="W139" s="23">
        <f>IF(Tabla2[[#This Row],[Fecha F.E.]]="","",YEAR(Tabla2[[#This Row],[Fecha F.E.]]))</f>
        <v>2022</v>
      </c>
      <c r="X139" s="23">
        <f>IF(Tabla2[[#This Row],[Fecha]]="","",YEAR(Tabla2[[#This Row],[Fecha]]))</f>
        <v>2022</v>
      </c>
    </row>
    <row r="140" spans="1:24" x14ac:dyDescent="0.25">
      <c r="A140" s="3">
        <v>140</v>
      </c>
      <c r="B140" s="77" t="s">
        <v>1052</v>
      </c>
      <c r="C140" s="360">
        <v>44721</v>
      </c>
      <c r="D140" s="76" t="s">
        <v>1053</v>
      </c>
      <c r="E140" s="360">
        <v>44721</v>
      </c>
      <c r="F140" s="78" t="s">
        <v>231</v>
      </c>
      <c r="G140" s="85">
        <v>800182918</v>
      </c>
      <c r="H140" s="177" t="str">
        <f>VLOOKUP(Tabla2[[#This Row],[NIT]],Clientes!A:C,2,0)</f>
        <v>RENAL MEDICAL MARKETING LIMITADA</v>
      </c>
      <c r="I140" s="77" t="str">
        <f>VLOOKUP(Tabla2[[#This Row],[NIT]],Clientes!A:C,3,0)</f>
        <v>PJ</v>
      </c>
      <c r="J140" s="73" t="s">
        <v>794</v>
      </c>
      <c r="K140" s="267">
        <f>SUMIFS(Tabla4[Sub Total],Tabla4[Codigo],Tabla2[[#This Row],[Cod]])</f>
        <v>450000</v>
      </c>
      <c r="L140" s="262">
        <f>SUMPRODUCT((Tabla4[Codigo]=Tabla2[[#This Row],[Cod]])*1,Tabla4[IVA])</f>
        <v>85500</v>
      </c>
      <c r="M140" s="262">
        <f>SUMIFS(Tabla4[Total],Tabla4[Codigo],Tabla2[[#This Row],[Cod]])</f>
        <v>535500</v>
      </c>
      <c r="N140" s="278">
        <f>SUMPRODUCT((Tabla1[Codigo]=Tabla2[[#This Row],[Cod]])*1,Tabla1[Valor])</f>
        <v>486000</v>
      </c>
      <c r="O140" s="265">
        <f>IF(AND(Tabla2[[#This Row],[Estado]]="ok",LEFT(Tabla2[[#This Row],['# Factura]],3)="TIS"),Tabla2[[#This Row],[TOTAL]]-Tabla2[[#This Row],[pagado]],0)</f>
        <v>0</v>
      </c>
      <c r="P140" s="262">
        <f>Tabla2[[#This Row],[TOTAL]]-Tabla2[[#This Row],[Valor pago]]</f>
        <v>49500</v>
      </c>
      <c r="Q140" s="265">
        <f>IF(Tabla2[[#This Row],[Saldo]]=0,0,IF(Tabla2[[#This Row],[Tipo cliente]]="PJ",Tabla2[[#This Row],[SUBTOTAL]]*11%,0))</f>
        <v>49500</v>
      </c>
      <c r="R140" s="276">
        <f>IF(Tabla2[[#This Row],[Saldo]]=0,0,IF(Tabla2[[#This Row],[Tipo cliente]]="PJ",Tabla2[[#This Row],[SUBTOTAL]]*0.966%,0))</f>
        <v>4347</v>
      </c>
      <c r="S140" s="276">
        <f>IF(Tabla2[[#This Row],[Retiene IVA]]="S",Tabla2[[#This Row],[IVA]]*0.15,0)</f>
        <v>0</v>
      </c>
      <c r="T140" s="265">
        <f>+Tabla2[[#This Row],[Saldo]]-Tabla2[[#This Row],[Rete fte]]-Tabla2[[#This Row],[rete ica]]-Tabla2[[#This Row],[Rete IVA]]</f>
        <v>-4347</v>
      </c>
      <c r="U14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535500</v>
      </c>
      <c r="W140" s="23">
        <f>IF(Tabla2[[#This Row],[Fecha F.E.]]="","",YEAR(Tabla2[[#This Row],[Fecha F.E.]]))</f>
        <v>2022</v>
      </c>
      <c r="X140" s="23">
        <f>IF(Tabla2[[#This Row],[Fecha]]="","",YEAR(Tabla2[[#This Row],[Fecha]]))</f>
        <v>2022</v>
      </c>
    </row>
    <row r="141" spans="1:24" x14ac:dyDescent="0.25">
      <c r="A141" s="3">
        <v>141</v>
      </c>
      <c r="B141" s="77" t="s">
        <v>1054</v>
      </c>
      <c r="C141" s="360">
        <v>44721</v>
      </c>
      <c r="D141" s="76" t="s">
        <v>1055</v>
      </c>
      <c r="E141" s="360">
        <v>44721</v>
      </c>
      <c r="F141" s="78" t="s">
        <v>231</v>
      </c>
      <c r="G141" s="85">
        <v>830039537</v>
      </c>
      <c r="H141" s="177" t="str">
        <f>VLOOKUP(Tabla2[[#This Row],[NIT]],Clientes!A:C,2,0)</f>
        <v>AUTOMOTORES LLANO GRANDE S. A.</v>
      </c>
      <c r="I141" s="77" t="str">
        <f>VLOOKUP(Tabla2[[#This Row],[NIT]],Clientes!A:C,3,0)</f>
        <v>PJ</v>
      </c>
      <c r="J141" s="73" t="s">
        <v>794</v>
      </c>
      <c r="K141" s="267">
        <f>SUMIFS(Tabla4[Sub Total],Tabla4[Codigo],Tabla2[[#This Row],[Cod]])</f>
        <v>600000</v>
      </c>
      <c r="L141" s="262">
        <f>SUMPRODUCT((Tabla4[Codigo]=Tabla2[[#This Row],[Cod]])*1,Tabla4[IVA])</f>
        <v>114000</v>
      </c>
      <c r="M141" s="262">
        <f>SUMIFS(Tabla4[Total],Tabla4[Codigo],Tabla2[[#This Row],[Cod]])</f>
        <v>714000</v>
      </c>
      <c r="N141" s="278">
        <f>SUMPRODUCT((Tabla1[Codigo]=Tabla2[[#This Row],[Cod]])*1,Tabla1[Valor])</f>
        <v>688333</v>
      </c>
      <c r="O141" s="265">
        <f>IF(AND(Tabla2[[#This Row],[Estado]]="ok",LEFT(Tabla2[[#This Row],['# Factura]],3)="TIS"),Tabla2[[#This Row],[TOTAL]]-Tabla2[[#This Row],[pagado]],0)</f>
        <v>0</v>
      </c>
      <c r="P141" s="262">
        <f>Tabla2[[#This Row],[TOTAL]]-Tabla2[[#This Row],[Valor pago]]</f>
        <v>25667</v>
      </c>
      <c r="Q141" s="265">
        <f>IF(Tabla2[[#This Row],[Saldo]]=0,0,IF(Tabla2[[#This Row],[Tipo cliente]]="PJ",Tabla2[[#This Row],[SUBTOTAL]]*11%,0))</f>
        <v>66000</v>
      </c>
      <c r="R141" s="276">
        <f>IF(Tabla2[[#This Row],[Saldo]]=0,0,IF(Tabla2[[#This Row],[Tipo cliente]]="PJ",Tabla2[[#This Row],[SUBTOTAL]]*0.966%,0))</f>
        <v>5796</v>
      </c>
      <c r="S141" s="276">
        <f>IF(Tabla2[[#This Row],[Retiene IVA]]="S",Tabla2[[#This Row],[IVA]]*0.15,0)</f>
        <v>0</v>
      </c>
      <c r="T141" s="265">
        <f>+Tabla2[[#This Row],[Saldo]]-Tabla2[[#This Row],[Rete fte]]-Tabla2[[#This Row],[rete ica]]-Tabla2[[#This Row],[Rete IVA]]</f>
        <v>-46129</v>
      </c>
      <c r="U14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714000</v>
      </c>
      <c r="W141" s="23">
        <f>IF(Tabla2[[#This Row],[Fecha F.E.]]="","",YEAR(Tabla2[[#This Row],[Fecha F.E.]]))</f>
        <v>2022</v>
      </c>
      <c r="X141" s="23">
        <f>IF(Tabla2[[#This Row],[Fecha]]="","",YEAR(Tabla2[[#This Row],[Fecha]]))</f>
        <v>2022</v>
      </c>
    </row>
    <row r="142" spans="1:24" x14ac:dyDescent="0.25">
      <c r="A142" s="3">
        <v>142</v>
      </c>
      <c r="B142" s="77" t="s">
        <v>1056</v>
      </c>
      <c r="C142" s="360">
        <v>44721</v>
      </c>
      <c r="D142" s="76" t="s">
        <v>1057</v>
      </c>
      <c r="E142" s="360">
        <v>44721</v>
      </c>
      <c r="F142" s="78" t="s">
        <v>231</v>
      </c>
      <c r="G142" s="85">
        <v>901431960</v>
      </c>
      <c r="H142" s="177" t="str">
        <f>VLOOKUP(Tabla2[[#This Row],[NIT]],Clientes!A:C,2,0)</f>
        <v>LC TALLER DE ESCULTURAS SAS</v>
      </c>
      <c r="I142" s="77" t="str">
        <f>VLOOKUP(Tabla2[[#This Row],[NIT]],Clientes!A:C,3,0)</f>
        <v>PJ</v>
      </c>
      <c r="J142" s="73" t="s">
        <v>794</v>
      </c>
      <c r="K142" s="267">
        <f>SUMIFS(Tabla4[Sub Total],Tabla4[Codigo],Tabla2[[#This Row],[Cod]])</f>
        <v>1747000</v>
      </c>
      <c r="L142" s="262">
        <f>SUMPRODUCT((Tabla4[Codigo]=Tabla2[[#This Row],[Cod]])*1,Tabla4[IVA])</f>
        <v>331930</v>
      </c>
      <c r="M142" s="262">
        <f>SUMIFS(Tabla4[Total],Tabla4[Codigo],Tabla2[[#This Row],[Cod]])</f>
        <v>2078930</v>
      </c>
      <c r="N142" s="278">
        <f>SUMPRODUCT((Tabla1[Codigo]=Tabla2[[#This Row],[Cod]])*1,Tabla1[Valor])</f>
        <v>2078930</v>
      </c>
      <c r="O142" s="265">
        <f>IF(AND(Tabla2[[#This Row],[Estado]]="ok",LEFT(Tabla2[[#This Row],['# Factura]],3)="TIS"),Tabla2[[#This Row],[TOTAL]]-Tabla2[[#This Row],[pagado]],0)</f>
        <v>0</v>
      </c>
      <c r="P142" s="262">
        <f>Tabla2[[#This Row],[TOTAL]]-Tabla2[[#This Row],[Valor pago]]</f>
        <v>0</v>
      </c>
      <c r="Q142" s="265">
        <f>IF(Tabla2[[#This Row],[Saldo]]=0,0,IF(Tabla2[[#This Row],[Tipo cliente]]="PJ",Tabla2[[#This Row],[SUBTOTAL]]*11%,0))</f>
        <v>0</v>
      </c>
      <c r="R142" s="276">
        <f>IF(Tabla2[[#This Row],[Saldo]]=0,0,IF(Tabla2[[#This Row],[Tipo cliente]]="PJ",Tabla2[[#This Row],[SUBTOTAL]]*0.966%,0))</f>
        <v>0</v>
      </c>
      <c r="S142" s="276">
        <f>IF(Tabla2[[#This Row],[Retiene IVA]]="S",Tabla2[[#This Row],[IVA]]*0.15,0)</f>
        <v>0</v>
      </c>
      <c r="T142" s="265">
        <f>+Tabla2[[#This Row],[Saldo]]-Tabla2[[#This Row],[Rete fte]]-Tabla2[[#This Row],[rete ica]]-Tabla2[[#This Row],[Rete IVA]]</f>
        <v>0</v>
      </c>
      <c r="U14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2078930</v>
      </c>
      <c r="W142" s="23">
        <f>IF(Tabla2[[#This Row],[Fecha F.E.]]="","",YEAR(Tabla2[[#This Row],[Fecha F.E.]]))</f>
        <v>2022</v>
      </c>
      <c r="X142" s="23">
        <f>IF(Tabla2[[#This Row],[Fecha]]="","",YEAR(Tabla2[[#This Row],[Fecha]]))</f>
        <v>2022</v>
      </c>
    </row>
    <row r="143" spans="1:24" ht="26.25" x14ac:dyDescent="0.25">
      <c r="A143" s="3">
        <v>143</v>
      </c>
      <c r="B143" s="77" t="s">
        <v>1058</v>
      </c>
      <c r="C143" s="360">
        <v>44721</v>
      </c>
      <c r="D143" s="76" t="s">
        <v>1059</v>
      </c>
      <c r="E143" s="360">
        <v>44721</v>
      </c>
      <c r="F143" s="78" t="s">
        <v>231</v>
      </c>
      <c r="G143" s="85">
        <v>900641244</v>
      </c>
      <c r="H143" s="177" t="str">
        <f>VLOOKUP(Tabla2[[#This Row],[NIT]],Clientes!A:C,2,0)</f>
        <v>PASTRY CHEF PASTELERIA Y COCINA GOURMET SAS</v>
      </c>
      <c r="I143" s="77" t="str">
        <f>VLOOKUP(Tabla2[[#This Row],[NIT]],Clientes!A:C,3,0)</f>
        <v>PJ</v>
      </c>
      <c r="J143" s="73" t="s">
        <v>794</v>
      </c>
      <c r="K143" s="267">
        <f>SUMIFS(Tabla4[Sub Total],Tabla4[Codigo],Tabla2[[#This Row],[Cod]])</f>
        <v>723333</v>
      </c>
      <c r="L143" s="262">
        <f>SUMPRODUCT((Tabla4[Codigo]=Tabla2[[#This Row],[Cod]])*1,Tabla4[IVA])</f>
        <v>137433.26999999999</v>
      </c>
      <c r="M143" s="262">
        <f>SUMIFS(Tabla4[Total],Tabla4[Codigo],Tabla2[[#This Row],[Cod]])</f>
        <v>860766.27</v>
      </c>
      <c r="N143" s="278">
        <f>SUMPRODUCT((Tabla1[Codigo]=Tabla2[[#This Row],[Cod]])*1,Tabla1[Valor])</f>
        <v>772090</v>
      </c>
      <c r="O143" s="265">
        <f>IF(AND(Tabla2[[#This Row],[Estado]]="ok",LEFT(Tabla2[[#This Row],['# Factura]],3)="TIS"),Tabla2[[#This Row],[TOTAL]]-Tabla2[[#This Row],[pagado]],0)</f>
        <v>2122.2432200000621</v>
      </c>
      <c r="P143" s="262">
        <f>Tabla2[[#This Row],[TOTAL]]-Tabla2[[#This Row],[Valor pago]]</f>
        <v>88676.270000000019</v>
      </c>
      <c r="Q143" s="265">
        <f>IF(Tabla2[[#This Row],[Saldo]]=0,0,IF(Tabla2[[#This Row],[Tipo cliente]]="PJ",Tabla2[[#This Row],[SUBTOTAL]]*11%,0))</f>
        <v>79566.63</v>
      </c>
      <c r="R143" s="276">
        <f>IF(Tabla2[[#This Row],[Saldo]]=0,0,IF(Tabla2[[#This Row],[Tipo cliente]]="PJ",Tabla2[[#This Row],[SUBTOTAL]]*0.966%,0))</f>
        <v>6987.39678</v>
      </c>
      <c r="S143" s="276">
        <f>IF(Tabla2[[#This Row],[Retiene IVA]]="S",Tabla2[[#This Row],[IVA]]*0.15,0)</f>
        <v>0</v>
      </c>
      <c r="T143" s="265">
        <f>+Tabla2[[#This Row],[Saldo]]-Tabla2[[#This Row],[Rete fte]]-Tabla2[[#This Row],[rete ica]]-Tabla2[[#This Row],[Rete IVA]]</f>
        <v>2122.2432200000139</v>
      </c>
      <c r="U14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858644.02677999996</v>
      </c>
      <c r="W143" s="23">
        <f>IF(Tabla2[[#This Row],[Fecha F.E.]]="","",YEAR(Tabla2[[#This Row],[Fecha F.E.]]))</f>
        <v>2022</v>
      </c>
      <c r="X143" s="23">
        <f>IF(Tabla2[[#This Row],[Fecha]]="","",YEAR(Tabla2[[#This Row],[Fecha]]))</f>
        <v>2022</v>
      </c>
    </row>
    <row r="144" spans="1:24" x14ac:dyDescent="0.25">
      <c r="A144" s="3">
        <v>144</v>
      </c>
      <c r="B144" s="77" t="s">
        <v>1060</v>
      </c>
      <c r="C144" s="360">
        <v>44733</v>
      </c>
      <c r="D144" s="76" t="s">
        <v>1061</v>
      </c>
      <c r="E144" s="360">
        <v>44721</v>
      </c>
      <c r="F144" s="78" t="s">
        <v>231</v>
      </c>
      <c r="G144" s="85">
        <v>901030518</v>
      </c>
      <c r="H144" s="177" t="str">
        <f>VLOOKUP(Tabla2[[#This Row],[NIT]],Clientes!A:C,2,0)</f>
        <v>Inversiones Sajamib SAS</v>
      </c>
      <c r="I144" s="77" t="str">
        <f>VLOOKUP(Tabla2[[#This Row],[NIT]],Clientes!A:C,3,0)</f>
        <v>PJ</v>
      </c>
      <c r="J144" s="73" t="s">
        <v>794</v>
      </c>
      <c r="K144" s="267">
        <f>SUMIFS(Tabla4[Sub Total],Tabla4[Codigo],Tabla2[[#This Row],[Cod]])</f>
        <v>322000</v>
      </c>
      <c r="L144" s="262">
        <f>SUMPRODUCT((Tabla4[Codigo]=Tabla2[[#This Row],[Cod]])*1,Tabla4[IVA])</f>
        <v>0</v>
      </c>
      <c r="M144" s="262">
        <f>SUMIFS(Tabla4[Total],Tabla4[Codigo],Tabla2[[#This Row],[Cod]])</f>
        <v>322000</v>
      </c>
      <c r="N144" s="278">
        <f>SUMPRODUCT((Tabla1[Codigo]=Tabla2[[#This Row],[Cod]])*1,Tabla1[Valor])</f>
        <v>322000</v>
      </c>
      <c r="O144" s="265">
        <f>IF(AND(Tabla2[[#This Row],[Estado]]="ok",LEFT(Tabla2[[#This Row],['# Factura]],3)="TIS"),Tabla2[[#This Row],[TOTAL]]-Tabla2[[#This Row],[pagado]],0)</f>
        <v>0</v>
      </c>
      <c r="P144" s="262">
        <f>Tabla2[[#This Row],[TOTAL]]-Tabla2[[#This Row],[Valor pago]]</f>
        <v>0</v>
      </c>
      <c r="Q144" s="265">
        <f>IF(Tabla2[[#This Row],[Saldo]]=0,0,IF(Tabla2[[#This Row],[Tipo cliente]]="PJ",Tabla2[[#This Row],[SUBTOTAL]]*11%,0))</f>
        <v>0</v>
      </c>
      <c r="R144" s="276">
        <f>IF(Tabla2[[#This Row],[Saldo]]=0,0,IF(Tabla2[[#This Row],[Tipo cliente]]="PJ",Tabla2[[#This Row],[SUBTOTAL]]*0.966%,0))</f>
        <v>0</v>
      </c>
      <c r="S144" s="276">
        <f>IF(Tabla2[[#This Row],[Retiene IVA]]="S",Tabla2[[#This Row],[IVA]]*0.15,0)</f>
        <v>0</v>
      </c>
      <c r="T144" s="265">
        <f>+Tabla2[[#This Row],[Saldo]]-Tabla2[[#This Row],[Rete fte]]-Tabla2[[#This Row],[rete ica]]-Tabla2[[#This Row],[Rete IVA]]</f>
        <v>0</v>
      </c>
      <c r="U14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322000</v>
      </c>
      <c r="W144" s="23">
        <f>IF(Tabla2[[#This Row],[Fecha F.E.]]="","",YEAR(Tabla2[[#This Row],[Fecha F.E.]]))</f>
        <v>2022</v>
      </c>
      <c r="X144" s="23">
        <f>IF(Tabla2[[#This Row],[Fecha]]="","",YEAR(Tabla2[[#This Row],[Fecha]]))</f>
        <v>2022</v>
      </c>
    </row>
    <row r="145" spans="1:24" x14ac:dyDescent="0.25">
      <c r="A145" s="3">
        <v>145</v>
      </c>
      <c r="B145" s="77" t="s">
        <v>1062</v>
      </c>
      <c r="C145" s="360">
        <v>44714</v>
      </c>
      <c r="D145" s="76" t="s">
        <v>1063</v>
      </c>
      <c r="E145" s="360">
        <v>44714</v>
      </c>
      <c r="F145" s="78" t="s">
        <v>231</v>
      </c>
      <c r="G145" s="85">
        <v>860002964</v>
      </c>
      <c r="H145" s="177" t="str">
        <f>VLOOKUP(Tabla2[[#This Row],[NIT]],Clientes!A:C,2,0)</f>
        <v>Banco de Bogota S.A.</v>
      </c>
      <c r="I145" s="77" t="str">
        <f>VLOOKUP(Tabla2[[#This Row],[NIT]],Clientes!A:C,3,0)</f>
        <v>PJ</v>
      </c>
      <c r="J145" s="73" t="s">
        <v>794</v>
      </c>
      <c r="K145" s="267">
        <f>SUMIFS(Tabla4[Sub Total],Tabla4[Codigo],Tabla2[[#This Row],[Cod]])</f>
        <v>22800000</v>
      </c>
      <c r="L145" s="262">
        <f>SUMPRODUCT((Tabla4[Codigo]=Tabla2[[#This Row],[Cod]])*1,Tabla4[IVA])</f>
        <v>4332000</v>
      </c>
      <c r="M145" s="262">
        <f>SUMIFS(Tabla4[Total],Tabla4[Codigo],Tabla2[[#This Row],[Cod]])</f>
        <v>27132000</v>
      </c>
      <c r="N145" s="278">
        <f>SUMPRODUCT((Tabla1[Codigo]=Tabla2[[#This Row],[Cod]])*1,Tabla1[Valor])</f>
        <v>25372752</v>
      </c>
      <c r="O145" s="265">
        <f>IF(AND(Tabla2[[#This Row],[Estado]]="ok",LEFT(Tabla2[[#This Row],['# Factura]],3)="TIS"),Tabla2[[#This Row],[TOTAL]]-Tabla2[[#This Row],[pagado]],0)</f>
        <v>0</v>
      </c>
      <c r="P145" s="262">
        <f>Tabla2[[#This Row],[TOTAL]]-Tabla2[[#This Row],[Valor pago]]</f>
        <v>1759248</v>
      </c>
      <c r="Q145" s="265">
        <f>IF(Tabla2[[#This Row],[Saldo]]=0,0,IF(Tabla2[[#This Row],[Tipo cliente]]="PJ",Tabla2[[#This Row],[SUBTOTAL]]*11%,0))</f>
        <v>2508000</v>
      </c>
      <c r="R145" s="276">
        <f>IF(Tabla2[[#This Row],[Saldo]]=0,0,IF(Tabla2[[#This Row],[Tipo cliente]]="PJ",Tabla2[[#This Row],[SUBTOTAL]]*0.966%,0))</f>
        <v>220248</v>
      </c>
      <c r="S145" s="276">
        <f>IF(Tabla2[[#This Row],[Retiene IVA]]="S",Tabla2[[#This Row],[IVA]]*0.15,0)</f>
        <v>0</v>
      </c>
      <c r="T145" s="265">
        <f>+Tabla2[[#This Row],[Saldo]]-Tabla2[[#This Row],[Rete fte]]-Tabla2[[#This Row],[rete ica]]-Tabla2[[#This Row],[Rete IVA]]</f>
        <v>-969000</v>
      </c>
      <c r="U14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27132000</v>
      </c>
      <c r="W145" s="23">
        <f>IF(Tabla2[[#This Row],[Fecha F.E.]]="","",YEAR(Tabla2[[#This Row],[Fecha F.E.]]))</f>
        <v>2022</v>
      </c>
      <c r="X145" s="23">
        <f>IF(Tabla2[[#This Row],[Fecha]]="","",YEAR(Tabla2[[#This Row],[Fecha]]))</f>
        <v>2022</v>
      </c>
    </row>
    <row r="146" spans="1:24" ht="26.25" x14ac:dyDescent="0.25">
      <c r="A146" s="3">
        <v>146</v>
      </c>
      <c r="B146" s="77" t="s">
        <v>1064</v>
      </c>
      <c r="C146" s="360">
        <v>44718</v>
      </c>
      <c r="D146" s="76" t="s">
        <v>1065</v>
      </c>
      <c r="E146" s="360">
        <v>44718</v>
      </c>
      <c r="F146" s="78" t="s">
        <v>231</v>
      </c>
      <c r="G146" s="85">
        <v>900499402</v>
      </c>
      <c r="H146" s="177" t="str">
        <f>VLOOKUP(Tabla2[[#This Row],[NIT]],Clientes!A:C,2,0)</f>
        <v>CONSTRUCCIONES Y AMBIENTE - CONAMBIENTE - S.A.S</v>
      </c>
      <c r="I146" s="77" t="str">
        <f>VLOOKUP(Tabla2[[#This Row],[NIT]],Clientes!A:C,3,0)</f>
        <v>PJ</v>
      </c>
      <c r="J146" s="73" t="s">
        <v>794</v>
      </c>
      <c r="K146" s="267">
        <f>SUMIFS(Tabla4[Sub Total],Tabla4[Codigo],Tabla2[[#This Row],[Cod]])</f>
        <v>350000</v>
      </c>
      <c r="L146" s="262">
        <f>SUMPRODUCT((Tabla4[Codigo]=Tabla2[[#This Row],[Cod]])*1,Tabla4[IVA])</f>
        <v>66500</v>
      </c>
      <c r="M146" s="262">
        <f>SUMIFS(Tabla4[Total],Tabla4[Codigo],Tabla2[[#This Row],[Cod]])</f>
        <v>416500</v>
      </c>
      <c r="N146" s="278">
        <f>SUMPRODUCT((Tabla1[Codigo]=Tabla2[[#This Row],[Cod]])*1,Tabla1[Valor])</f>
        <v>399119</v>
      </c>
      <c r="O146" s="265">
        <f>IF(AND(Tabla2[[#This Row],[Estado]]="ok",LEFT(Tabla2[[#This Row],['# Factura]],3)="TIS"),Tabla2[[#This Row],[TOTAL]]-Tabla2[[#This Row],[pagado]],0)</f>
        <v>0</v>
      </c>
      <c r="P146" s="262">
        <f>Tabla2[[#This Row],[TOTAL]]-Tabla2[[#This Row],[Valor pago]]</f>
        <v>17381</v>
      </c>
      <c r="Q146" s="265">
        <f>IF(Tabla2[[#This Row],[Saldo]]=0,0,IF(Tabla2[[#This Row],[Tipo cliente]]="PJ",Tabla2[[#This Row],[SUBTOTAL]]*11%,0))</f>
        <v>38500</v>
      </c>
      <c r="R146" s="276">
        <f>IF(Tabla2[[#This Row],[Saldo]]=0,0,IF(Tabla2[[#This Row],[Tipo cliente]]="PJ",Tabla2[[#This Row],[SUBTOTAL]]*0.966%,0))</f>
        <v>3381</v>
      </c>
      <c r="S146" s="276">
        <f>IF(Tabla2[[#This Row],[Retiene IVA]]="S",Tabla2[[#This Row],[IVA]]*0.15,0)</f>
        <v>0</v>
      </c>
      <c r="T146" s="265">
        <f>+Tabla2[[#This Row],[Saldo]]-Tabla2[[#This Row],[Rete fte]]-Tabla2[[#This Row],[rete ica]]-Tabla2[[#This Row],[Rete IVA]]</f>
        <v>-24500</v>
      </c>
      <c r="U14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416500</v>
      </c>
      <c r="W146" s="23">
        <f>IF(Tabla2[[#This Row],[Fecha F.E.]]="","",YEAR(Tabla2[[#This Row],[Fecha F.E.]]))</f>
        <v>2022</v>
      </c>
      <c r="X146" s="23">
        <f>IF(Tabla2[[#This Row],[Fecha]]="","",YEAR(Tabla2[[#This Row],[Fecha]]))</f>
        <v>2022</v>
      </c>
    </row>
    <row r="147" spans="1:24" x14ac:dyDescent="0.25">
      <c r="A147" s="3">
        <v>147</v>
      </c>
      <c r="B147" s="77" t="s">
        <v>1066</v>
      </c>
      <c r="C147" s="360">
        <v>44721</v>
      </c>
      <c r="D147" s="76" t="s">
        <v>1067</v>
      </c>
      <c r="E147" s="360">
        <v>44721</v>
      </c>
      <c r="F147" s="78" t="s">
        <v>231</v>
      </c>
      <c r="G147" s="85">
        <v>800028768</v>
      </c>
      <c r="H147" s="177" t="str">
        <f>VLOOKUP(Tabla2[[#This Row],[NIT]],Clientes!A:C,2,0)</f>
        <v>Comercializadora ERZ SAS</v>
      </c>
      <c r="I147" s="77" t="str">
        <f>VLOOKUP(Tabla2[[#This Row],[NIT]],Clientes!A:C,3,0)</f>
        <v>PJ</v>
      </c>
      <c r="J147" s="73" t="s">
        <v>794</v>
      </c>
      <c r="K147" s="267">
        <f>SUMIFS(Tabla4[Sub Total],Tabla4[Codigo],Tabla2[[#This Row],[Cod]])</f>
        <v>220000</v>
      </c>
      <c r="L147" s="262">
        <f>SUMPRODUCT((Tabla4[Codigo]=Tabla2[[#This Row],[Cod]])*1,Tabla4[IVA])</f>
        <v>41800</v>
      </c>
      <c r="M147" s="262">
        <f>SUMIFS(Tabla4[Total],Tabla4[Codigo],Tabla2[[#This Row],[Cod]])</f>
        <v>261800</v>
      </c>
      <c r="N147" s="278">
        <f>SUMPRODUCT((Tabla1[Codigo]=Tabla2[[#This Row],[Cod]])*1,Tabla1[Valor])</f>
        <v>199500</v>
      </c>
      <c r="O147" s="265">
        <f>IF(AND(Tabla2[[#This Row],[Estado]]="ok",LEFT(Tabla2[[#This Row],['# Factura]],3)="TIS"),Tabla2[[#This Row],[TOTAL]]-Tabla2[[#This Row],[pagado]],0)</f>
        <v>35974.799999999988</v>
      </c>
      <c r="P147" s="262">
        <f>Tabla2[[#This Row],[TOTAL]]-Tabla2[[#This Row],[Valor pago]]</f>
        <v>62300</v>
      </c>
      <c r="Q147" s="265">
        <f>IF(Tabla2[[#This Row],[Saldo]]=0,0,IF(Tabla2[[#This Row],[Tipo cliente]]="PJ",Tabla2[[#This Row],[SUBTOTAL]]*11%,0))</f>
        <v>24200</v>
      </c>
      <c r="R147" s="276">
        <f>IF(Tabla2[[#This Row],[Saldo]]=0,0,IF(Tabla2[[#This Row],[Tipo cliente]]="PJ",Tabla2[[#This Row],[SUBTOTAL]]*0.966%,0))</f>
        <v>2125.1999999999998</v>
      </c>
      <c r="S147" s="276">
        <f>IF(Tabla2[[#This Row],[Retiene IVA]]="S",Tabla2[[#This Row],[IVA]]*0.15,0)</f>
        <v>0</v>
      </c>
      <c r="T147" s="265">
        <f>+Tabla2[[#This Row],[Saldo]]-Tabla2[[#This Row],[Rete fte]]-Tabla2[[#This Row],[rete ica]]-Tabla2[[#This Row],[Rete IVA]]</f>
        <v>35974.800000000003</v>
      </c>
      <c r="U14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225825.2</v>
      </c>
      <c r="W147" s="23">
        <f>IF(Tabla2[[#This Row],[Fecha F.E.]]="","",YEAR(Tabla2[[#This Row],[Fecha F.E.]]))</f>
        <v>2022</v>
      </c>
      <c r="X147" s="23">
        <f>IF(Tabla2[[#This Row],[Fecha]]="","",YEAR(Tabla2[[#This Row],[Fecha]]))</f>
        <v>2022</v>
      </c>
    </row>
    <row r="148" spans="1:24" x14ac:dyDescent="0.25">
      <c r="A148" s="3">
        <v>148</v>
      </c>
      <c r="B148" s="77" t="s">
        <v>1068</v>
      </c>
      <c r="C148" s="360">
        <v>44747</v>
      </c>
      <c r="D148" s="76"/>
      <c r="E148" s="360"/>
      <c r="F148" s="78" t="s">
        <v>231</v>
      </c>
      <c r="G148" s="85">
        <v>52385710</v>
      </c>
      <c r="H148" s="177" t="str">
        <f>VLOOKUP(Tabla2[[#This Row],[NIT]],Clientes!A:C,2,0)</f>
        <v>Maria del Pilar Alvarado Joya</v>
      </c>
      <c r="I148" s="77" t="str">
        <f>VLOOKUP(Tabla2[[#This Row],[NIT]],Clientes!A:C,3,0)</f>
        <v>PN</v>
      </c>
      <c r="J148" s="73" t="s">
        <v>794</v>
      </c>
      <c r="K148" s="267">
        <f>SUMIFS(Tabla4[Sub Total],Tabla4[Codigo],Tabla2[[#This Row],[Cod]])</f>
        <v>1200000</v>
      </c>
      <c r="L148" s="262">
        <f>SUMPRODUCT((Tabla4[Codigo]=Tabla2[[#This Row],[Cod]])*1,Tabla4[IVA])</f>
        <v>0</v>
      </c>
      <c r="M148" s="262">
        <f>SUMIFS(Tabla4[Total],Tabla4[Codigo],Tabla2[[#This Row],[Cod]])</f>
        <v>1200000</v>
      </c>
      <c r="N148" s="278">
        <f>SUMPRODUCT((Tabla1[Codigo]=Tabla2[[#This Row],[Cod]])*1,Tabla1[Valor])</f>
        <v>1200000</v>
      </c>
      <c r="O148" s="265">
        <f>IF(AND(Tabla2[[#This Row],[Estado]]="ok",LEFT(Tabla2[[#This Row],['# Factura]],3)="TIS"),Tabla2[[#This Row],[TOTAL]]-Tabla2[[#This Row],[pagado]],0)</f>
        <v>0</v>
      </c>
      <c r="P148" s="262">
        <f>Tabla2[[#This Row],[TOTAL]]-Tabla2[[#This Row],[Valor pago]]</f>
        <v>0</v>
      </c>
      <c r="Q148" s="265">
        <f>IF(Tabla2[[#This Row],[Saldo]]=0,0,IF(Tabla2[[#This Row],[Tipo cliente]]="PJ",Tabla2[[#This Row],[SUBTOTAL]]*11%,0))</f>
        <v>0</v>
      </c>
      <c r="R148" s="276">
        <f>IF(Tabla2[[#This Row],[Saldo]]=0,0,IF(Tabla2[[#This Row],[Tipo cliente]]="PJ",Tabla2[[#This Row],[SUBTOTAL]]*0.966%,0))</f>
        <v>0</v>
      </c>
      <c r="S148" s="276">
        <f>IF(Tabla2[[#This Row],[Retiene IVA]]="S",Tabla2[[#This Row],[IVA]]*0.15,0)</f>
        <v>0</v>
      </c>
      <c r="T148" s="265">
        <f>+Tabla2[[#This Row],[Saldo]]-Tabla2[[#This Row],[Rete fte]]-Tabla2[[#This Row],[rete ica]]-Tabla2[[#This Row],[Rete IVA]]</f>
        <v>0</v>
      </c>
      <c r="U14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1200000</v>
      </c>
      <c r="W148" s="23" t="str">
        <f>IF(Tabla2[[#This Row],[Fecha F.E.]]="","",YEAR(Tabla2[[#This Row],[Fecha F.E.]]))</f>
        <v/>
      </c>
      <c r="X148" s="23">
        <f>IF(Tabla2[[#This Row],[Fecha]]="","",YEAR(Tabla2[[#This Row],[Fecha]]))</f>
        <v>2022</v>
      </c>
    </row>
    <row r="149" spans="1:24" x14ac:dyDescent="0.25">
      <c r="A149" s="3">
        <v>149</v>
      </c>
      <c r="B149" s="77" t="s">
        <v>1069</v>
      </c>
      <c r="C149" s="360">
        <v>44748</v>
      </c>
      <c r="D149" s="76" t="s">
        <v>1070</v>
      </c>
      <c r="E149" s="360">
        <v>44743</v>
      </c>
      <c r="F149" s="78" t="s">
        <v>231</v>
      </c>
      <c r="G149" s="85">
        <v>900443730</v>
      </c>
      <c r="H149" s="177" t="str">
        <f>VLOOKUP(Tabla2[[#This Row],[NIT]],Clientes!A:C,2,0)</f>
        <v>LABORATORIO MAXPROTEC S.A.S.</v>
      </c>
      <c r="I149" s="77" t="str">
        <f>VLOOKUP(Tabla2[[#This Row],[NIT]],Clientes!A:C,3,0)</f>
        <v>PJ</v>
      </c>
      <c r="J149" s="73" t="s">
        <v>794</v>
      </c>
      <c r="K149" s="267">
        <f>SUMIFS(Tabla4[Sub Total],Tabla4[Codigo],Tabla2[[#This Row],[Cod]])</f>
        <v>910000</v>
      </c>
      <c r="L149" s="262">
        <f>SUMPRODUCT((Tabla4[Codigo]=Tabla2[[#This Row],[Cod]])*1,Tabla4[IVA])</f>
        <v>172900</v>
      </c>
      <c r="M149" s="262">
        <f>SUMIFS(Tabla4[Total],Tabla4[Codigo],Tabla2[[#This Row],[Cod]])</f>
        <v>1082900</v>
      </c>
      <c r="N149" s="278">
        <f>SUMPRODUCT((Tabla1[Codigo]=Tabla2[[#This Row],[Cod]])*1,Tabla1[Valor])</f>
        <v>1082900</v>
      </c>
      <c r="O149" s="265">
        <f>IF(AND(Tabla2[[#This Row],[Estado]]="ok",LEFT(Tabla2[[#This Row],['# Factura]],3)="TIS"),Tabla2[[#This Row],[TOTAL]]-Tabla2[[#This Row],[pagado]],0)</f>
        <v>0</v>
      </c>
      <c r="P149" s="262">
        <f>Tabla2[[#This Row],[TOTAL]]-Tabla2[[#This Row],[Valor pago]]</f>
        <v>0</v>
      </c>
      <c r="Q149" s="265">
        <f>IF(Tabla2[[#This Row],[Saldo]]=0,0,IF(Tabla2[[#This Row],[Tipo cliente]]="PJ",Tabla2[[#This Row],[SUBTOTAL]]*11%,0))</f>
        <v>0</v>
      </c>
      <c r="R149" s="276">
        <f>IF(Tabla2[[#This Row],[Saldo]]=0,0,IF(Tabla2[[#This Row],[Tipo cliente]]="PJ",Tabla2[[#This Row],[SUBTOTAL]]*0.966%,0))</f>
        <v>0</v>
      </c>
      <c r="S149" s="276">
        <f>IF(Tabla2[[#This Row],[Retiene IVA]]="S",Tabla2[[#This Row],[IVA]]*0.15,0)</f>
        <v>0</v>
      </c>
      <c r="T149" s="265">
        <f>+Tabla2[[#This Row],[Saldo]]-Tabla2[[#This Row],[Rete fte]]-Tabla2[[#This Row],[rete ica]]-Tabla2[[#This Row],[Rete IVA]]</f>
        <v>0</v>
      </c>
      <c r="U14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1082900</v>
      </c>
      <c r="W149" s="23">
        <f>IF(Tabla2[[#This Row],[Fecha F.E.]]="","",YEAR(Tabla2[[#This Row],[Fecha F.E.]]))</f>
        <v>2022</v>
      </c>
      <c r="X149" s="23">
        <f>IF(Tabla2[[#This Row],[Fecha]]="","",YEAR(Tabla2[[#This Row],[Fecha]]))</f>
        <v>2022</v>
      </c>
    </row>
    <row r="150" spans="1:24" x14ac:dyDescent="0.25">
      <c r="A150" s="3">
        <v>150</v>
      </c>
      <c r="B150" s="77" t="s">
        <v>1071</v>
      </c>
      <c r="C150" s="360">
        <v>44748</v>
      </c>
      <c r="D150" s="76" t="s">
        <v>1072</v>
      </c>
      <c r="E150" s="360">
        <v>44747</v>
      </c>
      <c r="F150" s="78" t="s">
        <v>231</v>
      </c>
      <c r="G150" s="85">
        <v>860002964</v>
      </c>
      <c r="H150" s="177" t="str">
        <f>VLOOKUP(Tabla2[[#This Row],[NIT]],Clientes!A:C,2,0)</f>
        <v>Banco de Bogota S.A.</v>
      </c>
      <c r="I150" s="77" t="str">
        <f>VLOOKUP(Tabla2[[#This Row],[NIT]],Clientes!A:C,3,0)</f>
        <v>PJ</v>
      </c>
      <c r="J150" s="73" t="s">
        <v>794</v>
      </c>
      <c r="K150" s="267">
        <f>SUMIFS(Tabla4[Sub Total],Tabla4[Codigo],Tabla2[[#This Row],[Cod]])</f>
        <v>22800000</v>
      </c>
      <c r="L150" s="262">
        <f>SUMPRODUCT((Tabla4[Codigo]=Tabla2[[#This Row],[Cod]])*1,Tabla4[IVA])</f>
        <v>4332000</v>
      </c>
      <c r="M150" s="262">
        <f>SUMIFS(Tabla4[Total],Tabla4[Codigo],Tabla2[[#This Row],[Cod]])</f>
        <v>27132000</v>
      </c>
      <c r="N150" s="278">
        <f>SUMPRODUCT((Tabla1[Codigo]=Tabla2[[#This Row],[Cod]])*1,Tabla1[Valor])</f>
        <v>25372752</v>
      </c>
      <c r="O150" s="265">
        <f>IF(AND(Tabla2[[#This Row],[Estado]]="ok",LEFT(Tabla2[[#This Row],['# Factura]],3)="TIS"),Tabla2[[#This Row],[TOTAL]]-Tabla2[[#This Row],[pagado]],0)</f>
        <v>0</v>
      </c>
      <c r="P150" s="262">
        <f>Tabla2[[#This Row],[TOTAL]]-Tabla2[[#This Row],[Valor pago]]</f>
        <v>1759248</v>
      </c>
      <c r="Q150" s="265">
        <f>IF(Tabla2[[#This Row],[Saldo]]=0,0,IF(Tabla2[[#This Row],[Tipo cliente]]="PJ",Tabla2[[#This Row],[SUBTOTAL]]*11%,0))</f>
        <v>2508000</v>
      </c>
      <c r="R150" s="276">
        <f>IF(Tabla2[[#This Row],[Saldo]]=0,0,IF(Tabla2[[#This Row],[Tipo cliente]]="PJ",Tabla2[[#This Row],[SUBTOTAL]]*0.966%,0))</f>
        <v>220248</v>
      </c>
      <c r="S150" s="276">
        <f>IF(Tabla2[[#This Row],[Retiene IVA]]="S",Tabla2[[#This Row],[IVA]]*0.15,0)</f>
        <v>0</v>
      </c>
      <c r="T150" s="265">
        <f>+Tabla2[[#This Row],[Saldo]]-Tabla2[[#This Row],[Rete fte]]-Tabla2[[#This Row],[rete ica]]-Tabla2[[#This Row],[Rete IVA]]</f>
        <v>-969000</v>
      </c>
      <c r="U15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27132000</v>
      </c>
      <c r="W150" s="23">
        <f>IF(Tabla2[[#This Row],[Fecha F.E.]]="","",YEAR(Tabla2[[#This Row],[Fecha F.E.]]))</f>
        <v>2022</v>
      </c>
      <c r="X150" s="23">
        <f>IF(Tabla2[[#This Row],[Fecha]]="","",YEAR(Tabla2[[#This Row],[Fecha]]))</f>
        <v>2022</v>
      </c>
    </row>
    <row r="151" spans="1:24" ht="26.25" x14ac:dyDescent="0.25">
      <c r="A151" s="3">
        <v>151</v>
      </c>
      <c r="B151" s="77" t="s">
        <v>1073</v>
      </c>
      <c r="C151" s="360">
        <v>44748</v>
      </c>
      <c r="D151" s="76" t="s">
        <v>1074</v>
      </c>
      <c r="E151" s="360">
        <v>44747</v>
      </c>
      <c r="F151" s="78" t="s">
        <v>231</v>
      </c>
      <c r="G151" s="85">
        <v>900641244</v>
      </c>
      <c r="H151" s="177" t="str">
        <f>VLOOKUP(Tabla2[[#This Row],[NIT]],Clientes!A:C,2,0)</f>
        <v>PASTRY CHEF PASTELERIA Y COCINA GOURMET SAS</v>
      </c>
      <c r="I151" s="77" t="str">
        <f>VLOOKUP(Tabla2[[#This Row],[NIT]],Clientes!A:C,3,0)</f>
        <v>PJ</v>
      </c>
      <c r="J151" s="73" t="s">
        <v>794</v>
      </c>
      <c r="K151" s="267">
        <f>SUMIFS(Tabla4[Sub Total],Tabla4[Codigo],Tabla2[[#This Row],[Cod]])</f>
        <v>723333</v>
      </c>
      <c r="L151" s="262">
        <f>SUMPRODUCT((Tabla4[Codigo]=Tabla2[[#This Row],[Cod]])*1,Tabla4[IVA])</f>
        <v>137433.26999999999</v>
      </c>
      <c r="M151" s="262">
        <f>SUMIFS(Tabla4[Total],Tabla4[Codigo],Tabla2[[#This Row],[Cod]])</f>
        <v>860766.27</v>
      </c>
      <c r="N151" s="278">
        <f>SUMPRODUCT((Tabla1[Codigo]=Tabla2[[#This Row],[Cod]])*1,Tabla1[Valor])</f>
        <v>776209</v>
      </c>
      <c r="O151" s="265">
        <f>IF(AND(Tabla2[[#This Row],[Estado]]="ok",LEFT(Tabla2[[#This Row],['# Factura]],3)="TIS"),Tabla2[[#This Row],[TOTAL]]-Tabla2[[#This Row],[pagado]],0)</f>
        <v>0</v>
      </c>
      <c r="P151" s="262">
        <f>Tabla2[[#This Row],[TOTAL]]-Tabla2[[#This Row],[Valor pago]]</f>
        <v>84557.270000000019</v>
      </c>
      <c r="Q151" s="265">
        <f>IF(Tabla2[[#This Row],[Saldo]]=0,0,IF(Tabla2[[#This Row],[Tipo cliente]]="PJ",Tabla2[[#This Row],[SUBTOTAL]]*11%,0))</f>
        <v>79566.63</v>
      </c>
      <c r="R151" s="276">
        <f>IF(Tabla2[[#This Row],[Saldo]]=0,0,IF(Tabla2[[#This Row],[Tipo cliente]]="PJ",Tabla2[[#This Row],[SUBTOTAL]]*0.966%,0))</f>
        <v>6987.39678</v>
      </c>
      <c r="S151" s="276">
        <f>IF(Tabla2[[#This Row],[Retiene IVA]]="S",Tabla2[[#This Row],[IVA]]*0.15,0)</f>
        <v>0</v>
      </c>
      <c r="T151" s="265">
        <f>+Tabla2[[#This Row],[Saldo]]-Tabla2[[#This Row],[Rete fte]]-Tabla2[[#This Row],[rete ica]]-Tabla2[[#This Row],[Rete IVA]]</f>
        <v>-1996.7567799999861</v>
      </c>
      <c r="U15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860766.27</v>
      </c>
      <c r="W151" s="23">
        <f>IF(Tabla2[[#This Row],[Fecha F.E.]]="","",YEAR(Tabla2[[#This Row],[Fecha F.E.]]))</f>
        <v>2022</v>
      </c>
      <c r="X151" s="23">
        <f>IF(Tabla2[[#This Row],[Fecha]]="","",YEAR(Tabla2[[#This Row],[Fecha]]))</f>
        <v>2022</v>
      </c>
    </row>
    <row r="152" spans="1:24" ht="26.25" x14ac:dyDescent="0.25">
      <c r="A152" s="3">
        <v>152</v>
      </c>
      <c r="B152" s="77" t="s">
        <v>1075</v>
      </c>
      <c r="C152" s="360">
        <v>44748</v>
      </c>
      <c r="D152" s="76" t="s">
        <v>1076</v>
      </c>
      <c r="E152" s="360">
        <v>44747</v>
      </c>
      <c r="F152" s="78" t="s">
        <v>231</v>
      </c>
      <c r="G152" s="85">
        <v>900396116</v>
      </c>
      <c r="H152" s="177" t="str">
        <f>VLOOKUP(Tabla2[[#This Row],[NIT]],Clientes!A:C,2,0)</f>
        <v>PRODUCTORA INTERAMERICANA DE PLASTICOS S.A.S.</v>
      </c>
      <c r="I152" s="77" t="str">
        <f>VLOOKUP(Tabla2[[#This Row],[NIT]],Clientes!A:C,3,0)</f>
        <v>PJ</v>
      </c>
      <c r="J152" s="73" t="s">
        <v>794</v>
      </c>
      <c r="K152" s="267">
        <f>SUMIFS(Tabla4[Sub Total],Tabla4[Codigo],Tabla2[[#This Row],[Cod]])</f>
        <v>200000</v>
      </c>
      <c r="L152" s="262">
        <f>SUMPRODUCT((Tabla4[Codigo]=Tabla2[[#This Row],[Cod]])*1,Tabla4[IVA])</f>
        <v>38000</v>
      </c>
      <c r="M152" s="262">
        <f>SUMIFS(Tabla4[Total],Tabla4[Codigo],Tabla2[[#This Row],[Cod]])</f>
        <v>238000</v>
      </c>
      <c r="N152" s="278">
        <f>SUMPRODUCT((Tabla1[Codigo]=Tabla2[[#This Row],[Cod]])*1,Tabla1[Valor])</f>
        <v>214068</v>
      </c>
      <c r="O152" s="265">
        <f>IF(AND(Tabla2[[#This Row],[Estado]]="ok",LEFT(Tabla2[[#This Row],['# Factura]],3)="TIS"),Tabla2[[#This Row],[TOTAL]]-Tabla2[[#This Row],[pagado]],0)</f>
        <v>0</v>
      </c>
      <c r="P152" s="262">
        <f>Tabla2[[#This Row],[TOTAL]]-Tabla2[[#This Row],[Valor pago]]</f>
        <v>23932</v>
      </c>
      <c r="Q152" s="265">
        <f>IF(Tabla2[[#This Row],[Saldo]]=0,0,IF(Tabla2[[#This Row],[Tipo cliente]]="PJ",Tabla2[[#This Row],[SUBTOTAL]]*11%,0))</f>
        <v>22000</v>
      </c>
      <c r="R152" s="276">
        <f>IF(Tabla2[[#This Row],[Saldo]]=0,0,IF(Tabla2[[#This Row],[Tipo cliente]]="PJ",Tabla2[[#This Row],[SUBTOTAL]]*0.966%,0))</f>
        <v>1932</v>
      </c>
      <c r="S152" s="276">
        <f>IF(Tabla2[[#This Row],[Retiene IVA]]="S",Tabla2[[#This Row],[IVA]]*0.15,0)</f>
        <v>0</v>
      </c>
      <c r="T152" s="265">
        <f>+Tabla2[[#This Row],[Saldo]]-Tabla2[[#This Row],[Rete fte]]-Tabla2[[#This Row],[rete ica]]-Tabla2[[#This Row],[Rete IVA]]</f>
        <v>0</v>
      </c>
      <c r="U15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238000</v>
      </c>
      <c r="W152" s="23">
        <f>IF(Tabla2[[#This Row],[Fecha F.E.]]="","",YEAR(Tabla2[[#This Row],[Fecha F.E.]]))</f>
        <v>2022</v>
      </c>
      <c r="X152" s="23">
        <f>IF(Tabla2[[#This Row],[Fecha]]="","",YEAR(Tabla2[[#This Row],[Fecha]]))</f>
        <v>2022</v>
      </c>
    </row>
    <row r="153" spans="1:24" x14ac:dyDescent="0.25">
      <c r="A153" s="3">
        <v>153</v>
      </c>
      <c r="B153" s="77" t="s">
        <v>1077</v>
      </c>
      <c r="C153" s="360">
        <v>44748</v>
      </c>
      <c r="D153" s="76" t="s">
        <v>1078</v>
      </c>
      <c r="E153" s="360">
        <v>44747</v>
      </c>
      <c r="F153" s="78" t="s">
        <v>231</v>
      </c>
      <c r="G153" s="85">
        <v>800182918</v>
      </c>
      <c r="H153" s="177" t="str">
        <f>VLOOKUP(Tabla2[[#This Row],[NIT]],Clientes!A:C,2,0)</f>
        <v>RENAL MEDICAL MARKETING LIMITADA</v>
      </c>
      <c r="I153" s="77" t="str">
        <f>VLOOKUP(Tabla2[[#This Row],[NIT]],Clientes!A:C,3,0)</f>
        <v>PJ</v>
      </c>
      <c r="J153" s="73" t="s">
        <v>794</v>
      </c>
      <c r="K153" s="267">
        <f>SUMIFS(Tabla4[Sub Total],Tabla4[Codigo],Tabla2[[#This Row],[Cod]])</f>
        <v>450000</v>
      </c>
      <c r="L153" s="262">
        <f>SUMPRODUCT((Tabla4[Codigo]=Tabla2[[#This Row],[Cod]])*1,Tabla4[IVA])</f>
        <v>85500</v>
      </c>
      <c r="M153" s="262">
        <f>SUMIFS(Tabla4[Total],Tabla4[Codigo],Tabla2[[#This Row],[Cod]])</f>
        <v>535500</v>
      </c>
      <c r="N153" s="278">
        <f>SUMPRODUCT((Tabla1[Codigo]=Tabla2[[#This Row],[Cod]])*1,Tabla1[Valor])</f>
        <v>486000</v>
      </c>
      <c r="O153" s="265">
        <f>IF(AND(Tabla2[[#This Row],[Estado]]="ok",LEFT(Tabla2[[#This Row],['# Factura]],3)="TIS"),Tabla2[[#This Row],[TOTAL]]-Tabla2[[#This Row],[pagado]],0)</f>
        <v>0</v>
      </c>
      <c r="P153" s="262">
        <f>Tabla2[[#This Row],[TOTAL]]-Tabla2[[#This Row],[Valor pago]]</f>
        <v>49500</v>
      </c>
      <c r="Q153" s="265">
        <f>IF(Tabla2[[#This Row],[Saldo]]=0,0,IF(Tabla2[[#This Row],[Tipo cliente]]="PJ",Tabla2[[#This Row],[SUBTOTAL]]*11%,0))</f>
        <v>49500</v>
      </c>
      <c r="R153" s="276">
        <f>IF(Tabla2[[#This Row],[Saldo]]=0,0,IF(Tabla2[[#This Row],[Tipo cliente]]="PJ",Tabla2[[#This Row],[SUBTOTAL]]*0.966%,0))</f>
        <v>4347</v>
      </c>
      <c r="S153" s="276">
        <f>IF(Tabla2[[#This Row],[Retiene IVA]]="S",Tabla2[[#This Row],[IVA]]*0.15,0)</f>
        <v>0</v>
      </c>
      <c r="T153" s="265">
        <f>+Tabla2[[#This Row],[Saldo]]-Tabla2[[#This Row],[Rete fte]]-Tabla2[[#This Row],[rete ica]]-Tabla2[[#This Row],[Rete IVA]]</f>
        <v>-4347</v>
      </c>
      <c r="U15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535500</v>
      </c>
      <c r="W153" s="23">
        <f>IF(Tabla2[[#This Row],[Fecha F.E.]]="","",YEAR(Tabla2[[#This Row],[Fecha F.E.]]))</f>
        <v>2022</v>
      </c>
      <c r="X153" s="23">
        <f>IF(Tabla2[[#This Row],[Fecha]]="","",YEAR(Tabla2[[#This Row],[Fecha]]))</f>
        <v>2022</v>
      </c>
    </row>
    <row r="154" spans="1:24" x14ac:dyDescent="0.25">
      <c r="A154" s="3">
        <v>154</v>
      </c>
      <c r="B154" s="77" t="s">
        <v>1079</v>
      </c>
      <c r="C154" s="360">
        <v>44748</v>
      </c>
      <c r="D154" s="76" t="s">
        <v>1080</v>
      </c>
      <c r="E154" s="360">
        <v>44747</v>
      </c>
      <c r="F154" s="78" t="s">
        <v>231</v>
      </c>
      <c r="G154" s="85">
        <v>800028768</v>
      </c>
      <c r="H154" s="177" t="str">
        <f>VLOOKUP(Tabla2[[#This Row],[NIT]],Clientes!A:C,2,0)</f>
        <v>Comercializadora ERZ SAS</v>
      </c>
      <c r="I154" s="77" t="str">
        <f>VLOOKUP(Tabla2[[#This Row],[NIT]],Clientes!A:C,3,0)</f>
        <v>PJ</v>
      </c>
      <c r="J154" s="73" t="s">
        <v>794</v>
      </c>
      <c r="K154" s="267">
        <f>SUMIFS(Tabla4[Sub Total],Tabla4[Codigo],Tabla2[[#This Row],[Cod]])</f>
        <v>220000</v>
      </c>
      <c r="L154" s="262">
        <f>SUMPRODUCT((Tabla4[Codigo]=Tabla2[[#This Row],[Cod]])*1,Tabla4[IVA])</f>
        <v>41800</v>
      </c>
      <c r="M154" s="262">
        <f>SUMIFS(Tabla4[Total],Tabla4[Codigo],Tabla2[[#This Row],[Cod]])</f>
        <v>261800</v>
      </c>
      <c r="N154" s="278">
        <f>SUMPRODUCT((Tabla1[Codigo]=Tabla2[[#This Row],[Cod]])*1,Tabla1[Valor])</f>
        <v>252000</v>
      </c>
      <c r="O154" s="265">
        <f>IF(AND(Tabla2[[#This Row],[Estado]]="ok",LEFT(Tabla2[[#This Row],['# Factura]],3)="TIS"),Tabla2[[#This Row],[TOTAL]]-Tabla2[[#This Row],[pagado]],0)</f>
        <v>0</v>
      </c>
      <c r="P154" s="262">
        <f>Tabla2[[#This Row],[TOTAL]]-Tabla2[[#This Row],[Valor pago]]</f>
        <v>9800</v>
      </c>
      <c r="Q154" s="265">
        <f>IF(Tabla2[[#This Row],[Saldo]]=0,0,IF(Tabla2[[#This Row],[Tipo cliente]]="PJ",Tabla2[[#This Row],[SUBTOTAL]]*11%,0))</f>
        <v>24200</v>
      </c>
      <c r="R154" s="276">
        <f>IF(Tabla2[[#This Row],[Saldo]]=0,0,IF(Tabla2[[#This Row],[Tipo cliente]]="PJ",Tabla2[[#This Row],[SUBTOTAL]]*0.966%,0))</f>
        <v>2125.1999999999998</v>
      </c>
      <c r="S154" s="276">
        <f>IF(Tabla2[[#This Row],[Retiene IVA]]="S",Tabla2[[#This Row],[IVA]]*0.15,0)</f>
        <v>0</v>
      </c>
      <c r="T154" s="265">
        <f>+Tabla2[[#This Row],[Saldo]]-Tabla2[[#This Row],[Rete fte]]-Tabla2[[#This Row],[rete ica]]-Tabla2[[#This Row],[Rete IVA]]</f>
        <v>-16525.2</v>
      </c>
      <c r="U15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261800</v>
      </c>
      <c r="W154" s="23">
        <f>IF(Tabla2[[#This Row],[Fecha F.E.]]="","",YEAR(Tabla2[[#This Row],[Fecha F.E.]]))</f>
        <v>2022</v>
      </c>
      <c r="X154" s="23">
        <f>IF(Tabla2[[#This Row],[Fecha]]="","",YEAR(Tabla2[[#This Row],[Fecha]]))</f>
        <v>2022</v>
      </c>
    </row>
    <row r="155" spans="1:24" x14ac:dyDescent="0.25">
      <c r="A155" s="3">
        <v>155</v>
      </c>
      <c r="B155" s="77" t="s">
        <v>1081</v>
      </c>
      <c r="C155" s="360">
        <v>44790</v>
      </c>
      <c r="D155" s="76" t="s">
        <v>302</v>
      </c>
      <c r="E155" s="360">
        <v>44790</v>
      </c>
      <c r="F155" s="78" t="s">
        <v>231</v>
      </c>
      <c r="G155" s="85">
        <v>830126569</v>
      </c>
      <c r="H155" s="177" t="str">
        <f>VLOOKUP(Tabla2[[#This Row],[NIT]],Clientes!A:C,2,0)</f>
        <v>Colombiana de Envases Industriales S. A.</v>
      </c>
      <c r="I155" s="77" t="str">
        <f>VLOOKUP(Tabla2[[#This Row],[NIT]],Clientes!A:C,3,0)</f>
        <v>PJ</v>
      </c>
      <c r="J155" s="73" t="s">
        <v>794</v>
      </c>
      <c r="K155" s="267">
        <f>SUMIFS(Tabla4[Sub Total],Tabla4[Codigo],Tabla2[[#This Row],[Cod]])</f>
        <v>6460000</v>
      </c>
      <c r="L155" s="262">
        <f>SUMPRODUCT((Tabla4[Codigo]=Tabla2[[#This Row],[Cod]])*1,Tabla4[IVA])</f>
        <v>1227400</v>
      </c>
      <c r="M155" s="262">
        <f>SUMIFS(Tabla4[Total],Tabla4[Codigo],Tabla2[[#This Row],[Cod]])</f>
        <v>7687400</v>
      </c>
      <c r="N155" s="278">
        <f>SUMPRODUCT((Tabla1[Codigo]=Tabla2[[#This Row],[Cod]])*1,Tabla1[Valor])</f>
        <v>6792690</v>
      </c>
      <c r="O155" s="265">
        <f>IF(AND(Tabla2[[#This Row],[Estado]]="ok",LEFT(Tabla2[[#This Row],['# Factura]],3)="TIS"),Tabla2[[#This Row],[TOTAL]]-Tabla2[[#This Row],[pagado]],0)</f>
        <v>121706.40000000037</v>
      </c>
      <c r="P155" s="262">
        <f>Tabla2[[#This Row],[TOTAL]]-Tabla2[[#This Row],[Valor pago]]</f>
        <v>894710</v>
      </c>
      <c r="Q155" s="265">
        <f>IF(Tabla2[[#This Row],[Saldo]]=0,0,IF(Tabla2[[#This Row],[Tipo cliente]]="PJ",Tabla2[[#This Row],[SUBTOTAL]]*11%,0))</f>
        <v>710600</v>
      </c>
      <c r="R155" s="276">
        <f>IF(Tabla2[[#This Row],[Saldo]]=0,0,IF(Tabla2[[#This Row],[Tipo cliente]]="PJ",Tabla2[[#This Row],[SUBTOTAL]]*0.966%,0))</f>
        <v>62403.6</v>
      </c>
      <c r="S155" s="276">
        <f>IF(Tabla2[[#This Row],[Retiene IVA]]="S",Tabla2[[#This Row],[IVA]]*0.15,0)</f>
        <v>0</v>
      </c>
      <c r="T155" s="265">
        <f>+Tabla2[[#This Row],[Saldo]]-Tabla2[[#This Row],[Rete fte]]-Tabla2[[#This Row],[rete ica]]-Tabla2[[#This Row],[Rete IVA]]</f>
        <v>121706.4</v>
      </c>
      <c r="U15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7565693.5999999996</v>
      </c>
      <c r="W155" s="23">
        <f>IF(Tabla2[[#This Row],[Fecha F.E.]]="","",YEAR(Tabla2[[#This Row],[Fecha F.E.]]))</f>
        <v>2022</v>
      </c>
      <c r="X155" s="23">
        <f>IF(Tabla2[[#This Row],[Fecha]]="","",YEAR(Tabla2[[#This Row],[Fecha]]))</f>
        <v>2022</v>
      </c>
    </row>
    <row r="156" spans="1:24" x14ac:dyDescent="0.25">
      <c r="A156" s="3">
        <v>156</v>
      </c>
      <c r="B156" s="77" t="s">
        <v>1082</v>
      </c>
      <c r="C156" s="360">
        <v>44790</v>
      </c>
      <c r="D156" s="76" t="s">
        <v>1083</v>
      </c>
      <c r="E156" s="360">
        <v>44811</v>
      </c>
      <c r="F156" s="78" t="s">
        <v>231</v>
      </c>
      <c r="G156" s="85">
        <v>830053731</v>
      </c>
      <c r="H156" s="177" t="str">
        <f>VLOOKUP(Tabla2[[#This Row],[NIT]],Clientes!A:C,2,0)</f>
        <v>CARNES FRIAS ITALIA SAS</v>
      </c>
      <c r="I156" s="77" t="str">
        <f>VLOOKUP(Tabla2[[#This Row],[NIT]],Clientes!A:C,3,0)</f>
        <v>PJ</v>
      </c>
      <c r="J156" s="73" t="s">
        <v>794</v>
      </c>
      <c r="K156" s="267">
        <f>SUMIFS(Tabla4[Sub Total],Tabla4[Codigo],Tabla2[[#This Row],[Cod]])</f>
        <v>736000</v>
      </c>
      <c r="L156" s="262">
        <f>SUMPRODUCT((Tabla4[Codigo]=Tabla2[[#This Row],[Cod]])*1,Tabla4[IVA])</f>
        <v>139840</v>
      </c>
      <c r="M156" s="262">
        <f>SUMIFS(Tabla4[Total],Tabla4[Codigo],Tabla2[[#This Row],[Cod]])</f>
        <v>875840</v>
      </c>
      <c r="N156" s="278">
        <f>SUMPRODUCT((Tabla1[Codigo]=Tabla2[[#This Row],[Cod]])*1,Tabla1[Valor])</f>
        <v>846300</v>
      </c>
      <c r="O156" s="265">
        <f>IF(AND(Tabla2[[#This Row],[Estado]]="ok",LEFT(Tabla2[[#This Row],['# Factura]],3)="TIS"),Tabla2[[#This Row],[TOTAL]]-Tabla2[[#This Row],[pagado]],0)</f>
        <v>0</v>
      </c>
      <c r="P156" s="262">
        <f>Tabla2[[#This Row],[TOTAL]]-Tabla2[[#This Row],[Valor pago]]</f>
        <v>29540</v>
      </c>
      <c r="Q156" s="265">
        <f>IF(Tabla2[[#This Row],[Saldo]]=0,0,IF(Tabla2[[#This Row],[Tipo cliente]]="PJ",Tabla2[[#This Row],[SUBTOTAL]]*11%,0))</f>
        <v>80960</v>
      </c>
      <c r="R156" s="276">
        <f>IF(Tabla2[[#This Row],[Saldo]]=0,0,IF(Tabla2[[#This Row],[Tipo cliente]]="PJ",Tabla2[[#This Row],[SUBTOTAL]]*0.966%,0))</f>
        <v>7109.76</v>
      </c>
      <c r="S156" s="276">
        <f>IF(Tabla2[[#This Row],[Retiene IVA]]="S",Tabla2[[#This Row],[IVA]]*0.15,0)</f>
        <v>0</v>
      </c>
      <c r="T156" s="265">
        <f>+Tabla2[[#This Row],[Saldo]]-Tabla2[[#This Row],[Rete fte]]-Tabla2[[#This Row],[rete ica]]-Tabla2[[#This Row],[Rete IVA]]</f>
        <v>-58529.760000000002</v>
      </c>
      <c r="U15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875840</v>
      </c>
      <c r="W156" s="23">
        <f>IF(Tabla2[[#This Row],[Fecha F.E.]]="","",YEAR(Tabla2[[#This Row],[Fecha F.E.]]))</f>
        <v>2022</v>
      </c>
      <c r="X156" s="23">
        <f>IF(Tabla2[[#This Row],[Fecha]]="","",YEAR(Tabla2[[#This Row],[Fecha]]))</f>
        <v>2022</v>
      </c>
    </row>
    <row r="157" spans="1:24" x14ac:dyDescent="0.25">
      <c r="A157" s="3">
        <v>157</v>
      </c>
      <c r="B157" s="77" t="s">
        <v>1084</v>
      </c>
      <c r="C157" s="360">
        <v>44790</v>
      </c>
      <c r="D157" s="76" t="s">
        <v>303</v>
      </c>
      <c r="E157" s="360">
        <v>44790</v>
      </c>
      <c r="F157" s="78" t="s">
        <v>231</v>
      </c>
      <c r="G157" s="85">
        <v>830124778</v>
      </c>
      <c r="H157" s="177" t="str">
        <f>VLOOKUP(Tabla2[[#This Row],[NIT]],Clientes!A:C,2,0)</f>
        <v>QUICK HELP S.A.S</v>
      </c>
      <c r="I157" s="77" t="str">
        <f>VLOOKUP(Tabla2[[#This Row],[NIT]],Clientes!A:C,3,0)</f>
        <v>PJ</v>
      </c>
      <c r="J157" s="73" t="s">
        <v>794</v>
      </c>
      <c r="K157" s="267">
        <f>SUMIFS(Tabla4[Sub Total],Tabla4[Codigo],Tabla2[[#This Row],[Cod]])</f>
        <v>2760000</v>
      </c>
      <c r="L157" s="262">
        <f>SUMPRODUCT((Tabla4[Codigo]=Tabla2[[#This Row],[Cod]])*1,Tabla4[IVA])</f>
        <v>524400</v>
      </c>
      <c r="M157" s="262">
        <f>SUMIFS(Tabla4[Total],Tabla4[Codigo],Tabla2[[#This Row],[Cod]])</f>
        <v>3284400</v>
      </c>
      <c r="N157" s="278">
        <f>SUMPRODUCT((Tabla1[Codigo]=Tabla2[[#This Row],[Cod]])*1,Tabla1[Valor])</f>
        <v>3284000</v>
      </c>
      <c r="O157" s="265">
        <f>IF(AND(Tabla2[[#This Row],[Estado]]="ok",LEFT(Tabla2[[#This Row],['# Factura]],3)="TIS"),Tabla2[[#This Row],[TOTAL]]-Tabla2[[#This Row],[pagado]],0)</f>
        <v>0</v>
      </c>
      <c r="P157" s="262">
        <f>Tabla2[[#This Row],[TOTAL]]-Tabla2[[#This Row],[Valor pago]]</f>
        <v>400</v>
      </c>
      <c r="Q157" s="265">
        <f>IF(Tabla2[[#This Row],[Saldo]]=0,0,IF(Tabla2[[#This Row],[Tipo cliente]]="PJ",Tabla2[[#This Row],[SUBTOTAL]]*11%,0))</f>
        <v>303600</v>
      </c>
      <c r="R157" s="276">
        <f>IF(Tabla2[[#This Row],[Saldo]]=0,0,IF(Tabla2[[#This Row],[Tipo cliente]]="PJ",Tabla2[[#This Row],[SUBTOTAL]]*0.966%,0))</f>
        <v>26661.600000000002</v>
      </c>
      <c r="S157" s="276">
        <f>IF(Tabla2[[#This Row],[Retiene IVA]]="S",Tabla2[[#This Row],[IVA]]*0.15,0)</f>
        <v>0</v>
      </c>
      <c r="T157" s="265">
        <f>+Tabla2[[#This Row],[Saldo]]-Tabla2[[#This Row],[Rete fte]]-Tabla2[[#This Row],[rete ica]]-Tabla2[[#This Row],[Rete IVA]]</f>
        <v>-329861.59999999998</v>
      </c>
      <c r="U15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3284400</v>
      </c>
      <c r="W157" s="23">
        <f>IF(Tabla2[[#This Row],[Fecha F.E.]]="","",YEAR(Tabla2[[#This Row],[Fecha F.E.]]))</f>
        <v>2022</v>
      </c>
      <c r="X157" s="23">
        <f>IF(Tabla2[[#This Row],[Fecha]]="","",YEAR(Tabla2[[#This Row],[Fecha]]))</f>
        <v>2022</v>
      </c>
    </row>
    <row r="158" spans="1:24" x14ac:dyDescent="0.25">
      <c r="A158" s="3">
        <v>158</v>
      </c>
      <c r="B158" s="77" t="s">
        <v>1085</v>
      </c>
      <c r="C158" s="360">
        <v>44792</v>
      </c>
      <c r="D158" s="76" t="s">
        <v>1086</v>
      </c>
      <c r="E158" s="360">
        <v>44806</v>
      </c>
      <c r="F158" s="78" t="s">
        <v>231</v>
      </c>
      <c r="G158" s="85">
        <v>901030518</v>
      </c>
      <c r="H158" s="177" t="str">
        <f>VLOOKUP(Tabla2[[#This Row],[NIT]],Clientes!A:C,2,0)</f>
        <v>Inversiones Sajamib SAS</v>
      </c>
      <c r="I158" s="77" t="str">
        <f>VLOOKUP(Tabla2[[#This Row],[NIT]],Clientes!A:C,3,0)</f>
        <v>PJ</v>
      </c>
      <c r="J158" s="73" t="s">
        <v>794</v>
      </c>
      <c r="K158" s="267">
        <f>SUMIFS(Tabla4[Sub Total],Tabla4[Codigo],Tabla2[[#This Row],[Cod]])</f>
        <v>966000</v>
      </c>
      <c r="L158" s="262">
        <f>SUMPRODUCT((Tabla4[Codigo]=Tabla2[[#This Row],[Cod]])*1,Tabla4[IVA])</f>
        <v>0</v>
      </c>
      <c r="M158" s="262">
        <f>SUMIFS(Tabla4[Total],Tabla4[Codigo],Tabla2[[#This Row],[Cod]])</f>
        <v>966000</v>
      </c>
      <c r="N158" s="278">
        <f>SUMPRODUCT((Tabla1[Codigo]=Tabla2[[#This Row],[Cod]])*1,Tabla1[Valor])</f>
        <v>966000</v>
      </c>
      <c r="O158" s="265">
        <f>IF(AND(Tabla2[[#This Row],[Estado]]="ok",LEFT(Tabla2[[#This Row],['# Factura]],3)="TIS"),Tabla2[[#This Row],[TOTAL]]-Tabla2[[#This Row],[pagado]],0)</f>
        <v>0</v>
      </c>
      <c r="P158" s="262">
        <f>Tabla2[[#This Row],[TOTAL]]-Tabla2[[#This Row],[Valor pago]]</f>
        <v>0</v>
      </c>
      <c r="Q158" s="265">
        <f>IF(Tabla2[[#This Row],[Saldo]]=0,0,IF(Tabla2[[#This Row],[Tipo cliente]]="PJ",Tabla2[[#This Row],[SUBTOTAL]]*11%,0))</f>
        <v>0</v>
      </c>
      <c r="R158" s="276">
        <f>IF(Tabla2[[#This Row],[Saldo]]=0,0,IF(Tabla2[[#This Row],[Tipo cliente]]="PJ",Tabla2[[#This Row],[SUBTOTAL]]*0.966%,0))</f>
        <v>0</v>
      </c>
      <c r="S158" s="276">
        <f>IF(Tabla2[[#This Row],[Retiene IVA]]="S",Tabla2[[#This Row],[IVA]]*0.15,0)</f>
        <v>0</v>
      </c>
      <c r="T158" s="265">
        <f>+Tabla2[[#This Row],[Saldo]]-Tabla2[[#This Row],[Rete fte]]-Tabla2[[#This Row],[rete ica]]-Tabla2[[#This Row],[Rete IVA]]</f>
        <v>0</v>
      </c>
      <c r="U15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966000</v>
      </c>
      <c r="W158" s="23">
        <f>IF(Tabla2[[#This Row],[Fecha F.E.]]="","",YEAR(Tabla2[[#This Row],[Fecha F.E.]]))</f>
        <v>2022</v>
      </c>
      <c r="X158" s="23">
        <f>IF(Tabla2[[#This Row],[Fecha]]="","",YEAR(Tabla2[[#This Row],[Fecha]]))</f>
        <v>2022</v>
      </c>
    </row>
    <row r="159" spans="1:24" x14ac:dyDescent="0.25">
      <c r="A159" s="3">
        <v>159</v>
      </c>
      <c r="B159" s="77" t="s">
        <v>1087</v>
      </c>
      <c r="C159" s="360">
        <v>44792</v>
      </c>
      <c r="D159" s="360" t="s">
        <v>1088</v>
      </c>
      <c r="E159" s="360">
        <v>44804</v>
      </c>
      <c r="F159" s="78" t="s">
        <v>231</v>
      </c>
      <c r="G159" s="85">
        <v>900249638</v>
      </c>
      <c r="H159" s="177" t="str">
        <f>VLOOKUP(Tabla2[[#This Row],[NIT]],Clientes!A:C,2,0)</f>
        <v>Soluciones Avanzadas de Ingeniería SAS</v>
      </c>
      <c r="I159" s="77" t="str">
        <f>VLOOKUP(Tabla2[[#This Row],[NIT]],Clientes!A:C,3,0)</f>
        <v>PJ</v>
      </c>
      <c r="J159" s="73" t="s">
        <v>794</v>
      </c>
      <c r="K159" s="267">
        <f>SUMIFS(Tabla4[Sub Total],Tabla4[Codigo],Tabla2[[#This Row],[Cod]])</f>
        <v>529000</v>
      </c>
      <c r="L159" s="262">
        <f>SUMPRODUCT((Tabla4[Codigo]=Tabla2[[#This Row],[Cod]])*1,Tabla4[IVA])</f>
        <v>100510</v>
      </c>
      <c r="M159" s="262">
        <f>SUMIFS(Tabla4[Total],Tabla4[Codigo],Tabla2[[#This Row],[Cod]])</f>
        <v>629510</v>
      </c>
      <c r="N159" s="278">
        <f>SUMPRODUCT((Tabla1[Codigo]=Tabla2[[#This Row],[Cod]])*1,Tabla1[Valor])</f>
        <v>629510</v>
      </c>
      <c r="O159" s="265">
        <f>IF(AND(Tabla2[[#This Row],[Estado]]="ok",LEFT(Tabla2[[#This Row],['# Factura]],3)="TIS"),Tabla2[[#This Row],[TOTAL]]-Tabla2[[#This Row],[pagado]],0)</f>
        <v>0</v>
      </c>
      <c r="P159" s="262">
        <f>Tabla2[[#This Row],[TOTAL]]-Tabla2[[#This Row],[Valor pago]]</f>
        <v>0</v>
      </c>
      <c r="Q159" s="265">
        <f>IF(Tabla2[[#This Row],[Saldo]]=0,0,IF(Tabla2[[#This Row],[Tipo cliente]]="PJ",Tabla2[[#This Row],[SUBTOTAL]]*11%,0))</f>
        <v>0</v>
      </c>
      <c r="R159" s="276">
        <f>IF(Tabla2[[#This Row],[Saldo]]=0,0,IF(Tabla2[[#This Row],[Tipo cliente]]="PJ",Tabla2[[#This Row],[SUBTOTAL]]*0.966%,0))</f>
        <v>0</v>
      </c>
      <c r="S159" s="276">
        <f>IF(Tabla2[[#This Row],[Retiene IVA]]="S",Tabla2[[#This Row],[IVA]]*0.15,0)</f>
        <v>0</v>
      </c>
      <c r="T159" s="265">
        <f>+Tabla2[[#This Row],[Saldo]]-Tabla2[[#This Row],[Rete fte]]-Tabla2[[#This Row],[rete ica]]-Tabla2[[#This Row],[Rete IVA]]</f>
        <v>0</v>
      </c>
      <c r="U15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629510</v>
      </c>
      <c r="W159" s="23">
        <f>IF(Tabla2[[#This Row],[Fecha F.E.]]="","",YEAR(Tabla2[[#This Row],[Fecha F.E.]]))</f>
        <v>2022</v>
      </c>
      <c r="X159" s="23">
        <f>IF(Tabla2[[#This Row],[Fecha]]="","",YEAR(Tabla2[[#This Row],[Fecha]]))</f>
        <v>2022</v>
      </c>
    </row>
    <row r="160" spans="1:24" x14ac:dyDescent="0.25">
      <c r="A160" s="3">
        <v>160</v>
      </c>
      <c r="B160" s="77" t="s">
        <v>1089</v>
      </c>
      <c r="C160" s="360">
        <v>44809</v>
      </c>
      <c r="D160" s="76" t="s">
        <v>1090</v>
      </c>
      <c r="E160" s="360">
        <v>44810</v>
      </c>
      <c r="F160" s="78" t="s">
        <v>231</v>
      </c>
      <c r="G160" s="85">
        <v>830120079</v>
      </c>
      <c r="H160" s="177" t="str">
        <f>VLOOKUP(Tabla2[[#This Row],[NIT]],Clientes!A:C,2,0)</f>
        <v>D&amp;G ASESORES LTDA</v>
      </c>
      <c r="I160" s="77" t="str">
        <f>VLOOKUP(Tabla2[[#This Row],[NIT]],Clientes!A:C,3,0)</f>
        <v>PJ</v>
      </c>
      <c r="J160" s="73" t="s">
        <v>794</v>
      </c>
      <c r="K160" s="267">
        <f>SUMIFS(Tabla4[Sub Total],Tabla4[Codigo],Tabla2[[#This Row],[Cod]])</f>
        <v>25200000</v>
      </c>
      <c r="L160" s="262">
        <f>SUMPRODUCT((Tabla4[Codigo]=Tabla2[[#This Row],[Cod]])*1,Tabla4[IVA])</f>
        <v>4788000</v>
      </c>
      <c r="M160" s="262">
        <f>SUMIFS(Tabla4[Total],Tabla4[Codigo],Tabla2[[#This Row],[Cod]])</f>
        <v>29988000</v>
      </c>
      <c r="N160" s="278">
        <f>SUMPRODUCT((Tabla1[Codigo]=Tabla2[[#This Row],[Cod]])*1,Tabla1[Valor])</f>
        <v>28737000</v>
      </c>
      <c r="O160" s="265">
        <f>IF(AND(Tabla2[[#This Row],[Estado]]="ok",LEFT(Tabla2[[#This Row],['# Factura]],3)="TIS"),Tabla2[[#This Row],[TOTAL]]-Tabla2[[#This Row],[pagado]],0)</f>
        <v>0</v>
      </c>
      <c r="P160" s="262">
        <f>Tabla2[[#This Row],[TOTAL]]-Tabla2[[#This Row],[Valor pago]]</f>
        <v>1251000</v>
      </c>
      <c r="Q160" s="265">
        <f>IF(Tabla2[[#This Row],[Saldo]]=0,0,IF(Tabla2[[#This Row],[Tipo cliente]]="PJ",Tabla2[[#This Row],[SUBTOTAL]]*11%,0))</f>
        <v>2772000</v>
      </c>
      <c r="R160" s="276">
        <f>IF(Tabla2[[#This Row],[Saldo]]=0,0,IF(Tabla2[[#This Row],[Tipo cliente]]="PJ",Tabla2[[#This Row],[SUBTOTAL]]*0.966%,0))</f>
        <v>243432</v>
      </c>
      <c r="S160" s="276">
        <f>IF(Tabla2[[#This Row],[Retiene IVA]]="S",Tabla2[[#This Row],[IVA]]*0.15,0)</f>
        <v>0</v>
      </c>
      <c r="T160" s="265">
        <f>+Tabla2[[#This Row],[Saldo]]-Tabla2[[#This Row],[Rete fte]]-Tabla2[[#This Row],[rete ica]]-Tabla2[[#This Row],[Rete IVA]]</f>
        <v>-1764432</v>
      </c>
      <c r="U16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29988000</v>
      </c>
      <c r="W160" s="23">
        <f>IF(Tabla2[[#This Row],[Fecha F.E.]]="","",YEAR(Tabla2[[#This Row],[Fecha F.E.]]))</f>
        <v>2022</v>
      </c>
      <c r="X160" s="23">
        <f>IF(Tabla2[[#This Row],[Fecha]]="","",YEAR(Tabla2[[#This Row],[Fecha]]))</f>
        <v>2022</v>
      </c>
    </row>
    <row r="161" spans="1:24" x14ac:dyDescent="0.25">
      <c r="A161" s="3">
        <v>161</v>
      </c>
      <c r="B161" s="77" t="s">
        <v>1091</v>
      </c>
      <c r="C161" s="360">
        <v>44811</v>
      </c>
      <c r="D161" s="76"/>
      <c r="E161" s="360"/>
      <c r="F161" s="78" t="s">
        <v>231</v>
      </c>
      <c r="G161" s="85">
        <v>901083908</v>
      </c>
      <c r="H161" s="177" t="str">
        <f>VLOOKUP(Tabla2[[#This Row],[NIT]],Clientes!A:C,2,0)</f>
        <v>Inversiones Londoño Sepulveda S.A.S</v>
      </c>
      <c r="I161" s="77" t="str">
        <f>VLOOKUP(Tabla2[[#This Row],[NIT]],Clientes!A:C,3,0)</f>
        <v>PJ</v>
      </c>
      <c r="J161" s="73" t="s">
        <v>794</v>
      </c>
      <c r="K161" s="267">
        <f>SUMIFS(Tabla4[Sub Total],Tabla4[Codigo],Tabla2[[#This Row],[Cod]])</f>
        <v>420000</v>
      </c>
      <c r="L161" s="262">
        <f>SUMPRODUCT((Tabla4[Codigo]=Tabla2[[#This Row],[Cod]])*1,Tabla4[IVA])</f>
        <v>79800</v>
      </c>
      <c r="M161" s="262">
        <f>SUMIFS(Tabla4[Total],Tabla4[Codigo],Tabla2[[#This Row],[Cod]])</f>
        <v>499800</v>
      </c>
      <c r="N161" s="278">
        <f>SUMPRODUCT((Tabla1[Codigo]=Tabla2[[#This Row],[Cod]])*1,Tabla1[Valor])</f>
        <v>499800</v>
      </c>
      <c r="O161" s="265">
        <f>IF(AND(Tabla2[[#This Row],[Estado]]="ok",LEFT(Tabla2[[#This Row],['# Factura]],3)="TIS"),Tabla2[[#This Row],[TOTAL]]-Tabla2[[#This Row],[pagado]],0)</f>
        <v>0</v>
      </c>
      <c r="P161" s="262">
        <f>Tabla2[[#This Row],[TOTAL]]-Tabla2[[#This Row],[Valor pago]]</f>
        <v>0</v>
      </c>
      <c r="Q161" s="265">
        <f>IF(Tabla2[[#This Row],[Saldo]]=0,0,IF(Tabla2[[#This Row],[Tipo cliente]]="PJ",Tabla2[[#This Row],[SUBTOTAL]]*11%,0))</f>
        <v>0</v>
      </c>
      <c r="R161" s="276">
        <f>IF(Tabla2[[#This Row],[Saldo]]=0,0,IF(Tabla2[[#This Row],[Tipo cliente]]="PJ",Tabla2[[#This Row],[SUBTOTAL]]*0.966%,0))</f>
        <v>0</v>
      </c>
      <c r="S161" s="276">
        <f>IF(Tabla2[[#This Row],[Retiene IVA]]="S",Tabla2[[#This Row],[IVA]]*0.15,0)</f>
        <v>0</v>
      </c>
      <c r="T161" s="265">
        <f>+Tabla2[[#This Row],[Saldo]]-Tabla2[[#This Row],[Rete fte]]-Tabla2[[#This Row],[rete ica]]-Tabla2[[#This Row],[Rete IVA]]</f>
        <v>0</v>
      </c>
      <c r="U16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499800</v>
      </c>
      <c r="W161" s="23" t="str">
        <f>IF(Tabla2[[#This Row],[Fecha F.E.]]="","",YEAR(Tabla2[[#This Row],[Fecha F.E.]]))</f>
        <v/>
      </c>
      <c r="X161" s="23">
        <f>IF(Tabla2[[#This Row],[Fecha]]="","",YEAR(Tabla2[[#This Row],[Fecha]]))</f>
        <v>2022</v>
      </c>
    </row>
    <row r="162" spans="1:24" x14ac:dyDescent="0.25">
      <c r="A162" s="3">
        <v>162</v>
      </c>
      <c r="B162" s="77" t="s">
        <v>1092</v>
      </c>
      <c r="C162" s="360">
        <v>44812</v>
      </c>
      <c r="D162" s="76" t="s">
        <v>1093</v>
      </c>
      <c r="E162" s="360"/>
      <c r="F162" s="78" t="s">
        <v>3</v>
      </c>
      <c r="G162" s="85">
        <v>900232864</v>
      </c>
      <c r="H162" s="177" t="str">
        <f>VLOOKUP(Tabla2[[#This Row],[NIT]],Clientes!A:C,2,0)</f>
        <v>STT Group sucursal colombia SA</v>
      </c>
      <c r="I162" s="77" t="str">
        <f>VLOOKUP(Tabla2[[#This Row],[NIT]],Clientes!A:C,3,0)</f>
        <v>PJ</v>
      </c>
      <c r="J162" s="73" t="s">
        <v>794</v>
      </c>
      <c r="K162" s="267">
        <f>SUMIFS(Tabla4[Sub Total],Tabla4[Codigo],Tabla2[[#This Row],[Cod]])</f>
        <v>1275000</v>
      </c>
      <c r="L162" s="262">
        <f>SUMPRODUCT((Tabla4[Codigo]=Tabla2[[#This Row],[Cod]])*1,Tabla4[IVA])</f>
        <v>242250</v>
      </c>
      <c r="M162" s="262">
        <f>SUMIFS(Tabla4[Total],Tabla4[Codigo],Tabla2[[#This Row],[Cod]])</f>
        <v>1517250</v>
      </c>
      <c r="N162" s="278">
        <f>SUMPRODUCT((Tabla1[Codigo]=Tabla2[[#This Row],[Cod]])*1,Tabla1[Valor])</f>
        <v>1365958.5</v>
      </c>
      <c r="O162" s="265">
        <f>IF(AND(Tabla2[[#This Row],[Estado]]="ok",LEFT(Tabla2[[#This Row],['# Factura]],3)="TIS"),Tabla2[[#This Row],[TOTAL]]-Tabla2[[#This Row],[pagado]],0)</f>
        <v>0</v>
      </c>
      <c r="P162" s="262">
        <f>Tabla2[[#This Row],[TOTAL]]-Tabla2[[#This Row],[Valor pago]]</f>
        <v>151291.5</v>
      </c>
      <c r="Q162" s="265">
        <f>IF(Tabla2[[#This Row],[Saldo]]=0,0,IF(Tabla2[[#This Row],[Tipo cliente]]="PJ",Tabla2[[#This Row],[SUBTOTAL]]*11%,0))</f>
        <v>140250</v>
      </c>
      <c r="R162" s="276">
        <f>IF(Tabla2[[#This Row],[Saldo]]=0,0,IF(Tabla2[[#This Row],[Tipo cliente]]="PJ",Tabla2[[#This Row],[SUBTOTAL]]*0.966%,0))</f>
        <v>12316.5</v>
      </c>
      <c r="S162" s="276">
        <f>IF(Tabla2[[#This Row],[Retiene IVA]]="S",Tabla2[[#This Row],[IVA]]*0.15,0)</f>
        <v>0</v>
      </c>
      <c r="T162" s="265">
        <f>+Tabla2[[#This Row],[Saldo]]-Tabla2[[#This Row],[Rete fte]]-Tabla2[[#This Row],[rete ica]]-Tabla2[[#This Row],[Rete IVA]]</f>
        <v>-1275</v>
      </c>
      <c r="U16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1517250</v>
      </c>
      <c r="W162" s="23" t="str">
        <f>IF(Tabla2[[#This Row],[Fecha F.E.]]="","",YEAR(Tabla2[[#This Row],[Fecha F.E.]]))</f>
        <v/>
      </c>
      <c r="X162" s="23">
        <f>IF(Tabla2[[#This Row],[Fecha]]="","",YEAR(Tabla2[[#This Row],[Fecha]]))</f>
        <v>2022</v>
      </c>
    </row>
    <row r="163" spans="1:24" x14ac:dyDescent="0.25">
      <c r="A163" s="3">
        <v>163</v>
      </c>
      <c r="B163" s="77" t="s">
        <v>1094</v>
      </c>
      <c r="C163" s="360">
        <v>44812</v>
      </c>
      <c r="D163" s="76" t="s">
        <v>1095</v>
      </c>
      <c r="E163" s="360">
        <v>44859</v>
      </c>
      <c r="F163" s="78" t="s">
        <v>716</v>
      </c>
      <c r="G163" s="85">
        <v>830078222</v>
      </c>
      <c r="H163" s="177" t="str">
        <f>VLOOKUP(Tabla2[[#This Row],[NIT]],Clientes!A:C,2,0)</f>
        <v>BETA SERVICIOS TEMPORALES S A S</v>
      </c>
      <c r="I163" s="77" t="str">
        <f>VLOOKUP(Tabla2[[#This Row],[NIT]],Clientes!A:C,3,0)</f>
        <v>PJ</v>
      </c>
      <c r="J163" s="73" t="s">
        <v>794</v>
      </c>
      <c r="K163" s="267">
        <f>SUMIFS(Tabla4[Sub Total],Tabla4[Codigo],Tabla2[[#This Row],[Cod]])</f>
        <v>225000</v>
      </c>
      <c r="L163" s="262">
        <f>SUMPRODUCT((Tabla4[Codigo]=Tabla2[[#This Row],[Cod]])*1,Tabla4[IVA])</f>
        <v>42750</v>
      </c>
      <c r="M163" s="262">
        <f>SUMIFS(Tabla4[Total],Tabla4[Codigo],Tabla2[[#This Row],[Cod]])</f>
        <v>267750</v>
      </c>
      <c r="N163" s="278">
        <f>SUMPRODUCT((Tabla1[Codigo]=Tabla2[[#This Row],[Cod]])*1,Tabla1[Valor])</f>
        <v>0</v>
      </c>
      <c r="O163" s="265">
        <f>IF(AND(Tabla2[[#This Row],[Estado]]="ok",LEFT(Tabla2[[#This Row],['# Factura]],3)="TIS"),Tabla2[[#This Row],[TOTAL]]-Tabla2[[#This Row],[pagado]],0)</f>
        <v>0</v>
      </c>
      <c r="P163" s="262">
        <f>Tabla2[[#This Row],[TOTAL]]-Tabla2[[#This Row],[Valor pago]]</f>
        <v>267750</v>
      </c>
      <c r="Q163" s="265">
        <f>IF(Tabla2[[#This Row],[Saldo]]=0,0,IF(Tabla2[[#This Row],[Tipo cliente]]="PJ",Tabla2[[#This Row],[SUBTOTAL]]*11%,0))</f>
        <v>24750</v>
      </c>
      <c r="R163" s="276">
        <f>IF(Tabla2[[#This Row],[Saldo]]=0,0,IF(Tabla2[[#This Row],[Tipo cliente]]="PJ",Tabla2[[#This Row],[SUBTOTAL]]*0.966%,0))</f>
        <v>2173.5</v>
      </c>
      <c r="S163" s="276">
        <f>IF(Tabla2[[#This Row],[Retiene IVA]]="S",Tabla2[[#This Row],[IVA]]*0.15,0)</f>
        <v>0</v>
      </c>
      <c r="T163" s="265">
        <f>+Tabla2[[#This Row],[Saldo]]-Tabla2[[#This Row],[Rete fte]]-Tabla2[[#This Row],[rete ica]]-Tabla2[[#This Row],[Rete IVA]]</f>
        <v>240826.5</v>
      </c>
      <c r="U16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63" s="23">
        <f>IF(Tabla2[[#This Row],[Fecha F.E.]]="","",YEAR(Tabla2[[#This Row],[Fecha F.E.]]))</f>
        <v>2022</v>
      </c>
      <c r="X163" s="23">
        <f>IF(Tabla2[[#This Row],[Fecha]]="","",YEAR(Tabla2[[#This Row],[Fecha]]))</f>
        <v>2022</v>
      </c>
    </row>
    <row r="164" spans="1:24" x14ac:dyDescent="0.25">
      <c r="A164" s="3">
        <v>164</v>
      </c>
      <c r="B164" s="77" t="s">
        <v>1096</v>
      </c>
      <c r="C164" s="360">
        <v>44824</v>
      </c>
      <c r="D164" s="76" t="s">
        <v>1097</v>
      </c>
      <c r="E164" s="360">
        <v>44832</v>
      </c>
      <c r="F164" s="78" t="s">
        <v>231</v>
      </c>
      <c r="G164" s="85">
        <v>900423678</v>
      </c>
      <c r="H164" s="177" t="str">
        <f>VLOOKUP(Tabla2[[#This Row],[NIT]],Clientes!A:C,2,0)</f>
        <v>GRUPO S I E SAS</v>
      </c>
      <c r="I164" s="77" t="str">
        <f>VLOOKUP(Tabla2[[#This Row],[NIT]],Clientes!A:C,3,0)</f>
        <v>PJ</v>
      </c>
      <c r="J164" s="73" t="s">
        <v>794</v>
      </c>
      <c r="K164" s="267">
        <f>SUMIFS(Tabla4[Sub Total],Tabla4[Codigo],Tabla2[[#This Row],[Cod]])</f>
        <v>2450000</v>
      </c>
      <c r="L164" s="262">
        <f>SUMPRODUCT((Tabla4[Codigo]=Tabla2[[#This Row],[Cod]])*1,Tabla4[IVA])</f>
        <v>465500</v>
      </c>
      <c r="M164" s="262">
        <f>SUMIFS(Tabla4[Total],Tabla4[Codigo],Tabla2[[#This Row],[Cod]])</f>
        <v>2915500</v>
      </c>
      <c r="N164" s="278">
        <f>SUMPRODUCT((Tabla1[Codigo]=Tabla2[[#This Row],[Cod]])*1,Tabla1[Valor])</f>
        <v>2915500</v>
      </c>
      <c r="O164" s="265">
        <f>IF(AND(Tabla2[[#This Row],[Estado]]="ok",LEFT(Tabla2[[#This Row],['# Factura]],3)="TIS"),Tabla2[[#This Row],[TOTAL]]-Tabla2[[#This Row],[pagado]],0)</f>
        <v>0</v>
      </c>
      <c r="P164" s="262">
        <f>Tabla2[[#This Row],[TOTAL]]-Tabla2[[#This Row],[Valor pago]]</f>
        <v>0</v>
      </c>
      <c r="Q164" s="265">
        <f>IF(Tabla2[[#This Row],[Saldo]]=0,0,IF(Tabla2[[#This Row],[Tipo cliente]]="PJ",Tabla2[[#This Row],[SUBTOTAL]]*11%,0))</f>
        <v>0</v>
      </c>
      <c r="R164" s="276">
        <f>IF(Tabla2[[#This Row],[Saldo]]=0,0,IF(Tabla2[[#This Row],[Tipo cliente]]="PJ",Tabla2[[#This Row],[SUBTOTAL]]*0.966%,0))</f>
        <v>0</v>
      </c>
      <c r="S164" s="276">
        <f>IF(Tabla2[[#This Row],[Retiene IVA]]="S",Tabla2[[#This Row],[IVA]]*0.15,0)</f>
        <v>0</v>
      </c>
      <c r="T164" s="265">
        <f>+Tabla2[[#This Row],[Saldo]]-Tabla2[[#This Row],[Rete fte]]-Tabla2[[#This Row],[rete ica]]-Tabla2[[#This Row],[Rete IVA]]</f>
        <v>0</v>
      </c>
      <c r="U16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2915500</v>
      </c>
      <c r="W164" s="23">
        <f>IF(Tabla2[[#This Row],[Fecha F.E.]]="","",YEAR(Tabla2[[#This Row],[Fecha F.E.]]))</f>
        <v>2022</v>
      </c>
      <c r="X164" s="23">
        <f>IF(Tabla2[[#This Row],[Fecha]]="","",YEAR(Tabla2[[#This Row],[Fecha]]))</f>
        <v>2022</v>
      </c>
    </row>
    <row r="165" spans="1:24" ht="26.25" x14ac:dyDescent="0.25">
      <c r="A165" s="3">
        <v>165</v>
      </c>
      <c r="B165" s="77" t="s">
        <v>1098</v>
      </c>
      <c r="C165" s="360">
        <v>44826</v>
      </c>
      <c r="D165" s="76" t="s">
        <v>1099</v>
      </c>
      <c r="E165" s="360">
        <v>44856</v>
      </c>
      <c r="F165" s="78" t="s">
        <v>231</v>
      </c>
      <c r="G165" s="85">
        <v>900625659</v>
      </c>
      <c r="H165" s="177" t="str">
        <f>VLOOKUP(Tabla2[[#This Row],[NIT]],Clientes!A:C,2,0)</f>
        <v>INSTRUMENTACION Y SOLUCIONES PARA LABORATORIO S A S</v>
      </c>
      <c r="I165" s="77" t="str">
        <f>VLOOKUP(Tabla2[[#This Row],[NIT]],Clientes!A:C,3,0)</f>
        <v>PJ</v>
      </c>
      <c r="J165" s="73" t="s">
        <v>794</v>
      </c>
      <c r="K165" s="267">
        <f>SUMIFS(Tabla4[Sub Total],Tabla4[Codigo],Tabla2[[#This Row],[Cod]])</f>
        <v>594000</v>
      </c>
      <c r="L165" s="262">
        <f>SUMPRODUCT((Tabla4[Codigo]=Tabla2[[#This Row],[Cod]])*1,Tabla4[IVA])</f>
        <v>112860</v>
      </c>
      <c r="M165" s="262">
        <f>SUMIFS(Tabla4[Total],Tabla4[Codigo],Tabla2[[#This Row],[Cod]])</f>
        <v>706860</v>
      </c>
      <c r="N165" s="278">
        <f>SUMPRODUCT((Tabla1[Codigo]=Tabla2[[#This Row],[Cod]])*1,Tabla1[Valor])</f>
        <v>636376</v>
      </c>
      <c r="O165" s="265">
        <f>IF(AND(Tabla2[[#This Row],[Estado]]="ok",LEFT(Tabla2[[#This Row],['# Factura]],3)="TIS"),Tabla2[[#This Row],[TOTAL]]-Tabla2[[#This Row],[pagado]],0)</f>
        <v>0</v>
      </c>
      <c r="P165" s="262">
        <f>Tabla2[[#This Row],[TOTAL]]-Tabla2[[#This Row],[Valor pago]]</f>
        <v>70484</v>
      </c>
      <c r="Q165" s="265">
        <f>IF(Tabla2[[#This Row],[Saldo]]=0,0,IF(Tabla2[[#This Row],[Tipo cliente]]="PJ",Tabla2[[#This Row],[SUBTOTAL]]*11%,0))</f>
        <v>65340</v>
      </c>
      <c r="R165" s="276">
        <f>IF(Tabla2[[#This Row],[Saldo]]=0,0,IF(Tabla2[[#This Row],[Tipo cliente]]="PJ",Tabla2[[#This Row],[SUBTOTAL]]*0.966%,0))</f>
        <v>5738.04</v>
      </c>
      <c r="S165" s="276">
        <f>IF(Tabla2[[#This Row],[Retiene IVA]]="S",Tabla2[[#This Row],[IVA]]*0.15,0)</f>
        <v>0</v>
      </c>
      <c r="T165" s="265">
        <f>+Tabla2[[#This Row],[Saldo]]-Tabla2[[#This Row],[Rete fte]]-Tabla2[[#This Row],[rete ica]]-Tabla2[[#This Row],[Rete IVA]]</f>
        <v>-594.04</v>
      </c>
      <c r="U16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706860</v>
      </c>
      <c r="W165" s="23">
        <f>IF(Tabla2[[#This Row],[Fecha F.E.]]="","",YEAR(Tabla2[[#This Row],[Fecha F.E.]]))</f>
        <v>2022</v>
      </c>
      <c r="X165" s="23">
        <f>IF(Tabla2[[#This Row],[Fecha]]="","",YEAR(Tabla2[[#This Row],[Fecha]]))</f>
        <v>2022</v>
      </c>
    </row>
    <row r="166" spans="1:24" x14ac:dyDescent="0.25">
      <c r="A166" s="3">
        <v>166</v>
      </c>
      <c r="B166" s="77" t="s">
        <v>1100</v>
      </c>
      <c r="C166" s="360">
        <v>44826</v>
      </c>
      <c r="D166" s="76" t="s">
        <v>1101</v>
      </c>
      <c r="E166" s="360">
        <v>44804</v>
      </c>
      <c r="F166" s="78" t="s">
        <v>231</v>
      </c>
      <c r="G166" s="85">
        <v>830033212</v>
      </c>
      <c r="H166" s="177" t="str">
        <f>VLOOKUP(Tabla2[[#This Row],[NIT]],Clientes!A:C,2,0)</f>
        <v>HUTERCOL S.A.S.</v>
      </c>
      <c r="I166" s="77" t="str">
        <f>VLOOKUP(Tabla2[[#This Row],[NIT]],Clientes!A:C,3,0)</f>
        <v>PJ</v>
      </c>
      <c r="J166" s="73" t="s">
        <v>794</v>
      </c>
      <c r="K166" s="267">
        <f>SUMIFS(Tabla4[Sub Total],Tabla4[Codigo],Tabla2[[#This Row],[Cod]])</f>
        <v>1050000</v>
      </c>
      <c r="L166" s="262">
        <f>SUMPRODUCT((Tabla4[Codigo]=Tabla2[[#This Row],[Cod]])*1,Tabla4[IVA])</f>
        <v>199500</v>
      </c>
      <c r="M166" s="262">
        <f>SUMIFS(Tabla4[Total],Tabla4[Codigo],Tabla2[[#This Row],[Cod]])</f>
        <v>1249500</v>
      </c>
      <c r="N166" s="278">
        <f>SUMPRODUCT((Tabla1[Codigo]=Tabla2[[#This Row],[Cod]])*1,Tabla1[Valor])</f>
        <v>1126650</v>
      </c>
      <c r="O166" s="265">
        <f>IF(AND(Tabla2[[#This Row],[Estado]]="ok",LEFT(Tabla2[[#This Row],['# Factura]],3)="TIS"),Tabla2[[#This Row],[TOTAL]]-Tabla2[[#This Row],[pagado]],0)</f>
        <v>0</v>
      </c>
      <c r="P166" s="262">
        <f>Tabla2[[#This Row],[TOTAL]]-Tabla2[[#This Row],[Valor pago]]</f>
        <v>122850</v>
      </c>
      <c r="Q166" s="265">
        <f>IF(Tabla2[[#This Row],[Saldo]]=0,0,IF(Tabla2[[#This Row],[Tipo cliente]]="PJ",Tabla2[[#This Row],[SUBTOTAL]]*11%,0))</f>
        <v>115500</v>
      </c>
      <c r="R166" s="276">
        <f>IF(Tabla2[[#This Row],[Saldo]]=0,0,IF(Tabla2[[#This Row],[Tipo cliente]]="PJ",Tabla2[[#This Row],[SUBTOTAL]]*0.966%,0))</f>
        <v>10143</v>
      </c>
      <c r="S166" s="276">
        <f>IF(Tabla2[[#This Row],[Retiene IVA]]="S",Tabla2[[#This Row],[IVA]]*0.15,0)</f>
        <v>0</v>
      </c>
      <c r="T166" s="265">
        <f>+Tabla2[[#This Row],[Saldo]]-Tabla2[[#This Row],[Rete fte]]-Tabla2[[#This Row],[rete ica]]-Tabla2[[#This Row],[Rete IVA]]</f>
        <v>-2793</v>
      </c>
      <c r="U16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1249500</v>
      </c>
      <c r="W166" s="23">
        <f>IF(Tabla2[[#This Row],[Fecha F.E.]]="","",YEAR(Tabla2[[#This Row],[Fecha F.E.]]))</f>
        <v>2022</v>
      </c>
      <c r="X166" s="23">
        <f>IF(Tabla2[[#This Row],[Fecha]]="","",YEAR(Tabla2[[#This Row],[Fecha]]))</f>
        <v>2022</v>
      </c>
    </row>
    <row r="167" spans="1:24" x14ac:dyDescent="0.25">
      <c r="A167" s="3">
        <v>167</v>
      </c>
      <c r="B167" s="77" t="s">
        <v>1102</v>
      </c>
      <c r="C167" s="360">
        <v>44826</v>
      </c>
      <c r="D167" s="76" t="s">
        <v>1103</v>
      </c>
      <c r="E167" s="360">
        <v>44793</v>
      </c>
      <c r="F167" s="78" t="s">
        <v>231</v>
      </c>
      <c r="G167" s="85">
        <v>900277192</v>
      </c>
      <c r="H167" s="177" t="str">
        <f>VLOOKUP(Tabla2[[#This Row],[NIT]],Clientes!A:C,2,0)</f>
        <v>PACKVISION SAS</v>
      </c>
      <c r="I167" s="77" t="str">
        <f>VLOOKUP(Tabla2[[#This Row],[NIT]],Clientes!A:C,3,0)</f>
        <v>PJ</v>
      </c>
      <c r="J167" s="73" t="s">
        <v>794</v>
      </c>
      <c r="K167" s="267">
        <f>SUMIFS(Tabla4[Sub Total],Tabla4[Codigo],Tabla2[[#This Row],[Cod]])</f>
        <v>986000</v>
      </c>
      <c r="L167" s="262">
        <f>SUMPRODUCT((Tabla4[Codigo]=Tabla2[[#This Row],[Cod]])*1,Tabla4[IVA])</f>
        <v>187340</v>
      </c>
      <c r="M167" s="262">
        <f>SUMIFS(Tabla4[Total],Tabla4[Codigo],Tabla2[[#This Row],[Cod]])</f>
        <v>1173340</v>
      </c>
      <c r="N167" s="278">
        <f>SUMPRODUCT((Tabla1[Codigo]=Tabla2[[#This Row],[Cod]])*1,Tabla1[Valor])</f>
        <v>1064880</v>
      </c>
      <c r="O167" s="265">
        <f>IF(AND(Tabla2[[#This Row],[Estado]]="ok",LEFT(Tabla2[[#This Row],['# Factura]],3)="TIS"),Tabla2[[#This Row],[TOTAL]]-Tabla2[[#This Row],[pagado]],0)</f>
        <v>0</v>
      </c>
      <c r="P167" s="262">
        <f>Tabla2[[#This Row],[TOTAL]]-Tabla2[[#This Row],[Valor pago]]</f>
        <v>108460</v>
      </c>
      <c r="Q167" s="265">
        <f>IF(Tabla2[[#This Row],[Saldo]]=0,0,IF(Tabla2[[#This Row],[Tipo cliente]]="PJ",Tabla2[[#This Row],[SUBTOTAL]]*11%,0))</f>
        <v>108460</v>
      </c>
      <c r="R167" s="276">
        <f>IF(Tabla2[[#This Row],[Saldo]]=0,0,IF(Tabla2[[#This Row],[Tipo cliente]]="PJ",Tabla2[[#This Row],[SUBTOTAL]]*0.966%,0))</f>
        <v>9524.76</v>
      </c>
      <c r="S167" s="276">
        <f>IF(Tabla2[[#This Row],[Retiene IVA]]="S",Tabla2[[#This Row],[IVA]]*0.15,0)</f>
        <v>0</v>
      </c>
      <c r="T167" s="265">
        <f>+Tabla2[[#This Row],[Saldo]]-Tabla2[[#This Row],[Rete fte]]-Tabla2[[#This Row],[rete ica]]-Tabla2[[#This Row],[Rete IVA]]</f>
        <v>-9524.76</v>
      </c>
      <c r="U16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1173340</v>
      </c>
      <c r="W167" s="23">
        <f>IF(Tabla2[[#This Row],[Fecha F.E.]]="","",YEAR(Tabla2[[#This Row],[Fecha F.E.]]))</f>
        <v>2022</v>
      </c>
      <c r="X167" s="23">
        <f>IF(Tabla2[[#This Row],[Fecha]]="","",YEAR(Tabla2[[#This Row],[Fecha]]))</f>
        <v>2022</v>
      </c>
    </row>
    <row r="168" spans="1:24" ht="26.25" x14ac:dyDescent="0.25">
      <c r="A168" s="3">
        <v>168</v>
      </c>
      <c r="B168" s="77" t="s">
        <v>1104</v>
      </c>
      <c r="C168" s="360">
        <v>44826</v>
      </c>
      <c r="D168" s="76" t="s">
        <v>1105</v>
      </c>
      <c r="E168" s="360">
        <v>44793</v>
      </c>
      <c r="F168" s="78" t="s">
        <v>231</v>
      </c>
      <c r="G168" s="85">
        <v>900396116</v>
      </c>
      <c r="H168" s="177" t="str">
        <f>VLOOKUP(Tabla2[[#This Row],[NIT]],Clientes!A:C,2,0)</f>
        <v>PRODUCTORA INTERAMERICANA DE PLASTICOS S.A.S.</v>
      </c>
      <c r="I168" s="77" t="str">
        <f>VLOOKUP(Tabla2[[#This Row],[NIT]],Clientes!A:C,3,0)</f>
        <v>PJ</v>
      </c>
      <c r="J168" s="73" t="s">
        <v>794</v>
      </c>
      <c r="K168" s="267">
        <f>SUMIFS(Tabla4[Sub Total],Tabla4[Codigo],Tabla2[[#This Row],[Cod]])</f>
        <v>1430000</v>
      </c>
      <c r="L168" s="262">
        <f>SUMPRODUCT((Tabla4[Codigo]=Tabla2[[#This Row],[Cod]])*1,Tabla4[IVA])</f>
        <v>271700</v>
      </c>
      <c r="M168" s="262">
        <f>SUMIFS(Tabla4[Total],Tabla4[Codigo],Tabla2[[#This Row],[Cod]])</f>
        <v>1701700</v>
      </c>
      <c r="N168" s="278">
        <f>SUMPRODUCT((Tabla1[Codigo]=Tabla2[[#This Row],[Cod]])*1,Tabla1[Valor])</f>
        <v>1530586</v>
      </c>
      <c r="O168" s="265">
        <f>IF(AND(Tabla2[[#This Row],[Estado]]="ok",LEFT(Tabla2[[#This Row],['# Factura]],3)="TIS"),Tabla2[[#This Row],[TOTAL]]-Tabla2[[#This Row],[pagado]],0)</f>
        <v>0.19999999995343387</v>
      </c>
      <c r="P168" s="262">
        <f>Tabla2[[#This Row],[TOTAL]]-Tabla2[[#This Row],[Valor pago]]</f>
        <v>171114</v>
      </c>
      <c r="Q168" s="265">
        <f>IF(Tabla2[[#This Row],[Saldo]]=0,0,IF(Tabla2[[#This Row],[Tipo cliente]]="PJ",Tabla2[[#This Row],[SUBTOTAL]]*11%,0))</f>
        <v>157300</v>
      </c>
      <c r="R168" s="276">
        <f>IF(Tabla2[[#This Row],[Saldo]]=0,0,IF(Tabla2[[#This Row],[Tipo cliente]]="PJ",Tabla2[[#This Row],[SUBTOTAL]]*0.966%,0))</f>
        <v>13813.800000000001</v>
      </c>
      <c r="S168" s="276">
        <f>IF(Tabla2[[#This Row],[Retiene IVA]]="S",Tabla2[[#This Row],[IVA]]*0.15,0)</f>
        <v>0</v>
      </c>
      <c r="T168" s="265">
        <f>+Tabla2[[#This Row],[Saldo]]-Tabla2[[#This Row],[Rete fte]]-Tabla2[[#This Row],[rete ica]]-Tabla2[[#This Row],[Rete IVA]]</f>
        <v>0.19999999999890861</v>
      </c>
      <c r="U16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1701699.8</v>
      </c>
      <c r="W168" s="23">
        <f>IF(Tabla2[[#This Row],[Fecha F.E.]]="","",YEAR(Tabla2[[#This Row],[Fecha F.E.]]))</f>
        <v>2022</v>
      </c>
      <c r="X168" s="23">
        <f>IF(Tabla2[[#This Row],[Fecha]]="","",YEAR(Tabla2[[#This Row],[Fecha]]))</f>
        <v>2022</v>
      </c>
    </row>
    <row r="169" spans="1:24" x14ac:dyDescent="0.25">
      <c r="A169" s="3">
        <v>169</v>
      </c>
      <c r="B169" s="77" t="s">
        <v>1106</v>
      </c>
      <c r="C169" s="360">
        <v>44884</v>
      </c>
      <c r="D169" s="76" t="s">
        <v>1107</v>
      </c>
      <c r="E169" s="360">
        <v>44884</v>
      </c>
      <c r="F169" s="78" t="s">
        <v>231</v>
      </c>
      <c r="G169" s="85">
        <v>800028768</v>
      </c>
      <c r="H169" s="177" t="str">
        <f>VLOOKUP(Tabla2[[#This Row],[NIT]],Clientes!A:C,2,0)</f>
        <v>Comercializadora ERZ SAS</v>
      </c>
      <c r="I169" s="77" t="str">
        <f>VLOOKUP(Tabla2[[#This Row],[NIT]],Clientes!A:C,3,0)</f>
        <v>PJ</v>
      </c>
      <c r="J169" s="73" t="s">
        <v>794</v>
      </c>
      <c r="K169" s="267">
        <f>SUMIFS(Tabla4[Sub Total],Tabla4[Codigo],Tabla2[[#This Row],[Cod]])</f>
        <v>880000</v>
      </c>
      <c r="L169" s="262">
        <f>SUMPRODUCT((Tabla4[Codigo]=Tabla2[[#This Row],[Cod]])*1,Tabla4[IVA])</f>
        <v>167200</v>
      </c>
      <c r="M169" s="262">
        <f>SUMIFS(Tabla4[Total],Tabla4[Codigo],Tabla2[[#This Row],[Cod]])</f>
        <v>1047200</v>
      </c>
      <c r="N169" s="278">
        <f>SUMPRODUCT((Tabla1[Codigo]=Tabla2[[#This Row],[Cod]])*1,Tabla1[Valor])</f>
        <v>1005928</v>
      </c>
      <c r="O169" s="265">
        <f>IF(AND(Tabla2[[#This Row],[Estado]]="ok",LEFT(Tabla2[[#This Row],['# Factura]],3)="TIS"),Tabla2[[#This Row],[TOTAL]]-Tabla2[[#This Row],[pagado]],0)</f>
        <v>0</v>
      </c>
      <c r="P169" s="262">
        <f>Tabla2[[#This Row],[TOTAL]]-Tabla2[[#This Row],[Valor pago]]</f>
        <v>41272</v>
      </c>
      <c r="Q169" s="265">
        <f>IF(Tabla2[[#This Row],[Saldo]]=0,0,IF(Tabla2[[#This Row],[Tipo cliente]]="PJ",Tabla2[[#This Row],[SUBTOTAL]]*11%,0))</f>
        <v>96800</v>
      </c>
      <c r="R169" s="276">
        <f>IF(Tabla2[[#This Row],[Saldo]]=0,0,IF(Tabla2[[#This Row],[Tipo cliente]]="PJ",Tabla2[[#This Row],[SUBTOTAL]]*0.966%,0))</f>
        <v>8500.7999999999993</v>
      </c>
      <c r="S169" s="276">
        <f>IF(Tabla2[[#This Row],[Retiene IVA]]="S",Tabla2[[#This Row],[IVA]]*0.15,0)</f>
        <v>0</v>
      </c>
      <c r="T169" s="265">
        <f>+Tabla2[[#This Row],[Saldo]]-Tabla2[[#This Row],[Rete fte]]-Tabla2[[#This Row],[rete ica]]-Tabla2[[#This Row],[Rete IVA]]</f>
        <v>-64028.800000000003</v>
      </c>
      <c r="U16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1047200</v>
      </c>
      <c r="W169" s="23">
        <f>IF(Tabla2[[#This Row],[Fecha F.E.]]="","",YEAR(Tabla2[[#This Row],[Fecha F.E.]]))</f>
        <v>2022</v>
      </c>
      <c r="X169" s="23">
        <f>IF(Tabla2[[#This Row],[Fecha]]="","",YEAR(Tabla2[[#This Row],[Fecha]]))</f>
        <v>2022</v>
      </c>
    </row>
    <row r="170" spans="1:24" ht="26.25" x14ac:dyDescent="0.25">
      <c r="A170" s="3">
        <v>170</v>
      </c>
      <c r="B170" s="76" t="s">
        <v>1108</v>
      </c>
      <c r="C170" s="360">
        <v>44888</v>
      </c>
      <c r="D170" s="76"/>
      <c r="E170" s="360"/>
      <c r="F170" s="78" t="s">
        <v>716</v>
      </c>
      <c r="G170" s="85">
        <v>83005453</v>
      </c>
      <c r="H170" s="177" t="str">
        <f>VLOOKUP(Tabla2[[#This Row],[NIT]],Clientes!A:C,2,0)</f>
        <v>PATRIMONIOS AUTONOMOS FIDUCIARIA BANCOLOMBIA S A SOCIEDAD FIDUCIARIA</v>
      </c>
      <c r="I170" s="77" t="str">
        <f>VLOOKUP(Tabla2[[#This Row],[NIT]],Clientes!A:C,3,0)</f>
        <v>PJ</v>
      </c>
      <c r="J170" s="73" t="s">
        <v>794</v>
      </c>
      <c r="K170" s="267">
        <f>SUMIFS(Tabla4[Sub Total],Tabla4[Codigo],Tabla2[[#This Row],[Cod]])</f>
        <v>3930592</v>
      </c>
      <c r="L170" s="262">
        <f>SUMPRODUCT((Tabla4[Codigo]=Tabla2[[#This Row],[Cod]])*1,Tabla4[IVA])</f>
        <v>746812.48</v>
      </c>
      <c r="M170" s="262">
        <f>SUMIFS(Tabla4[Total],Tabla4[Codigo],Tabla2[[#This Row],[Cod]])</f>
        <v>4677404.4800000004</v>
      </c>
      <c r="N170" s="278">
        <f>SUMPRODUCT((Tabla1[Codigo]=Tabla2[[#This Row],[Cod]])*1,Tabla1[Valor])</f>
        <v>0</v>
      </c>
      <c r="O170" s="265">
        <f>IF(AND(Tabla2[[#This Row],[Estado]]="ok",LEFT(Tabla2[[#This Row],['# Factura]],3)="TIS"),Tabla2[[#This Row],[TOTAL]]-Tabla2[[#This Row],[pagado]],0)</f>
        <v>0</v>
      </c>
      <c r="P170" s="262">
        <f>Tabla2[[#This Row],[TOTAL]]-Tabla2[[#This Row],[Valor pago]]</f>
        <v>4677404.4800000004</v>
      </c>
      <c r="Q170" s="265">
        <f>IF(Tabla2[[#This Row],[Saldo]]=0,0,IF(Tabla2[[#This Row],[Tipo cliente]]="PJ",Tabla2[[#This Row],[SUBTOTAL]]*11%,0))</f>
        <v>432365.12</v>
      </c>
      <c r="R170" s="276">
        <f>IF(Tabla2[[#This Row],[Saldo]]=0,0,IF(Tabla2[[#This Row],[Tipo cliente]]="PJ",Tabla2[[#This Row],[SUBTOTAL]]*0.966%,0))</f>
        <v>37969.51872</v>
      </c>
      <c r="S170" s="276">
        <f>IF(Tabla2[[#This Row],[Retiene IVA]]="S",Tabla2[[#This Row],[IVA]]*0.15,0)</f>
        <v>0</v>
      </c>
      <c r="T170" s="265">
        <f>+Tabla2[[#This Row],[Saldo]]-Tabla2[[#This Row],[Rete fte]]-Tabla2[[#This Row],[rete ica]]-Tabla2[[#This Row],[Rete IVA]]</f>
        <v>4207069.8412800003</v>
      </c>
      <c r="U17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V170" s="23" t="s">
        <v>1109</v>
      </c>
      <c r="W170" s="23" t="str">
        <f>IF(Tabla2[[#This Row],[Fecha F.E.]]="","",YEAR(Tabla2[[#This Row],[Fecha F.E.]]))</f>
        <v/>
      </c>
      <c r="X170" s="23">
        <f>IF(Tabla2[[#This Row],[Fecha]]="","",YEAR(Tabla2[[#This Row],[Fecha]]))</f>
        <v>2022</v>
      </c>
    </row>
    <row r="171" spans="1:24" x14ac:dyDescent="0.25">
      <c r="A171" s="3">
        <v>171</v>
      </c>
      <c r="B171" s="77" t="s">
        <v>1110</v>
      </c>
      <c r="C171" s="360">
        <v>44792</v>
      </c>
      <c r="D171" s="224" t="s">
        <v>1111</v>
      </c>
      <c r="E171" s="360">
        <v>44792</v>
      </c>
      <c r="F171" s="78" t="s">
        <v>231</v>
      </c>
      <c r="G171" s="85">
        <v>860002964</v>
      </c>
      <c r="H171" s="177" t="str">
        <f>VLOOKUP(Tabla2[[#This Row],[NIT]],Clientes!A:C,2,0)</f>
        <v>Banco de Bogota S.A.</v>
      </c>
      <c r="I171" s="77" t="str">
        <f>VLOOKUP(Tabla2[[#This Row],[NIT]],Clientes!A:C,3,0)</f>
        <v>PJ</v>
      </c>
      <c r="J171" s="73" t="s">
        <v>794</v>
      </c>
      <c r="K171" s="267">
        <f>SUMIFS(Tabla4[Sub Total],Tabla4[Codigo],Tabla2[[#This Row],[Cod]])</f>
        <v>22800000</v>
      </c>
      <c r="L171" s="262">
        <f>SUMPRODUCT((Tabla4[Codigo]=Tabla2[[#This Row],[Cod]])*1,Tabla4[IVA])</f>
        <v>4332000</v>
      </c>
      <c r="M171" s="262">
        <f>SUMIFS(Tabla4[Total],Tabla4[Codigo],Tabla2[[#This Row],[Cod]])</f>
        <v>27132000</v>
      </c>
      <c r="N171" s="278">
        <f>SUMPRODUCT((Tabla1[Codigo]=Tabla2[[#This Row],[Cod]])*1,Tabla1[Valor])</f>
        <v>25372752</v>
      </c>
      <c r="O171" s="265">
        <f>IF(AND(Tabla2[[#This Row],[Estado]]="ok",LEFT(Tabla2[[#This Row],['# Factura]],3)="TIS"),Tabla2[[#This Row],[TOTAL]]-Tabla2[[#This Row],[pagado]],0)</f>
        <v>0</v>
      </c>
      <c r="P171" s="262">
        <f>Tabla2[[#This Row],[TOTAL]]-Tabla2[[#This Row],[Valor pago]]</f>
        <v>1759248</v>
      </c>
      <c r="Q171" s="265">
        <f>IF(Tabla2[[#This Row],[Saldo]]=0,0,IF(Tabla2[[#This Row],[Tipo cliente]]="PJ",Tabla2[[#This Row],[SUBTOTAL]]*11%,0))</f>
        <v>2508000</v>
      </c>
      <c r="R171" s="276">
        <f>IF(Tabla2[[#This Row],[Saldo]]=0,0,IF(Tabla2[[#This Row],[Tipo cliente]]="PJ",Tabla2[[#This Row],[SUBTOTAL]]*0.966%,0))</f>
        <v>220248</v>
      </c>
      <c r="S171" s="276">
        <f>IF(Tabla2[[#This Row],[Retiene IVA]]="S",Tabla2[[#This Row],[IVA]]*0.15,0)</f>
        <v>0</v>
      </c>
      <c r="T171" s="265">
        <f>+Tabla2[[#This Row],[Saldo]]-Tabla2[[#This Row],[Rete fte]]-Tabla2[[#This Row],[rete ica]]-Tabla2[[#This Row],[Rete IVA]]</f>
        <v>-969000</v>
      </c>
      <c r="U17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27132000</v>
      </c>
      <c r="W171" s="23">
        <f>IF(Tabla2[[#This Row],[Fecha F.E.]]="","",YEAR(Tabla2[[#This Row],[Fecha F.E.]]))</f>
        <v>2022</v>
      </c>
      <c r="X171" s="23">
        <f>IF(Tabla2[[#This Row],[Fecha]]="","",YEAR(Tabla2[[#This Row],[Fecha]]))</f>
        <v>2022</v>
      </c>
    </row>
    <row r="172" spans="1:24" x14ac:dyDescent="0.25">
      <c r="A172" s="3">
        <v>172</v>
      </c>
      <c r="B172" s="77" t="s">
        <v>1112</v>
      </c>
      <c r="C172" s="360">
        <v>44805</v>
      </c>
      <c r="D172" s="224" t="s">
        <v>1113</v>
      </c>
      <c r="E172" s="360">
        <v>44805</v>
      </c>
      <c r="F172" s="78" t="s">
        <v>231</v>
      </c>
      <c r="G172" s="85">
        <v>860002964</v>
      </c>
      <c r="H172" s="177" t="str">
        <f>VLOOKUP(Tabla2[[#This Row],[NIT]],Clientes!A:C,2,0)</f>
        <v>Banco de Bogota S.A.</v>
      </c>
      <c r="I172" s="77" t="str">
        <f>VLOOKUP(Tabla2[[#This Row],[NIT]],Clientes!A:C,3,0)</f>
        <v>PJ</v>
      </c>
      <c r="J172" s="73" t="s">
        <v>794</v>
      </c>
      <c r="K172" s="267">
        <f>SUMIFS(Tabla4[Sub Total],Tabla4[Codigo],Tabla2[[#This Row],[Cod]])</f>
        <v>22800000</v>
      </c>
      <c r="L172" s="262">
        <f>SUMPRODUCT((Tabla4[Codigo]=Tabla2[[#This Row],[Cod]])*1,Tabla4[IVA])</f>
        <v>4332000</v>
      </c>
      <c r="M172" s="262">
        <f>SUMIFS(Tabla4[Total],Tabla4[Codigo],Tabla2[[#This Row],[Cod]])</f>
        <v>27132000</v>
      </c>
      <c r="N172" s="278">
        <f>SUMPRODUCT((Tabla1[Codigo]=Tabla2[[#This Row],[Cod]])*1,Tabla1[Valor])</f>
        <v>25372752</v>
      </c>
      <c r="O172" s="265">
        <f>IF(AND(Tabla2[[#This Row],[Estado]]="ok",LEFT(Tabla2[[#This Row],['# Factura]],3)="TIS"),Tabla2[[#This Row],[TOTAL]]-Tabla2[[#This Row],[pagado]],0)</f>
        <v>0</v>
      </c>
      <c r="P172" s="262">
        <f>Tabla2[[#This Row],[TOTAL]]-Tabla2[[#This Row],[Valor pago]]</f>
        <v>1759248</v>
      </c>
      <c r="Q172" s="265">
        <f>IF(Tabla2[[#This Row],[Saldo]]=0,0,IF(Tabla2[[#This Row],[Tipo cliente]]="PJ",Tabla2[[#This Row],[SUBTOTAL]]*11%,0))</f>
        <v>2508000</v>
      </c>
      <c r="R172" s="276">
        <f>IF(Tabla2[[#This Row],[Saldo]]=0,0,IF(Tabla2[[#This Row],[Tipo cliente]]="PJ",Tabla2[[#This Row],[SUBTOTAL]]*0.966%,0))</f>
        <v>220248</v>
      </c>
      <c r="S172" s="276">
        <f>IF(Tabla2[[#This Row],[Retiene IVA]]="S",Tabla2[[#This Row],[IVA]]*0.15,0)</f>
        <v>0</v>
      </c>
      <c r="T172" s="265">
        <f>+Tabla2[[#This Row],[Saldo]]-Tabla2[[#This Row],[Rete fte]]-Tabla2[[#This Row],[rete ica]]-Tabla2[[#This Row],[Rete IVA]]</f>
        <v>-969000</v>
      </c>
      <c r="U17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27132000</v>
      </c>
      <c r="W172" s="23">
        <f>IF(Tabla2[[#This Row],[Fecha F.E.]]="","",YEAR(Tabla2[[#This Row],[Fecha F.E.]]))</f>
        <v>2022</v>
      </c>
      <c r="X172" s="23">
        <f>IF(Tabla2[[#This Row],[Fecha]]="","",YEAR(Tabla2[[#This Row],[Fecha]]))</f>
        <v>2022</v>
      </c>
    </row>
    <row r="173" spans="1:24" ht="26.25" x14ac:dyDescent="0.25">
      <c r="A173" s="3">
        <v>173</v>
      </c>
      <c r="B173" s="77" t="s">
        <v>1114</v>
      </c>
      <c r="C173" s="360">
        <v>44806</v>
      </c>
      <c r="D173" s="224" t="s">
        <v>1115</v>
      </c>
      <c r="E173" s="360">
        <v>44806</v>
      </c>
      <c r="F173" s="78" t="s">
        <v>231</v>
      </c>
      <c r="G173" s="85">
        <v>900641244</v>
      </c>
      <c r="H173" s="177" t="str">
        <f>VLOOKUP(Tabla2[[#This Row],[NIT]],Clientes!A:C,2,0)</f>
        <v>PASTRY CHEF PASTELERIA Y COCINA GOURMET SAS</v>
      </c>
      <c r="I173" s="77" t="str">
        <f>VLOOKUP(Tabla2[[#This Row],[NIT]],Clientes!A:C,3,0)</f>
        <v>PJ</v>
      </c>
      <c r="J173" s="73" t="s">
        <v>794</v>
      </c>
      <c r="K173" s="267">
        <f>SUMIFS(Tabla4[Sub Total],Tabla4[Codigo],Tabla2[[#This Row],[Cod]])</f>
        <v>1446666</v>
      </c>
      <c r="L173" s="262">
        <f>SUMPRODUCT((Tabla4[Codigo]=Tabla2[[#This Row],[Cod]])*1,Tabla4[IVA])</f>
        <v>274866.53999999998</v>
      </c>
      <c r="M173" s="262">
        <f>SUMIFS(Tabla4[Total],Tabla4[Codigo],Tabla2[[#This Row],[Cod]])</f>
        <v>1721532.54</v>
      </c>
      <c r="N173" s="278">
        <f>SUMPRODUCT((Tabla1[Codigo]=Tabla2[[#This Row],[Cod]])*1,Tabla1[Valor])</f>
        <v>1552420</v>
      </c>
      <c r="O173" s="265">
        <f>IF(AND(Tabla2[[#This Row],[Estado]]="ok",LEFT(Tabla2[[#This Row],['# Factura]],3)="TIS"),Tabla2[[#This Row],[TOTAL]]-Tabla2[[#This Row],[pagado]],0)</f>
        <v>0</v>
      </c>
      <c r="P173" s="262">
        <f>Tabla2[[#This Row],[TOTAL]]-Tabla2[[#This Row],[Valor pago]]</f>
        <v>169112.54000000004</v>
      </c>
      <c r="Q173" s="265">
        <f>IF(Tabla2[[#This Row],[Saldo]]=0,0,IF(Tabla2[[#This Row],[Tipo cliente]]="PJ",Tabla2[[#This Row],[SUBTOTAL]]*11%,0))</f>
        <v>159133.26</v>
      </c>
      <c r="R173" s="276">
        <f>IF(Tabla2[[#This Row],[Saldo]]=0,0,IF(Tabla2[[#This Row],[Tipo cliente]]="PJ",Tabla2[[#This Row],[SUBTOTAL]]*0.966%,0))</f>
        <v>13974.79356</v>
      </c>
      <c r="S173" s="276">
        <f>IF(Tabla2[[#This Row],[Retiene IVA]]="S",Tabla2[[#This Row],[IVA]]*0.15,0)</f>
        <v>0</v>
      </c>
      <c r="T173" s="265">
        <f>+Tabla2[[#This Row],[Saldo]]-Tabla2[[#This Row],[Rete fte]]-Tabla2[[#This Row],[rete ica]]-Tabla2[[#This Row],[Rete IVA]]</f>
        <v>-3995.5135599999721</v>
      </c>
      <c r="U17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1721532.54</v>
      </c>
      <c r="W173" s="23">
        <f>IF(Tabla2[[#This Row],[Fecha F.E.]]="","",YEAR(Tabla2[[#This Row],[Fecha F.E.]]))</f>
        <v>2022</v>
      </c>
      <c r="X173" s="23">
        <f>IF(Tabla2[[#This Row],[Fecha]]="","",YEAR(Tabla2[[#This Row],[Fecha]]))</f>
        <v>2022</v>
      </c>
    </row>
    <row r="174" spans="1:24" x14ac:dyDescent="0.25">
      <c r="A174" s="3">
        <v>174</v>
      </c>
      <c r="B174" s="77" t="s">
        <v>1116</v>
      </c>
      <c r="C174" s="360">
        <v>44806</v>
      </c>
      <c r="D174" s="224" t="s">
        <v>1117</v>
      </c>
      <c r="E174" s="360">
        <v>44806</v>
      </c>
      <c r="F174" s="78" t="s">
        <v>231</v>
      </c>
      <c r="G174" s="85">
        <v>800028768</v>
      </c>
      <c r="H174" s="177" t="str">
        <f>VLOOKUP(Tabla2[[#This Row],[NIT]],Clientes!A:C,2,0)</f>
        <v>Comercializadora ERZ SAS</v>
      </c>
      <c r="I174" s="77" t="str">
        <f>VLOOKUP(Tabla2[[#This Row],[NIT]],Clientes!A:C,3,0)</f>
        <v>PJ</v>
      </c>
      <c r="J174" s="73" t="s">
        <v>794</v>
      </c>
      <c r="K174" s="267">
        <f>SUMIFS(Tabla4[Sub Total],Tabla4[Codigo],Tabla2[[#This Row],[Cod]])</f>
        <v>440000</v>
      </c>
      <c r="L174" s="262">
        <f>SUMPRODUCT((Tabla4[Codigo]=Tabla2[[#This Row],[Cod]])*1,Tabla4[IVA])</f>
        <v>83600</v>
      </c>
      <c r="M174" s="262">
        <f>SUMIFS(Tabla4[Total],Tabla4[Codigo],Tabla2[[#This Row],[Cod]])</f>
        <v>523600</v>
      </c>
      <c r="N174" s="278">
        <f>SUMPRODUCT((Tabla1[Codigo]=Tabla2[[#This Row],[Cod]])*1,Tabla1[Valor])</f>
        <v>1045364</v>
      </c>
      <c r="O174" s="265">
        <f>IF(AND(Tabla2[[#This Row],[Estado]]="ok",LEFT(Tabla2[[#This Row],['# Factura]],3)="TIS"),Tabla2[[#This Row],[TOTAL]]-Tabla2[[#This Row],[pagado]],0)</f>
        <v>0</v>
      </c>
      <c r="P174" s="262">
        <f>Tabla2[[#This Row],[TOTAL]]-Tabla2[[#This Row],[Valor pago]]</f>
        <v>-521764</v>
      </c>
      <c r="Q174" s="265">
        <f>IF(Tabla2[[#This Row],[Saldo]]=0,0,IF(Tabla2[[#This Row],[Tipo cliente]]="PJ",Tabla2[[#This Row],[SUBTOTAL]]*11%,0))</f>
        <v>48400</v>
      </c>
      <c r="R174" s="276">
        <f>IF(Tabla2[[#This Row],[Saldo]]=0,0,IF(Tabla2[[#This Row],[Tipo cliente]]="PJ",Tabla2[[#This Row],[SUBTOTAL]]*0.966%,0))</f>
        <v>4250.3999999999996</v>
      </c>
      <c r="S174" s="276">
        <f>IF(Tabla2[[#This Row],[Retiene IVA]]="S",Tabla2[[#This Row],[IVA]]*0.15,0)</f>
        <v>0</v>
      </c>
      <c r="T174" s="265">
        <f>+Tabla2[[#This Row],[Saldo]]-Tabla2[[#This Row],[Rete fte]]-Tabla2[[#This Row],[rete ica]]-Tabla2[[#This Row],[Rete IVA]]</f>
        <v>-574414.4</v>
      </c>
      <c r="U17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523600</v>
      </c>
      <c r="W174" s="23">
        <f>IF(Tabla2[[#This Row],[Fecha F.E.]]="","",YEAR(Tabla2[[#This Row],[Fecha F.E.]]))</f>
        <v>2022</v>
      </c>
      <c r="X174" s="23">
        <f>IF(Tabla2[[#This Row],[Fecha]]="","",YEAR(Tabla2[[#This Row],[Fecha]]))</f>
        <v>2022</v>
      </c>
    </row>
    <row r="175" spans="1:24" ht="26.25" x14ac:dyDescent="0.25">
      <c r="A175" s="3">
        <v>175</v>
      </c>
      <c r="B175" s="76" t="s">
        <v>1118</v>
      </c>
      <c r="C175" s="360">
        <v>44811</v>
      </c>
      <c r="D175" s="224" t="s">
        <v>1119</v>
      </c>
      <c r="E175" s="360">
        <v>44811</v>
      </c>
      <c r="F175" s="78" t="s">
        <v>231</v>
      </c>
      <c r="G175" s="85">
        <v>900499402</v>
      </c>
      <c r="H175" s="177" t="str">
        <f>VLOOKUP(Tabla2[[#This Row],[NIT]],Clientes!A:C,2,0)</f>
        <v>CONSTRUCCIONES Y AMBIENTE - CONAMBIENTE - S.A.S</v>
      </c>
      <c r="I175" s="77" t="str">
        <f>VLOOKUP(Tabla2[[#This Row],[NIT]],Clientes!A:C,3,0)</f>
        <v>PJ</v>
      </c>
      <c r="J175" s="73" t="s">
        <v>794</v>
      </c>
      <c r="K175" s="267">
        <f>SUMIFS(Tabla4[Sub Total],Tabla4[Codigo],Tabla2[[#This Row],[Cod]])</f>
        <v>350000</v>
      </c>
      <c r="L175" s="262">
        <f>SUMPRODUCT((Tabla4[Codigo]=Tabla2[[#This Row],[Cod]])*1,Tabla4[IVA])</f>
        <v>66500</v>
      </c>
      <c r="M175" s="262">
        <f>SUMIFS(Tabla4[Total],Tabla4[Codigo],Tabla2[[#This Row],[Cod]])</f>
        <v>416500</v>
      </c>
      <c r="N175" s="278">
        <f>SUMPRODUCT((Tabla1[Codigo]=Tabla2[[#This Row],[Cod]])*1,Tabla1[Valor])</f>
        <v>374619</v>
      </c>
      <c r="O175" s="265">
        <f>IF(AND(Tabla2[[#This Row],[Estado]]="ok",LEFT(Tabla2[[#This Row],['# Factura]],3)="TIS"),Tabla2[[#This Row],[TOTAL]]-Tabla2[[#This Row],[pagado]],0)</f>
        <v>0</v>
      </c>
      <c r="P175" s="262">
        <f>Tabla2[[#This Row],[TOTAL]]-Tabla2[[#This Row],[Valor pago]]</f>
        <v>41881</v>
      </c>
      <c r="Q175" s="265">
        <f>IF(Tabla2[[#This Row],[Saldo]]=0,0,IF(Tabla2[[#This Row],[Tipo cliente]]="PJ",Tabla2[[#This Row],[SUBTOTAL]]*11%,0))</f>
        <v>38500</v>
      </c>
      <c r="R175" s="276">
        <f>IF(Tabla2[[#This Row],[Saldo]]=0,0,IF(Tabla2[[#This Row],[Tipo cliente]]="PJ",Tabla2[[#This Row],[SUBTOTAL]]*0.966%,0))</f>
        <v>3381</v>
      </c>
      <c r="S175" s="276">
        <f>IF(Tabla2[[#This Row],[Retiene IVA]]="S",Tabla2[[#This Row],[IVA]]*0.15,0)</f>
        <v>0</v>
      </c>
      <c r="T175" s="265">
        <f>+Tabla2[[#This Row],[Saldo]]-Tabla2[[#This Row],[Rete fte]]-Tabla2[[#This Row],[rete ica]]-Tabla2[[#This Row],[Rete IVA]]</f>
        <v>0</v>
      </c>
      <c r="U17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416500</v>
      </c>
      <c r="W175" s="23">
        <f>IF(Tabla2[[#This Row],[Fecha F.E.]]="","",YEAR(Tabla2[[#This Row],[Fecha F.E.]]))</f>
        <v>2022</v>
      </c>
      <c r="X175" s="23">
        <f>IF(Tabla2[[#This Row],[Fecha]]="","",YEAR(Tabla2[[#This Row],[Fecha]]))</f>
        <v>2022</v>
      </c>
    </row>
    <row r="176" spans="1:24" x14ac:dyDescent="0.25">
      <c r="A176" s="3">
        <v>176</v>
      </c>
      <c r="B176" s="77" t="s">
        <v>1120</v>
      </c>
      <c r="C176" s="360">
        <v>44811</v>
      </c>
      <c r="D176" s="224" t="s">
        <v>1121</v>
      </c>
      <c r="E176" s="360">
        <v>44811</v>
      </c>
      <c r="F176" s="78" t="s">
        <v>231</v>
      </c>
      <c r="G176" s="85">
        <v>800196952</v>
      </c>
      <c r="H176" s="177" t="str">
        <f>VLOOKUP(Tabla2[[#This Row],[NIT]],Clientes!A:C,2,0)</f>
        <v>COEL INGENIERIA LTDA</v>
      </c>
      <c r="I176" s="77" t="str">
        <f>VLOOKUP(Tabla2[[#This Row],[NIT]],Clientes!A:C,3,0)</f>
        <v>PJ</v>
      </c>
      <c r="J176" s="73" t="s">
        <v>794</v>
      </c>
      <c r="K176" s="267">
        <f>SUMIFS(Tabla4[Sub Total],Tabla4[Codigo],Tabla2[[#This Row],[Cod]])</f>
        <v>1134000</v>
      </c>
      <c r="L176" s="262">
        <f>SUMPRODUCT((Tabla4[Codigo]=Tabla2[[#This Row],[Cod]])*1,Tabla4[IVA])</f>
        <v>215460</v>
      </c>
      <c r="M176" s="262">
        <f>SUMIFS(Tabla4[Total],Tabla4[Codigo],Tabla2[[#This Row],[Cod]])</f>
        <v>1349460</v>
      </c>
      <c r="N176" s="278">
        <f>SUMPRODUCT((Tabla1[Codigo]=Tabla2[[#This Row],[Cod]])*1,Tabla1[Valor])</f>
        <v>1170489</v>
      </c>
      <c r="O176" s="265">
        <f>IF(AND(Tabla2[[#This Row],[Estado]]="ok",LEFT(Tabla2[[#This Row],['# Factura]],3)="TIS"),Tabla2[[#This Row],[TOTAL]]-Tabla2[[#This Row],[pagado]],0)</f>
        <v>43276.560000000056</v>
      </c>
      <c r="P176" s="262">
        <f>Tabla2[[#This Row],[TOTAL]]-Tabla2[[#This Row],[Valor pago]]</f>
        <v>178971</v>
      </c>
      <c r="Q176" s="265">
        <f>IF(Tabla2[[#This Row],[Saldo]]=0,0,IF(Tabla2[[#This Row],[Tipo cliente]]="PJ",Tabla2[[#This Row],[SUBTOTAL]]*11%,0))</f>
        <v>124740</v>
      </c>
      <c r="R176" s="276">
        <f>IF(Tabla2[[#This Row],[Saldo]]=0,0,IF(Tabla2[[#This Row],[Tipo cliente]]="PJ",Tabla2[[#This Row],[SUBTOTAL]]*0.966%,0))</f>
        <v>10954.44</v>
      </c>
      <c r="S176" s="276">
        <f>IF(Tabla2[[#This Row],[Retiene IVA]]="S",Tabla2[[#This Row],[IVA]]*0.15,0)</f>
        <v>0</v>
      </c>
      <c r="T176" s="265">
        <f>+Tabla2[[#This Row],[Saldo]]-Tabla2[[#This Row],[Rete fte]]-Tabla2[[#This Row],[rete ica]]-Tabla2[[#This Row],[Rete IVA]]</f>
        <v>43276.56</v>
      </c>
      <c r="U17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1306183.44</v>
      </c>
      <c r="W176" s="23">
        <f>IF(Tabla2[[#This Row],[Fecha F.E.]]="","",YEAR(Tabla2[[#This Row],[Fecha F.E.]]))</f>
        <v>2022</v>
      </c>
      <c r="X176" s="23">
        <f>IF(Tabla2[[#This Row],[Fecha]]="","",YEAR(Tabla2[[#This Row],[Fecha]]))</f>
        <v>2022</v>
      </c>
    </row>
    <row r="177" spans="1:24" x14ac:dyDescent="0.25">
      <c r="A177" s="3">
        <v>177</v>
      </c>
      <c r="B177" s="77" t="s">
        <v>1122</v>
      </c>
      <c r="C177" s="360">
        <v>44811</v>
      </c>
      <c r="D177" s="224" t="s">
        <v>1123</v>
      </c>
      <c r="E177" s="360">
        <v>44811</v>
      </c>
      <c r="F177" s="78" t="s">
        <v>231</v>
      </c>
      <c r="G177" s="85">
        <v>900444852</v>
      </c>
      <c r="H177" s="177" t="str">
        <f>VLOOKUP(Tabla2[[#This Row],[NIT]],Clientes!A:C,2,0)</f>
        <v>TRANSPORTES ESPECIALES ALIADOS S.A.S</v>
      </c>
      <c r="I177" s="77" t="str">
        <f>VLOOKUP(Tabla2[[#This Row],[NIT]],Clientes!A:C,3,0)</f>
        <v>PJ</v>
      </c>
      <c r="J177" s="73" t="s">
        <v>794</v>
      </c>
      <c r="K177" s="267">
        <f>SUMIFS(Tabla4[Sub Total],Tabla4[Codigo],Tabla2[[#This Row],[Cod]])</f>
        <v>4693000</v>
      </c>
      <c r="L177" s="262">
        <f>SUMPRODUCT((Tabla4[Codigo]=Tabla2[[#This Row],[Cod]])*1,Tabla4[IVA])</f>
        <v>891670</v>
      </c>
      <c r="M177" s="262">
        <f>SUMIFS(Tabla4[Total],Tabla4[Codigo],Tabla2[[#This Row],[Cod]])</f>
        <v>5584670</v>
      </c>
      <c r="N177" s="278">
        <f>SUMPRODUCT((Tabla1[Codigo]=Tabla2[[#This Row],[Cod]])*1,Tabla1[Valor])</f>
        <v>5351616</v>
      </c>
      <c r="O177" s="265">
        <f>IF(AND(Tabla2[[#This Row],[Estado]]="ok",LEFT(Tabla2[[#This Row],['# Factura]],3)="TIS"),Tabla2[[#This Row],[TOTAL]]-Tabla2[[#This Row],[pagado]],0)</f>
        <v>0</v>
      </c>
      <c r="P177" s="262">
        <f>Tabla2[[#This Row],[TOTAL]]-Tabla2[[#This Row],[Valor pago]]</f>
        <v>233054</v>
      </c>
      <c r="Q177" s="265">
        <f>IF(Tabla2[[#This Row],[Saldo]]=0,0,IF(Tabla2[[#This Row],[Tipo cliente]]="PJ",Tabla2[[#This Row],[SUBTOTAL]]*11%,0))</f>
        <v>516230</v>
      </c>
      <c r="R177" s="276">
        <f>IF(Tabla2[[#This Row],[Saldo]]=0,0,IF(Tabla2[[#This Row],[Tipo cliente]]="PJ",Tabla2[[#This Row],[SUBTOTAL]]*0.966%,0))</f>
        <v>45334.38</v>
      </c>
      <c r="S177" s="276">
        <f>IF(Tabla2[[#This Row],[Retiene IVA]]="S",Tabla2[[#This Row],[IVA]]*0.15,0)</f>
        <v>0</v>
      </c>
      <c r="T177" s="265">
        <f>+Tabla2[[#This Row],[Saldo]]-Tabla2[[#This Row],[Rete fte]]-Tabla2[[#This Row],[rete ica]]-Tabla2[[#This Row],[Rete IVA]]</f>
        <v>-328510.38</v>
      </c>
      <c r="U17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5584670</v>
      </c>
      <c r="W177" s="23">
        <f>IF(Tabla2[[#This Row],[Fecha F.E.]]="","",YEAR(Tabla2[[#This Row],[Fecha F.E.]]))</f>
        <v>2022</v>
      </c>
      <c r="X177" s="23">
        <f>IF(Tabla2[[#This Row],[Fecha]]="","",YEAR(Tabla2[[#This Row],[Fecha]]))</f>
        <v>2022</v>
      </c>
    </row>
    <row r="178" spans="1:24" x14ac:dyDescent="0.25">
      <c r="A178" s="3">
        <v>178</v>
      </c>
      <c r="B178" s="77" t="s">
        <v>1124</v>
      </c>
      <c r="C178" s="360">
        <v>44811</v>
      </c>
      <c r="D178" s="224" t="s">
        <v>1125</v>
      </c>
      <c r="E178" s="360">
        <v>44811</v>
      </c>
      <c r="F178" s="78" t="s">
        <v>231</v>
      </c>
      <c r="G178" s="85">
        <v>830021100</v>
      </c>
      <c r="H178" s="177" t="str">
        <f>VLOOKUP(Tabla2[[#This Row],[NIT]],Clientes!A:C,2,0)</f>
        <v>Terminales Automotrices SA</v>
      </c>
      <c r="I178" s="77" t="str">
        <f>VLOOKUP(Tabla2[[#This Row],[NIT]],Clientes!A:C,3,0)</f>
        <v>PJ</v>
      </c>
      <c r="J178" s="73" t="s">
        <v>794</v>
      </c>
      <c r="K178" s="267">
        <f>SUMIFS(Tabla4[Sub Total],Tabla4[Codigo],Tabla2[[#This Row],[Cod]])</f>
        <v>3000000</v>
      </c>
      <c r="L178" s="262">
        <f>SUMPRODUCT((Tabla4[Codigo]=Tabla2[[#This Row],[Cod]])*1,Tabla4[IVA])</f>
        <v>570000</v>
      </c>
      <c r="M178" s="262">
        <f>SUMIFS(Tabla4[Total],Tabla4[Codigo],Tabla2[[#This Row],[Cod]])</f>
        <v>3570000</v>
      </c>
      <c r="N178" s="278">
        <f>SUMPRODUCT((Tabla1[Codigo]=Tabla2[[#This Row],[Cod]])*1,Tabla1[Valor])</f>
        <v>3450000</v>
      </c>
      <c r="O178" s="265">
        <f>IF(AND(Tabla2[[#This Row],[Estado]]="ok",LEFT(Tabla2[[#This Row],['# Factura]],3)="TIS"),Tabla2[[#This Row],[TOTAL]]-Tabla2[[#This Row],[pagado]],0)</f>
        <v>0</v>
      </c>
      <c r="P178" s="262">
        <f>Tabla2[[#This Row],[TOTAL]]-Tabla2[[#This Row],[Valor pago]]</f>
        <v>120000</v>
      </c>
      <c r="Q178" s="265">
        <f>IF(Tabla2[[#This Row],[Saldo]]=0,0,IF(Tabla2[[#This Row],[Tipo cliente]]="PJ",Tabla2[[#This Row],[SUBTOTAL]]*11%,0))</f>
        <v>330000</v>
      </c>
      <c r="R178" s="276">
        <f>IF(Tabla2[[#This Row],[Saldo]]=0,0,IF(Tabla2[[#This Row],[Tipo cliente]]="PJ",Tabla2[[#This Row],[SUBTOTAL]]*0.966%,0))</f>
        <v>28980</v>
      </c>
      <c r="S178" s="276">
        <f>IF(Tabla2[[#This Row],[Retiene IVA]]="S",Tabla2[[#This Row],[IVA]]*0.15,0)</f>
        <v>0</v>
      </c>
      <c r="T178" s="265">
        <f>+Tabla2[[#This Row],[Saldo]]-Tabla2[[#This Row],[Rete fte]]-Tabla2[[#This Row],[rete ica]]-Tabla2[[#This Row],[Rete IVA]]</f>
        <v>-238980</v>
      </c>
      <c r="U17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3570000</v>
      </c>
      <c r="W178" s="23">
        <f>IF(Tabla2[[#This Row],[Fecha F.E.]]="","",YEAR(Tabla2[[#This Row],[Fecha F.E.]]))</f>
        <v>2022</v>
      </c>
      <c r="X178" s="23">
        <f>IF(Tabla2[[#This Row],[Fecha]]="","",YEAR(Tabla2[[#This Row],[Fecha]]))</f>
        <v>2022</v>
      </c>
    </row>
    <row r="179" spans="1:24" x14ac:dyDescent="0.25">
      <c r="A179" s="3">
        <v>179</v>
      </c>
      <c r="B179" s="76" t="s">
        <v>1126</v>
      </c>
      <c r="C179" s="360">
        <v>44811</v>
      </c>
      <c r="D179" s="224" t="s">
        <v>1127</v>
      </c>
      <c r="E179" s="360">
        <v>44811</v>
      </c>
      <c r="F179" s="78" t="s">
        <v>231</v>
      </c>
      <c r="G179" s="85">
        <v>1121831186</v>
      </c>
      <c r="H179" s="177" t="str">
        <f>VLOOKUP(Tabla2[[#This Row],[NIT]],Clientes!A:C,2,0)</f>
        <v>NATALIA GUARNIZO VARON</v>
      </c>
      <c r="I179" s="77" t="str">
        <f>VLOOKUP(Tabla2[[#This Row],[NIT]],Clientes!A:C,3,0)</f>
        <v>PN</v>
      </c>
      <c r="J179" s="73" t="s">
        <v>794</v>
      </c>
      <c r="K179" s="267">
        <f>SUMIFS(Tabla4[Sub Total],Tabla4[Codigo],Tabla2[[#This Row],[Cod]])</f>
        <v>200000</v>
      </c>
      <c r="L179" s="262">
        <f>SUMPRODUCT((Tabla4[Codigo]=Tabla2[[#This Row],[Cod]])*1,Tabla4[IVA])</f>
        <v>0</v>
      </c>
      <c r="M179" s="262">
        <f>SUMIFS(Tabla4[Total],Tabla4[Codigo],Tabla2[[#This Row],[Cod]])</f>
        <v>200000</v>
      </c>
      <c r="N179" s="278">
        <f>SUMPRODUCT((Tabla1[Codigo]=Tabla2[[#This Row],[Cod]])*1,Tabla1[Valor])</f>
        <v>200000</v>
      </c>
      <c r="O179" s="265">
        <f>IF(AND(Tabla2[[#This Row],[Estado]]="ok",LEFT(Tabla2[[#This Row],['# Factura]],3)="TIS"),Tabla2[[#This Row],[TOTAL]]-Tabla2[[#This Row],[pagado]],0)</f>
        <v>0</v>
      </c>
      <c r="P179" s="262">
        <f>Tabla2[[#This Row],[TOTAL]]-Tabla2[[#This Row],[Valor pago]]</f>
        <v>0</v>
      </c>
      <c r="Q179" s="265">
        <f>IF(Tabla2[[#This Row],[Saldo]]=0,0,IF(Tabla2[[#This Row],[Tipo cliente]]="PJ",Tabla2[[#This Row],[SUBTOTAL]]*11%,0))</f>
        <v>0</v>
      </c>
      <c r="R179" s="276">
        <f>IF(Tabla2[[#This Row],[Saldo]]=0,0,IF(Tabla2[[#This Row],[Tipo cliente]]="PJ",Tabla2[[#This Row],[SUBTOTAL]]*0.966%,0))</f>
        <v>0</v>
      </c>
      <c r="S179" s="276">
        <f>IF(Tabla2[[#This Row],[Retiene IVA]]="S",Tabla2[[#This Row],[IVA]]*0.15,0)</f>
        <v>0</v>
      </c>
      <c r="T179" s="265">
        <f>+Tabla2[[#This Row],[Saldo]]-Tabla2[[#This Row],[Rete fte]]-Tabla2[[#This Row],[rete ica]]-Tabla2[[#This Row],[Rete IVA]]</f>
        <v>0</v>
      </c>
      <c r="U17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200000</v>
      </c>
      <c r="W179" s="23">
        <f>IF(Tabla2[[#This Row],[Fecha F.E.]]="","",YEAR(Tabla2[[#This Row],[Fecha F.E.]]))</f>
        <v>2022</v>
      </c>
      <c r="X179" s="23">
        <f>IF(Tabla2[[#This Row],[Fecha]]="","",YEAR(Tabla2[[#This Row],[Fecha]]))</f>
        <v>2022</v>
      </c>
    </row>
    <row r="180" spans="1:24" x14ac:dyDescent="0.25">
      <c r="A180" s="3">
        <v>180</v>
      </c>
      <c r="B180" s="76" t="s">
        <v>1128</v>
      </c>
      <c r="C180" s="360">
        <v>44821</v>
      </c>
      <c r="D180" s="224" t="s">
        <v>1129</v>
      </c>
      <c r="E180" s="360">
        <v>44821</v>
      </c>
      <c r="F180" s="78" t="s">
        <v>231</v>
      </c>
      <c r="G180" s="85">
        <v>900454322</v>
      </c>
      <c r="H180" s="177" t="str">
        <f>VLOOKUP(Tabla2[[#This Row],[NIT]],Clientes!A:C,2,0)</f>
        <v>MEMCO SAS</v>
      </c>
      <c r="I180" s="77" t="str">
        <f>VLOOKUP(Tabla2[[#This Row],[NIT]],Clientes!A:C,3,0)</f>
        <v>PJ</v>
      </c>
      <c r="J180" s="73" t="s">
        <v>794</v>
      </c>
      <c r="K180" s="267">
        <f>SUMIFS(Tabla4[Sub Total],Tabla4[Codigo],Tabla2[[#This Row],[Cod]])</f>
        <v>1050000</v>
      </c>
      <c r="L180" s="262">
        <f>SUMPRODUCT((Tabla4[Codigo]=Tabla2[[#This Row],[Cod]])*1,Tabla4[IVA])</f>
        <v>199500</v>
      </c>
      <c r="M180" s="262">
        <f>SUMIFS(Tabla4[Total],Tabla4[Codigo],Tabla2[[#This Row],[Cod]])</f>
        <v>1249500</v>
      </c>
      <c r="N180" s="278">
        <f>SUMPRODUCT((Tabla1[Codigo]=Tabla2[[#This Row],[Cod]])*1,Tabla1[Valor])</f>
        <v>1197357</v>
      </c>
      <c r="O180" s="265">
        <f>IF(AND(Tabla2[[#This Row],[Estado]]="ok",LEFT(Tabla2[[#This Row],['# Factura]],3)="TIS"),Tabla2[[#This Row],[TOTAL]]-Tabla2[[#This Row],[pagado]],0)</f>
        <v>0</v>
      </c>
      <c r="P180" s="262">
        <f>Tabla2[[#This Row],[TOTAL]]-Tabla2[[#This Row],[Valor pago]]</f>
        <v>52143</v>
      </c>
      <c r="Q180" s="265">
        <f>IF(Tabla2[[#This Row],[Saldo]]=0,0,IF(Tabla2[[#This Row],[Tipo cliente]]="PJ",Tabla2[[#This Row],[SUBTOTAL]]*11%,0))</f>
        <v>115500</v>
      </c>
      <c r="R180" s="276">
        <f>IF(Tabla2[[#This Row],[Saldo]]=0,0,IF(Tabla2[[#This Row],[Tipo cliente]]="PJ",Tabla2[[#This Row],[SUBTOTAL]]*0.966%,0))</f>
        <v>10143</v>
      </c>
      <c r="S180" s="276">
        <f>IF(Tabla2[[#This Row],[Retiene IVA]]="S",Tabla2[[#This Row],[IVA]]*0.15,0)</f>
        <v>0</v>
      </c>
      <c r="T180" s="265">
        <f>+Tabla2[[#This Row],[Saldo]]-Tabla2[[#This Row],[Rete fte]]-Tabla2[[#This Row],[rete ica]]-Tabla2[[#This Row],[Rete IVA]]</f>
        <v>-73500</v>
      </c>
      <c r="U18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1249500</v>
      </c>
      <c r="W180" s="23">
        <f>IF(Tabla2[[#This Row],[Fecha F.E.]]="","",YEAR(Tabla2[[#This Row],[Fecha F.E.]]))</f>
        <v>2022</v>
      </c>
      <c r="X180" s="23">
        <f>IF(Tabla2[[#This Row],[Fecha]]="","",YEAR(Tabla2[[#This Row],[Fecha]]))</f>
        <v>2022</v>
      </c>
    </row>
    <row r="181" spans="1:24" x14ac:dyDescent="0.25">
      <c r="A181" s="3">
        <v>181</v>
      </c>
      <c r="B181" s="76" t="s">
        <v>1130</v>
      </c>
      <c r="C181" s="360">
        <v>44835</v>
      </c>
      <c r="D181" s="224" t="s">
        <v>1131</v>
      </c>
      <c r="E181" s="360">
        <v>44835</v>
      </c>
      <c r="F181" s="78" t="s">
        <v>231</v>
      </c>
      <c r="G181" s="85">
        <v>860002964</v>
      </c>
      <c r="H181" s="177" t="str">
        <f>VLOOKUP(Tabla2[[#This Row],[NIT]],Clientes!A:C,2,0)</f>
        <v>Banco de Bogota S.A.</v>
      </c>
      <c r="I181" s="77" t="str">
        <f>VLOOKUP(Tabla2[[#This Row],[NIT]],Clientes!A:C,3,0)</f>
        <v>PJ</v>
      </c>
      <c r="J181" s="73" t="s">
        <v>794</v>
      </c>
      <c r="K181" s="267">
        <f>SUMIFS(Tabla4[Sub Total],Tabla4[Codigo],Tabla2[[#This Row],[Cod]])</f>
        <v>22800000</v>
      </c>
      <c r="L181" s="262">
        <f>SUMPRODUCT((Tabla4[Codigo]=Tabla2[[#This Row],[Cod]])*1,Tabla4[IVA])</f>
        <v>4332000</v>
      </c>
      <c r="M181" s="262">
        <f>SUMIFS(Tabla4[Total],Tabla4[Codigo],Tabla2[[#This Row],[Cod]])</f>
        <v>27132000</v>
      </c>
      <c r="N181" s="278">
        <f>SUMPRODUCT((Tabla1[Codigo]=Tabla2[[#This Row],[Cod]])*1,Tabla1[Valor])</f>
        <v>25372752</v>
      </c>
      <c r="O181" s="265">
        <f>IF(AND(Tabla2[[#This Row],[Estado]]="ok",LEFT(Tabla2[[#This Row],['# Factura]],3)="TIS"),Tabla2[[#This Row],[TOTAL]]-Tabla2[[#This Row],[pagado]],0)</f>
        <v>0</v>
      </c>
      <c r="P181" s="262">
        <f>Tabla2[[#This Row],[TOTAL]]-Tabla2[[#This Row],[Valor pago]]</f>
        <v>1759248</v>
      </c>
      <c r="Q181" s="265">
        <f>IF(Tabla2[[#This Row],[Saldo]]=0,0,IF(Tabla2[[#This Row],[Tipo cliente]]="PJ",Tabla2[[#This Row],[SUBTOTAL]]*11%,0))</f>
        <v>2508000</v>
      </c>
      <c r="R181" s="276">
        <f>IF(Tabla2[[#This Row],[Saldo]]=0,0,IF(Tabla2[[#This Row],[Tipo cliente]]="PJ",Tabla2[[#This Row],[SUBTOTAL]]*0.966%,0))</f>
        <v>220248</v>
      </c>
      <c r="S181" s="276">
        <f>IF(Tabla2[[#This Row],[Retiene IVA]]="S",Tabla2[[#This Row],[IVA]]*0.15,0)</f>
        <v>0</v>
      </c>
      <c r="T181" s="265">
        <f>+Tabla2[[#This Row],[Saldo]]-Tabla2[[#This Row],[Rete fte]]-Tabla2[[#This Row],[rete ica]]-Tabla2[[#This Row],[Rete IVA]]</f>
        <v>-969000</v>
      </c>
      <c r="U18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27132000</v>
      </c>
      <c r="W181" s="23">
        <f>IF(Tabla2[[#This Row],[Fecha F.E.]]="","",YEAR(Tabla2[[#This Row],[Fecha F.E.]]))</f>
        <v>2022</v>
      </c>
      <c r="X181" s="23">
        <f>IF(Tabla2[[#This Row],[Fecha]]="","",YEAR(Tabla2[[#This Row],[Fecha]]))</f>
        <v>2022</v>
      </c>
    </row>
    <row r="182" spans="1:24" x14ac:dyDescent="0.25">
      <c r="A182" s="3">
        <v>182</v>
      </c>
      <c r="B182" s="76" t="s">
        <v>1132</v>
      </c>
      <c r="C182" s="360">
        <v>44866</v>
      </c>
      <c r="D182" s="224" t="s">
        <v>1133</v>
      </c>
      <c r="E182" s="360">
        <v>44866</v>
      </c>
      <c r="F182" s="78" t="s">
        <v>231</v>
      </c>
      <c r="G182" s="85">
        <v>860002964</v>
      </c>
      <c r="H182" s="177" t="str">
        <f>VLOOKUP(Tabla2[[#This Row],[NIT]],Clientes!A:C,2,0)</f>
        <v>Banco de Bogota S.A.</v>
      </c>
      <c r="I182" s="77" t="str">
        <f>VLOOKUP(Tabla2[[#This Row],[NIT]],Clientes!A:C,3,0)</f>
        <v>PJ</v>
      </c>
      <c r="J182" s="73" t="s">
        <v>794</v>
      </c>
      <c r="K182" s="267">
        <f>SUMIFS(Tabla4[Sub Total],Tabla4[Codigo],Tabla2[[#This Row],[Cod]])</f>
        <v>22800000</v>
      </c>
      <c r="L182" s="262">
        <f>SUMPRODUCT((Tabla4[Codigo]=Tabla2[[#This Row],[Cod]])*1,Tabla4[IVA])</f>
        <v>4332000</v>
      </c>
      <c r="M182" s="262">
        <f>SUMIFS(Tabla4[Total],Tabla4[Codigo],Tabla2[[#This Row],[Cod]])</f>
        <v>27132000</v>
      </c>
      <c r="N182" s="278">
        <f>SUMPRODUCT((Tabla1[Codigo]=Tabla2[[#This Row],[Cod]])*1,Tabla1[Valor])</f>
        <v>25372752</v>
      </c>
      <c r="O182" s="265">
        <f>IF(AND(Tabla2[[#This Row],[Estado]]="ok",LEFT(Tabla2[[#This Row],['# Factura]],3)="TIS"),Tabla2[[#This Row],[TOTAL]]-Tabla2[[#This Row],[pagado]],0)</f>
        <v>0</v>
      </c>
      <c r="P182" s="262">
        <f>Tabla2[[#This Row],[TOTAL]]-Tabla2[[#This Row],[Valor pago]]</f>
        <v>1759248</v>
      </c>
      <c r="Q182" s="265">
        <f>IF(Tabla2[[#This Row],[Saldo]]=0,0,IF(Tabla2[[#This Row],[Tipo cliente]]="PJ",Tabla2[[#This Row],[SUBTOTAL]]*11%,0))</f>
        <v>2508000</v>
      </c>
      <c r="R182" s="276">
        <f>IF(Tabla2[[#This Row],[Saldo]]=0,0,IF(Tabla2[[#This Row],[Tipo cliente]]="PJ",Tabla2[[#This Row],[SUBTOTAL]]*0.966%,0))</f>
        <v>220248</v>
      </c>
      <c r="S182" s="276">
        <f>IF(Tabla2[[#This Row],[Retiene IVA]]="S",Tabla2[[#This Row],[IVA]]*0.15,0)</f>
        <v>0</v>
      </c>
      <c r="T182" s="265">
        <f>+Tabla2[[#This Row],[Saldo]]-Tabla2[[#This Row],[Rete fte]]-Tabla2[[#This Row],[rete ica]]-Tabla2[[#This Row],[Rete IVA]]</f>
        <v>-969000</v>
      </c>
      <c r="U18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27132000</v>
      </c>
      <c r="W182" s="23">
        <f>IF(Tabla2[[#This Row],[Fecha F.E.]]="","",YEAR(Tabla2[[#This Row],[Fecha F.E.]]))</f>
        <v>2022</v>
      </c>
      <c r="X182" s="23">
        <f>IF(Tabla2[[#This Row],[Fecha]]="","",YEAR(Tabla2[[#This Row],[Fecha]]))</f>
        <v>2022</v>
      </c>
    </row>
    <row r="183" spans="1:24" x14ac:dyDescent="0.25">
      <c r="A183" s="3">
        <v>183</v>
      </c>
      <c r="B183" s="76" t="s">
        <v>1134</v>
      </c>
      <c r="C183" s="360">
        <v>44887</v>
      </c>
      <c r="D183" s="224" t="s">
        <v>1135</v>
      </c>
      <c r="E183" s="360">
        <v>44887</v>
      </c>
      <c r="F183" s="78" t="s">
        <v>231</v>
      </c>
      <c r="G183" s="85">
        <v>900801391</v>
      </c>
      <c r="H183" s="177" t="str">
        <f>VLOOKUP(Tabla2[[#This Row],[NIT]],Clientes!A:C,2,0)</f>
        <v>HIPRA COLOMBIA SAS</v>
      </c>
      <c r="I183" s="77" t="str">
        <f>VLOOKUP(Tabla2[[#This Row],[NIT]],Clientes!A:C,3,0)</f>
        <v>PJ</v>
      </c>
      <c r="J183" s="73" t="s">
        <v>794</v>
      </c>
      <c r="K183" s="267">
        <f>SUMIFS(Tabla4[Sub Total],Tabla4[Codigo],Tabla2[[#This Row],[Cod]])</f>
        <v>600000</v>
      </c>
      <c r="L183" s="262">
        <f>SUMPRODUCT((Tabla4[Codigo]=Tabla2[[#This Row],[Cod]])*1,Tabla4[IVA])</f>
        <v>114000</v>
      </c>
      <c r="M183" s="262">
        <f>SUMIFS(Tabla4[Total],Tabla4[Codigo],Tabla2[[#This Row],[Cod]])</f>
        <v>714000</v>
      </c>
      <c r="N183" s="278">
        <f>SUMPRODUCT((Tabla1[Codigo]=Tabla2[[#This Row],[Cod]])*1,Tabla1[Valor])</f>
        <v>642804</v>
      </c>
      <c r="O183" s="265">
        <f>IF(AND(Tabla2[[#This Row],[Estado]]="ok",LEFT(Tabla2[[#This Row],['# Factura]],3)="TIS"),Tabla2[[#This Row],[TOTAL]]-Tabla2[[#This Row],[pagado]],0)</f>
        <v>0</v>
      </c>
      <c r="P183" s="262">
        <f>Tabla2[[#This Row],[TOTAL]]-Tabla2[[#This Row],[Valor pago]]</f>
        <v>71196</v>
      </c>
      <c r="Q183" s="265">
        <f>IF(Tabla2[[#This Row],[Saldo]]=0,0,IF(Tabla2[[#This Row],[Tipo cliente]]="PJ",Tabla2[[#This Row],[SUBTOTAL]]*11%,0))</f>
        <v>66000</v>
      </c>
      <c r="R183" s="276">
        <f>IF(Tabla2[[#This Row],[Saldo]]=0,0,IF(Tabla2[[#This Row],[Tipo cliente]]="PJ",Tabla2[[#This Row],[SUBTOTAL]]*0.966%,0))</f>
        <v>5796</v>
      </c>
      <c r="S183" s="276">
        <f>IF(Tabla2[[#This Row],[Retiene IVA]]="S",Tabla2[[#This Row],[IVA]]*0.15,0)</f>
        <v>0</v>
      </c>
      <c r="T183" s="265">
        <f>+Tabla2[[#This Row],[Saldo]]-Tabla2[[#This Row],[Rete fte]]-Tabla2[[#This Row],[rete ica]]-Tabla2[[#This Row],[Rete IVA]]</f>
        <v>-600</v>
      </c>
      <c r="U18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714000</v>
      </c>
      <c r="W183" s="23">
        <f>IF(Tabla2[[#This Row],[Fecha F.E.]]="","",YEAR(Tabla2[[#This Row],[Fecha F.E.]]))</f>
        <v>2022</v>
      </c>
      <c r="X183" s="23">
        <f>IF(Tabla2[[#This Row],[Fecha]]="","",YEAR(Tabla2[[#This Row],[Fecha]]))</f>
        <v>2022</v>
      </c>
    </row>
    <row r="184" spans="1:24" x14ac:dyDescent="0.25">
      <c r="A184" s="3">
        <v>184</v>
      </c>
      <c r="B184" s="76" t="s">
        <v>1136</v>
      </c>
      <c r="C184" s="360">
        <v>44656</v>
      </c>
      <c r="D184" s="224" t="s">
        <v>1137</v>
      </c>
      <c r="E184" s="360">
        <v>44656</v>
      </c>
      <c r="F184" s="78" t="s">
        <v>231</v>
      </c>
      <c r="G184" s="85">
        <v>52385710</v>
      </c>
      <c r="H184" s="177" t="str">
        <f>VLOOKUP(Tabla2[[#This Row],[NIT]],Clientes!A:C,2,0)</f>
        <v>Maria del Pilar Alvarado Joya</v>
      </c>
      <c r="I184" s="77" t="str">
        <f>VLOOKUP(Tabla2[[#This Row],[NIT]],Clientes!A:C,3,0)</f>
        <v>PN</v>
      </c>
      <c r="J184" s="73" t="s">
        <v>794</v>
      </c>
      <c r="K184" s="267">
        <f>SUMIFS(Tabla4[Sub Total],Tabla4[Codigo],Tabla2[[#This Row],[Cod]])</f>
        <v>900000</v>
      </c>
      <c r="L184" s="262">
        <f>SUMPRODUCT((Tabla4[Codigo]=Tabla2[[#This Row],[Cod]])*1,Tabla4[IVA])</f>
        <v>0</v>
      </c>
      <c r="M184" s="262">
        <f>SUMIFS(Tabla4[Total],Tabla4[Codigo],Tabla2[[#This Row],[Cod]])</f>
        <v>900000</v>
      </c>
      <c r="N184" s="278">
        <f>SUMPRODUCT((Tabla1[Codigo]=Tabla2[[#This Row],[Cod]])*1,Tabla1[Valor])</f>
        <v>900000</v>
      </c>
      <c r="O184" s="265">
        <f>IF(AND(Tabla2[[#This Row],[Estado]]="ok",LEFT(Tabla2[[#This Row],['# Factura]],3)="TIS"),Tabla2[[#This Row],[TOTAL]]-Tabla2[[#This Row],[pagado]],0)</f>
        <v>0</v>
      </c>
      <c r="P184" s="262">
        <f>Tabla2[[#This Row],[TOTAL]]-Tabla2[[#This Row],[Valor pago]]</f>
        <v>0</v>
      </c>
      <c r="Q184" s="265">
        <f>IF(Tabla2[[#This Row],[Saldo]]=0,0,IF(Tabla2[[#This Row],[Tipo cliente]]="PJ",Tabla2[[#This Row],[SUBTOTAL]]*11%,0))</f>
        <v>0</v>
      </c>
      <c r="R184" s="276">
        <f>IF(Tabla2[[#This Row],[Saldo]]=0,0,IF(Tabla2[[#This Row],[Tipo cliente]]="PJ",Tabla2[[#This Row],[SUBTOTAL]]*0.966%,0))</f>
        <v>0</v>
      </c>
      <c r="S184" s="276">
        <f>IF(Tabla2[[#This Row],[Retiene IVA]]="S",Tabla2[[#This Row],[IVA]]*0.15,0)</f>
        <v>0</v>
      </c>
      <c r="T184" s="265">
        <f>+Tabla2[[#This Row],[Saldo]]-Tabla2[[#This Row],[Rete fte]]-Tabla2[[#This Row],[rete ica]]-Tabla2[[#This Row],[Rete IVA]]</f>
        <v>0</v>
      </c>
      <c r="U18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184" s="23">
        <f>IF(Tabla2[[#This Row],[Fecha F.E.]]="","",YEAR(Tabla2[[#This Row],[Fecha F.E.]]))</f>
        <v>2022</v>
      </c>
      <c r="X184" s="23">
        <f>IF(Tabla2[[#This Row],[Fecha]]="","",YEAR(Tabla2[[#This Row],[Fecha]]))</f>
        <v>2022</v>
      </c>
    </row>
    <row r="185" spans="1:24" ht="26.25" x14ac:dyDescent="0.25">
      <c r="A185" s="3">
        <v>185</v>
      </c>
      <c r="B185" s="76" t="s">
        <v>1138</v>
      </c>
      <c r="C185" s="360">
        <v>44652</v>
      </c>
      <c r="D185" s="224" t="s">
        <v>1139</v>
      </c>
      <c r="E185" s="360">
        <v>44652</v>
      </c>
      <c r="F185" s="78" t="s">
        <v>231</v>
      </c>
      <c r="G185" s="85">
        <v>900396116</v>
      </c>
      <c r="H185" s="177" t="str">
        <f>VLOOKUP(Tabla2[[#This Row],[NIT]],Clientes!A:C,2,0)</f>
        <v>PRODUCTORA INTERAMERICANA DE PLASTICOS S.A.S.</v>
      </c>
      <c r="I185" s="77" t="str">
        <f>VLOOKUP(Tabla2[[#This Row],[NIT]],Clientes!A:C,3,0)</f>
        <v>PJ</v>
      </c>
      <c r="J185" s="73" t="s">
        <v>794</v>
      </c>
      <c r="K185" s="267">
        <f>SUMIFS(Tabla4[Sub Total],Tabla4[Codigo],Tabla2[[#This Row],[Cod]])</f>
        <v>200000</v>
      </c>
      <c r="L185" s="262">
        <f>SUMPRODUCT((Tabla4[Codigo]=Tabla2[[#This Row],[Cod]])*1,Tabla4[IVA])</f>
        <v>38000</v>
      </c>
      <c r="M185" s="262">
        <f>SUMIFS(Tabla4[Total],Tabla4[Codigo],Tabla2[[#This Row],[Cod]])</f>
        <v>238000</v>
      </c>
      <c r="N185" s="278">
        <f>SUMPRODUCT((Tabla1[Codigo]=Tabla2[[#This Row],[Cod]])*1,Tabla1[Valor])</f>
        <v>0</v>
      </c>
      <c r="O185" s="265">
        <f>IF(AND(Tabla2[[#This Row],[Estado]]="ok",LEFT(Tabla2[[#This Row],['# Factura]],3)="TIS"),Tabla2[[#This Row],[TOTAL]]-Tabla2[[#This Row],[pagado]],0)</f>
        <v>238000</v>
      </c>
      <c r="P185" s="262">
        <f>Tabla2[[#This Row],[TOTAL]]-Tabla2[[#This Row],[Valor pago]]</f>
        <v>238000</v>
      </c>
      <c r="Q185" s="265">
        <f>IF(Tabla2[[#This Row],[Saldo]]=0,0,IF(Tabla2[[#This Row],[Tipo cliente]]="PJ",Tabla2[[#This Row],[SUBTOTAL]]*11%,0))</f>
        <v>22000</v>
      </c>
      <c r="R185" s="276">
        <f>IF(Tabla2[[#This Row],[Saldo]]=0,0,IF(Tabla2[[#This Row],[Tipo cliente]]="PJ",Tabla2[[#This Row],[SUBTOTAL]]*0.966%,0))</f>
        <v>1932</v>
      </c>
      <c r="S185" s="276">
        <f>IF(Tabla2[[#This Row],[Retiene IVA]]="S",Tabla2[[#This Row],[IVA]]*0.15,0)</f>
        <v>0</v>
      </c>
      <c r="T185" s="265">
        <f>+Tabla2[[#This Row],[Saldo]]-Tabla2[[#This Row],[Rete fte]]-Tabla2[[#This Row],[rete ica]]-Tabla2[[#This Row],[Rete IVA]]</f>
        <v>214068</v>
      </c>
      <c r="U18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85" s="23">
        <f>IF(Tabla2[[#This Row],[Fecha F.E.]]="","",YEAR(Tabla2[[#This Row],[Fecha F.E.]]))</f>
        <v>2022</v>
      </c>
      <c r="X185" s="23">
        <f>IF(Tabla2[[#This Row],[Fecha]]="","",YEAR(Tabla2[[#This Row],[Fecha]]))</f>
        <v>2022</v>
      </c>
    </row>
    <row r="186" spans="1:24" ht="26.25" x14ac:dyDescent="0.25">
      <c r="A186" s="3">
        <v>186</v>
      </c>
      <c r="B186" s="76" t="s">
        <v>1140</v>
      </c>
      <c r="C186" s="360">
        <v>44694</v>
      </c>
      <c r="D186" s="224" t="s">
        <v>1141</v>
      </c>
      <c r="E186" s="360">
        <v>44694</v>
      </c>
      <c r="F186" s="78" t="s">
        <v>231</v>
      </c>
      <c r="G186" s="85">
        <v>900396116</v>
      </c>
      <c r="H186" s="177" t="str">
        <f>VLOOKUP(Tabla2[[#This Row],[NIT]],Clientes!A:C,2,0)</f>
        <v>PRODUCTORA INTERAMERICANA DE PLASTICOS S.A.S.</v>
      </c>
      <c r="I186" s="77" t="str">
        <f>VLOOKUP(Tabla2[[#This Row],[NIT]],Clientes!A:C,3,0)</f>
        <v>PJ</v>
      </c>
      <c r="J186" s="73" t="s">
        <v>794</v>
      </c>
      <c r="K186" s="267">
        <f>SUMIFS(Tabla4[Sub Total],Tabla4[Codigo],Tabla2[[#This Row],[Cod]])</f>
        <v>200000</v>
      </c>
      <c r="L186" s="262">
        <f>SUMPRODUCT((Tabla4[Codigo]=Tabla2[[#This Row],[Cod]])*1,Tabla4[IVA])</f>
        <v>0</v>
      </c>
      <c r="M186" s="262">
        <f>SUMIFS(Tabla4[Total],Tabla4[Codigo],Tabla2[[#This Row],[Cod]])</f>
        <v>200000</v>
      </c>
      <c r="N186" s="278">
        <f>SUMPRODUCT((Tabla1[Codigo]=Tabla2[[#This Row],[Cod]])*1,Tabla1[Valor])</f>
        <v>0</v>
      </c>
      <c r="O186" s="265">
        <f>IF(AND(Tabla2[[#This Row],[Estado]]="ok",LEFT(Tabla2[[#This Row],['# Factura]],3)="TIS"),Tabla2[[#This Row],[TOTAL]]-Tabla2[[#This Row],[pagado]],0)</f>
        <v>200000</v>
      </c>
      <c r="P186" s="262">
        <f>Tabla2[[#This Row],[TOTAL]]-Tabla2[[#This Row],[Valor pago]]</f>
        <v>200000</v>
      </c>
      <c r="Q186" s="265">
        <f>IF(Tabla2[[#This Row],[Saldo]]=0,0,IF(Tabla2[[#This Row],[Tipo cliente]]="PJ",Tabla2[[#This Row],[SUBTOTAL]]*11%,0))</f>
        <v>22000</v>
      </c>
      <c r="R186" s="276">
        <f>IF(Tabla2[[#This Row],[Saldo]]=0,0,IF(Tabla2[[#This Row],[Tipo cliente]]="PJ",Tabla2[[#This Row],[SUBTOTAL]]*0.966%,0))</f>
        <v>1932</v>
      </c>
      <c r="S186" s="276">
        <f>IF(Tabla2[[#This Row],[Retiene IVA]]="S",Tabla2[[#This Row],[IVA]]*0.15,0)</f>
        <v>0</v>
      </c>
      <c r="T186" s="265">
        <f>+Tabla2[[#This Row],[Saldo]]-Tabla2[[#This Row],[Rete fte]]-Tabla2[[#This Row],[rete ica]]-Tabla2[[#This Row],[Rete IVA]]</f>
        <v>176068</v>
      </c>
      <c r="U18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86" s="23">
        <f>IF(Tabla2[[#This Row],[Fecha F.E.]]="","",YEAR(Tabla2[[#This Row],[Fecha F.E.]]))</f>
        <v>2022</v>
      </c>
      <c r="X186" s="23">
        <f>IF(Tabla2[[#This Row],[Fecha]]="","",YEAR(Tabla2[[#This Row],[Fecha]]))</f>
        <v>2022</v>
      </c>
    </row>
    <row r="187" spans="1:24" x14ac:dyDescent="0.25">
      <c r="A187" s="3">
        <v>187</v>
      </c>
      <c r="B187" s="77" t="s">
        <v>1142</v>
      </c>
      <c r="C187" s="360">
        <v>44594</v>
      </c>
      <c r="D187" s="225" t="s">
        <v>1143</v>
      </c>
      <c r="E187" s="360">
        <v>44594</v>
      </c>
      <c r="F187" s="78" t="s">
        <v>716</v>
      </c>
      <c r="G187" s="85">
        <v>890802678</v>
      </c>
      <c r="H187" s="177" t="str">
        <f>VLOOKUP(Tabla2[[#This Row],[NIT]],Clientes!A:C,2,0)</f>
        <v>Colegio Integrado Nacional Oriente de Caldas</v>
      </c>
      <c r="I187" s="77" t="str">
        <f>VLOOKUP(Tabla2[[#This Row],[NIT]],Clientes!A:C,3,0)</f>
        <v>PJ</v>
      </c>
      <c r="J187" s="73" t="s">
        <v>794</v>
      </c>
      <c r="K187" s="267">
        <f>SUMIFS(Tabla4[Sub Total],Tabla4[Codigo],Tabla2[[#This Row],[Cod]])</f>
        <v>-1300000</v>
      </c>
      <c r="L187" s="262">
        <f>SUMPRODUCT((Tabla4[Codigo]=Tabla2[[#This Row],[Cod]])*1,Tabla4[IVA])</f>
        <v>-247000</v>
      </c>
      <c r="M187" s="262">
        <f>SUMIFS(Tabla4[Total],Tabla4[Codigo],Tabla2[[#This Row],[Cod]])</f>
        <v>-1547000</v>
      </c>
      <c r="N187" s="278">
        <f>SUMPRODUCT((Tabla1[Codigo]=Tabla2[[#This Row],[Cod]])*1,Tabla1[Valor])</f>
        <v>0</v>
      </c>
      <c r="O187" s="265">
        <f>IF(AND(Tabla2[[#This Row],[Estado]]="ok",LEFT(Tabla2[[#This Row],['# Factura]],3)="TIS"),Tabla2[[#This Row],[TOTAL]]-Tabla2[[#This Row],[pagado]],0)</f>
        <v>0</v>
      </c>
      <c r="P187" s="262">
        <f>Tabla2[[#This Row],[TOTAL]]-Tabla2[[#This Row],[Valor pago]]</f>
        <v>-1547000</v>
      </c>
      <c r="Q187" s="265">
        <f>IF(Tabla2[[#This Row],[Saldo]]=0,0,IF(Tabla2[[#This Row],[Tipo cliente]]="PJ",Tabla2[[#This Row],[SUBTOTAL]]*11%,0))</f>
        <v>-143000</v>
      </c>
      <c r="R187" s="276">
        <f>IF(Tabla2[[#This Row],[Saldo]]=0,0,IF(Tabla2[[#This Row],[Tipo cliente]]="PJ",Tabla2[[#This Row],[SUBTOTAL]]*0.966%,0))</f>
        <v>-12558</v>
      </c>
      <c r="S187" s="276">
        <f>IF(Tabla2[[#This Row],[Retiene IVA]]="S",Tabla2[[#This Row],[IVA]]*0.15,0)</f>
        <v>0</v>
      </c>
      <c r="T187" s="265">
        <f>+Tabla2[[#This Row],[Saldo]]-Tabla2[[#This Row],[Rete fte]]-Tabla2[[#This Row],[rete ica]]-Tabla2[[#This Row],[Rete IVA]]</f>
        <v>-1391442</v>
      </c>
      <c r="U18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87" s="23">
        <f>IF(Tabla2[[#This Row],[Fecha F.E.]]="","",YEAR(Tabla2[[#This Row],[Fecha F.E.]]))</f>
        <v>2022</v>
      </c>
      <c r="X187" s="23">
        <f>IF(Tabla2[[#This Row],[Fecha]]="","",YEAR(Tabla2[[#This Row],[Fecha]]))</f>
        <v>2022</v>
      </c>
    </row>
    <row r="188" spans="1:24" x14ac:dyDescent="0.25">
      <c r="A188" s="3">
        <v>188</v>
      </c>
      <c r="B188" s="77" t="s">
        <v>1144</v>
      </c>
      <c r="C188" s="360">
        <v>44594</v>
      </c>
      <c r="D188" s="225" t="s">
        <v>1145</v>
      </c>
      <c r="E188" s="360">
        <v>44593</v>
      </c>
      <c r="F188" s="78" t="s">
        <v>716</v>
      </c>
      <c r="G188" s="85">
        <v>890802678</v>
      </c>
      <c r="H188" s="177" t="str">
        <f>VLOOKUP(Tabla2[[#This Row],[NIT]],Clientes!A:C,2,0)</f>
        <v>Colegio Integrado Nacional Oriente de Caldas</v>
      </c>
      <c r="I188" s="77" t="str">
        <f>VLOOKUP(Tabla2[[#This Row],[NIT]],Clientes!A:C,3,0)</f>
        <v>PJ</v>
      </c>
      <c r="J188" s="73" t="s">
        <v>794</v>
      </c>
      <c r="K188" s="267">
        <f>SUMIFS(Tabla4[Sub Total],Tabla4[Codigo],Tabla2[[#This Row],[Cod]])</f>
        <v>1300000</v>
      </c>
      <c r="L188" s="262">
        <f>SUMPRODUCT((Tabla4[Codigo]=Tabla2[[#This Row],[Cod]])*1,Tabla4[IVA])</f>
        <v>247000</v>
      </c>
      <c r="M188" s="262">
        <f>SUMIFS(Tabla4[Total],Tabla4[Codigo],Tabla2[[#This Row],[Cod]])</f>
        <v>1547000</v>
      </c>
      <c r="N188" s="278">
        <f>SUMPRODUCT((Tabla1[Codigo]=Tabla2[[#This Row],[Cod]])*1,Tabla1[Valor])</f>
        <v>0</v>
      </c>
      <c r="O188" s="265">
        <f>IF(AND(Tabla2[[#This Row],[Estado]]="ok",LEFT(Tabla2[[#This Row],['# Factura]],3)="TIS"),Tabla2[[#This Row],[TOTAL]]-Tabla2[[#This Row],[pagado]],0)</f>
        <v>0</v>
      </c>
      <c r="P188" s="262">
        <f>Tabla2[[#This Row],[TOTAL]]-Tabla2[[#This Row],[Valor pago]]</f>
        <v>1547000</v>
      </c>
      <c r="Q188" s="265">
        <f>IF(Tabla2[[#This Row],[Saldo]]=0,0,IF(Tabla2[[#This Row],[Tipo cliente]]="PJ",Tabla2[[#This Row],[SUBTOTAL]]*11%,0))</f>
        <v>143000</v>
      </c>
      <c r="R188" s="276">
        <f>IF(Tabla2[[#This Row],[Saldo]]=0,0,IF(Tabla2[[#This Row],[Tipo cliente]]="PJ",Tabla2[[#This Row],[SUBTOTAL]]*0.966%,0))</f>
        <v>12558</v>
      </c>
      <c r="S188" s="276">
        <f>IF(Tabla2[[#This Row],[Retiene IVA]]="S",Tabla2[[#This Row],[IVA]]*0.15,0)</f>
        <v>0</v>
      </c>
      <c r="T188" s="265">
        <f>+Tabla2[[#This Row],[Saldo]]-Tabla2[[#This Row],[Rete fte]]-Tabla2[[#This Row],[rete ica]]-Tabla2[[#This Row],[Rete IVA]]</f>
        <v>1391442</v>
      </c>
      <c r="U18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88" s="23">
        <f>IF(Tabla2[[#This Row],[Fecha F.E.]]="","",YEAR(Tabla2[[#This Row],[Fecha F.E.]]))</f>
        <v>2022</v>
      </c>
      <c r="X188" s="23">
        <f>IF(Tabla2[[#This Row],[Fecha]]="","",YEAR(Tabla2[[#This Row],[Fecha]]))</f>
        <v>2022</v>
      </c>
    </row>
    <row r="189" spans="1:24" x14ac:dyDescent="0.25">
      <c r="A189" s="3">
        <v>189</v>
      </c>
      <c r="B189" s="77" t="s">
        <v>1146</v>
      </c>
      <c r="C189" s="360">
        <v>44890</v>
      </c>
      <c r="D189" s="225" t="s">
        <v>1147</v>
      </c>
      <c r="E189" s="360">
        <v>44890</v>
      </c>
      <c r="F189" s="241" t="s">
        <v>716</v>
      </c>
      <c r="G189" s="85">
        <v>830057687</v>
      </c>
      <c r="H189" s="177" t="str">
        <f>VLOOKUP(Tabla2[[#This Row],[NIT]],Clientes!A:C,2,0)</f>
        <v>ATECNO S.A.S</v>
      </c>
      <c r="I189" s="77" t="str">
        <f>VLOOKUP(Tabla2[[#This Row],[NIT]],Clientes!A:C,3,0)</f>
        <v>PJ</v>
      </c>
      <c r="J189" s="73" t="s">
        <v>794</v>
      </c>
      <c r="K189" s="267">
        <f>SUMIFS(Tabla4[Sub Total],Tabla4[Codigo],Tabla2[[#This Row],[Cod]])</f>
        <v>6351600</v>
      </c>
      <c r="L189" s="262">
        <f>SUMPRODUCT((Tabla4[Codigo]=Tabla2[[#This Row],[Cod]])*1,Tabla4[IVA])</f>
        <v>0</v>
      </c>
      <c r="M189" s="262">
        <f>SUMIFS(Tabla4[Total],Tabla4[Codigo],Tabla2[[#This Row],[Cod]])</f>
        <v>6351600</v>
      </c>
      <c r="N189" s="278">
        <f>SUMPRODUCT((Tabla1[Codigo]=Tabla2[[#This Row],[Cod]])*1,Tabla1[Valor])</f>
        <v>0</v>
      </c>
      <c r="O189" s="265">
        <f>IF(AND(Tabla2[[#This Row],[Estado]]="ok",LEFT(Tabla2[[#This Row],['# Factura]],3)="TIS"),Tabla2[[#This Row],[TOTAL]]-Tabla2[[#This Row],[pagado]],0)</f>
        <v>0</v>
      </c>
      <c r="P189" s="262">
        <f>Tabla2[[#This Row],[TOTAL]]-Tabla2[[#This Row],[Valor pago]]</f>
        <v>6351600</v>
      </c>
      <c r="Q189" s="265">
        <f>IF(Tabla2[[#This Row],[Saldo]]=0,0,IF(Tabla2[[#This Row],[Tipo cliente]]="PJ",Tabla2[[#This Row],[SUBTOTAL]]*11%,0))</f>
        <v>698676</v>
      </c>
      <c r="R189" s="276">
        <f>IF(Tabla2[[#This Row],[Saldo]]=0,0,IF(Tabla2[[#This Row],[Tipo cliente]]="PJ",Tabla2[[#This Row],[SUBTOTAL]]*0.966%,0))</f>
        <v>61356.455999999998</v>
      </c>
      <c r="S189" s="276">
        <f>IF(Tabla2[[#This Row],[Retiene IVA]]="S",Tabla2[[#This Row],[IVA]]*0.15,0)</f>
        <v>0</v>
      </c>
      <c r="T189" s="265">
        <f>+Tabla2[[#This Row],[Saldo]]-Tabla2[[#This Row],[Rete fte]]-Tabla2[[#This Row],[rete ica]]-Tabla2[[#This Row],[Rete IVA]]</f>
        <v>5591567.5439999998</v>
      </c>
      <c r="U18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89" s="23">
        <f>IF(Tabla2[[#This Row],[Fecha F.E.]]="","",YEAR(Tabla2[[#This Row],[Fecha F.E.]]))</f>
        <v>2022</v>
      </c>
      <c r="X189" s="23">
        <f>IF(Tabla2[[#This Row],[Fecha]]="","",YEAR(Tabla2[[#This Row],[Fecha]]))</f>
        <v>2022</v>
      </c>
    </row>
    <row r="190" spans="1:24" x14ac:dyDescent="0.25">
      <c r="A190" s="3">
        <f>IFERROR(A189+1,1)</f>
        <v>190</v>
      </c>
      <c r="B190" s="77" t="s">
        <v>1148</v>
      </c>
      <c r="C190" s="360">
        <v>44897</v>
      </c>
      <c r="D190" s="76" t="s">
        <v>1149</v>
      </c>
      <c r="E190" s="360">
        <v>44945</v>
      </c>
      <c r="F190" s="78" t="s">
        <v>796</v>
      </c>
      <c r="G190" s="85">
        <v>830057687</v>
      </c>
      <c r="H190" s="177" t="str">
        <f>VLOOKUP(Tabla2[[#This Row],[NIT]],Clientes!A:C,2,0)</f>
        <v>ATECNO S.A.S</v>
      </c>
      <c r="I190" s="77" t="str">
        <f>VLOOKUP(Tabla2[[#This Row],[NIT]],Clientes!A:C,3,0)</f>
        <v>PJ</v>
      </c>
      <c r="J190" s="73" t="s">
        <v>794</v>
      </c>
      <c r="K190" s="267">
        <f>SUMIFS(Tabla4[Sub Total],Tabla4[Codigo],Tabla2[[#This Row],[Cod]])</f>
        <v>-500000</v>
      </c>
      <c r="L190" s="262">
        <f>SUMPRODUCT((Tabla4[Codigo]=Tabla2[[#This Row],[Cod]])*1,Tabla4[IVA])</f>
        <v>-95000</v>
      </c>
      <c r="M190" s="262">
        <f>SUMIFS(Tabla4[Total],Tabla4[Codigo],Tabla2[[#This Row],[Cod]])</f>
        <v>-595000</v>
      </c>
      <c r="N190" s="278">
        <f>SUMPRODUCT((Tabla1[Codigo]=Tabla2[[#This Row],[Cod]])*1,Tabla1[Valor])</f>
        <v>500000</v>
      </c>
      <c r="O190" s="265">
        <f>IF(AND(Tabla2[[#This Row],[Estado]]="ok",LEFT(Tabla2[[#This Row],['# Factura]],3)="TIS"),Tabla2[[#This Row],[TOTAL]]-Tabla2[[#This Row],[pagado]],0)</f>
        <v>0</v>
      </c>
      <c r="P190" s="262">
        <f>Tabla2[[#This Row],[TOTAL]]-Tabla2[[#This Row],[Valor pago]]</f>
        <v>-1095000</v>
      </c>
      <c r="Q190" s="265">
        <f>IF(Tabla2[[#This Row],[Saldo]]=0,0,IF(Tabla2[[#This Row],[Tipo cliente]]="PJ",Tabla2[[#This Row],[SUBTOTAL]]*11%,0))</f>
        <v>-55000</v>
      </c>
      <c r="R190" s="276">
        <f>IF(Tabla2[[#This Row],[Saldo]]=0,0,IF(Tabla2[[#This Row],[Tipo cliente]]="PJ",Tabla2[[#This Row],[SUBTOTAL]]*0.966%,0))</f>
        <v>-4830</v>
      </c>
      <c r="S190" s="276">
        <f>IF(Tabla2[[#This Row],[Retiene IVA]]="S",Tabla2[[#This Row],[IVA]]*0.15,0)</f>
        <v>0</v>
      </c>
      <c r="T190" s="265">
        <f>+Tabla2[[#This Row],[Saldo]]-Tabla2[[#This Row],[Rete fte]]-Tabla2[[#This Row],[rete ica]]-Tabla2[[#This Row],[Rete IVA]]</f>
        <v>-1035170</v>
      </c>
      <c r="U19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90" s="23">
        <f>IF(Tabla2[[#This Row],[Fecha F.E.]]="","",YEAR(Tabla2[[#This Row],[Fecha F.E.]]))</f>
        <v>2023</v>
      </c>
      <c r="X190" s="23">
        <f>IF(Tabla2[[#This Row],[Fecha]]="","",YEAR(Tabla2[[#This Row],[Fecha]]))</f>
        <v>2022</v>
      </c>
    </row>
    <row r="191" spans="1:24" x14ac:dyDescent="0.25">
      <c r="A191" s="3">
        <v>190</v>
      </c>
      <c r="B191" s="77" t="s">
        <v>1150</v>
      </c>
      <c r="C191" s="360">
        <v>44887</v>
      </c>
      <c r="D191" s="225" t="s">
        <v>1151</v>
      </c>
      <c r="E191" s="360">
        <v>44887</v>
      </c>
      <c r="F191" s="78" t="s">
        <v>231</v>
      </c>
      <c r="G191" s="85">
        <v>900013039</v>
      </c>
      <c r="H191" s="177" t="str">
        <f>VLOOKUP(Tabla2[[#This Row],[NIT]],Clientes!A:C,2,0)</f>
        <v>INSTITUCION EDUCATIVA LICEO LOS ANGELES</v>
      </c>
      <c r="I191" s="77" t="str">
        <f>VLOOKUP(Tabla2[[#This Row],[NIT]],Clientes!A:C,3,0)</f>
        <v>PJ</v>
      </c>
      <c r="J191" s="73" t="s">
        <v>794</v>
      </c>
      <c r="K191" s="267">
        <f>SUMIFS(Tabla4[Sub Total],Tabla4[Codigo],Tabla2[[#This Row],[Cod]])</f>
        <v>-500000</v>
      </c>
      <c r="L191" s="262">
        <f>SUMPRODUCT((Tabla4[Codigo]=Tabla2[[#This Row],[Cod]])*1,Tabla4[IVA])</f>
        <v>-95000</v>
      </c>
      <c r="M191" s="262">
        <f>SUMIFS(Tabla4[Total],Tabla4[Codigo],Tabla2[[#This Row],[Cod]])</f>
        <v>-595000</v>
      </c>
      <c r="N191" s="278">
        <f>SUMPRODUCT((Tabla1[Codigo]=Tabla2[[#This Row],[Cod]])*1,Tabla1[Valor])</f>
        <v>500000</v>
      </c>
      <c r="O191" s="265">
        <f>IF(AND(Tabla2[[#This Row],[Estado]]="ok",LEFT(Tabla2[[#This Row],['# Factura]],3)="TIS"),Tabla2[[#This Row],[TOTAL]]-Tabla2[[#This Row],[pagado]],0)</f>
        <v>0</v>
      </c>
      <c r="P191" s="262">
        <f>Tabla2[[#This Row],[TOTAL]]-Tabla2[[#This Row],[Valor pago]]</f>
        <v>-1095000</v>
      </c>
      <c r="Q191" s="265">
        <f>IF(Tabla2[[#This Row],[Saldo]]=0,0,IF(Tabla2[[#This Row],[Tipo cliente]]="PJ",Tabla2[[#This Row],[SUBTOTAL]]*11%,0))</f>
        <v>-55000</v>
      </c>
      <c r="R191" s="276">
        <f>IF(Tabla2[[#This Row],[Saldo]]=0,0,IF(Tabla2[[#This Row],[Tipo cliente]]="PJ",Tabla2[[#This Row],[SUBTOTAL]]*0.966%,0))</f>
        <v>-4830</v>
      </c>
      <c r="S191" s="276">
        <f>IF(Tabla2[[#This Row],[Retiene IVA]]="S",Tabla2[[#This Row],[IVA]]*0.15,0)</f>
        <v>0</v>
      </c>
      <c r="T191" s="265">
        <f>+Tabla2[[#This Row],[Saldo]]-Tabla2[[#This Row],[Rete fte]]-Tabla2[[#This Row],[rete ica]]-Tabla2[[#This Row],[Rete IVA]]</f>
        <v>-1035170</v>
      </c>
      <c r="U19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-595000</v>
      </c>
      <c r="W191" s="23">
        <f>IF(Tabla2[[#This Row],[Fecha F.E.]]="","",YEAR(Tabla2[[#This Row],[Fecha F.E.]]))</f>
        <v>2022</v>
      </c>
      <c r="X191" s="23">
        <f>IF(Tabla2[[#This Row],[Fecha]]="","",YEAR(Tabla2[[#This Row],[Fecha]]))</f>
        <v>2022</v>
      </c>
    </row>
    <row r="192" spans="1:24" x14ac:dyDescent="0.25">
      <c r="A192" s="3">
        <v>191</v>
      </c>
      <c r="B192" s="77" t="s">
        <v>1152</v>
      </c>
      <c r="C192" s="360">
        <v>44698</v>
      </c>
      <c r="D192" s="225" t="s">
        <v>1153</v>
      </c>
      <c r="E192" s="360">
        <v>44698</v>
      </c>
      <c r="F192" s="78" t="s">
        <v>716</v>
      </c>
      <c r="G192" s="85">
        <v>830086023</v>
      </c>
      <c r="H192" s="177" t="str">
        <f>VLOOKUP(Tabla2[[#This Row],[NIT]],Clientes!A:C,2,0)</f>
        <v>SEQ CONSULTORES LTDA</v>
      </c>
      <c r="I192" s="77" t="str">
        <f>VLOOKUP(Tabla2[[#This Row],[NIT]],Clientes!A:C,3,0)</f>
        <v>PJ</v>
      </c>
      <c r="J192" s="73" t="s">
        <v>794</v>
      </c>
      <c r="K192" s="267">
        <f>SUMIFS(Tabla4[Sub Total],Tabla4[Codigo],Tabla2[[#This Row],[Cod]])</f>
        <v>5616000</v>
      </c>
      <c r="L192" s="262">
        <f>SUMPRODUCT((Tabla4[Codigo]=Tabla2[[#This Row],[Cod]])*1,Tabla4[IVA])</f>
        <v>1067040</v>
      </c>
      <c r="M192" s="262">
        <f>SUMIFS(Tabla4[Total],Tabla4[Codigo],Tabla2[[#This Row],[Cod]])</f>
        <v>6683040</v>
      </c>
      <c r="N192" s="278">
        <f>SUMPRODUCT((Tabla1[Codigo]=Tabla2[[#This Row],[Cod]])*1,Tabla1[Valor])</f>
        <v>0</v>
      </c>
      <c r="O192" s="265">
        <f>IF(AND(Tabla2[[#This Row],[Estado]]="ok",LEFT(Tabla2[[#This Row],['# Factura]],3)="TIS"),Tabla2[[#This Row],[TOTAL]]-Tabla2[[#This Row],[pagado]],0)</f>
        <v>0</v>
      </c>
      <c r="P192" s="262">
        <f>Tabla2[[#This Row],[TOTAL]]-Tabla2[[#This Row],[Valor pago]]</f>
        <v>6683040</v>
      </c>
      <c r="Q192" s="265">
        <f>IF(Tabla2[[#This Row],[Saldo]]=0,0,IF(Tabla2[[#This Row],[Tipo cliente]]="PJ",Tabla2[[#This Row],[SUBTOTAL]]*11%,0))</f>
        <v>617760</v>
      </c>
      <c r="R192" s="276">
        <f>IF(Tabla2[[#This Row],[Saldo]]=0,0,IF(Tabla2[[#This Row],[Tipo cliente]]="PJ",Tabla2[[#This Row],[SUBTOTAL]]*0.966%,0))</f>
        <v>54250.559999999998</v>
      </c>
      <c r="S192" s="276">
        <f>IF(Tabla2[[#This Row],[Retiene IVA]]="S",Tabla2[[#This Row],[IVA]]*0.15,0)</f>
        <v>0</v>
      </c>
      <c r="T192" s="265">
        <f>+Tabla2[[#This Row],[Saldo]]-Tabla2[[#This Row],[Rete fte]]-Tabla2[[#This Row],[rete ica]]-Tabla2[[#This Row],[Rete IVA]]</f>
        <v>6011029.4400000004</v>
      </c>
      <c r="U19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92" s="23">
        <f>IF(Tabla2[[#This Row],[Fecha F.E.]]="","",YEAR(Tabla2[[#This Row],[Fecha F.E.]]))</f>
        <v>2022</v>
      </c>
      <c r="X192" s="23">
        <f>IF(Tabla2[[#This Row],[Fecha]]="","",YEAR(Tabla2[[#This Row],[Fecha]]))</f>
        <v>2022</v>
      </c>
    </row>
    <row r="193" spans="1:24" x14ac:dyDescent="0.25">
      <c r="A193" s="3">
        <v>192</v>
      </c>
      <c r="B193" s="77" t="s">
        <v>1154</v>
      </c>
      <c r="C193" s="360">
        <v>44699</v>
      </c>
      <c r="D193" s="225" t="s">
        <v>1155</v>
      </c>
      <c r="E193" s="360">
        <v>44699</v>
      </c>
      <c r="F193" s="78" t="s">
        <v>716</v>
      </c>
      <c r="G193" s="85">
        <v>830086023</v>
      </c>
      <c r="H193" s="177" t="str">
        <f>VLOOKUP(Tabla2[[#This Row],[NIT]],Clientes!A:C,2,0)</f>
        <v>SEQ CONSULTORES LTDA</v>
      </c>
      <c r="I193" s="77" t="str">
        <f>VLOOKUP(Tabla2[[#This Row],[NIT]],Clientes!A:C,3,0)</f>
        <v>PJ</v>
      </c>
      <c r="J193" s="73" t="s">
        <v>794</v>
      </c>
      <c r="K193" s="267">
        <f>SUMIFS(Tabla4[Sub Total],Tabla4[Codigo],Tabla2[[#This Row],[Cod]])</f>
        <v>-5616000</v>
      </c>
      <c r="L193" s="262">
        <f>SUMPRODUCT((Tabla4[Codigo]=Tabla2[[#This Row],[Cod]])*1,Tabla4[IVA])</f>
        <v>-1067040</v>
      </c>
      <c r="M193" s="262">
        <f>SUMIFS(Tabla4[Total],Tabla4[Codigo],Tabla2[[#This Row],[Cod]])</f>
        <v>-6683040</v>
      </c>
      <c r="N193" s="278">
        <f>SUMPRODUCT((Tabla1[Codigo]=Tabla2[[#This Row],[Cod]])*1,Tabla1[Valor])</f>
        <v>0</v>
      </c>
      <c r="O193" s="265">
        <f>IF(AND(Tabla2[[#This Row],[Estado]]="ok",LEFT(Tabla2[[#This Row],['# Factura]],3)="TIS"),Tabla2[[#This Row],[TOTAL]]-Tabla2[[#This Row],[pagado]],0)</f>
        <v>0</v>
      </c>
      <c r="P193" s="262">
        <f>Tabla2[[#This Row],[TOTAL]]-Tabla2[[#This Row],[Valor pago]]</f>
        <v>-6683040</v>
      </c>
      <c r="Q193" s="265">
        <f>IF(Tabla2[[#This Row],[Saldo]]=0,0,IF(Tabla2[[#This Row],[Tipo cliente]]="PJ",Tabla2[[#This Row],[SUBTOTAL]]*11%,0))</f>
        <v>-617760</v>
      </c>
      <c r="R193" s="276">
        <f>IF(Tabla2[[#This Row],[Saldo]]=0,0,IF(Tabla2[[#This Row],[Tipo cliente]]="PJ",Tabla2[[#This Row],[SUBTOTAL]]*0.966%,0))</f>
        <v>-54250.559999999998</v>
      </c>
      <c r="S193" s="276">
        <f>IF(Tabla2[[#This Row],[Retiene IVA]]="S",Tabla2[[#This Row],[IVA]]*0.15,0)</f>
        <v>0</v>
      </c>
      <c r="T193" s="265">
        <f>+Tabla2[[#This Row],[Saldo]]-Tabla2[[#This Row],[Rete fte]]-Tabla2[[#This Row],[rete ica]]-Tabla2[[#This Row],[Rete IVA]]</f>
        <v>-6011029.4400000004</v>
      </c>
      <c r="U19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93" s="23">
        <f>IF(Tabla2[[#This Row],[Fecha F.E.]]="","",YEAR(Tabla2[[#This Row],[Fecha F.E.]]))</f>
        <v>2022</v>
      </c>
      <c r="X193" s="23">
        <f>IF(Tabla2[[#This Row],[Fecha]]="","",YEAR(Tabla2[[#This Row],[Fecha]]))</f>
        <v>2022</v>
      </c>
    </row>
    <row r="194" spans="1:24" x14ac:dyDescent="0.25">
      <c r="A194" s="3">
        <v>193</v>
      </c>
      <c r="B194" s="77" t="s">
        <v>1156</v>
      </c>
      <c r="C194" s="360">
        <v>44713</v>
      </c>
      <c r="D194" s="225" t="s">
        <v>1157</v>
      </c>
      <c r="E194" s="360">
        <v>44713</v>
      </c>
      <c r="F194" s="78" t="s">
        <v>716</v>
      </c>
      <c r="G194" s="85">
        <v>860012357</v>
      </c>
      <c r="H194" s="177" t="str">
        <f>VLOOKUP(Tabla2[[#This Row],[NIT]],Clientes!A:C,2,0)</f>
        <v>Universidad Santo Tomas</v>
      </c>
      <c r="I194" s="77" t="str">
        <f>VLOOKUP(Tabla2[[#This Row],[NIT]],Clientes!A:C,3,0)</f>
        <v>PJ</v>
      </c>
      <c r="J194" s="73" t="s">
        <v>794</v>
      </c>
      <c r="K194" s="267">
        <f>SUMIFS(Tabla4[Sub Total],Tabla4[Codigo],Tabla2[[#This Row],[Cod]])</f>
        <v>14875000</v>
      </c>
      <c r="L194" s="262">
        <f>SUMPRODUCT((Tabla4[Codigo]=Tabla2[[#This Row],[Cod]])*1,Tabla4[IVA])</f>
        <v>2826250</v>
      </c>
      <c r="M194" s="262">
        <f>SUMIFS(Tabla4[Total],Tabla4[Codigo],Tabla2[[#This Row],[Cod]])</f>
        <v>17701250</v>
      </c>
      <c r="N194" s="278">
        <f>SUMPRODUCT((Tabla1[Codigo]=Tabla2[[#This Row],[Cod]])*1,Tabla1[Valor])</f>
        <v>0</v>
      </c>
      <c r="O194" s="265">
        <f>IF(AND(Tabla2[[#This Row],[Estado]]="ok",LEFT(Tabla2[[#This Row],['# Factura]],3)="TIS"),Tabla2[[#This Row],[TOTAL]]-Tabla2[[#This Row],[pagado]],0)</f>
        <v>0</v>
      </c>
      <c r="P194" s="262">
        <f>Tabla2[[#This Row],[TOTAL]]-Tabla2[[#This Row],[Valor pago]]</f>
        <v>17701250</v>
      </c>
      <c r="Q194" s="265">
        <f>IF(Tabla2[[#This Row],[Saldo]]=0,0,IF(Tabla2[[#This Row],[Tipo cliente]]="PJ",Tabla2[[#This Row],[SUBTOTAL]]*11%,0))</f>
        <v>1636250</v>
      </c>
      <c r="R194" s="276">
        <f>IF(Tabla2[[#This Row],[Saldo]]=0,0,IF(Tabla2[[#This Row],[Tipo cliente]]="PJ",Tabla2[[#This Row],[SUBTOTAL]]*0.966%,0))</f>
        <v>143692.5</v>
      </c>
      <c r="S194" s="276">
        <f>IF(Tabla2[[#This Row],[Retiene IVA]]="S",Tabla2[[#This Row],[IVA]]*0.15,0)</f>
        <v>0</v>
      </c>
      <c r="T194" s="265">
        <f>+Tabla2[[#This Row],[Saldo]]-Tabla2[[#This Row],[Rete fte]]-Tabla2[[#This Row],[rete ica]]-Tabla2[[#This Row],[Rete IVA]]</f>
        <v>15921307.5</v>
      </c>
      <c r="U19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94" s="23">
        <f>IF(Tabla2[[#This Row],[Fecha F.E.]]="","",YEAR(Tabla2[[#This Row],[Fecha F.E.]]))</f>
        <v>2022</v>
      </c>
      <c r="X194" s="23">
        <f>IF(Tabla2[[#This Row],[Fecha]]="","",YEAR(Tabla2[[#This Row],[Fecha]]))</f>
        <v>2022</v>
      </c>
    </row>
    <row r="195" spans="1:24" x14ac:dyDescent="0.25">
      <c r="A195" s="3">
        <v>194</v>
      </c>
      <c r="B195" s="77" t="s">
        <v>1158</v>
      </c>
      <c r="C195" s="360">
        <v>44714</v>
      </c>
      <c r="D195" s="225" t="s">
        <v>1159</v>
      </c>
      <c r="E195" s="360">
        <v>44714</v>
      </c>
      <c r="F195" s="78" t="s">
        <v>716</v>
      </c>
      <c r="G195" s="85">
        <v>860012357</v>
      </c>
      <c r="H195" s="177" t="str">
        <f>VLOOKUP(Tabla2[[#This Row],[NIT]],Clientes!A:C,2,0)</f>
        <v>Universidad Santo Tomas</v>
      </c>
      <c r="I195" s="77" t="str">
        <f>VLOOKUP(Tabla2[[#This Row],[NIT]],Clientes!A:C,3,0)</f>
        <v>PJ</v>
      </c>
      <c r="J195" s="73" t="s">
        <v>794</v>
      </c>
      <c r="K195" s="267">
        <f>SUMIFS(Tabla4[Sub Total],Tabla4[Codigo],Tabla2[[#This Row],[Cod]])</f>
        <v>-14875000</v>
      </c>
      <c r="L195" s="262">
        <f>SUMPRODUCT((Tabla4[Codigo]=Tabla2[[#This Row],[Cod]])*1,Tabla4[IVA])</f>
        <v>-2826250</v>
      </c>
      <c r="M195" s="262">
        <f>SUMIFS(Tabla4[Total],Tabla4[Codigo],Tabla2[[#This Row],[Cod]])</f>
        <v>-17701250</v>
      </c>
      <c r="N195" s="278">
        <f>SUMPRODUCT((Tabla1[Codigo]=Tabla2[[#This Row],[Cod]])*1,Tabla1[Valor])</f>
        <v>0</v>
      </c>
      <c r="O195" s="265">
        <f>IF(AND(Tabla2[[#This Row],[Estado]]="ok",LEFT(Tabla2[[#This Row],['# Factura]],3)="TIS"),Tabla2[[#This Row],[TOTAL]]-Tabla2[[#This Row],[pagado]],0)</f>
        <v>0</v>
      </c>
      <c r="P195" s="262">
        <f>Tabla2[[#This Row],[TOTAL]]-Tabla2[[#This Row],[Valor pago]]</f>
        <v>-17701250</v>
      </c>
      <c r="Q195" s="265">
        <f>IF(Tabla2[[#This Row],[Saldo]]=0,0,IF(Tabla2[[#This Row],[Tipo cliente]]="PJ",Tabla2[[#This Row],[SUBTOTAL]]*11%,0))</f>
        <v>-1636250</v>
      </c>
      <c r="R195" s="276">
        <f>IF(Tabla2[[#This Row],[Saldo]]=0,0,IF(Tabla2[[#This Row],[Tipo cliente]]="PJ",Tabla2[[#This Row],[SUBTOTAL]]*0.966%,0))</f>
        <v>-143692.5</v>
      </c>
      <c r="S195" s="276">
        <f>IF(Tabla2[[#This Row],[Retiene IVA]]="S",Tabla2[[#This Row],[IVA]]*0.15,0)</f>
        <v>0</v>
      </c>
      <c r="T195" s="265">
        <f>+Tabla2[[#This Row],[Saldo]]-Tabla2[[#This Row],[Rete fte]]-Tabla2[[#This Row],[rete ica]]-Tabla2[[#This Row],[Rete IVA]]</f>
        <v>-15921307.5</v>
      </c>
      <c r="U19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95" s="23">
        <f>IF(Tabla2[[#This Row],[Fecha F.E.]]="","",YEAR(Tabla2[[#This Row],[Fecha F.E.]]))</f>
        <v>2022</v>
      </c>
      <c r="X195" s="23">
        <f>IF(Tabla2[[#This Row],[Fecha]]="","",YEAR(Tabla2[[#This Row],[Fecha]]))</f>
        <v>2022</v>
      </c>
    </row>
    <row r="196" spans="1:24" x14ac:dyDescent="0.25">
      <c r="A196" s="3">
        <v>195</v>
      </c>
      <c r="B196" s="77" t="s">
        <v>1160</v>
      </c>
      <c r="C196" s="360">
        <v>44735</v>
      </c>
      <c r="D196" s="225" t="s">
        <v>1161</v>
      </c>
      <c r="E196" s="360">
        <v>44735</v>
      </c>
      <c r="F196" s="78" t="s">
        <v>716</v>
      </c>
      <c r="G196" s="85">
        <v>860012357</v>
      </c>
      <c r="H196" s="177" t="str">
        <f>VLOOKUP(Tabla2[[#This Row],[NIT]],Clientes!A:C,2,0)</f>
        <v>Universidad Santo Tomas</v>
      </c>
      <c r="I196" s="77" t="str">
        <f>VLOOKUP(Tabla2[[#This Row],[NIT]],Clientes!A:C,3,0)</f>
        <v>PJ</v>
      </c>
      <c r="J196" s="73" t="s">
        <v>794</v>
      </c>
      <c r="K196" s="267">
        <f>SUMIFS(Tabla4[Sub Total],Tabla4[Codigo],Tabla2[[#This Row],[Cod]])</f>
        <v>10350000</v>
      </c>
      <c r="L196" s="262">
        <f>SUMPRODUCT((Tabla4[Codigo]=Tabla2[[#This Row],[Cod]])*1,Tabla4[IVA])</f>
        <v>1966500</v>
      </c>
      <c r="M196" s="262">
        <f>SUMIFS(Tabla4[Total],Tabla4[Codigo],Tabla2[[#This Row],[Cod]])</f>
        <v>12316500</v>
      </c>
      <c r="N196" s="278">
        <f>SUMPRODUCT((Tabla1[Codigo]=Tabla2[[#This Row],[Cod]])*1,Tabla1[Valor])</f>
        <v>0</v>
      </c>
      <c r="O196" s="265">
        <f>IF(AND(Tabla2[[#This Row],[Estado]]="ok",LEFT(Tabla2[[#This Row],['# Factura]],3)="TIS"),Tabla2[[#This Row],[TOTAL]]-Tabla2[[#This Row],[pagado]],0)</f>
        <v>0</v>
      </c>
      <c r="P196" s="262">
        <f>Tabla2[[#This Row],[TOTAL]]-Tabla2[[#This Row],[Valor pago]]</f>
        <v>12316500</v>
      </c>
      <c r="Q196" s="265">
        <f>IF(Tabla2[[#This Row],[Saldo]]=0,0,IF(Tabla2[[#This Row],[Tipo cliente]]="PJ",Tabla2[[#This Row],[SUBTOTAL]]*11%,0))</f>
        <v>1138500</v>
      </c>
      <c r="R196" s="276">
        <f>IF(Tabla2[[#This Row],[Saldo]]=0,0,IF(Tabla2[[#This Row],[Tipo cliente]]="PJ",Tabla2[[#This Row],[SUBTOTAL]]*0.966%,0))</f>
        <v>99981</v>
      </c>
      <c r="S196" s="276">
        <f>IF(Tabla2[[#This Row],[Retiene IVA]]="S",Tabla2[[#This Row],[IVA]]*0.15,0)</f>
        <v>0</v>
      </c>
      <c r="T196" s="265">
        <f>+Tabla2[[#This Row],[Saldo]]-Tabla2[[#This Row],[Rete fte]]-Tabla2[[#This Row],[rete ica]]-Tabla2[[#This Row],[Rete IVA]]</f>
        <v>11078019</v>
      </c>
      <c r="U19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96" s="23">
        <f>IF(Tabla2[[#This Row],[Fecha F.E.]]="","",YEAR(Tabla2[[#This Row],[Fecha F.E.]]))</f>
        <v>2022</v>
      </c>
      <c r="X196" s="23">
        <f>IF(Tabla2[[#This Row],[Fecha]]="","",YEAR(Tabla2[[#This Row],[Fecha]]))</f>
        <v>2022</v>
      </c>
    </row>
    <row r="197" spans="1:24" x14ac:dyDescent="0.25">
      <c r="A197" s="3">
        <v>196</v>
      </c>
      <c r="B197" s="77" t="s">
        <v>1162</v>
      </c>
      <c r="C197" s="360">
        <v>44735</v>
      </c>
      <c r="D197" s="225" t="s">
        <v>1163</v>
      </c>
      <c r="E197" s="360">
        <v>44735</v>
      </c>
      <c r="F197" s="78" t="s">
        <v>716</v>
      </c>
      <c r="G197" s="85">
        <v>860012357</v>
      </c>
      <c r="H197" s="177" t="str">
        <f>VLOOKUP(Tabla2[[#This Row],[NIT]],Clientes!A:C,2,0)</f>
        <v>Universidad Santo Tomas</v>
      </c>
      <c r="I197" s="77" t="str">
        <f>VLOOKUP(Tabla2[[#This Row],[NIT]],Clientes!A:C,3,0)</f>
        <v>PJ</v>
      </c>
      <c r="J197" s="73" t="s">
        <v>794</v>
      </c>
      <c r="K197" s="267">
        <f>SUMIFS(Tabla4[Sub Total],Tabla4[Codigo],Tabla2[[#This Row],[Cod]])</f>
        <v>-10350000</v>
      </c>
      <c r="L197" s="262">
        <f>SUMPRODUCT((Tabla4[Codigo]=Tabla2[[#This Row],[Cod]])*1,Tabla4[IVA])</f>
        <v>-1966500</v>
      </c>
      <c r="M197" s="262">
        <f>SUMIFS(Tabla4[Total],Tabla4[Codigo],Tabla2[[#This Row],[Cod]])</f>
        <v>-12316500</v>
      </c>
      <c r="N197" s="278">
        <f>SUMPRODUCT((Tabla1[Codigo]=Tabla2[[#This Row],[Cod]])*1,Tabla1[Valor])</f>
        <v>0</v>
      </c>
      <c r="O197" s="265">
        <f>IF(AND(Tabla2[[#This Row],[Estado]]="ok",LEFT(Tabla2[[#This Row],['# Factura]],3)="TIS"),Tabla2[[#This Row],[TOTAL]]-Tabla2[[#This Row],[pagado]],0)</f>
        <v>0</v>
      </c>
      <c r="P197" s="262">
        <f>Tabla2[[#This Row],[TOTAL]]-Tabla2[[#This Row],[Valor pago]]</f>
        <v>-12316500</v>
      </c>
      <c r="Q197" s="265">
        <f>IF(Tabla2[[#This Row],[Saldo]]=0,0,IF(Tabla2[[#This Row],[Tipo cliente]]="PJ",Tabla2[[#This Row],[SUBTOTAL]]*11%,0))</f>
        <v>-1138500</v>
      </c>
      <c r="R197" s="276">
        <f>IF(Tabla2[[#This Row],[Saldo]]=0,0,IF(Tabla2[[#This Row],[Tipo cliente]]="PJ",Tabla2[[#This Row],[SUBTOTAL]]*0.966%,0))</f>
        <v>-99981</v>
      </c>
      <c r="S197" s="276">
        <f>IF(Tabla2[[#This Row],[Retiene IVA]]="S",Tabla2[[#This Row],[IVA]]*0.15,0)</f>
        <v>0</v>
      </c>
      <c r="T197" s="265">
        <f>+Tabla2[[#This Row],[Saldo]]-Tabla2[[#This Row],[Rete fte]]-Tabla2[[#This Row],[rete ica]]-Tabla2[[#This Row],[Rete IVA]]</f>
        <v>-11078019</v>
      </c>
      <c r="U19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97" s="23">
        <f>IF(Tabla2[[#This Row],[Fecha F.E.]]="","",YEAR(Tabla2[[#This Row],[Fecha F.E.]]))</f>
        <v>2022</v>
      </c>
      <c r="X197" s="23">
        <f>IF(Tabla2[[#This Row],[Fecha]]="","",YEAR(Tabla2[[#This Row],[Fecha]]))</f>
        <v>2022</v>
      </c>
    </row>
    <row r="198" spans="1:24" x14ac:dyDescent="0.25">
      <c r="A198" s="3">
        <v>197</v>
      </c>
      <c r="B198" s="77" t="s">
        <v>1164</v>
      </c>
      <c r="C198" s="360">
        <v>44747</v>
      </c>
      <c r="D198" s="225" t="s">
        <v>1165</v>
      </c>
      <c r="E198" s="360">
        <v>44747</v>
      </c>
      <c r="F198" s="78" t="s">
        <v>716</v>
      </c>
      <c r="G198" s="85">
        <v>860012357</v>
      </c>
      <c r="H198" s="177" t="str">
        <f>VLOOKUP(Tabla2[[#This Row],[NIT]],Clientes!A:C,2,0)</f>
        <v>Universidad Santo Tomas</v>
      </c>
      <c r="I198" s="77" t="str">
        <f>VLOOKUP(Tabla2[[#This Row],[NIT]],Clientes!A:C,3,0)</f>
        <v>PJ</v>
      </c>
      <c r="J198" s="73" t="s">
        <v>794</v>
      </c>
      <c r="K198" s="267">
        <f>SUMIFS(Tabla4[Sub Total],Tabla4[Codigo],Tabla2[[#This Row],[Cod]])</f>
        <v>10350000</v>
      </c>
      <c r="L198" s="262">
        <f>SUMPRODUCT((Tabla4[Codigo]=Tabla2[[#This Row],[Cod]])*1,Tabla4[IVA])</f>
        <v>1966500</v>
      </c>
      <c r="M198" s="262">
        <f>SUMIFS(Tabla4[Total],Tabla4[Codigo],Tabla2[[#This Row],[Cod]])</f>
        <v>12316500</v>
      </c>
      <c r="N198" s="278">
        <f>SUMPRODUCT((Tabla1[Codigo]=Tabla2[[#This Row],[Cod]])*1,Tabla1[Valor])</f>
        <v>0</v>
      </c>
      <c r="O198" s="265">
        <f>IF(AND(Tabla2[[#This Row],[Estado]]="ok",LEFT(Tabla2[[#This Row],['# Factura]],3)="TIS"),Tabla2[[#This Row],[TOTAL]]-Tabla2[[#This Row],[pagado]],0)</f>
        <v>0</v>
      </c>
      <c r="P198" s="262">
        <f>Tabla2[[#This Row],[TOTAL]]-Tabla2[[#This Row],[Valor pago]]</f>
        <v>12316500</v>
      </c>
      <c r="Q198" s="265">
        <f>IF(Tabla2[[#This Row],[Saldo]]=0,0,IF(Tabla2[[#This Row],[Tipo cliente]]="PJ",Tabla2[[#This Row],[SUBTOTAL]]*11%,0))</f>
        <v>1138500</v>
      </c>
      <c r="R198" s="276">
        <f>IF(Tabla2[[#This Row],[Saldo]]=0,0,IF(Tabla2[[#This Row],[Tipo cliente]]="PJ",Tabla2[[#This Row],[SUBTOTAL]]*0.966%,0))</f>
        <v>99981</v>
      </c>
      <c r="S198" s="276">
        <f>IF(Tabla2[[#This Row],[Retiene IVA]]="S",Tabla2[[#This Row],[IVA]]*0.15,0)</f>
        <v>0</v>
      </c>
      <c r="T198" s="265">
        <f>+Tabla2[[#This Row],[Saldo]]-Tabla2[[#This Row],[Rete fte]]-Tabla2[[#This Row],[rete ica]]-Tabla2[[#This Row],[Rete IVA]]</f>
        <v>11078019</v>
      </c>
      <c r="U19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98" s="23">
        <f>IF(Tabla2[[#This Row],[Fecha F.E.]]="","",YEAR(Tabla2[[#This Row],[Fecha F.E.]]))</f>
        <v>2022</v>
      </c>
      <c r="X198" s="23">
        <f>IF(Tabla2[[#This Row],[Fecha]]="","",YEAR(Tabla2[[#This Row],[Fecha]]))</f>
        <v>2022</v>
      </c>
    </row>
    <row r="199" spans="1:24" x14ac:dyDescent="0.25">
      <c r="A199" s="3">
        <v>198</v>
      </c>
      <c r="B199" s="77" t="s">
        <v>1166</v>
      </c>
      <c r="C199" s="360">
        <v>44747</v>
      </c>
      <c r="D199" s="225" t="s">
        <v>1167</v>
      </c>
      <c r="E199" s="360">
        <v>44747</v>
      </c>
      <c r="F199" s="78" t="s">
        <v>716</v>
      </c>
      <c r="G199" s="85">
        <v>860012357</v>
      </c>
      <c r="H199" s="177" t="str">
        <f>VLOOKUP(Tabla2[[#This Row],[NIT]],Clientes!A:C,2,0)</f>
        <v>Universidad Santo Tomas</v>
      </c>
      <c r="I199" s="77" t="str">
        <f>VLOOKUP(Tabla2[[#This Row],[NIT]],Clientes!A:C,3,0)</f>
        <v>PJ</v>
      </c>
      <c r="J199" s="73" t="s">
        <v>794</v>
      </c>
      <c r="K199" s="267">
        <f>SUMIFS(Tabla4[Sub Total],Tabla4[Codigo],Tabla2[[#This Row],[Cod]])</f>
        <v>-10350000</v>
      </c>
      <c r="L199" s="262">
        <f>SUMPRODUCT((Tabla4[Codigo]=Tabla2[[#This Row],[Cod]])*1,Tabla4[IVA])</f>
        <v>-1966500</v>
      </c>
      <c r="M199" s="262">
        <f>SUMIFS(Tabla4[Total],Tabla4[Codigo],Tabla2[[#This Row],[Cod]])</f>
        <v>-12316500</v>
      </c>
      <c r="N199" s="278">
        <f>SUMPRODUCT((Tabla1[Codigo]=Tabla2[[#This Row],[Cod]])*1,Tabla1[Valor])</f>
        <v>0</v>
      </c>
      <c r="O199" s="265">
        <f>IF(AND(Tabla2[[#This Row],[Estado]]="ok",LEFT(Tabla2[[#This Row],['# Factura]],3)="TIS"),Tabla2[[#This Row],[TOTAL]]-Tabla2[[#This Row],[pagado]],0)</f>
        <v>0</v>
      </c>
      <c r="P199" s="262">
        <f>Tabla2[[#This Row],[TOTAL]]-Tabla2[[#This Row],[Valor pago]]</f>
        <v>-12316500</v>
      </c>
      <c r="Q199" s="265">
        <f>IF(Tabla2[[#This Row],[Saldo]]=0,0,IF(Tabla2[[#This Row],[Tipo cliente]]="PJ",Tabla2[[#This Row],[SUBTOTAL]]*11%,0))</f>
        <v>-1138500</v>
      </c>
      <c r="R199" s="276">
        <f>IF(Tabla2[[#This Row],[Saldo]]=0,0,IF(Tabla2[[#This Row],[Tipo cliente]]="PJ",Tabla2[[#This Row],[SUBTOTAL]]*0.966%,0))</f>
        <v>-99981</v>
      </c>
      <c r="S199" s="276">
        <f>IF(Tabla2[[#This Row],[Retiene IVA]]="S",Tabla2[[#This Row],[IVA]]*0.15,0)</f>
        <v>0</v>
      </c>
      <c r="T199" s="265">
        <f>+Tabla2[[#This Row],[Saldo]]-Tabla2[[#This Row],[Rete fte]]-Tabla2[[#This Row],[rete ica]]-Tabla2[[#This Row],[Rete IVA]]</f>
        <v>-11078019</v>
      </c>
      <c r="U19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199" s="23">
        <f>IF(Tabla2[[#This Row],[Fecha F.E.]]="","",YEAR(Tabla2[[#This Row],[Fecha F.E.]]))</f>
        <v>2022</v>
      </c>
      <c r="X199" s="23">
        <f>IF(Tabla2[[#This Row],[Fecha]]="","",YEAR(Tabla2[[#This Row],[Fecha]]))</f>
        <v>2022</v>
      </c>
    </row>
    <row r="200" spans="1:24" x14ac:dyDescent="0.25">
      <c r="A200" s="3">
        <v>199</v>
      </c>
      <c r="B200" s="77" t="s">
        <v>1168</v>
      </c>
      <c r="C200" s="360">
        <v>44774</v>
      </c>
      <c r="D200" s="225" t="s">
        <v>1169</v>
      </c>
      <c r="E200" s="360">
        <v>44774</v>
      </c>
      <c r="F200" s="78" t="s">
        <v>716</v>
      </c>
      <c r="G200" s="85">
        <v>860002964</v>
      </c>
      <c r="H200" s="177" t="str">
        <f>VLOOKUP(Tabla2[[#This Row],[NIT]],Clientes!A:C,2,0)</f>
        <v>Banco de Bogota S.A.</v>
      </c>
      <c r="I200" s="77" t="str">
        <f>VLOOKUP(Tabla2[[#This Row],[NIT]],Clientes!A:C,3,0)</f>
        <v>PJ</v>
      </c>
      <c r="J200" s="73" t="s">
        <v>794</v>
      </c>
      <c r="K200" s="267">
        <f>SUMIFS(Tabla4[Sub Total],Tabla4[Codigo],Tabla2[[#This Row],[Cod]])</f>
        <v>22800000</v>
      </c>
      <c r="L200" s="262">
        <f>SUMPRODUCT((Tabla4[Codigo]=Tabla2[[#This Row],[Cod]])*1,Tabla4[IVA])</f>
        <v>4332000</v>
      </c>
      <c r="M200" s="262">
        <f>SUMIFS(Tabla4[Total],Tabla4[Codigo],Tabla2[[#This Row],[Cod]])</f>
        <v>27132000</v>
      </c>
      <c r="N200" s="278">
        <f>SUMPRODUCT((Tabla1[Codigo]=Tabla2[[#This Row],[Cod]])*1,Tabla1[Valor])</f>
        <v>0</v>
      </c>
      <c r="O200" s="265">
        <f>IF(AND(Tabla2[[#This Row],[Estado]]="ok",LEFT(Tabla2[[#This Row],['# Factura]],3)="TIS"),Tabla2[[#This Row],[TOTAL]]-Tabla2[[#This Row],[pagado]],0)</f>
        <v>0</v>
      </c>
      <c r="P200" s="262">
        <f>Tabla2[[#This Row],[TOTAL]]-Tabla2[[#This Row],[Valor pago]]</f>
        <v>27132000</v>
      </c>
      <c r="Q200" s="265">
        <f>IF(Tabla2[[#This Row],[Saldo]]=0,0,IF(Tabla2[[#This Row],[Tipo cliente]]="PJ",Tabla2[[#This Row],[SUBTOTAL]]*11%,0))</f>
        <v>2508000</v>
      </c>
      <c r="R200" s="276">
        <f>IF(Tabla2[[#This Row],[Saldo]]=0,0,IF(Tabla2[[#This Row],[Tipo cliente]]="PJ",Tabla2[[#This Row],[SUBTOTAL]]*0.966%,0))</f>
        <v>220248</v>
      </c>
      <c r="S200" s="276">
        <f>IF(Tabla2[[#This Row],[Retiene IVA]]="S",Tabla2[[#This Row],[IVA]]*0.15,0)</f>
        <v>0</v>
      </c>
      <c r="T200" s="265">
        <f>+Tabla2[[#This Row],[Saldo]]-Tabla2[[#This Row],[Rete fte]]-Tabla2[[#This Row],[rete ica]]-Tabla2[[#This Row],[Rete IVA]]</f>
        <v>24403752</v>
      </c>
      <c r="U20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V200" s="23" t="s">
        <v>1170</v>
      </c>
      <c r="W200" s="23">
        <f>IF(Tabla2[[#This Row],[Fecha F.E.]]="","",YEAR(Tabla2[[#This Row],[Fecha F.E.]]))</f>
        <v>2022</v>
      </c>
      <c r="X200" s="23">
        <f>IF(Tabla2[[#This Row],[Fecha]]="","",YEAR(Tabla2[[#This Row],[Fecha]]))</f>
        <v>2022</v>
      </c>
    </row>
    <row r="201" spans="1:24" x14ac:dyDescent="0.25">
      <c r="A201" s="3">
        <v>200</v>
      </c>
      <c r="B201" s="77" t="s">
        <v>1171</v>
      </c>
      <c r="C201" s="360">
        <v>44792</v>
      </c>
      <c r="D201" s="225" t="s">
        <v>1170</v>
      </c>
      <c r="E201" s="360">
        <v>44792</v>
      </c>
      <c r="F201" s="78" t="s">
        <v>716</v>
      </c>
      <c r="G201" s="85">
        <v>860002964</v>
      </c>
      <c r="H201" s="177" t="str">
        <f>VLOOKUP(Tabla2[[#This Row],[NIT]],Clientes!A:C,2,0)</f>
        <v>Banco de Bogota S.A.</v>
      </c>
      <c r="I201" s="77" t="str">
        <f>VLOOKUP(Tabla2[[#This Row],[NIT]],Clientes!A:C,3,0)</f>
        <v>PJ</v>
      </c>
      <c r="J201" s="73" t="s">
        <v>794</v>
      </c>
      <c r="K201" s="267">
        <f>SUMIFS(Tabla4[Sub Total],Tabla4[Codigo],Tabla2[[#This Row],[Cod]])</f>
        <v>-22800000</v>
      </c>
      <c r="L201" s="262">
        <f>SUMPRODUCT((Tabla4[Codigo]=Tabla2[[#This Row],[Cod]])*1,Tabla4[IVA])</f>
        <v>-4332000</v>
      </c>
      <c r="M201" s="262">
        <f>SUMIFS(Tabla4[Total],Tabla4[Codigo],Tabla2[[#This Row],[Cod]])</f>
        <v>-27132000</v>
      </c>
      <c r="N201" s="278">
        <f>SUMPRODUCT((Tabla1[Codigo]=Tabla2[[#This Row],[Cod]])*1,Tabla1[Valor])</f>
        <v>0</v>
      </c>
      <c r="O201" s="265">
        <f>IF(AND(Tabla2[[#This Row],[Estado]]="ok",LEFT(Tabla2[[#This Row],['# Factura]],3)="TIS"),Tabla2[[#This Row],[TOTAL]]-Tabla2[[#This Row],[pagado]],0)</f>
        <v>0</v>
      </c>
      <c r="P201" s="262">
        <f>Tabla2[[#This Row],[TOTAL]]-Tabla2[[#This Row],[Valor pago]]</f>
        <v>-27132000</v>
      </c>
      <c r="Q201" s="265">
        <f>IF(Tabla2[[#This Row],[Saldo]]=0,0,IF(Tabla2[[#This Row],[Tipo cliente]]="PJ",Tabla2[[#This Row],[SUBTOTAL]]*11%,0))</f>
        <v>-2508000</v>
      </c>
      <c r="R201" s="276">
        <f>IF(Tabla2[[#This Row],[Saldo]]=0,0,IF(Tabla2[[#This Row],[Tipo cliente]]="PJ",Tabla2[[#This Row],[SUBTOTAL]]*0.966%,0))</f>
        <v>-220248</v>
      </c>
      <c r="S201" s="276">
        <f>IF(Tabla2[[#This Row],[Retiene IVA]]="S",Tabla2[[#This Row],[IVA]]*0.15,0)</f>
        <v>0</v>
      </c>
      <c r="T201" s="265">
        <f>+Tabla2[[#This Row],[Saldo]]-Tabla2[[#This Row],[Rete fte]]-Tabla2[[#This Row],[rete ica]]-Tabla2[[#This Row],[Rete IVA]]</f>
        <v>-24403752</v>
      </c>
      <c r="U20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V201" s="23" t="s">
        <v>1172</v>
      </c>
      <c r="W201" s="23">
        <f>IF(Tabla2[[#This Row],[Fecha F.E.]]="","",YEAR(Tabla2[[#This Row],[Fecha F.E.]]))</f>
        <v>2022</v>
      </c>
      <c r="X201" s="23">
        <f>IF(Tabla2[[#This Row],[Fecha]]="","",YEAR(Tabla2[[#This Row],[Fecha]]))</f>
        <v>2022</v>
      </c>
    </row>
    <row r="202" spans="1:24" x14ac:dyDescent="0.25">
      <c r="A202" s="3">
        <v>201</v>
      </c>
      <c r="B202" s="77" t="s">
        <v>1173</v>
      </c>
      <c r="C202" s="360">
        <v>44775</v>
      </c>
      <c r="D202" s="225" t="s">
        <v>1174</v>
      </c>
      <c r="E202" s="360">
        <v>44775</v>
      </c>
      <c r="F202" s="78" t="s">
        <v>716</v>
      </c>
      <c r="G202" s="85">
        <v>830078222</v>
      </c>
      <c r="H202" s="177" t="str">
        <f>VLOOKUP(Tabla2[[#This Row],[NIT]],Clientes!A:C,2,0)</f>
        <v>BETA SERVICIOS TEMPORALES S A S</v>
      </c>
      <c r="I202" s="77" t="str">
        <f>VLOOKUP(Tabla2[[#This Row],[NIT]],Clientes!A:C,3,0)</f>
        <v>PJ</v>
      </c>
      <c r="J202" s="73" t="s">
        <v>794</v>
      </c>
      <c r="K202" s="267">
        <f>SUMIFS(Tabla4[Sub Total],Tabla4[Codigo],Tabla2[[#This Row],[Cod]])</f>
        <v>225000</v>
      </c>
      <c r="L202" s="262">
        <f>SUMPRODUCT((Tabla4[Codigo]=Tabla2[[#This Row],[Cod]])*1,Tabla4[IVA])</f>
        <v>42750</v>
      </c>
      <c r="M202" s="262">
        <f>SUMIFS(Tabla4[Total],Tabla4[Codigo],Tabla2[[#This Row],[Cod]])</f>
        <v>267750</v>
      </c>
      <c r="N202" s="278">
        <f>SUMPRODUCT((Tabla1[Codigo]=Tabla2[[#This Row],[Cod]])*1,Tabla1[Valor])</f>
        <v>0</v>
      </c>
      <c r="O202" s="265">
        <f>IF(AND(Tabla2[[#This Row],[Estado]]="ok",LEFT(Tabla2[[#This Row],['# Factura]],3)="TIS"),Tabla2[[#This Row],[TOTAL]]-Tabla2[[#This Row],[pagado]],0)</f>
        <v>0</v>
      </c>
      <c r="P202" s="262">
        <f>Tabla2[[#This Row],[TOTAL]]-Tabla2[[#This Row],[Valor pago]]</f>
        <v>267750</v>
      </c>
      <c r="Q202" s="265">
        <f>IF(Tabla2[[#This Row],[Saldo]]=0,0,IF(Tabla2[[#This Row],[Tipo cliente]]="PJ",Tabla2[[#This Row],[SUBTOTAL]]*11%,0))</f>
        <v>24750</v>
      </c>
      <c r="R202" s="276">
        <f>IF(Tabla2[[#This Row],[Saldo]]=0,0,IF(Tabla2[[#This Row],[Tipo cliente]]="PJ",Tabla2[[#This Row],[SUBTOTAL]]*0.966%,0))</f>
        <v>2173.5</v>
      </c>
      <c r="S202" s="276">
        <f>IF(Tabla2[[#This Row],[Retiene IVA]]="S",Tabla2[[#This Row],[IVA]]*0.15,0)</f>
        <v>0</v>
      </c>
      <c r="T202" s="265">
        <f>+Tabla2[[#This Row],[Saldo]]-Tabla2[[#This Row],[Rete fte]]-Tabla2[[#This Row],[rete ica]]-Tabla2[[#This Row],[Rete IVA]]</f>
        <v>240826.5</v>
      </c>
      <c r="U20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02" s="23">
        <f>IF(Tabla2[[#This Row],[Fecha F.E.]]="","",YEAR(Tabla2[[#This Row],[Fecha F.E.]]))</f>
        <v>2022</v>
      </c>
      <c r="X202" s="23">
        <f>IF(Tabla2[[#This Row],[Fecha]]="","",YEAR(Tabla2[[#This Row],[Fecha]]))</f>
        <v>2022</v>
      </c>
    </row>
    <row r="203" spans="1:24" x14ac:dyDescent="0.25">
      <c r="A203" s="3">
        <v>202</v>
      </c>
      <c r="B203" s="77" t="s">
        <v>1175</v>
      </c>
      <c r="C203" s="360">
        <v>44775</v>
      </c>
      <c r="D203" s="225" t="s">
        <v>1176</v>
      </c>
      <c r="E203" s="360">
        <v>44775</v>
      </c>
      <c r="F203" s="78" t="s">
        <v>716</v>
      </c>
      <c r="G203" s="85">
        <v>830078222</v>
      </c>
      <c r="H203" s="177" t="str">
        <f>VLOOKUP(Tabla2[[#This Row],[NIT]],Clientes!A:C,2,0)</f>
        <v>BETA SERVICIOS TEMPORALES S A S</v>
      </c>
      <c r="I203" s="77" t="str">
        <f>VLOOKUP(Tabla2[[#This Row],[NIT]],Clientes!A:C,3,0)</f>
        <v>PJ</v>
      </c>
      <c r="J203" s="73" t="s">
        <v>794</v>
      </c>
      <c r="K203" s="267">
        <f>SUMIFS(Tabla4[Sub Total],Tabla4[Codigo],Tabla2[[#This Row],[Cod]])</f>
        <v>-225000</v>
      </c>
      <c r="L203" s="262">
        <f>SUMPRODUCT((Tabla4[Codigo]=Tabla2[[#This Row],[Cod]])*1,Tabla4[IVA])</f>
        <v>-42750</v>
      </c>
      <c r="M203" s="262">
        <f>SUMIFS(Tabla4[Total],Tabla4[Codigo],Tabla2[[#This Row],[Cod]])</f>
        <v>-267750</v>
      </c>
      <c r="N203" s="278">
        <f>SUMPRODUCT((Tabla1[Codigo]=Tabla2[[#This Row],[Cod]])*1,Tabla1[Valor])</f>
        <v>0</v>
      </c>
      <c r="O203" s="265">
        <f>IF(AND(Tabla2[[#This Row],[Estado]]="ok",LEFT(Tabla2[[#This Row],['# Factura]],3)="TIS"),Tabla2[[#This Row],[TOTAL]]-Tabla2[[#This Row],[pagado]],0)</f>
        <v>0</v>
      </c>
      <c r="P203" s="262">
        <f>Tabla2[[#This Row],[TOTAL]]-Tabla2[[#This Row],[Valor pago]]</f>
        <v>-267750</v>
      </c>
      <c r="Q203" s="265">
        <f>IF(Tabla2[[#This Row],[Saldo]]=0,0,IF(Tabla2[[#This Row],[Tipo cliente]]="PJ",Tabla2[[#This Row],[SUBTOTAL]]*11%,0))</f>
        <v>-24750</v>
      </c>
      <c r="R203" s="276">
        <f>IF(Tabla2[[#This Row],[Saldo]]=0,0,IF(Tabla2[[#This Row],[Tipo cliente]]="PJ",Tabla2[[#This Row],[SUBTOTAL]]*0.966%,0))</f>
        <v>-2173.5</v>
      </c>
      <c r="S203" s="276">
        <f>IF(Tabla2[[#This Row],[Retiene IVA]]="S",Tabla2[[#This Row],[IVA]]*0.15,0)</f>
        <v>0</v>
      </c>
      <c r="T203" s="265">
        <f>+Tabla2[[#This Row],[Saldo]]-Tabla2[[#This Row],[Rete fte]]-Tabla2[[#This Row],[rete ica]]-Tabla2[[#This Row],[Rete IVA]]</f>
        <v>-240826.5</v>
      </c>
      <c r="U20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03" s="23">
        <f>IF(Tabla2[[#This Row],[Fecha F.E.]]="","",YEAR(Tabla2[[#This Row],[Fecha F.E.]]))</f>
        <v>2022</v>
      </c>
      <c r="X203" s="23">
        <f>IF(Tabla2[[#This Row],[Fecha]]="","",YEAR(Tabla2[[#This Row],[Fecha]]))</f>
        <v>2022</v>
      </c>
    </row>
    <row r="204" spans="1:24" x14ac:dyDescent="0.25">
      <c r="A204" s="3">
        <v>203</v>
      </c>
      <c r="B204" s="77" t="s">
        <v>1177</v>
      </c>
      <c r="C204" s="360">
        <v>44775</v>
      </c>
      <c r="D204" s="225" t="s">
        <v>1178</v>
      </c>
      <c r="E204" s="360">
        <v>44775</v>
      </c>
      <c r="F204" s="78" t="s">
        <v>716</v>
      </c>
      <c r="G204" s="85">
        <v>830078222</v>
      </c>
      <c r="H204" s="177" t="str">
        <f>VLOOKUP(Tabla2[[#This Row],[NIT]],Clientes!A:C,2,0)</f>
        <v>BETA SERVICIOS TEMPORALES S A S</v>
      </c>
      <c r="I204" s="77" t="str">
        <f>VLOOKUP(Tabla2[[#This Row],[NIT]],Clientes!A:C,3,0)</f>
        <v>PJ</v>
      </c>
      <c r="J204" s="73" t="s">
        <v>794</v>
      </c>
      <c r="K204" s="267">
        <f>SUMIFS(Tabla4[Sub Total],Tabla4[Codigo],Tabla2[[#This Row],[Cod]])</f>
        <v>225000</v>
      </c>
      <c r="L204" s="262">
        <f>SUMPRODUCT((Tabla4[Codigo]=Tabla2[[#This Row],[Cod]])*1,Tabla4[IVA])</f>
        <v>42750</v>
      </c>
      <c r="M204" s="262">
        <f>SUMIFS(Tabla4[Total],Tabla4[Codigo],Tabla2[[#This Row],[Cod]])</f>
        <v>267750</v>
      </c>
      <c r="N204" s="278">
        <f>SUMPRODUCT((Tabla1[Codigo]=Tabla2[[#This Row],[Cod]])*1,Tabla1[Valor])</f>
        <v>0</v>
      </c>
      <c r="O204" s="265">
        <f>IF(AND(Tabla2[[#This Row],[Estado]]="ok",LEFT(Tabla2[[#This Row],['# Factura]],3)="TIS"),Tabla2[[#This Row],[TOTAL]]-Tabla2[[#This Row],[pagado]],0)</f>
        <v>0</v>
      </c>
      <c r="P204" s="262">
        <f>Tabla2[[#This Row],[TOTAL]]-Tabla2[[#This Row],[Valor pago]]</f>
        <v>267750</v>
      </c>
      <c r="Q204" s="265">
        <f>IF(Tabla2[[#This Row],[Saldo]]=0,0,IF(Tabla2[[#This Row],[Tipo cliente]]="PJ",Tabla2[[#This Row],[SUBTOTAL]]*11%,0))</f>
        <v>24750</v>
      </c>
      <c r="R204" s="276">
        <f>IF(Tabla2[[#This Row],[Saldo]]=0,0,IF(Tabla2[[#This Row],[Tipo cliente]]="PJ",Tabla2[[#This Row],[SUBTOTAL]]*0.966%,0))</f>
        <v>2173.5</v>
      </c>
      <c r="S204" s="276">
        <f>IF(Tabla2[[#This Row],[Retiene IVA]]="S",Tabla2[[#This Row],[IVA]]*0.15,0)</f>
        <v>0</v>
      </c>
      <c r="T204" s="265">
        <f>+Tabla2[[#This Row],[Saldo]]-Tabla2[[#This Row],[Rete fte]]-Tabla2[[#This Row],[rete ica]]-Tabla2[[#This Row],[Rete IVA]]</f>
        <v>240826.5</v>
      </c>
      <c r="U20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04" s="23">
        <f>IF(Tabla2[[#This Row],[Fecha F.E.]]="","",YEAR(Tabla2[[#This Row],[Fecha F.E.]]))</f>
        <v>2022</v>
      </c>
      <c r="X204" s="23">
        <f>IF(Tabla2[[#This Row],[Fecha]]="","",YEAR(Tabla2[[#This Row],[Fecha]]))</f>
        <v>2022</v>
      </c>
    </row>
    <row r="205" spans="1:24" x14ac:dyDescent="0.25">
      <c r="A205" s="3">
        <v>204</v>
      </c>
      <c r="B205" s="77" t="s">
        <v>1179</v>
      </c>
      <c r="C205" s="360">
        <v>44838</v>
      </c>
      <c r="D205" s="225" t="s">
        <v>1180</v>
      </c>
      <c r="E205" s="360">
        <v>44838</v>
      </c>
      <c r="F205" s="78" t="s">
        <v>231</v>
      </c>
      <c r="G205" s="85">
        <v>830078222</v>
      </c>
      <c r="H205" s="177" t="str">
        <f>VLOOKUP(Tabla2[[#This Row],[NIT]],Clientes!A:C,2,0)</f>
        <v>BETA SERVICIOS TEMPORALES S A S</v>
      </c>
      <c r="I205" s="77" t="str">
        <f>VLOOKUP(Tabla2[[#This Row],[NIT]],Clientes!A:C,3,0)</f>
        <v>PJ</v>
      </c>
      <c r="J205" s="73" t="s">
        <v>794</v>
      </c>
      <c r="K205" s="267">
        <f>SUMIFS(Tabla4[Sub Total],Tabla4[Codigo],Tabla2[[#This Row],[Cod]])</f>
        <v>225000</v>
      </c>
      <c r="L205" s="262">
        <f>SUMPRODUCT((Tabla4[Codigo]=Tabla2[[#This Row],[Cod]])*1,Tabla4[IVA])</f>
        <v>42750</v>
      </c>
      <c r="M205" s="262">
        <f>SUMIFS(Tabla4[Total],Tabla4[Codigo],Tabla2[[#This Row],[Cod]])</f>
        <v>267750</v>
      </c>
      <c r="N205" s="278">
        <f>SUMPRODUCT((Tabla1[Codigo]=Tabla2[[#This Row],[Cod]])*1,Tabla1[Valor])</f>
        <v>241276</v>
      </c>
      <c r="O205" s="265">
        <f>IF(AND(Tabla2[[#This Row],[Estado]]="ok",LEFT(Tabla2[[#This Row],['# Factura]],3)="TIS"),Tabla2[[#This Row],[TOTAL]]-Tabla2[[#This Row],[pagado]],0)</f>
        <v>0</v>
      </c>
      <c r="P205" s="262">
        <f>Tabla2[[#This Row],[TOTAL]]-Tabla2[[#This Row],[Valor pago]]</f>
        <v>26474</v>
      </c>
      <c r="Q205" s="265">
        <f>IF(Tabla2[[#This Row],[Saldo]]=0,0,IF(Tabla2[[#This Row],[Tipo cliente]]="PJ",Tabla2[[#This Row],[SUBTOTAL]]*11%,0))</f>
        <v>24750</v>
      </c>
      <c r="R205" s="276">
        <f>IF(Tabla2[[#This Row],[Saldo]]=0,0,IF(Tabla2[[#This Row],[Tipo cliente]]="PJ",Tabla2[[#This Row],[SUBTOTAL]]*0.966%,0))</f>
        <v>2173.5</v>
      </c>
      <c r="S205" s="276">
        <f>IF(Tabla2[[#This Row],[Retiene IVA]]="S",Tabla2[[#This Row],[IVA]]*0.15,0)</f>
        <v>0</v>
      </c>
      <c r="T205" s="265">
        <f>+Tabla2[[#This Row],[Saldo]]-Tabla2[[#This Row],[Rete fte]]-Tabla2[[#This Row],[rete ica]]-Tabla2[[#This Row],[Rete IVA]]</f>
        <v>-449.5</v>
      </c>
      <c r="U20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267750</v>
      </c>
      <c r="W205" s="23">
        <f>IF(Tabla2[[#This Row],[Fecha F.E.]]="","",YEAR(Tabla2[[#This Row],[Fecha F.E.]]))</f>
        <v>2022</v>
      </c>
      <c r="X205" s="23">
        <f>IF(Tabla2[[#This Row],[Fecha]]="","",YEAR(Tabla2[[#This Row],[Fecha]]))</f>
        <v>2022</v>
      </c>
    </row>
    <row r="206" spans="1:24" x14ac:dyDescent="0.25">
      <c r="A206" s="3">
        <v>205</v>
      </c>
      <c r="B206" s="77" t="s">
        <v>1181</v>
      </c>
      <c r="C206" s="360">
        <v>44838</v>
      </c>
      <c r="D206" s="225" t="s">
        <v>1182</v>
      </c>
      <c r="E206" s="360">
        <v>44838</v>
      </c>
      <c r="F206" s="78" t="s">
        <v>716</v>
      </c>
      <c r="G206" s="85">
        <v>830078222</v>
      </c>
      <c r="H206" s="177" t="str">
        <f>VLOOKUP(Tabla2[[#This Row],[NIT]],Clientes!A:C,2,0)</f>
        <v>BETA SERVICIOS TEMPORALES S A S</v>
      </c>
      <c r="I206" s="77" t="str">
        <f>VLOOKUP(Tabla2[[#This Row],[NIT]],Clientes!A:C,3,0)</f>
        <v>PJ</v>
      </c>
      <c r="J206" s="73" t="s">
        <v>794</v>
      </c>
      <c r="K206" s="267">
        <f>SUMIFS(Tabla4[Sub Total],Tabla4[Codigo],Tabla2[[#This Row],[Cod]])</f>
        <v>-225000</v>
      </c>
      <c r="L206" s="262">
        <f>SUMPRODUCT((Tabla4[Codigo]=Tabla2[[#This Row],[Cod]])*1,Tabla4[IVA])</f>
        <v>-42750</v>
      </c>
      <c r="M206" s="262">
        <f>SUMIFS(Tabla4[Total],Tabla4[Codigo],Tabla2[[#This Row],[Cod]])</f>
        <v>-267750</v>
      </c>
      <c r="N206" s="278">
        <f>SUMPRODUCT((Tabla1[Codigo]=Tabla2[[#This Row],[Cod]])*1,Tabla1[Valor])</f>
        <v>0</v>
      </c>
      <c r="O206" s="265">
        <f>IF(AND(Tabla2[[#This Row],[Estado]]="ok",LEFT(Tabla2[[#This Row],['# Factura]],3)="TIS"),Tabla2[[#This Row],[TOTAL]]-Tabla2[[#This Row],[pagado]],0)</f>
        <v>0</v>
      </c>
      <c r="P206" s="262">
        <f>Tabla2[[#This Row],[TOTAL]]-Tabla2[[#This Row],[Valor pago]]</f>
        <v>-267750</v>
      </c>
      <c r="Q206" s="265">
        <f>IF(Tabla2[[#This Row],[Saldo]]=0,0,IF(Tabla2[[#This Row],[Tipo cliente]]="PJ",Tabla2[[#This Row],[SUBTOTAL]]*11%,0))</f>
        <v>-24750</v>
      </c>
      <c r="R206" s="276">
        <f>IF(Tabla2[[#This Row],[Saldo]]=0,0,IF(Tabla2[[#This Row],[Tipo cliente]]="PJ",Tabla2[[#This Row],[SUBTOTAL]]*0.966%,0))</f>
        <v>-2173.5</v>
      </c>
      <c r="S206" s="276">
        <f>IF(Tabla2[[#This Row],[Retiene IVA]]="S",Tabla2[[#This Row],[IVA]]*0.15,0)</f>
        <v>0</v>
      </c>
      <c r="T206" s="265">
        <f>+Tabla2[[#This Row],[Saldo]]-Tabla2[[#This Row],[Rete fte]]-Tabla2[[#This Row],[rete ica]]-Tabla2[[#This Row],[Rete IVA]]</f>
        <v>-240826.5</v>
      </c>
      <c r="U20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06" s="23">
        <f>IF(Tabla2[[#This Row],[Fecha F.E.]]="","",YEAR(Tabla2[[#This Row],[Fecha F.E.]]))</f>
        <v>2022</v>
      </c>
      <c r="X206" s="23">
        <f>IF(Tabla2[[#This Row],[Fecha]]="","",YEAR(Tabla2[[#This Row],[Fecha]]))</f>
        <v>2022</v>
      </c>
    </row>
    <row r="207" spans="1:24" x14ac:dyDescent="0.25">
      <c r="A207" s="3">
        <v>206</v>
      </c>
      <c r="B207" s="77" t="s">
        <v>1183</v>
      </c>
      <c r="C207" s="360">
        <v>44834</v>
      </c>
      <c r="D207" s="225" t="s">
        <v>1184</v>
      </c>
      <c r="E207" s="360">
        <v>44834</v>
      </c>
      <c r="F207" s="78" t="s">
        <v>231</v>
      </c>
      <c r="G207" s="85">
        <v>55158870</v>
      </c>
      <c r="H207" s="177" t="str">
        <f>VLOOKUP(Tabla2[[#This Row],[NIT]],Clientes!A:C,2,0)</f>
        <v>LILIANA MERCEDES ANDRADE SERRANO</v>
      </c>
      <c r="I207" s="77" t="str">
        <f>VLOOKUP(Tabla2[[#This Row],[NIT]],Clientes!A:C,3,0)</f>
        <v>PN</v>
      </c>
      <c r="J207" s="73" t="s">
        <v>794</v>
      </c>
      <c r="K207" s="267">
        <f>SUMIFS(Tabla4[Sub Total],Tabla4[Codigo],Tabla2[[#This Row],[Cod]])</f>
        <v>200000</v>
      </c>
      <c r="L207" s="262">
        <f>SUMPRODUCT((Tabla4[Codigo]=Tabla2[[#This Row],[Cod]])*1,Tabla4[IVA])</f>
        <v>0</v>
      </c>
      <c r="M207" s="262">
        <f>SUMIFS(Tabla4[Total],Tabla4[Codigo],Tabla2[[#This Row],[Cod]])</f>
        <v>200000</v>
      </c>
      <c r="N207" s="278">
        <f>SUMPRODUCT((Tabla1[Codigo]=Tabla2[[#This Row],[Cod]])*1,Tabla1[Valor])</f>
        <v>200000</v>
      </c>
      <c r="O207" s="265">
        <f>IF(AND(Tabla2[[#This Row],[Estado]]="ok",LEFT(Tabla2[[#This Row],['# Factura]],3)="TIS"),Tabla2[[#This Row],[TOTAL]]-Tabla2[[#This Row],[pagado]],0)</f>
        <v>0</v>
      </c>
      <c r="P207" s="262">
        <f>Tabla2[[#This Row],[TOTAL]]-Tabla2[[#This Row],[Valor pago]]</f>
        <v>0</v>
      </c>
      <c r="Q207" s="265">
        <f>IF(Tabla2[[#This Row],[Saldo]]=0,0,IF(Tabla2[[#This Row],[Tipo cliente]]="PJ",Tabla2[[#This Row],[SUBTOTAL]]*11%,0))</f>
        <v>0</v>
      </c>
      <c r="R207" s="276">
        <f>IF(Tabla2[[#This Row],[Saldo]]=0,0,IF(Tabla2[[#This Row],[Tipo cliente]]="PJ",Tabla2[[#This Row],[SUBTOTAL]]*0.966%,0))</f>
        <v>0</v>
      </c>
      <c r="S207" s="276">
        <f>IF(Tabla2[[#This Row],[Retiene IVA]]="S",Tabla2[[#This Row],[IVA]]*0.15,0)</f>
        <v>0</v>
      </c>
      <c r="T207" s="265">
        <f>+Tabla2[[#This Row],[Saldo]]-Tabla2[[#This Row],[Rete fte]]-Tabla2[[#This Row],[rete ica]]-Tabla2[[#This Row],[Rete IVA]]</f>
        <v>0</v>
      </c>
      <c r="U20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200000</v>
      </c>
      <c r="W207" s="23">
        <f>IF(Tabla2[[#This Row],[Fecha F.E.]]="","",YEAR(Tabla2[[#This Row],[Fecha F.E.]]))</f>
        <v>2022</v>
      </c>
      <c r="X207" s="23">
        <f>IF(Tabla2[[#This Row],[Fecha]]="","",YEAR(Tabla2[[#This Row],[Fecha]]))</f>
        <v>2022</v>
      </c>
    </row>
    <row r="208" spans="1:24" x14ac:dyDescent="0.25">
      <c r="A208" s="3">
        <v>207</v>
      </c>
      <c r="B208" s="77" t="s">
        <v>1185</v>
      </c>
      <c r="C208" s="360">
        <v>44806</v>
      </c>
      <c r="D208" s="76" t="s">
        <v>1186</v>
      </c>
      <c r="E208" s="360">
        <v>44806</v>
      </c>
      <c r="F208" s="78" t="s">
        <v>231</v>
      </c>
      <c r="G208" s="85">
        <v>800182918</v>
      </c>
      <c r="H208" s="177" t="str">
        <f>VLOOKUP(Tabla2[[#This Row],[NIT]],Clientes!A:C,2,0)</f>
        <v>RENAL MEDICAL MARKETING LIMITADA</v>
      </c>
      <c r="I208" s="77" t="str">
        <f>VLOOKUP(Tabla2[[#This Row],[NIT]],Clientes!A:C,3,0)</f>
        <v>PJ</v>
      </c>
      <c r="J208" s="73" t="s">
        <v>794</v>
      </c>
      <c r="K208" s="267">
        <f>SUMIFS(Tabla4[Sub Total],Tabla4[Codigo],Tabla2[[#This Row],[Cod]])</f>
        <v>450000</v>
      </c>
      <c r="L208" s="262">
        <f>SUMPRODUCT((Tabla4[Codigo]=Tabla2[[#This Row],[Cod]])*1,Tabla4[IVA])</f>
        <v>85500</v>
      </c>
      <c r="M208" s="262">
        <f>SUMIFS(Tabla4[Total],Tabla4[Codigo],Tabla2[[#This Row],[Cod]])</f>
        <v>535500</v>
      </c>
      <c r="N208" s="278">
        <f>SUMPRODUCT((Tabla1[Codigo]=Tabla2[[#This Row],[Cod]])*1,Tabla1[Valor])</f>
        <v>486000</v>
      </c>
      <c r="O208" s="265">
        <f>IF(AND(Tabla2[[#This Row],[Estado]]="ok",LEFT(Tabla2[[#This Row],['# Factura]],3)="TIS"),Tabla2[[#This Row],[TOTAL]]-Tabla2[[#This Row],[pagado]],0)</f>
        <v>0</v>
      </c>
      <c r="P208" s="262">
        <f>Tabla2[[#This Row],[TOTAL]]-Tabla2[[#This Row],[Valor pago]]</f>
        <v>49500</v>
      </c>
      <c r="Q208" s="265">
        <f>IF(Tabla2[[#This Row],[Saldo]]=0,0,IF(Tabla2[[#This Row],[Tipo cliente]]="PJ",Tabla2[[#This Row],[SUBTOTAL]]*11%,0))</f>
        <v>49500</v>
      </c>
      <c r="R208" s="276">
        <f>IF(Tabla2[[#This Row],[Saldo]]=0,0,IF(Tabla2[[#This Row],[Tipo cliente]]="PJ",Tabla2[[#This Row],[SUBTOTAL]]*0.966%,0))</f>
        <v>4347</v>
      </c>
      <c r="S208" s="276">
        <f>IF(Tabla2[[#This Row],[Retiene IVA]]="S",Tabla2[[#This Row],[IVA]]*0.15,0)</f>
        <v>0</v>
      </c>
      <c r="T208" s="265">
        <f>+Tabla2[[#This Row],[Saldo]]-Tabla2[[#This Row],[Rete fte]]-Tabla2[[#This Row],[rete ica]]-Tabla2[[#This Row],[Rete IVA]]</f>
        <v>-4347</v>
      </c>
      <c r="U20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535500</v>
      </c>
      <c r="W208" s="23">
        <f>IF(Tabla2[[#This Row],[Fecha F.E.]]="","",YEAR(Tabla2[[#This Row],[Fecha F.E.]]))</f>
        <v>2022</v>
      </c>
      <c r="X208" s="23">
        <f>IF(Tabla2[[#This Row],[Fecha]]="","",YEAR(Tabla2[[#This Row],[Fecha]]))</f>
        <v>2022</v>
      </c>
    </row>
    <row r="209" spans="1:24" ht="26.25" x14ac:dyDescent="0.25">
      <c r="A209" s="3">
        <v>208</v>
      </c>
      <c r="B209" s="77" t="s">
        <v>1187</v>
      </c>
      <c r="C209" s="360">
        <v>44897</v>
      </c>
      <c r="D209" s="76" t="s">
        <v>1188</v>
      </c>
      <c r="E209" s="360">
        <v>44901</v>
      </c>
      <c r="F209" s="78" t="s">
        <v>231</v>
      </c>
      <c r="G209" s="85">
        <v>900641244</v>
      </c>
      <c r="H209" s="226" t="str">
        <f>VLOOKUP(Tabla2[[#This Row],[NIT]],Clientes!A:C,2,0)</f>
        <v>PASTRY CHEF PASTELERIA Y COCINA GOURMET SAS</v>
      </c>
      <c r="I209" s="77" t="str">
        <f>VLOOKUP(Tabla2[[#This Row],[NIT]],Clientes!A:C,3,0)</f>
        <v>PJ</v>
      </c>
      <c r="J209" s="73" t="s">
        <v>794</v>
      </c>
      <c r="K209" s="267">
        <f>SUMIFS(Tabla4[Sub Total],Tabla4[Codigo],Tabla2[[#This Row],[Cod]])</f>
        <v>1446666</v>
      </c>
      <c r="L209" s="262">
        <f>SUMPRODUCT((Tabla4[Codigo]=Tabla2[[#This Row],[Cod]])*1,Tabla4[IVA])</f>
        <v>274866.53999999998</v>
      </c>
      <c r="M209" s="262">
        <f>SUMIFS(Tabla4[Total],Tabla4[Codigo],Tabla2[[#This Row],[Cod]])</f>
        <v>1721532.54</v>
      </c>
      <c r="N209" s="278">
        <f>SUMPRODUCT((Tabla1[Codigo]=Tabla2[[#This Row],[Cod]])*1,Tabla1[Valor])</f>
        <v>1552420</v>
      </c>
      <c r="O209" s="265">
        <f>IF(AND(Tabla2[[#This Row],[Estado]]="ok",LEFT(Tabla2[[#This Row],['# Factura]],3)="TIS"),Tabla2[[#This Row],[TOTAL]]-Tabla2[[#This Row],[pagado]],0)</f>
        <v>0</v>
      </c>
      <c r="P209" s="262">
        <f>Tabla2[[#This Row],[TOTAL]]-Tabla2[[#This Row],[Valor pago]]</f>
        <v>169112.54000000004</v>
      </c>
      <c r="Q209" s="265">
        <f>IF(Tabla2[[#This Row],[Saldo]]=0,0,IF(Tabla2[[#This Row],[Tipo cliente]]="PJ",Tabla2[[#This Row],[SUBTOTAL]]*11%,0))</f>
        <v>159133.26</v>
      </c>
      <c r="R209" s="276">
        <f>IF(Tabla2[[#This Row],[Saldo]]=0,0,IF(Tabla2[[#This Row],[Tipo cliente]]="PJ",Tabla2[[#This Row],[SUBTOTAL]]*0.966%,0))</f>
        <v>13974.79356</v>
      </c>
      <c r="S209" s="276">
        <f>IF(Tabla2[[#This Row],[Retiene IVA]]="S",Tabla2[[#This Row],[IVA]]*0.15,0)</f>
        <v>0</v>
      </c>
      <c r="T209" s="265">
        <f>+Tabla2[[#This Row],[Saldo]]-Tabla2[[#This Row],[Rete fte]]-Tabla2[[#This Row],[rete ica]]-Tabla2[[#This Row],[Rete IVA]]</f>
        <v>-3995.5135599999721</v>
      </c>
      <c r="U20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1721532.54</v>
      </c>
      <c r="W209" s="23">
        <f>IF(Tabla2[[#This Row],[Fecha F.E.]]="","",YEAR(Tabla2[[#This Row],[Fecha F.E.]]))</f>
        <v>2022</v>
      </c>
      <c r="X209" s="23">
        <f>IF(Tabla2[[#This Row],[Fecha]]="","",YEAR(Tabla2[[#This Row],[Fecha]]))</f>
        <v>2022</v>
      </c>
    </row>
    <row r="210" spans="1:24" x14ac:dyDescent="0.25">
      <c r="A210" s="3">
        <v>209</v>
      </c>
      <c r="B210" s="77" t="s">
        <v>1189</v>
      </c>
      <c r="C210" s="360">
        <v>44897</v>
      </c>
      <c r="D210" s="76" t="s">
        <v>1190</v>
      </c>
      <c r="E210" s="360">
        <v>44901</v>
      </c>
      <c r="F210" s="78" t="s">
        <v>231</v>
      </c>
      <c r="G210" s="85">
        <v>901030518</v>
      </c>
      <c r="H210" s="226" t="str">
        <f>VLOOKUP(Tabla2[[#This Row],[NIT]],Clientes!A:C,2,0)</f>
        <v>Inversiones Sajamib SAS</v>
      </c>
      <c r="I210" s="77" t="str">
        <f>VLOOKUP(Tabla2[[#This Row],[NIT]],Clientes!A:C,3,0)</f>
        <v>PJ</v>
      </c>
      <c r="J210" s="73" t="s">
        <v>794</v>
      </c>
      <c r="K210" s="267">
        <f>SUMIFS(Tabla4[Sub Total],Tabla4[Codigo],Tabla2[[#This Row],[Cod]])</f>
        <v>966000</v>
      </c>
      <c r="L210" s="262">
        <f>SUMPRODUCT((Tabla4[Codigo]=Tabla2[[#This Row],[Cod]])*1,Tabla4[IVA])</f>
        <v>0</v>
      </c>
      <c r="M210" s="262">
        <f>SUMIFS(Tabla4[Total],Tabla4[Codigo],Tabla2[[#This Row],[Cod]])</f>
        <v>966000</v>
      </c>
      <c r="N210" s="278">
        <f>SUMPRODUCT((Tabla1[Codigo]=Tabla2[[#This Row],[Cod]])*1,Tabla1[Valor])</f>
        <v>966000</v>
      </c>
      <c r="O210" s="265">
        <f>IF(AND(Tabla2[[#This Row],[Estado]]="ok",LEFT(Tabla2[[#This Row],['# Factura]],3)="TIS"),Tabla2[[#This Row],[TOTAL]]-Tabla2[[#This Row],[pagado]],0)</f>
        <v>0</v>
      </c>
      <c r="P210" s="262">
        <f>Tabla2[[#This Row],[TOTAL]]-Tabla2[[#This Row],[Valor pago]]</f>
        <v>0</v>
      </c>
      <c r="Q210" s="265">
        <f>IF(Tabla2[[#This Row],[Saldo]]=0,0,IF(Tabla2[[#This Row],[Tipo cliente]]="PJ",Tabla2[[#This Row],[SUBTOTAL]]*11%,0))</f>
        <v>0</v>
      </c>
      <c r="R210" s="276">
        <f>IF(Tabla2[[#This Row],[Saldo]]=0,0,IF(Tabla2[[#This Row],[Tipo cliente]]="PJ",Tabla2[[#This Row],[SUBTOTAL]]*0.966%,0))</f>
        <v>0</v>
      </c>
      <c r="S210" s="276">
        <f>IF(Tabla2[[#This Row],[Retiene IVA]]="S",Tabla2[[#This Row],[IVA]]*0.15,0)</f>
        <v>0</v>
      </c>
      <c r="T210" s="265">
        <f>+Tabla2[[#This Row],[Saldo]]-Tabla2[[#This Row],[Rete fte]]-Tabla2[[#This Row],[rete ica]]-Tabla2[[#This Row],[Rete IVA]]</f>
        <v>0</v>
      </c>
      <c r="U21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966000</v>
      </c>
      <c r="W210" s="23">
        <f>IF(Tabla2[[#This Row],[Fecha F.E.]]="","",YEAR(Tabla2[[#This Row],[Fecha F.E.]]))</f>
        <v>2022</v>
      </c>
      <c r="X210" s="23">
        <f>IF(Tabla2[[#This Row],[Fecha]]="","",YEAR(Tabla2[[#This Row],[Fecha]]))</f>
        <v>2022</v>
      </c>
    </row>
    <row r="211" spans="1:24" ht="26.25" x14ac:dyDescent="0.25">
      <c r="A211" s="3">
        <v>210</v>
      </c>
      <c r="B211" s="77" t="s">
        <v>1191</v>
      </c>
      <c r="C211" s="360">
        <v>44897</v>
      </c>
      <c r="D211" s="76" t="s">
        <v>1192</v>
      </c>
      <c r="E211" s="360">
        <v>44901</v>
      </c>
      <c r="F211" s="78" t="s">
        <v>796</v>
      </c>
      <c r="G211" s="85">
        <v>900396116</v>
      </c>
      <c r="H211" s="77" t="str">
        <f>VLOOKUP(Tabla2[[#This Row],[NIT]],Clientes!A:C,2,0)</f>
        <v>PRODUCTORA INTERAMERICANA DE PLASTICOS S.A.S.</v>
      </c>
      <c r="I211" s="77" t="str">
        <f>VLOOKUP(Tabla2[[#This Row],[NIT]],Clientes!A:C,3,0)</f>
        <v>PJ</v>
      </c>
      <c r="J211" s="73" t="s">
        <v>794</v>
      </c>
      <c r="K211" s="267">
        <f>SUMIFS(Tabla4[Sub Total],Tabla4[Codigo],Tabla2[[#This Row],[Cod]])</f>
        <v>800000</v>
      </c>
      <c r="L211" s="262">
        <f>SUMPRODUCT((Tabla4[Codigo]=Tabla2[[#This Row],[Cod]])*1,Tabla4[IVA])</f>
        <v>0</v>
      </c>
      <c r="M211" s="262">
        <f>SUMIFS(Tabla4[Total],Tabla4[Codigo],Tabla2[[#This Row],[Cod]])</f>
        <v>800000</v>
      </c>
      <c r="N211" s="278">
        <f>SUMPRODUCT((Tabla1[Codigo]=Tabla2[[#This Row],[Cod]])*1,Tabla1[Valor])</f>
        <v>0</v>
      </c>
      <c r="O211" s="265">
        <f>IF(AND(Tabla2[[#This Row],[Estado]]="ok",LEFT(Tabla2[[#This Row],['# Factura]],3)="TIS"),Tabla2[[#This Row],[TOTAL]]-Tabla2[[#This Row],[pagado]],0)</f>
        <v>0</v>
      </c>
      <c r="P211" s="262">
        <f>Tabla2[[#This Row],[TOTAL]]-Tabla2[[#This Row],[Valor pago]]</f>
        <v>800000</v>
      </c>
      <c r="Q211" s="265">
        <f>IF(Tabla2[[#This Row],[Saldo]]=0,0,IF(Tabla2[[#This Row],[Tipo cliente]]="PJ",Tabla2[[#This Row],[SUBTOTAL]]*11%,0))</f>
        <v>88000</v>
      </c>
      <c r="R211" s="276">
        <f>IF(Tabla2[[#This Row],[Saldo]]=0,0,IF(Tabla2[[#This Row],[Tipo cliente]]="PJ",Tabla2[[#This Row],[SUBTOTAL]]*0.966%,0))</f>
        <v>7728</v>
      </c>
      <c r="S211" s="276">
        <f>IF(Tabla2[[#This Row],[Retiene IVA]]="S",Tabla2[[#This Row],[IVA]]*0.15,0)</f>
        <v>0</v>
      </c>
      <c r="T211" s="265">
        <f>+Tabla2[[#This Row],[Saldo]]-Tabla2[[#This Row],[Rete fte]]-Tabla2[[#This Row],[rete ica]]-Tabla2[[#This Row],[Rete IVA]]</f>
        <v>704272</v>
      </c>
      <c r="U21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11" s="23">
        <f>IF(Tabla2[[#This Row],[Fecha F.E.]]="","",YEAR(Tabla2[[#This Row],[Fecha F.E.]]))</f>
        <v>2022</v>
      </c>
      <c r="X211" s="23">
        <f>IF(Tabla2[[#This Row],[Fecha]]="","",YEAR(Tabla2[[#This Row],[Fecha]]))</f>
        <v>2022</v>
      </c>
    </row>
    <row r="212" spans="1:24" ht="26.25" x14ac:dyDescent="0.25">
      <c r="A212" s="3">
        <v>211</v>
      </c>
      <c r="B212" s="77" t="s">
        <v>1193</v>
      </c>
      <c r="C212" s="360">
        <v>44901</v>
      </c>
      <c r="D212" s="76" t="s">
        <v>1194</v>
      </c>
      <c r="E212" s="360">
        <v>44900</v>
      </c>
      <c r="F212" s="78" t="s">
        <v>716</v>
      </c>
      <c r="G212" s="85">
        <v>901034790</v>
      </c>
      <c r="H212" s="177" t="str">
        <f>VLOOKUP(Tabla2[[#This Row],[NIT]],Clientes!A:C,2,0)</f>
        <v>INSTITUTO DISTRITAL DE CIENCIA, BIOTECNOLOGIA E INNOVACION EN SALUD</v>
      </c>
      <c r="I212" s="77" t="str">
        <f>VLOOKUP(Tabla2[[#This Row],[NIT]],Clientes!A:C,3,0)</f>
        <v>PJ</v>
      </c>
      <c r="J212" s="73" t="s">
        <v>794</v>
      </c>
      <c r="K212" s="267">
        <f>SUMIFS(Tabla4[Sub Total],Tabla4[Codigo],Tabla2[[#This Row],[Cod]])</f>
        <v>6241166</v>
      </c>
      <c r="L212" s="262">
        <f>SUMPRODUCT((Tabla4[Codigo]=Tabla2[[#This Row],[Cod]])*1,Tabla4[IVA])</f>
        <v>1185821.54</v>
      </c>
      <c r="M212" s="262">
        <f>SUMIFS(Tabla4[Total],Tabla4[Codigo],Tabla2[[#This Row],[Cod]])</f>
        <v>7426987.54</v>
      </c>
      <c r="N212" s="278">
        <f>SUMPRODUCT((Tabla1[Codigo]=Tabla2[[#This Row],[Cod]])*1,Tabla1[Valor])</f>
        <v>0</v>
      </c>
      <c r="O212" s="265">
        <f>IF(AND(Tabla2[[#This Row],[Estado]]="ok",LEFT(Tabla2[[#This Row],['# Factura]],3)="TIS"),Tabla2[[#This Row],[TOTAL]]-Tabla2[[#This Row],[pagado]],0)</f>
        <v>0</v>
      </c>
      <c r="P212" s="262">
        <f>Tabla2[[#This Row],[TOTAL]]-Tabla2[[#This Row],[Valor pago]]</f>
        <v>7426987.54</v>
      </c>
      <c r="Q212" s="265">
        <f>IF(Tabla2[[#This Row],[Saldo]]=0,0,IF(Tabla2[[#This Row],[Tipo cliente]]="PJ",Tabla2[[#This Row],[SUBTOTAL]]*11%,0))</f>
        <v>686528.26</v>
      </c>
      <c r="R212" s="276">
        <f>IF(Tabla2[[#This Row],[Saldo]]=0,0,IF(Tabla2[[#This Row],[Tipo cliente]]="PJ",Tabla2[[#This Row],[SUBTOTAL]]*0.966%,0))</f>
        <v>60289.663560000001</v>
      </c>
      <c r="S212" s="276">
        <f>IF(Tabla2[[#This Row],[Retiene IVA]]="S",Tabla2[[#This Row],[IVA]]*0.15,0)</f>
        <v>0</v>
      </c>
      <c r="T212" s="265">
        <f>+Tabla2[[#This Row],[Saldo]]-Tabla2[[#This Row],[Rete fte]]-Tabla2[[#This Row],[rete ica]]-Tabla2[[#This Row],[Rete IVA]]</f>
        <v>6680169.61644</v>
      </c>
      <c r="U21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12" s="23">
        <f>IF(Tabla2[[#This Row],[Fecha F.E.]]="","",YEAR(Tabla2[[#This Row],[Fecha F.E.]]))</f>
        <v>2022</v>
      </c>
      <c r="X212" s="23">
        <f>IF(Tabla2[[#This Row],[Fecha]]="","",YEAR(Tabla2[[#This Row],[Fecha]]))</f>
        <v>2022</v>
      </c>
    </row>
    <row r="213" spans="1:24" ht="26.25" x14ac:dyDescent="0.25">
      <c r="A213" s="3">
        <v>212</v>
      </c>
      <c r="B213" s="77" t="s">
        <v>1195</v>
      </c>
      <c r="C213" s="360">
        <v>44901</v>
      </c>
      <c r="D213" s="76" t="s">
        <v>1196</v>
      </c>
      <c r="E213" s="360">
        <v>44901</v>
      </c>
      <c r="F213" s="78" t="s">
        <v>231</v>
      </c>
      <c r="G213" s="85">
        <v>860009161</v>
      </c>
      <c r="H213" s="177" t="str">
        <f>VLOOKUP(Tabla2[[#This Row],[NIT]],Clientes!A:C,2,0)</f>
        <v>FEDERACION NACIONAL DE COMERCIANTES FENALCO SECCIONAL BOGOTA CUNDINAMARCA</v>
      </c>
      <c r="I213" s="77" t="str">
        <f>VLOOKUP(Tabla2[[#This Row],[NIT]],Clientes!A:C,3,0)</f>
        <v>PJ</v>
      </c>
      <c r="J213" s="73" t="s">
        <v>794</v>
      </c>
      <c r="K213" s="267">
        <f>SUMIFS(Tabla4[Sub Total],Tabla4[Codigo],Tabla2[[#This Row],[Cod]])</f>
        <v>1566000</v>
      </c>
      <c r="L213" s="262">
        <f>SUMPRODUCT((Tabla4[Codigo]=Tabla2[[#This Row],[Cod]])*1,Tabla4[IVA])</f>
        <v>297540</v>
      </c>
      <c r="M213" s="262">
        <f>SUMIFS(Tabla4[Total],Tabla4[Codigo],Tabla2[[#This Row],[Cod]])</f>
        <v>1863540</v>
      </c>
      <c r="N213" s="278">
        <f>SUMPRODUCT((Tabla1[Codigo]=Tabla2[[#This Row],[Cod]])*1,Tabla1[Valor])</f>
        <v>1677718</v>
      </c>
      <c r="O213" s="265">
        <f>IF(AND(Tabla2[[#This Row],[Estado]]="ok",LEFT(Tabla2[[#This Row],['# Factura]],3)="TIS"),Tabla2[[#This Row],[TOTAL]]-Tabla2[[#This Row],[pagado]],0)</f>
        <v>0</v>
      </c>
      <c r="P213" s="262">
        <f>Tabla2[[#This Row],[TOTAL]]-Tabla2[[#This Row],[Valor pago]]</f>
        <v>185822</v>
      </c>
      <c r="Q213" s="265">
        <f>IF(Tabla2[[#This Row],[Saldo]]=0,0,IF(Tabla2[[#This Row],[Tipo cliente]]="PJ",Tabla2[[#This Row],[SUBTOTAL]]*11%,0))</f>
        <v>172260</v>
      </c>
      <c r="R213" s="276">
        <f>IF(Tabla2[[#This Row],[Saldo]]=0,0,IF(Tabla2[[#This Row],[Tipo cliente]]="PJ",Tabla2[[#This Row],[SUBTOTAL]]*0.966%,0))</f>
        <v>15127.56</v>
      </c>
      <c r="S213" s="276">
        <f>IF(Tabla2[[#This Row],[Retiene IVA]]="S",Tabla2[[#This Row],[IVA]]*0.15,0)</f>
        <v>0</v>
      </c>
      <c r="T213" s="265">
        <f>+Tabla2[[#This Row],[Saldo]]-Tabla2[[#This Row],[Rete fte]]-Tabla2[[#This Row],[rete ica]]-Tabla2[[#This Row],[Rete IVA]]</f>
        <v>-1565.5599999999995</v>
      </c>
      <c r="U21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1863540</v>
      </c>
      <c r="W213" s="23">
        <f>IF(Tabla2[[#This Row],[Fecha F.E.]]="","",YEAR(Tabla2[[#This Row],[Fecha F.E.]]))</f>
        <v>2022</v>
      </c>
      <c r="X213" s="23">
        <f>IF(Tabla2[[#This Row],[Fecha]]="","",YEAR(Tabla2[[#This Row],[Fecha]]))</f>
        <v>2022</v>
      </c>
    </row>
    <row r="214" spans="1:24" x14ac:dyDescent="0.25">
      <c r="A214" s="3">
        <v>213</v>
      </c>
      <c r="B214" s="77" t="s">
        <v>1197</v>
      </c>
      <c r="C214" s="360">
        <v>44900</v>
      </c>
      <c r="D214" s="76" t="s">
        <v>1198</v>
      </c>
      <c r="E214" s="360">
        <v>44900</v>
      </c>
      <c r="F214" s="78" t="s">
        <v>716</v>
      </c>
      <c r="G214" s="85">
        <v>860002964</v>
      </c>
      <c r="H214" s="177" t="str">
        <f>VLOOKUP(Tabla2[[#This Row],[NIT]],Clientes!A:C,2,0)</f>
        <v>Banco de Bogota S.A.</v>
      </c>
      <c r="I214" s="77" t="str">
        <f>VLOOKUP(Tabla2[[#This Row],[NIT]],Clientes!A:C,3,0)</f>
        <v>PJ</v>
      </c>
      <c r="J214" s="73" t="s">
        <v>794</v>
      </c>
      <c r="K214" s="267">
        <f>SUMIFS(Tabla4[Sub Total],Tabla4[Codigo],Tabla2[[#This Row],[Cod]])</f>
        <v>22800000</v>
      </c>
      <c r="L214" s="262">
        <f>SUMPRODUCT((Tabla4[Codigo]=Tabla2[[#This Row],[Cod]])*1,Tabla4[IVA])</f>
        <v>4332000</v>
      </c>
      <c r="M214" s="262">
        <f>SUMIFS(Tabla4[Total],Tabla4[Codigo],Tabla2[[#This Row],[Cod]])</f>
        <v>27132000</v>
      </c>
      <c r="N214" s="278">
        <f>SUMPRODUCT((Tabla1[Codigo]=Tabla2[[#This Row],[Cod]])*1,Tabla1[Valor])</f>
        <v>0</v>
      </c>
      <c r="O214" s="265">
        <f>IF(AND(Tabla2[[#This Row],[Estado]]="ok",LEFT(Tabla2[[#This Row],['# Factura]],3)="TIS"),Tabla2[[#This Row],[TOTAL]]-Tabla2[[#This Row],[pagado]],0)</f>
        <v>0</v>
      </c>
      <c r="P214" s="262">
        <f>Tabla2[[#This Row],[TOTAL]]-Tabla2[[#This Row],[Valor pago]]</f>
        <v>27132000</v>
      </c>
      <c r="Q214" s="265">
        <f>IF(Tabla2[[#This Row],[Saldo]]=0,0,IF(Tabla2[[#This Row],[Tipo cliente]]="PJ",Tabla2[[#This Row],[SUBTOTAL]]*11%,0))</f>
        <v>2508000</v>
      </c>
      <c r="R214" s="276">
        <f>IF(Tabla2[[#This Row],[Saldo]]=0,0,IF(Tabla2[[#This Row],[Tipo cliente]]="PJ",Tabla2[[#This Row],[SUBTOTAL]]*0.966%,0))</f>
        <v>220248</v>
      </c>
      <c r="S214" s="276">
        <f>IF(Tabla2[[#This Row],[Retiene IVA]]="S",Tabla2[[#This Row],[IVA]]*0.15,0)</f>
        <v>0</v>
      </c>
      <c r="T214" s="265">
        <f>+Tabla2[[#This Row],[Saldo]]-Tabla2[[#This Row],[Rete fte]]-Tabla2[[#This Row],[rete ica]]-Tabla2[[#This Row],[Rete IVA]]</f>
        <v>24403752</v>
      </c>
      <c r="U21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14" s="23">
        <f>IF(Tabla2[[#This Row],[Fecha F.E.]]="","",YEAR(Tabla2[[#This Row],[Fecha F.E.]]))</f>
        <v>2022</v>
      </c>
      <c r="X214" s="23">
        <f>IF(Tabla2[[#This Row],[Fecha]]="","",YEAR(Tabla2[[#This Row],[Fecha]]))</f>
        <v>2022</v>
      </c>
    </row>
    <row r="215" spans="1:24" x14ac:dyDescent="0.25">
      <c r="A215" s="3">
        <v>214</v>
      </c>
      <c r="B215" s="77" t="s">
        <v>1199</v>
      </c>
      <c r="C215" s="360">
        <v>44907</v>
      </c>
      <c r="D215" s="76" t="s">
        <v>1200</v>
      </c>
      <c r="E215" s="360">
        <v>44907</v>
      </c>
      <c r="F215" s="78" t="s">
        <v>716</v>
      </c>
      <c r="G215" s="85">
        <v>860002964</v>
      </c>
      <c r="H215" s="177" t="str">
        <f>VLOOKUP(Tabla2[[#This Row],[NIT]],Clientes!A:C,2,0)</f>
        <v>Banco de Bogota S.A.</v>
      </c>
      <c r="I215" s="77" t="str">
        <f>VLOOKUP(Tabla2[[#This Row],[NIT]],Clientes!A:C,3,0)</f>
        <v>PJ</v>
      </c>
      <c r="J215" s="73" t="s">
        <v>794</v>
      </c>
      <c r="K215" s="267">
        <f>SUMIFS(Tabla4[Sub Total],Tabla4[Codigo],Tabla2[[#This Row],[Cod]])</f>
        <v>-22800000</v>
      </c>
      <c r="L215" s="262">
        <f>SUMPRODUCT((Tabla4[Codigo]=Tabla2[[#This Row],[Cod]])*1,Tabla4[IVA])</f>
        <v>-4332000</v>
      </c>
      <c r="M215" s="262">
        <f>SUMIFS(Tabla4[Total],Tabla4[Codigo],Tabla2[[#This Row],[Cod]])</f>
        <v>-27132000</v>
      </c>
      <c r="N215" s="278">
        <f>SUMPRODUCT((Tabla1[Codigo]=Tabla2[[#This Row],[Cod]])*1,Tabla1[Valor])</f>
        <v>0</v>
      </c>
      <c r="O215" s="265">
        <f>IF(AND(Tabla2[[#This Row],[Estado]]="ok",LEFT(Tabla2[[#This Row],['# Factura]],3)="TIS"),Tabla2[[#This Row],[TOTAL]]-Tabla2[[#This Row],[pagado]],0)</f>
        <v>0</v>
      </c>
      <c r="P215" s="262">
        <f>Tabla2[[#This Row],[TOTAL]]-Tabla2[[#This Row],[Valor pago]]</f>
        <v>-27132000</v>
      </c>
      <c r="Q215" s="265">
        <f>IF(Tabla2[[#This Row],[Saldo]]=0,0,IF(Tabla2[[#This Row],[Tipo cliente]]="PJ",Tabla2[[#This Row],[SUBTOTAL]]*11%,0))</f>
        <v>-2508000</v>
      </c>
      <c r="R215" s="276">
        <f>IF(Tabla2[[#This Row],[Saldo]]=0,0,IF(Tabla2[[#This Row],[Tipo cliente]]="PJ",Tabla2[[#This Row],[SUBTOTAL]]*0.966%,0))</f>
        <v>-220248</v>
      </c>
      <c r="S215" s="276">
        <f>IF(Tabla2[[#This Row],[Retiene IVA]]="S",Tabla2[[#This Row],[IVA]]*0.15,0)</f>
        <v>0</v>
      </c>
      <c r="T215" s="265">
        <f>+Tabla2[[#This Row],[Saldo]]-Tabla2[[#This Row],[Rete fte]]-Tabla2[[#This Row],[rete ica]]-Tabla2[[#This Row],[Rete IVA]]</f>
        <v>-24403752</v>
      </c>
      <c r="U21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15" s="23">
        <f>IF(Tabla2[[#This Row],[Fecha F.E.]]="","",YEAR(Tabla2[[#This Row],[Fecha F.E.]]))</f>
        <v>2022</v>
      </c>
      <c r="X215" s="23">
        <f>IF(Tabla2[[#This Row],[Fecha]]="","",YEAR(Tabla2[[#This Row],[Fecha]]))</f>
        <v>2022</v>
      </c>
    </row>
    <row r="216" spans="1:24" x14ac:dyDescent="0.25">
      <c r="A216" s="3">
        <v>215</v>
      </c>
      <c r="B216" s="77" t="s">
        <v>1201</v>
      </c>
      <c r="C216" s="360">
        <v>44907</v>
      </c>
      <c r="D216" s="76" t="s">
        <v>1202</v>
      </c>
      <c r="E216" s="360">
        <v>44907</v>
      </c>
      <c r="F216" s="78" t="s">
        <v>231</v>
      </c>
      <c r="G216" s="85">
        <v>860002964</v>
      </c>
      <c r="H216" s="177" t="str">
        <f>VLOOKUP(Tabla2[[#This Row],[NIT]],Clientes!A:C,2,0)</f>
        <v>Banco de Bogota S.A.</v>
      </c>
      <c r="I216" s="77" t="str">
        <f>VLOOKUP(Tabla2[[#This Row],[NIT]],Clientes!A:C,3,0)</f>
        <v>PJ</v>
      </c>
      <c r="J216" s="73" t="s">
        <v>794</v>
      </c>
      <c r="K216" s="267">
        <f>SUMIFS(Tabla4[Sub Total],Tabla4[Codigo],Tabla2[[#This Row],[Cod]])</f>
        <v>21640800</v>
      </c>
      <c r="L216" s="262">
        <f>SUMPRODUCT((Tabla4[Codigo]=Tabla2[[#This Row],[Cod]])*1,Tabla4[IVA])</f>
        <v>4111752</v>
      </c>
      <c r="M216" s="262">
        <f>SUMIFS(Tabla4[Total],Tabla4[Codigo],Tabla2[[#This Row],[Cod]])</f>
        <v>25752552</v>
      </c>
      <c r="N216" s="278">
        <f>SUMPRODUCT((Tabla1[Codigo]=Tabla2[[#This Row],[Cod]])*1,Tabla1[Valor])</f>
        <v>24082747.870000001</v>
      </c>
      <c r="O216" s="265">
        <f>IF(AND(Tabla2[[#This Row],[Estado]]="ok",LEFT(Tabla2[[#This Row],['# Factura]],3)="TIS"),Tabla2[[#This Row],[TOTAL]]-Tabla2[[#This Row],[pagado]],0)</f>
        <v>0</v>
      </c>
      <c r="P216" s="262">
        <f>Tabla2[[#This Row],[TOTAL]]-Tabla2[[#This Row],[Valor pago]]</f>
        <v>1669804.129999999</v>
      </c>
      <c r="Q216" s="265">
        <f>IF(Tabla2[[#This Row],[Saldo]]=0,0,IF(Tabla2[[#This Row],[Tipo cliente]]="PJ",Tabla2[[#This Row],[SUBTOTAL]]*11%,0))</f>
        <v>2380488</v>
      </c>
      <c r="R216" s="276">
        <f>IF(Tabla2[[#This Row],[Saldo]]=0,0,IF(Tabla2[[#This Row],[Tipo cliente]]="PJ",Tabla2[[#This Row],[SUBTOTAL]]*0.966%,0))</f>
        <v>209050.128</v>
      </c>
      <c r="S216" s="276">
        <f>IF(Tabla2[[#This Row],[Retiene IVA]]="S",Tabla2[[#This Row],[IVA]]*0.15,0)</f>
        <v>0</v>
      </c>
      <c r="T216" s="265">
        <f>+Tabla2[[#This Row],[Saldo]]-Tabla2[[#This Row],[Rete fte]]-Tabla2[[#This Row],[rete ica]]-Tabla2[[#This Row],[Rete IVA]]</f>
        <v>-919733.99800000107</v>
      </c>
      <c r="U21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25752552</v>
      </c>
      <c r="W216" s="23">
        <f>IF(Tabla2[[#This Row],[Fecha F.E.]]="","",YEAR(Tabla2[[#This Row],[Fecha F.E.]]))</f>
        <v>2022</v>
      </c>
      <c r="X216" s="23">
        <f>IF(Tabla2[[#This Row],[Fecha]]="","",YEAR(Tabla2[[#This Row],[Fecha]]))</f>
        <v>2022</v>
      </c>
    </row>
    <row r="217" spans="1:24" ht="26.25" x14ac:dyDescent="0.25">
      <c r="A217" s="3">
        <v>216</v>
      </c>
      <c r="B217" s="77" t="s">
        <v>1203</v>
      </c>
      <c r="C217" s="360">
        <v>44954</v>
      </c>
      <c r="D217" s="76" t="s">
        <v>1204</v>
      </c>
      <c r="E217" s="360">
        <v>44902</v>
      </c>
      <c r="F217" s="78" t="s">
        <v>231</v>
      </c>
      <c r="G217" s="85">
        <v>830017648</v>
      </c>
      <c r="H217" s="177" t="str">
        <f>VLOOKUP(Tabla2[[#This Row],[NIT]],Clientes!A:C,2,0)</f>
        <v>INSUMOS VETERINARIOS Y FARMACEUTICOS DE COLOMBIA SAS</v>
      </c>
      <c r="I217" s="77" t="str">
        <f>VLOOKUP(Tabla2[[#This Row],[NIT]],Clientes!A:C,3,0)</f>
        <v>PJ</v>
      </c>
      <c r="J217" s="73" t="s">
        <v>794</v>
      </c>
      <c r="K217" s="267">
        <f>SUMIFS(Tabla4[Sub Total],Tabla4[Codigo],Tabla2[[#This Row],[Cod]])</f>
        <v>2280000</v>
      </c>
      <c r="L217" s="262">
        <f>SUMPRODUCT((Tabla4[Codigo]=Tabla2[[#This Row],[Cod]])*1,Tabla4[IVA])</f>
        <v>433200</v>
      </c>
      <c r="M217" s="262">
        <f>SUMIFS(Tabla4[Total],Tabla4[Codigo],Tabla2[[#This Row],[Cod]])</f>
        <v>2713200</v>
      </c>
      <c r="N217" s="278">
        <f>SUMPRODUCT((Tabla1[Codigo]=Tabla2[[#This Row],[Cod]])*1,Tabla1[Valor])</f>
        <v>2377675</v>
      </c>
      <c r="O217" s="265">
        <f>IF(AND(Tabla2[[#This Row],[Estado]]="ok",LEFT(Tabla2[[#This Row],['# Factura]],3)="TIS"),Tabla2[[#This Row],[TOTAL]]-Tabla2[[#This Row],[pagado]],0)</f>
        <v>62700.200000000186</v>
      </c>
      <c r="P217" s="262">
        <f>Tabla2[[#This Row],[TOTAL]]-Tabla2[[#This Row],[Valor pago]]</f>
        <v>335525</v>
      </c>
      <c r="Q217" s="265">
        <f>IF(Tabla2[[#This Row],[Saldo]]=0,0,IF(Tabla2[[#This Row],[Tipo cliente]]="PJ",Tabla2[[#This Row],[SUBTOTAL]]*11%,0))</f>
        <v>250800</v>
      </c>
      <c r="R217" s="276">
        <f>IF(Tabla2[[#This Row],[Saldo]]=0,0,IF(Tabla2[[#This Row],[Tipo cliente]]="PJ",Tabla2[[#This Row],[SUBTOTAL]]*0.966%,0))</f>
        <v>22024.799999999999</v>
      </c>
      <c r="S217" s="276">
        <f>IF(Tabla2[[#This Row],[Retiene IVA]]="S",Tabla2[[#This Row],[IVA]]*0.15,0)</f>
        <v>0</v>
      </c>
      <c r="T217" s="265">
        <f>+Tabla2[[#This Row],[Saldo]]-Tabla2[[#This Row],[Rete fte]]-Tabla2[[#This Row],[rete ica]]-Tabla2[[#This Row],[Rete IVA]]</f>
        <v>62700.2</v>
      </c>
      <c r="U21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2650499.7999999998</v>
      </c>
      <c r="W217" s="23">
        <f>IF(Tabla2[[#This Row],[Fecha F.E.]]="","",YEAR(Tabla2[[#This Row],[Fecha F.E.]]))</f>
        <v>2022</v>
      </c>
      <c r="X217" s="23">
        <f>IF(Tabla2[[#This Row],[Fecha]]="","",YEAR(Tabla2[[#This Row],[Fecha]]))</f>
        <v>2023</v>
      </c>
    </row>
    <row r="218" spans="1:24" ht="26.25" x14ac:dyDescent="0.25">
      <c r="A218" s="3">
        <v>217</v>
      </c>
      <c r="B218" s="77" t="s">
        <v>1205</v>
      </c>
      <c r="C218" s="360">
        <v>44954</v>
      </c>
      <c r="D218" s="76" t="s">
        <v>1206</v>
      </c>
      <c r="E218" s="360">
        <v>44904</v>
      </c>
      <c r="F218" s="78" t="s">
        <v>231</v>
      </c>
      <c r="G218" s="85">
        <v>900499402</v>
      </c>
      <c r="H218" s="177" t="str">
        <f>VLOOKUP(Tabla2[[#This Row],[NIT]],Clientes!A:C,2,0)</f>
        <v>CONSTRUCCIONES Y AMBIENTE - CONAMBIENTE - S.A.S</v>
      </c>
      <c r="I218" s="77" t="str">
        <f>VLOOKUP(Tabla2[[#This Row],[NIT]],Clientes!A:C,3,0)</f>
        <v>PJ</v>
      </c>
      <c r="J218" s="73" t="s">
        <v>794</v>
      </c>
      <c r="K218" s="281">
        <f>SUMIFS(Tabla4[Sub Total],Tabla4[Codigo],Tabla2[[#This Row],[Cod]])</f>
        <v>650000</v>
      </c>
      <c r="L218" s="262">
        <f>SUMPRODUCT((Tabla4[Codigo]=Tabla2[[#This Row],[Cod]])*1,Tabla4[IVA])</f>
        <v>123500</v>
      </c>
      <c r="M218" s="262">
        <f>SUMIFS(Tabla4[Total],Tabla4[Codigo],Tabla2[[#This Row],[Cod]])</f>
        <v>773500</v>
      </c>
      <c r="N218" s="278">
        <f>SUMPRODUCT((Tabla1[Codigo]=Tabla2[[#This Row],[Cod]])*1,Tabla1[Valor])</f>
        <v>741221</v>
      </c>
      <c r="O218" s="265">
        <f>IF(AND(Tabla2[[#This Row],[Estado]]="ok",LEFT(Tabla2[[#This Row],['# Factura]],3)="TIS"),Tabla2[[#This Row],[TOTAL]]-Tabla2[[#This Row],[pagado]],0)</f>
        <v>0</v>
      </c>
      <c r="P218" s="262">
        <f>Tabla2[[#This Row],[TOTAL]]-Tabla2[[#This Row],[Valor pago]]</f>
        <v>32279</v>
      </c>
      <c r="Q218" s="265">
        <f>IF(Tabla2[[#This Row],[Saldo]]=0,0,IF(Tabla2[[#This Row],[Tipo cliente]]="PJ",Tabla2[[#This Row],[SUBTOTAL]]*11%,0))</f>
        <v>71500</v>
      </c>
      <c r="R218" s="276">
        <f>IF(Tabla2[[#This Row],[Saldo]]=0,0,IF(Tabla2[[#This Row],[Tipo cliente]]="PJ",Tabla2[[#This Row],[SUBTOTAL]]*0.966%,0))</f>
        <v>6279</v>
      </c>
      <c r="S218" s="276">
        <f>IF(Tabla2[[#This Row],[Retiene IVA]]="S",Tabla2[[#This Row],[IVA]]*0.15,0)</f>
        <v>0</v>
      </c>
      <c r="T218" s="265">
        <f>+Tabla2[[#This Row],[Saldo]]-Tabla2[[#This Row],[Rete fte]]-Tabla2[[#This Row],[rete ica]]-Tabla2[[#This Row],[Rete IVA]]</f>
        <v>-45500</v>
      </c>
      <c r="U21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773500</v>
      </c>
      <c r="W218" s="23">
        <f>IF(Tabla2[[#This Row],[Fecha F.E.]]="","",YEAR(Tabla2[[#This Row],[Fecha F.E.]]))</f>
        <v>2022</v>
      </c>
      <c r="X218" s="23">
        <f>IF(Tabla2[[#This Row],[Fecha]]="","",YEAR(Tabla2[[#This Row],[Fecha]]))</f>
        <v>2023</v>
      </c>
    </row>
    <row r="219" spans="1:24" ht="26.25" x14ac:dyDescent="0.25">
      <c r="A219" s="3">
        <v>218</v>
      </c>
      <c r="B219" s="77" t="s">
        <v>1207</v>
      </c>
      <c r="C219" s="360">
        <v>44954</v>
      </c>
      <c r="D219" s="76" t="s">
        <v>1208</v>
      </c>
      <c r="E219" s="360">
        <v>44907</v>
      </c>
      <c r="F219" s="78" t="s">
        <v>231</v>
      </c>
      <c r="G219" s="85">
        <v>830026741</v>
      </c>
      <c r="H219" s="177" t="str">
        <f>VLOOKUP(Tabla2[[#This Row],[NIT]],Clientes!A:C,2,0)</f>
        <v>CONCESIONARIA DEL DESARROLLO VIAL DE LA SABANA</v>
      </c>
      <c r="I219" s="77" t="str">
        <f>VLOOKUP(Tabla2[[#This Row],[NIT]],Clientes!A:C,3,0)</f>
        <v>PJ</v>
      </c>
      <c r="J219" s="73" t="s">
        <v>794</v>
      </c>
      <c r="K219" s="267">
        <f>SUMIFS(Tabla4[Sub Total],Tabla4[Codigo],Tabla2[[#This Row],[Cod]])</f>
        <v>8200000</v>
      </c>
      <c r="L219" s="262">
        <f>SUMPRODUCT((Tabla4[Codigo]=Tabla2[[#This Row],[Cod]])*1,Tabla4[IVA])</f>
        <v>1558000</v>
      </c>
      <c r="M219" s="262">
        <f>SUMIFS(Tabla4[Total],Tabla4[Codigo],Tabla2[[#This Row],[Cod]])</f>
        <v>9758000</v>
      </c>
      <c r="N219" s="278">
        <f>SUMPRODUCT((Tabla1[Codigo]=Tabla2[[#This Row],[Cod]])*1,Tabla1[Valor])</f>
        <v>8856000</v>
      </c>
      <c r="O219" s="265">
        <f>IF(AND(Tabla2[[#This Row],[Estado]]="ok",LEFT(Tabla2[[#This Row],['# Factura]],3)="TIS"),Tabla2[[#This Row],[TOTAL]]-Tabla2[[#This Row],[pagado]],0)</f>
        <v>0</v>
      </c>
      <c r="P219" s="262">
        <f>Tabla2[[#This Row],[TOTAL]]-Tabla2[[#This Row],[Valor pago]]</f>
        <v>902000</v>
      </c>
      <c r="Q219" s="265">
        <f>IF(Tabla2[[#This Row],[Saldo]]=0,0,IF(Tabla2[[#This Row],[Tipo cliente]]="PJ",Tabla2[[#This Row],[SUBTOTAL]]*11%,0))</f>
        <v>902000</v>
      </c>
      <c r="R219" s="276">
        <f>IF(Tabla2[[#This Row],[Saldo]]=0,0,IF(Tabla2[[#This Row],[Tipo cliente]]="PJ",Tabla2[[#This Row],[SUBTOTAL]]*0.966%,0))</f>
        <v>79212</v>
      </c>
      <c r="S219" s="276">
        <f>IF(Tabla2[[#This Row],[Retiene IVA]]="S",Tabla2[[#This Row],[IVA]]*0.15,0)</f>
        <v>0</v>
      </c>
      <c r="T219" s="265">
        <f>+Tabla2[[#This Row],[Saldo]]-Tabla2[[#This Row],[Rete fte]]-Tabla2[[#This Row],[rete ica]]-Tabla2[[#This Row],[Rete IVA]]</f>
        <v>-79212</v>
      </c>
      <c r="U21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9758000</v>
      </c>
      <c r="W219" s="23">
        <f>IF(Tabla2[[#This Row],[Fecha F.E.]]="","",YEAR(Tabla2[[#This Row],[Fecha F.E.]]))</f>
        <v>2022</v>
      </c>
      <c r="X219" s="23">
        <f>IF(Tabla2[[#This Row],[Fecha]]="","",YEAR(Tabla2[[#This Row],[Fecha]]))</f>
        <v>2023</v>
      </c>
    </row>
    <row r="220" spans="1:24" x14ac:dyDescent="0.25">
      <c r="A220" s="3">
        <v>219</v>
      </c>
      <c r="B220" s="77" t="s">
        <v>1209</v>
      </c>
      <c r="C220" s="360">
        <v>44954</v>
      </c>
      <c r="D220" s="76" t="s">
        <v>1210</v>
      </c>
      <c r="E220" s="360">
        <v>44915</v>
      </c>
      <c r="F220" s="78" t="s">
        <v>231</v>
      </c>
      <c r="G220" s="85">
        <v>900448599</v>
      </c>
      <c r="H220" s="177" t="str">
        <f>VLOOKUP(Tabla2[[#This Row],[NIT]],Clientes!A:C,2,0)</f>
        <v>FORMADERAS Y CASETONES WP SAS</v>
      </c>
      <c r="I220" s="77" t="str">
        <f>VLOOKUP(Tabla2[[#This Row],[NIT]],Clientes!A:C,3,0)</f>
        <v>PJ</v>
      </c>
      <c r="J220" s="73" t="s">
        <v>794</v>
      </c>
      <c r="K220" s="267">
        <f>SUMIFS(Tabla4[Sub Total],Tabla4[Codigo],Tabla2[[#This Row],[Cod]])</f>
        <v>620000</v>
      </c>
      <c r="L220" s="262">
        <f>SUMPRODUCT((Tabla4[Codigo]=Tabla2[[#This Row],[Cod]])*1,Tabla4[IVA])</f>
        <v>117800</v>
      </c>
      <c r="M220" s="262">
        <f>SUMIFS(Tabla4[Total],Tabla4[Codigo],Tabla2[[#This Row],[Cod]])</f>
        <v>737800</v>
      </c>
      <c r="N220" s="278">
        <f>SUMPRODUCT((Tabla1[Codigo]=Tabla2[[#This Row],[Cod]])*1,Tabla1[Valor])</f>
        <v>708722</v>
      </c>
      <c r="O220" s="265">
        <f>IF(AND(Tabla2[[#This Row],[Estado]]="ok",LEFT(Tabla2[[#This Row],['# Factura]],3)="TIS"),Tabla2[[#This Row],[TOTAL]]-Tabla2[[#This Row],[pagado]],0)</f>
        <v>0</v>
      </c>
      <c r="P220" s="262">
        <f>Tabla2[[#This Row],[TOTAL]]-Tabla2[[#This Row],[Valor pago]]</f>
        <v>29078</v>
      </c>
      <c r="Q220" s="265">
        <f>IF(Tabla2[[#This Row],[Saldo]]=0,0,IF(Tabla2[[#This Row],[Tipo cliente]]="PJ",Tabla2[[#This Row],[SUBTOTAL]]*11%,0))</f>
        <v>68200</v>
      </c>
      <c r="R220" s="276">
        <f>IF(Tabla2[[#This Row],[Saldo]]=0,0,IF(Tabla2[[#This Row],[Tipo cliente]]="PJ",Tabla2[[#This Row],[SUBTOTAL]]*0.966%,0))</f>
        <v>5989.2</v>
      </c>
      <c r="S220" s="276">
        <f>IF(Tabla2[[#This Row],[Retiene IVA]]="S",Tabla2[[#This Row],[IVA]]*0.15,0)</f>
        <v>0</v>
      </c>
      <c r="T220" s="265">
        <f>+Tabla2[[#This Row],[Saldo]]-Tabla2[[#This Row],[Rete fte]]-Tabla2[[#This Row],[rete ica]]-Tabla2[[#This Row],[Rete IVA]]</f>
        <v>-45111.199999999997</v>
      </c>
      <c r="U22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737800</v>
      </c>
      <c r="W220" s="23">
        <f>IF(Tabla2[[#This Row],[Fecha F.E.]]="","",YEAR(Tabla2[[#This Row],[Fecha F.E.]]))</f>
        <v>2022</v>
      </c>
      <c r="X220" s="23">
        <f>IF(Tabla2[[#This Row],[Fecha]]="","",YEAR(Tabla2[[#This Row],[Fecha]]))</f>
        <v>2023</v>
      </c>
    </row>
    <row r="221" spans="1:24" x14ac:dyDescent="0.25">
      <c r="A221" s="3">
        <v>220</v>
      </c>
      <c r="B221" s="77" t="s">
        <v>1211</v>
      </c>
      <c r="C221" s="360">
        <v>44954</v>
      </c>
      <c r="D221" s="76" t="s">
        <v>1212</v>
      </c>
      <c r="E221" s="360">
        <v>44915</v>
      </c>
      <c r="F221" s="78" t="s">
        <v>231</v>
      </c>
      <c r="G221" s="85">
        <v>900245701</v>
      </c>
      <c r="H221" s="177" t="str">
        <f>VLOOKUP(Tabla2[[#This Row],[NIT]],Clientes!A:C,2,0)</f>
        <v>V2S COLOMBIA SAS</v>
      </c>
      <c r="I221" s="77" t="str">
        <f>VLOOKUP(Tabla2[[#This Row],[NIT]],Clientes!A:C,3,0)</f>
        <v>PJ</v>
      </c>
      <c r="J221" s="73" t="s">
        <v>794</v>
      </c>
      <c r="K221" s="267">
        <f>SUMIFS(Tabla4[Sub Total],Tabla4[Codigo],Tabla2[[#This Row],[Cod]])</f>
        <v>1200000</v>
      </c>
      <c r="L221" s="262">
        <f>SUMPRODUCT((Tabla4[Codigo]=Tabla2[[#This Row],[Cod]])*1,Tabla4[IVA])</f>
        <v>228000</v>
      </c>
      <c r="M221" s="262">
        <f>SUMIFS(Tabla4[Total],Tabla4[Codigo],Tabla2[[#This Row],[Cod]])</f>
        <v>1428000</v>
      </c>
      <c r="N221" s="278">
        <f>SUMPRODUCT((Tabla1[Codigo]=Tabla2[[#This Row],[Cod]])*1,Tabla1[Valor])</f>
        <v>1368448</v>
      </c>
      <c r="O221" s="265">
        <f>IF(AND(Tabla2[[#This Row],[Estado]]="ok",LEFT(Tabla2[[#This Row],['# Factura]],3)="TIS"),Tabla2[[#This Row],[TOTAL]]-Tabla2[[#This Row],[pagado]],0)</f>
        <v>0</v>
      </c>
      <c r="P221" s="262">
        <f>Tabla2[[#This Row],[TOTAL]]-Tabla2[[#This Row],[Valor pago]]</f>
        <v>59552</v>
      </c>
      <c r="Q221" s="265">
        <f>IF(Tabla2[[#This Row],[Saldo]]=0,0,IF(Tabla2[[#This Row],[Tipo cliente]]="PJ",Tabla2[[#This Row],[SUBTOTAL]]*11%,0))</f>
        <v>132000</v>
      </c>
      <c r="R221" s="276">
        <f>IF(Tabla2[[#This Row],[Saldo]]=0,0,IF(Tabla2[[#This Row],[Tipo cliente]]="PJ",Tabla2[[#This Row],[SUBTOTAL]]*0.966%,0))</f>
        <v>11592</v>
      </c>
      <c r="S221" s="276">
        <f>IF(Tabla2[[#This Row],[Retiene IVA]]="S",Tabla2[[#This Row],[IVA]]*0.15,0)</f>
        <v>0</v>
      </c>
      <c r="T221" s="265">
        <f>+Tabla2[[#This Row],[Saldo]]-Tabla2[[#This Row],[Rete fte]]-Tabla2[[#This Row],[rete ica]]-Tabla2[[#This Row],[Rete IVA]]</f>
        <v>-84040</v>
      </c>
      <c r="U22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1428000</v>
      </c>
      <c r="W221" s="23">
        <f>IF(Tabla2[[#This Row],[Fecha F.E.]]="","",YEAR(Tabla2[[#This Row],[Fecha F.E.]]))</f>
        <v>2022</v>
      </c>
      <c r="X221" s="23">
        <f>IF(Tabla2[[#This Row],[Fecha]]="","",YEAR(Tabla2[[#This Row],[Fecha]]))</f>
        <v>2023</v>
      </c>
    </row>
    <row r="222" spans="1:24" x14ac:dyDescent="0.25">
      <c r="A222" s="3">
        <v>221</v>
      </c>
      <c r="B222" s="77" t="s">
        <v>1213</v>
      </c>
      <c r="C222" s="360">
        <v>44954</v>
      </c>
      <c r="D222" s="76" t="s">
        <v>1214</v>
      </c>
      <c r="E222" s="360">
        <v>44917</v>
      </c>
      <c r="F222" s="78" t="s">
        <v>231</v>
      </c>
      <c r="G222" s="85">
        <v>900022013</v>
      </c>
      <c r="H222" s="177" t="str">
        <f>VLOOKUP(Tabla2[[#This Row],[NIT]],Clientes!A:C,2,0)</f>
        <v>INVERSIONES FRANQUIHER S A S</v>
      </c>
      <c r="I222" s="77" t="str">
        <f>VLOOKUP(Tabla2[[#This Row],[NIT]],Clientes!A:C,3,0)</f>
        <v>PJ</v>
      </c>
      <c r="J222" s="73" t="s">
        <v>794</v>
      </c>
      <c r="K222" s="267">
        <f>SUMIFS(Tabla4[Sub Total],Tabla4[Codigo],Tabla2[[#This Row],[Cod]])</f>
        <v>3250000</v>
      </c>
      <c r="L222" s="262">
        <f>SUMPRODUCT((Tabla4[Codigo]=Tabla2[[#This Row],[Cod]])*1,Tabla4[IVA])</f>
        <v>617500</v>
      </c>
      <c r="M222" s="262">
        <f>SUMIFS(Tabla4[Total],Tabla4[Codigo],Tabla2[[#This Row],[Cod]])</f>
        <v>3867500</v>
      </c>
      <c r="N222" s="278">
        <f>SUMPRODUCT((Tabla1[Codigo]=Tabla2[[#This Row],[Cod]])*1,Tabla1[Valor])</f>
        <v>3487575</v>
      </c>
      <c r="O222" s="265">
        <f>IF(AND(Tabla2[[#This Row],[Estado]]="ok",LEFT(Tabla2[[#This Row],['# Factura]],3)="TIS"),Tabla2[[#This Row],[TOTAL]]-Tabla2[[#This Row],[pagado]],0)</f>
        <v>0</v>
      </c>
      <c r="P222" s="262">
        <f>Tabla2[[#This Row],[TOTAL]]-Tabla2[[#This Row],[Valor pago]]</f>
        <v>379925</v>
      </c>
      <c r="Q222" s="265">
        <f>IF(Tabla2[[#This Row],[Saldo]]=0,0,IF(Tabla2[[#This Row],[Tipo cliente]]="PJ",Tabla2[[#This Row],[SUBTOTAL]]*11%,0))</f>
        <v>357500</v>
      </c>
      <c r="R222" s="276">
        <f>IF(Tabla2[[#This Row],[Saldo]]=0,0,IF(Tabla2[[#This Row],[Tipo cliente]]="PJ",Tabla2[[#This Row],[SUBTOTAL]]*0.966%,0))</f>
        <v>31395</v>
      </c>
      <c r="S222" s="276">
        <f>IF(Tabla2[[#This Row],[Retiene IVA]]="S",Tabla2[[#This Row],[IVA]]*0.15,0)</f>
        <v>0</v>
      </c>
      <c r="T222" s="265">
        <f>+Tabla2[[#This Row],[Saldo]]-Tabla2[[#This Row],[Rete fte]]-Tabla2[[#This Row],[rete ica]]-Tabla2[[#This Row],[Rete IVA]]</f>
        <v>-8970</v>
      </c>
      <c r="U22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3867500</v>
      </c>
      <c r="W222" s="23">
        <f>IF(Tabla2[[#This Row],[Fecha F.E.]]="","",YEAR(Tabla2[[#This Row],[Fecha F.E.]]))</f>
        <v>2022</v>
      </c>
      <c r="X222" s="23">
        <f>IF(Tabla2[[#This Row],[Fecha]]="","",YEAR(Tabla2[[#This Row],[Fecha]]))</f>
        <v>2023</v>
      </c>
    </row>
    <row r="223" spans="1:24" x14ac:dyDescent="0.25">
      <c r="A223" s="3">
        <v>222</v>
      </c>
      <c r="B223" s="77" t="s">
        <v>1215</v>
      </c>
      <c r="C223" s="360">
        <v>44954</v>
      </c>
      <c r="D223" s="76" t="s">
        <v>1216</v>
      </c>
      <c r="E223" s="360">
        <v>44923</v>
      </c>
      <c r="F223" s="78" t="s">
        <v>231</v>
      </c>
      <c r="G223" s="85">
        <v>830078301</v>
      </c>
      <c r="H223" s="177" t="str">
        <f>VLOOKUP(Tabla2[[#This Row],[NIT]],Clientes!A:C,2,0)</f>
        <v>SUPPLYTEC SAS</v>
      </c>
      <c r="I223" s="77" t="str">
        <f>VLOOKUP(Tabla2[[#This Row],[NIT]],Clientes!A:C,3,0)</f>
        <v>PJ</v>
      </c>
      <c r="J223" s="73" t="s">
        <v>794</v>
      </c>
      <c r="K223" s="267">
        <f>SUMIFS(Tabla4[Sub Total],Tabla4[Codigo],Tabla2[[#This Row],[Cod]])</f>
        <v>696000</v>
      </c>
      <c r="L223" s="262">
        <f>SUMPRODUCT((Tabla4[Codigo]=Tabla2[[#This Row],[Cod]])*1,Tabla4[IVA])</f>
        <v>132240</v>
      </c>
      <c r="M223" s="262">
        <f>SUMIFS(Tabla4[Total],Tabla4[Codigo],Tabla2[[#This Row],[Cod]])</f>
        <v>828240</v>
      </c>
      <c r="N223" s="278">
        <f>SUMPRODUCT((Tabla1[Codigo]=Tabla2[[#This Row],[Cod]])*1,Tabla1[Valor])</f>
        <v>621754</v>
      </c>
      <c r="O223" s="265">
        <f>IF(AND(Tabla2[[#This Row],[Estado]]="ok",LEFT(Tabla2[[#This Row],['# Factura]],3)="TIS"),Tabla2[[#This Row],[TOTAL]]-Tabla2[[#This Row],[pagado]],0)</f>
        <v>123202.64000000001</v>
      </c>
      <c r="P223" s="262">
        <f>Tabla2[[#This Row],[TOTAL]]-Tabla2[[#This Row],[Valor pago]]</f>
        <v>206486</v>
      </c>
      <c r="Q223" s="265">
        <f>IF(Tabla2[[#This Row],[Saldo]]=0,0,IF(Tabla2[[#This Row],[Tipo cliente]]="PJ",Tabla2[[#This Row],[SUBTOTAL]]*11%,0))</f>
        <v>76560</v>
      </c>
      <c r="R223" s="276">
        <f>IF(Tabla2[[#This Row],[Saldo]]=0,0,IF(Tabla2[[#This Row],[Tipo cliente]]="PJ",Tabla2[[#This Row],[SUBTOTAL]]*0.966%,0))</f>
        <v>6723.3600000000006</v>
      </c>
      <c r="S223" s="276">
        <f>IF(Tabla2[[#This Row],[Retiene IVA]]="S",Tabla2[[#This Row],[IVA]]*0.15,0)</f>
        <v>0</v>
      </c>
      <c r="T223" s="265">
        <f>+Tabla2[[#This Row],[Saldo]]-Tabla2[[#This Row],[Rete fte]]-Tabla2[[#This Row],[rete ica]]-Tabla2[[#This Row],[Rete IVA]]</f>
        <v>123202.64</v>
      </c>
      <c r="U22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705037.36</v>
      </c>
      <c r="W223" s="23">
        <f>IF(Tabla2[[#This Row],[Fecha F.E.]]="","",YEAR(Tabla2[[#This Row],[Fecha F.E.]]))</f>
        <v>2022</v>
      </c>
      <c r="X223" s="23">
        <f>IF(Tabla2[[#This Row],[Fecha]]="","",YEAR(Tabla2[[#This Row],[Fecha]]))</f>
        <v>2023</v>
      </c>
    </row>
    <row r="224" spans="1:24" x14ac:dyDescent="0.25">
      <c r="A224" s="3">
        <v>223</v>
      </c>
      <c r="B224" s="77" t="s">
        <v>1217</v>
      </c>
      <c r="C224" s="360">
        <v>44954</v>
      </c>
      <c r="D224" s="76" t="s">
        <v>1218</v>
      </c>
      <c r="E224" s="360">
        <v>44917</v>
      </c>
      <c r="F224" s="78" t="s">
        <v>231</v>
      </c>
      <c r="G224" s="85">
        <v>901218098</v>
      </c>
      <c r="H224" s="177" t="str">
        <f>VLOOKUP(Tabla2[[#This Row],[NIT]],Clientes!A:C,2,0)</f>
        <v>H &amp; S FRANQUICIAS SAS</v>
      </c>
      <c r="I224" s="77" t="str">
        <f>VLOOKUP(Tabla2[[#This Row],[NIT]],Clientes!A:C,3,0)</f>
        <v>PJ</v>
      </c>
      <c r="J224" s="73" t="s">
        <v>794</v>
      </c>
      <c r="K224" s="267">
        <f>SUMIFS(Tabla4[Sub Total],Tabla4[Codigo],Tabla2[[#This Row],[Cod]])</f>
        <v>3250000</v>
      </c>
      <c r="L224" s="262">
        <f>SUMPRODUCT((Tabla4[Codigo]=Tabla2[[#This Row],[Cod]])*1,Tabla4[IVA])</f>
        <v>617500</v>
      </c>
      <c r="M224" s="262">
        <f>SUMIFS(Tabla4[Total],Tabla4[Codigo],Tabla2[[#This Row],[Cod]])</f>
        <v>3867500</v>
      </c>
      <c r="N224" s="278">
        <f>SUMPRODUCT((Tabla1[Codigo]=Tabla2[[#This Row],[Cod]])*1,Tabla1[Valor])</f>
        <v>3487575</v>
      </c>
      <c r="O224" s="265">
        <f>IF(AND(Tabla2[[#This Row],[Estado]]="ok",LEFT(Tabla2[[#This Row],['# Factura]],3)="TIS"),Tabla2[[#This Row],[TOTAL]]-Tabla2[[#This Row],[pagado]],0)</f>
        <v>0</v>
      </c>
      <c r="P224" s="262">
        <f>Tabla2[[#This Row],[TOTAL]]-Tabla2[[#This Row],[Valor pago]]</f>
        <v>379925</v>
      </c>
      <c r="Q224" s="265">
        <f>IF(Tabla2[[#This Row],[Saldo]]=0,0,IF(Tabla2[[#This Row],[Tipo cliente]]="PJ",Tabla2[[#This Row],[SUBTOTAL]]*11%,0))</f>
        <v>357500</v>
      </c>
      <c r="R224" s="276">
        <f>IF(Tabla2[[#This Row],[Saldo]]=0,0,IF(Tabla2[[#This Row],[Tipo cliente]]="PJ",Tabla2[[#This Row],[SUBTOTAL]]*0.966%,0))</f>
        <v>31395</v>
      </c>
      <c r="S224" s="276">
        <f>IF(Tabla2[[#This Row],[Retiene IVA]]="S",Tabla2[[#This Row],[IVA]]*0.15,0)</f>
        <v>0</v>
      </c>
      <c r="T224" s="265">
        <f>+Tabla2[[#This Row],[Saldo]]-Tabla2[[#This Row],[Rete fte]]-Tabla2[[#This Row],[rete ica]]-Tabla2[[#This Row],[Rete IVA]]</f>
        <v>-8970</v>
      </c>
      <c r="U22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3867500</v>
      </c>
      <c r="W224" s="23">
        <f>IF(Tabla2[[#This Row],[Fecha F.E.]]="","",YEAR(Tabla2[[#This Row],[Fecha F.E.]]))</f>
        <v>2022</v>
      </c>
      <c r="X224" s="23">
        <f>IF(Tabla2[[#This Row],[Fecha]]="","",YEAR(Tabla2[[#This Row],[Fecha]]))</f>
        <v>2023</v>
      </c>
    </row>
    <row r="225" spans="1:24" x14ac:dyDescent="0.25">
      <c r="A225" s="3">
        <v>224</v>
      </c>
      <c r="B225" s="77" t="s">
        <v>1219</v>
      </c>
      <c r="C225" s="360">
        <v>44954</v>
      </c>
      <c r="D225" s="76" t="s">
        <v>1220</v>
      </c>
      <c r="E225" s="360">
        <v>44922</v>
      </c>
      <c r="F225" s="78" t="s">
        <v>716</v>
      </c>
      <c r="G225" s="85">
        <v>860006628</v>
      </c>
      <c r="H225" s="177" t="str">
        <f>VLOOKUP(Tabla2[[#This Row],[NIT]],Clientes!A:C,2,0)</f>
        <v>MCCANN ERICKSON CORPORATION S A</v>
      </c>
      <c r="I225" s="77" t="str">
        <f>VLOOKUP(Tabla2[[#This Row],[NIT]],Clientes!A:C,3,0)</f>
        <v>PJ</v>
      </c>
      <c r="J225" s="73" t="s">
        <v>794</v>
      </c>
      <c r="K225" s="267">
        <f>SUMIFS(Tabla4[Sub Total],Tabla4[Codigo],Tabla2[[#This Row],[Cod]])</f>
        <v>9000000</v>
      </c>
      <c r="L225" s="262">
        <f>SUMPRODUCT((Tabla4[Codigo]=Tabla2[[#This Row],[Cod]])*1,Tabla4[IVA])</f>
        <v>1710000</v>
      </c>
      <c r="M225" s="262">
        <f>SUMIFS(Tabla4[Total],Tabla4[Codigo],Tabla2[[#This Row],[Cod]])</f>
        <v>10710000</v>
      </c>
      <c r="N225" s="278">
        <f>SUMPRODUCT((Tabla1[Codigo]=Tabla2[[#This Row],[Cod]])*1,Tabla1[Valor])</f>
        <v>0</v>
      </c>
      <c r="O225" s="265">
        <f>IF(AND(Tabla2[[#This Row],[Estado]]="ok",LEFT(Tabla2[[#This Row],['# Factura]],3)="TIS"),Tabla2[[#This Row],[TOTAL]]-Tabla2[[#This Row],[pagado]],0)</f>
        <v>0</v>
      </c>
      <c r="P225" s="262">
        <f>Tabla2[[#This Row],[TOTAL]]-Tabla2[[#This Row],[Valor pago]]</f>
        <v>10710000</v>
      </c>
      <c r="Q225" s="265">
        <f>IF(Tabla2[[#This Row],[Saldo]]=0,0,IF(Tabla2[[#This Row],[Tipo cliente]]="PJ",Tabla2[[#This Row],[SUBTOTAL]]*11%,0))</f>
        <v>990000</v>
      </c>
      <c r="R225" s="276">
        <f>IF(Tabla2[[#This Row],[Saldo]]=0,0,IF(Tabla2[[#This Row],[Tipo cliente]]="PJ",Tabla2[[#This Row],[SUBTOTAL]]*0.966%,0))</f>
        <v>86940</v>
      </c>
      <c r="S225" s="276">
        <f>IF(Tabla2[[#This Row],[Retiene IVA]]="S",Tabla2[[#This Row],[IVA]]*0.15,0)</f>
        <v>0</v>
      </c>
      <c r="T225" s="265">
        <f>+Tabla2[[#This Row],[Saldo]]-Tabla2[[#This Row],[Rete fte]]-Tabla2[[#This Row],[rete ica]]-Tabla2[[#This Row],[Rete IVA]]</f>
        <v>9633060</v>
      </c>
      <c r="U22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25" s="23">
        <f>IF(Tabla2[[#This Row],[Fecha F.E.]]="","",YEAR(Tabla2[[#This Row],[Fecha F.E.]]))</f>
        <v>2022</v>
      </c>
      <c r="X225" s="23">
        <f>IF(Tabla2[[#This Row],[Fecha]]="","",YEAR(Tabla2[[#This Row],[Fecha]]))</f>
        <v>2023</v>
      </c>
    </row>
    <row r="226" spans="1:24" x14ac:dyDescent="0.25">
      <c r="A226" s="3">
        <v>225</v>
      </c>
      <c r="B226" s="77" t="s">
        <v>1221</v>
      </c>
      <c r="C226" s="360">
        <v>44954</v>
      </c>
      <c r="D226" s="76" t="s">
        <v>1222</v>
      </c>
      <c r="E226" s="360">
        <v>44949</v>
      </c>
      <c r="F226" s="78" t="s">
        <v>716</v>
      </c>
      <c r="G226" s="85">
        <v>860006628</v>
      </c>
      <c r="H226" s="177" t="str">
        <f>VLOOKUP(Tabla2[[#This Row],[NIT]],Clientes!A:C,2,0)</f>
        <v>MCCANN ERICKSON CORPORATION S A</v>
      </c>
      <c r="I226" s="77" t="str">
        <f>VLOOKUP(Tabla2[[#This Row],[NIT]],Clientes!A:C,3,0)</f>
        <v>PJ</v>
      </c>
      <c r="J226" s="73" t="s">
        <v>794</v>
      </c>
      <c r="K226" s="267">
        <f>SUMIFS(Tabla4[Sub Total],Tabla4[Codigo],Tabla2[[#This Row],[Cod]])</f>
        <v>-9000000</v>
      </c>
      <c r="L226" s="262">
        <f>SUMPRODUCT((Tabla4[Codigo]=Tabla2[[#This Row],[Cod]])*1,Tabla4[IVA])</f>
        <v>-1710000</v>
      </c>
      <c r="M226" s="262">
        <f>SUMIFS(Tabla4[Total],Tabla4[Codigo],Tabla2[[#This Row],[Cod]])</f>
        <v>-10710000</v>
      </c>
      <c r="N226" s="278">
        <f>SUMPRODUCT((Tabla1[Codigo]=Tabla2[[#This Row],[Cod]])*1,Tabla1[Valor])</f>
        <v>0</v>
      </c>
      <c r="O226" s="265">
        <f>IF(AND(Tabla2[[#This Row],[Estado]]="ok",LEFT(Tabla2[[#This Row],['# Factura]],3)="TIS"),Tabla2[[#This Row],[TOTAL]]-Tabla2[[#This Row],[pagado]],0)</f>
        <v>0</v>
      </c>
      <c r="P226" s="262">
        <f>Tabla2[[#This Row],[TOTAL]]-Tabla2[[#This Row],[Valor pago]]</f>
        <v>-10710000</v>
      </c>
      <c r="Q226" s="265">
        <f>IF(Tabla2[[#This Row],[Saldo]]=0,0,IF(Tabla2[[#This Row],[Tipo cliente]]="PJ",Tabla2[[#This Row],[SUBTOTAL]]*11%,0))</f>
        <v>-990000</v>
      </c>
      <c r="R226" s="276">
        <f>IF(Tabla2[[#This Row],[Saldo]]=0,0,IF(Tabla2[[#This Row],[Tipo cliente]]="PJ",Tabla2[[#This Row],[SUBTOTAL]]*0.966%,0))</f>
        <v>-86940</v>
      </c>
      <c r="S226" s="276">
        <f>IF(Tabla2[[#This Row],[Retiene IVA]]="S",Tabla2[[#This Row],[IVA]]*0.15,0)</f>
        <v>0</v>
      </c>
      <c r="T226" s="265">
        <f>+Tabla2[[#This Row],[Saldo]]-Tabla2[[#This Row],[Rete fte]]-Tabla2[[#This Row],[rete ica]]-Tabla2[[#This Row],[Rete IVA]]</f>
        <v>-9633060</v>
      </c>
      <c r="U22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26" s="23">
        <f>IF(Tabla2[[#This Row],[Fecha F.E.]]="","",YEAR(Tabla2[[#This Row],[Fecha F.E.]]))</f>
        <v>2023</v>
      </c>
      <c r="X226" s="23">
        <f>IF(Tabla2[[#This Row],[Fecha]]="","",YEAR(Tabla2[[#This Row],[Fecha]]))</f>
        <v>2023</v>
      </c>
    </row>
    <row r="227" spans="1:24" x14ac:dyDescent="0.25">
      <c r="A227" s="3">
        <v>226</v>
      </c>
      <c r="B227" s="77" t="s">
        <v>1223</v>
      </c>
      <c r="C227" s="360">
        <v>44954</v>
      </c>
      <c r="D227" s="76" t="s">
        <v>1224</v>
      </c>
      <c r="E227" s="360">
        <v>44949</v>
      </c>
      <c r="F227" s="78" t="s">
        <v>3</v>
      </c>
      <c r="G227" s="85">
        <v>860006628</v>
      </c>
      <c r="H227" s="177" t="str">
        <f>VLOOKUP(Tabla2[[#This Row],[NIT]],Clientes!A:C,2,0)</f>
        <v>MCCANN ERICKSON CORPORATION S A</v>
      </c>
      <c r="I227" s="77" t="str">
        <f>VLOOKUP(Tabla2[[#This Row],[NIT]],Clientes!A:C,3,0)</f>
        <v>PJ</v>
      </c>
      <c r="J227" s="73" t="s">
        <v>1051</v>
      </c>
      <c r="K227" s="267">
        <f>SUMIFS(Tabla4[Sub Total],Tabla4[Codigo],Tabla2[[#This Row],[Cod]])</f>
        <v>9000000</v>
      </c>
      <c r="L227" s="262">
        <f>SUMPRODUCT((Tabla4[Codigo]=Tabla2[[#This Row],[Cod]])*1,Tabla4[IVA])</f>
        <v>1710000</v>
      </c>
      <c r="M227" s="262">
        <f>SUMIFS(Tabla4[Total],Tabla4[Codigo],Tabla2[[#This Row],[Cod]])</f>
        <v>10710000</v>
      </c>
      <c r="N227" s="278">
        <f>SUMPRODUCT((Tabla1[Codigo]=Tabla2[[#This Row],[Cod]])*1,Tabla1[Valor])</f>
        <v>9401400</v>
      </c>
      <c r="O227" s="265">
        <f>IF(AND(Tabla2[[#This Row],[Estado]]="ok",LEFT(Tabla2[[#This Row],['# Factura]],3)="TIS"),Tabla2[[#This Row],[TOTAL]]-Tabla2[[#This Row],[pagado]],0)</f>
        <v>0</v>
      </c>
      <c r="P227" s="262">
        <f>Tabla2[[#This Row],[TOTAL]]-Tabla2[[#This Row],[Valor pago]]</f>
        <v>1308600</v>
      </c>
      <c r="Q227" s="265">
        <f>IF(Tabla2[[#This Row],[Saldo]]=0,0,IF(Tabla2[[#This Row],[Tipo cliente]]="PJ",Tabla2[[#This Row],[SUBTOTAL]]*11%,0))</f>
        <v>990000</v>
      </c>
      <c r="R227" s="276">
        <f>IF(Tabla2[[#This Row],[Saldo]]=0,0,IF(Tabla2[[#This Row],[Tipo cliente]]="PJ",Tabla2[[#This Row],[SUBTOTAL]]*0.966%,0))</f>
        <v>86940</v>
      </c>
      <c r="S227" s="276">
        <f>IF(Tabla2[[#This Row],[Retiene IVA]]="S",Tabla2[[#This Row],[IVA]]*0.15,0)</f>
        <v>256500</v>
      </c>
      <c r="T227" s="265">
        <f>+Tabla2[[#This Row],[Saldo]]-Tabla2[[#This Row],[Rete fte]]-Tabla2[[#This Row],[rete ica]]-Tabla2[[#This Row],[Rete IVA]]</f>
        <v>-24840</v>
      </c>
      <c r="U22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10710000</v>
      </c>
      <c r="W227" s="23">
        <f>IF(Tabla2[[#This Row],[Fecha F.E.]]="","",YEAR(Tabla2[[#This Row],[Fecha F.E.]]))</f>
        <v>2023</v>
      </c>
      <c r="X227" s="23">
        <f>IF(Tabla2[[#This Row],[Fecha]]="","",YEAR(Tabla2[[#This Row],[Fecha]]))</f>
        <v>2023</v>
      </c>
    </row>
    <row r="228" spans="1:24" ht="26.25" x14ac:dyDescent="0.25">
      <c r="A228" s="3">
        <v>227</v>
      </c>
      <c r="B228" s="77" t="s">
        <v>1225</v>
      </c>
      <c r="C228" s="360">
        <v>44954</v>
      </c>
      <c r="D228" s="76" t="s">
        <v>1226</v>
      </c>
      <c r="E228" s="360">
        <v>44923</v>
      </c>
      <c r="F228" s="78" t="s">
        <v>231</v>
      </c>
      <c r="G228" s="85">
        <v>900396116</v>
      </c>
      <c r="H228" s="177" t="str">
        <f>VLOOKUP(Tabla2[[#This Row],[NIT]],Clientes!A:C,2,0)</f>
        <v>PRODUCTORA INTERAMERICANA DE PLASTICOS S.A.S.</v>
      </c>
      <c r="I228" s="77" t="str">
        <f>VLOOKUP(Tabla2[[#This Row],[NIT]],Clientes!A:C,3,0)</f>
        <v>PJ</v>
      </c>
      <c r="J228" s="73" t="s">
        <v>794</v>
      </c>
      <c r="K228" s="267">
        <f>SUMIFS(Tabla4[Sub Total],Tabla4[Codigo],Tabla2[[#This Row],[Cod]])</f>
        <v>800000</v>
      </c>
      <c r="L228" s="262">
        <f>SUMPRODUCT((Tabla4[Codigo]=Tabla2[[#This Row],[Cod]])*1,Tabla4[IVA])</f>
        <v>0</v>
      </c>
      <c r="M228" s="262">
        <f>SUMIFS(Tabla4[Total],Tabla4[Codigo],Tabla2[[#This Row],[Cod]])</f>
        <v>800000</v>
      </c>
      <c r="N228" s="278">
        <f>SUMPRODUCT((Tabla1[Codigo]=Tabla2[[#This Row],[Cod]])*1,Tabla1[Valor])</f>
        <v>704272</v>
      </c>
      <c r="O228" s="265">
        <f>IF(AND(Tabla2[[#This Row],[Estado]]="ok",LEFT(Tabla2[[#This Row],['# Factura]],3)="TIS"),Tabla2[[#This Row],[TOTAL]]-Tabla2[[#This Row],[pagado]],0)</f>
        <v>0</v>
      </c>
      <c r="P228" s="262">
        <f>Tabla2[[#This Row],[TOTAL]]-Tabla2[[#This Row],[Valor pago]]</f>
        <v>95728</v>
      </c>
      <c r="Q228" s="265">
        <f>IF(Tabla2[[#This Row],[Saldo]]=0,0,IF(Tabla2[[#This Row],[Tipo cliente]]="PJ",Tabla2[[#This Row],[SUBTOTAL]]*11%,0))</f>
        <v>88000</v>
      </c>
      <c r="R228" s="276">
        <f>IF(Tabla2[[#This Row],[Saldo]]=0,0,IF(Tabla2[[#This Row],[Tipo cliente]]="PJ",Tabla2[[#This Row],[SUBTOTAL]]*0.966%,0))</f>
        <v>7728</v>
      </c>
      <c r="S228" s="276">
        <f>IF(Tabla2[[#This Row],[Retiene IVA]]="S",Tabla2[[#This Row],[IVA]]*0.15,0)</f>
        <v>0</v>
      </c>
      <c r="T228" s="265">
        <f>+Tabla2[[#This Row],[Saldo]]-Tabla2[[#This Row],[Rete fte]]-Tabla2[[#This Row],[rete ica]]-Tabla2[[#This Row],[Rete IVA]]</f>
        <v>0</v>
      </c>
      <c r="U22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800000</v>
      </c>
      <c r="W228" s="23">
        <f>IF(Tabla2[[#This Row],[Fecha F.E.]]="","",YEAR(Tabla2[[#This Row],[Fecha F.E.]]))</f>
        <v>2022</v>
      </c>
      <c r="X228" s="23">
        <f>IF(Tabla2[[#This Row],[Fecha]]="","",YEAR(Tabla2[[#This Row],[Fecha]]))</f>
        <v>2023</v>
      </c>
    </row>
    <row r="229" spans="1:24" ht="30.75" customHeight="1" x14ac:dyDescent="0.25">
      <c r="A229" s="3">
        <v>228</v>
      </c>
      <c r="B229" s="77" t="s">
        <v>1227</v>
      </c>
      <c r="C229" s="360">
        <v>44954</v>
      </c>
      <c r="D229" s="76" t="s">
        <v>1228</v>
      </c>
      <c r="E229" s="360">
        <v>44923</v>
      </c>
      <c r="F229" s="78" t="s">
        <v>231</v>
      </c>
      <c r="G229" s="85">
        <v>830105194</v>
      </c>
      <c r="H229" s="177" t="str">
        <f>VLOOKUP(Tabla2[[#This Row],[NIT]],Clientes!A:C,2,0)</f>
        <v>COMERCIALIZADORA INTERNACIONAL DYNAMIC TRADING CORPORATION S.A.S</v>
      </c>
      <c r="I229" s="77" t="str">
        <f>VLOOKUP(Tabla2[[#This Row],[NIT]],Clientes!A:C,3,0)</f>
        <v>PJ</v>
      </c>
      <c r="J229" s="73" t="s">
        <v>794</v>
      </c>
      <c r="K229" s="267">
        <f>SUMIFS(Tabla4[Sub Total],Tabla4[Codigo],Tabla2[[#This Row],[Cod]])</f>
        <v>456000</v>
      </c>
      <c r="L229" s="262">
        <f>SUMPRODUCT((Tabla4[Codigo]=Tabla2[[#This Row],[Cod]])*1,Tabla4[IVA])</f>
        <v>86640</v>
      </c>
      <c r="M229" s="262">
        <f>SUMIFS(Tabla4[Total],Tabla4[Codigo],Tabla2[[#This Row],[Cod]])</f>
        <v>542640</v>
      </c>
      <c r="N229" s="278">
        <f>SUMPRODUCT((Tabla1[Codigo]=Tabla2[[#This Row],[Cod]])*1,Tabla1[Valor])</f>
        <v>695098</v>
      </c>
      <c r="O229" s="265">
        <f>IF(AND(Tabla2[[#This Row],[Estado]]="ok",LEFT(Tabla2[[#This Row],['# Factura]],3)="TIS"),Tabla2[[#This Row],[TOTAL]]-Tabla2[[#This Row],[pagado]],0)</f>
        <v>0</v>
      </c>
      <c r="P229" s="262">
        <f>Tabla2[[#This Row],[TOTAL]]-Tabla2[[#This Row],[Valor pago]]</f>
        <v>-152458</v>
      </c>
      <c r="Q229" s="265">
        <f>IF(Tabla2[[#This Row],[Saldo]]=0,0,IF(Tabla2[[#This Row],[Tipo cliente]]="PJ",Tabla2[[#This Row],[SUBTOTAL]]*11%,0))</f>
        <v>50160</v>
      </c>
      <c r="R229" s="276">
        <f>IF(Tabla2[[#This Row],[Saldo]]=0,0,IF(Tabla2[[#This Row],[Tipo cliente]]="PJ",Tabla2[[#This Row],[SUBTOTAL]]*0.966%,0))</f>
        <v>4404.96</v>
      </c>
      <c r="S229" s="276">
        <f>IF(Tabla2[[#This Row],[Retiene IVA]]="S",Tabla2[[#This Row],[IVA]]*0.15,0)</f>
        <v>0</v>
      </c>
      <c r="T229" s="265">
        <f>+Tabla2[[#This Row],[Saldo]]-Tabla2[[#This Row],[Rete fte]]-Tabla2[[#This Row],[rete ica]]-Tabla2[[#This Row],[Rete IVA]]</f>
        <v>-207022.96</v>
      </c>
      <c r="U22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542640</v>
      </c>
      <c r="W229" s="23">
        <f>IF(Tabla2[[#This Row],[Fecha F.E.]]="","",YEAR(Tabla2[[#This Row],[Fecha F.E.]]))</f>
        <v>2022</v>
      </c>
      <c r="X229" s="23">
        <f>IF(Tabla2[[#This Row],[Fecha]]="","",YEAR(Tabla2[[#This Row],[Fecha]]))</f>
        <v>2023</v>
      </c>
    </row>
    <row r="230" spans="1:24" x14ac:dyDescent="0.25">
      <c r="A230" s="3">
        <v>229</v>
      </c>
      <c r="B230" s="77" t="s">
        <v>1229</v>
      </c>
      <c r="C230" s="360">
        <v>44954</v>
      </c>
      <c r="D230" s="76" t="s">
        <v>1230</v>
      </c>
      <c r="E230" s="360">
        <v>44949</v>
      </c>
      <c r="F230" s="78" t="s">
        <v>231</v>
      </c>
      <c r="G230" s="85">
        <v>900159244</v>
      </c>
      <c r="H230" s="177" t="str">
        <f>VLOOKUP(Tabla2[[#This Row],[NIT]],Clientes!A:C,2,0)</f>
        <v>SOLDMANT LTDA</v>
      </c>
      <c r="I230" s="77" t="str">
        <f>VLOOKUP(Tabla2[[#This Row],[NIT]],Clientes!A:C,3,0)</f>
        <v>PJ</v>
      </c>
      <c r="J230" s="73" t="s">
        <v>794</v>
      </c>
      <c r="K230" s="267">
        <f>SUMIFS(Tabla4[Sub Total],Tabla4[Codigo],Tabla2[[#This Row],[Cod]])</f>
        <v>450000</v>
      </c>
      <c r="L230" s="262">
        <f>SUMPRODUCT((Tabla4[Codigo]=Tabla2[[#This Row],[Cod]])*1,Tabla4[IVA])</f>
        <v>85500</v>
      </c>
      <c r="M230" s="262">
        <f>SUMIFS(Tabla4[Total],Tabla4[Codigo],Tabla2[[#This Row],[Cod]])</f>
        <v>535500</v>
      </c>
      <c r="N230" s="278">
        <f>SUMPRODUCT((Tabla1[Codigo]=Tabla2[[#This Row],[Cod]])*1,Tabla1[Valor])</f>
        <v>416500</v>
      </c>
      <c r="O230" s="265">
        <f>IF(AND(Tabla2[[#This Row],[Estado]]="ok",LEFT(Tabla2[[#This Row],['# Factura]],3)="TIS"),Tabla2[[#This Row],[TOTAL]]-Tabla2[[#This Row],[pagado]],0)</f>
        <v>65153</v>
      </c>
      <c r="P230" s="262">
        <f>Tabla2[[#This Row],[TOTAL]]-Tabla2[[#This Row],[Valor pago]]</f>
        <v>119000</v>
      </c>
      <c r="Q230" s="265">
        <f>IF(Tabla2[[#This Row],[Saldo]]=0,0,IF(Tabla2[[#This Row],[Tipo cliente]]="PJ",Tabla2[[#This Row],[SUBTOTAL]]*11%,0))</f>
        <v>49500</v>
      </c>
      <c r="R230" s="276">
        <f>IF(Tabla2[[#This Row],[Saldo]]=0,0,IF(Tabla2[[#This Row],[Tipo cliente]]="PJ",Tabla2[[#This Row],[SUBTOTAL]]*0.966%,0))</f>
        <v>4347</v>
      </c>
      <c r="S230" s="276">
        <f>IF(Tabla2[[#This Row],[Retiene IVA]]="S",Tabla2[[#This Row],[IVA]]*0.15,0)</f>
        <v>0</v>
      </c>
      <c r="T230" s="265">
        <f>+Tabla2[[#This Row],[Saldo]]-Tabla2[[#This Row],[Rete fte]]-Tabla2[[#This Row],[rete ica]]-Tabla2[[#This Row],[Rete IVA]]</f>
        <v>65153</v>
      </c>
      <c r="U23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470347</v>
      </c>
      <c r="W230" s="23">
        <f>IF(Tabla2[[#This Row],[Fecha F.E.]]="","",YEAR(Tabla2[[#This Row],[Fecha F.E.]]))</f>
        <v>2023</v>
      </c>
      <c r="X230" s="23">
        <f>IF(Tabla2[[#This Row],[Fecha]]="","",YEAR(Tabla2[[#This Row],[Fecha]]))</f>
        <v>2023</v>
      </c>
    </row>
    <row r="231" spans="1:24" x14ac:dyDescent="0.25">
      <c r="A231" s="3">
        <v>231</v>
      </c>
      <c r="B231" s="77" t="s">
        <v>1231</v>
      </c>
      <c r="C231" s="360">
        <v>44958</v>
      </c>
      <c r="D231" s="76" t="s">
        <v>1232</v>
      </c>
      <c r="E231" s="360">
        <v>44958</v>
      </c>
      <c r="F231" s="78" t="s">
        <v>231</v>
      </c>
      <c r="G231" s="85">
        <v>900047626</v>
      </c>
      <c r="H231" s="177" t="str">
        <f>VLOOKUP(Tabla2[[#This Row],[NIT]],Clientes!A:C,2,0)</f>
        <v>LABORATORIOS VIDA STEVIA SA</v>
      </c>
      <c r="I231" s="77" t="str">
        <f>VLOOKUP(Tabla2[[#This Row],[NIT]],Clientes!A:C,3,0)</f>
        <v>PJ</v>
      </c>
      <c r="J231" s="73" t="s">
        <v>794</v>
      </c>
      <c r="K231" s="267">
        <f>SUMIFS(Tabla4[Sub Total],Tabla4[Codigo],Tabla2[[#This Row],[Cod]])</f>
        <v>975000</v>
      </c>
      <c r="L231" s="262">
        <f>SUMPRODUCT((Tabla4[Codigo]=Tabla2[[#This Row],[Cod]])*1,Tabla4[IVA])</f>
        <v>137750</v>
      </c>
      <c r="M231" s="262">
        <f>SUMIFS(Tabla4[Total],Tabla4[Codigo],Tabla2[[#This Row],[Cod]])</f>
        <v>1112750</v>
      </c>
      <c r="N231" s="278">
        <f>SUMPRODUCT((Tabla1[Codigo]=Tabla2[[#This Row],[Cod]])*1,Tabla1[Valor])</f>
        <v>1647147</v>
      </c>
      <c r="O231" s="265">
        <f>IF(AND(Tabla2[[#This Row],[Estado]]="ok",LEFT(Tabla2[[#This Row],['# Factura]],3)="TIS"),Tabla2[[#This Row],[TOTAL]]-Tabla2[[#This Row],[pagado]],0)</f>
        <v>0</v>
      </c>
      <c r="P231" s="262">
        <f>Tabla2[[#This Row],[TOTAL]]-Tabla2[[#This Row],[Valor pago]]</f>
        <v>-534397</v>
      </c>
      <c r="Q231" s="265">
        <f>IF(Tabla2[[#This Row],[Saldo]]=0,0,IF(Tabla2[[#This Row],[Tipo cliente]]="PJ",Tabla2[[#This Row],[SUBTOTAL]]*11%,0))</f>
        <v>107250</v>
      </c>
      <c r="R231" s="276">
        <f>IF(Tabla2[[#This Row],[Saldo]]=0,0,IF(Tabla2[[#This Row],[Tipo cliente]]="PJ",Tabla2[[#This Row],[SUBTOTAL]]*0.966%,0))</f>
        <v>9418.5</v>
      </c>
      <c r="S231" s="276">
        <f>IF(Tabla2[[#This Row],[Retiene IVA]]="S",Tabla2[[#This Row],[IVA]]*0.15,0)</f>
        <v>0</v>
      </c>
      <c r="T231" s="265">
        <f>+Tabla2[[#This Row],[Saldo]]-Tabla2[[#This Row],[Rete fte]]-Tabla2[[#This Row],[rete ica]]-Tabla2[[#This Row],[Rete IVA]]</f>
        <v>-651065.5</v>
      </c>
      <c r="U23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1112750</v>
      </c>
      <c r="W231" s="23">
        <f>IF(Tabla2[[#This Row],[Fecha F.E.]]="","",YEAR(Tabla2[[#This Row],[Fecha F.E.]]))</f>
        <v>2023</v>
      </c>
      <c r="X231" s="23">
        <f>IF(Tabla2[[#This Row],[Fecha]]="","",YEAR(Tabla2[[#This Row],[Fecha]]))</f>
        <v>2023</v>
      </c>
    </row>
    <row r="232" spans="1:24" x14ac:dyDescent="0.25">
      <c r="A232" s="3">
        <v>232</v>
      </c>
      <c r="B232" s="77" t="s">
        <v>1233</v>
      </c>
      <c r="C232" s="360">
        <v>44958</v>
      </c>
      <c r="D232" s="76" t="s">
        <v>1234</v>
      </c>
      <c r="E232" s="360">
        <v>44977</v>
      </c>
      <c r="F232" s="78" t="s">
        <v>231</v>
      </c>
      <c r="G232" s="85">
        <v>860505170</v>
      </c>
      <c r="H232" s="177" t="str">
        <f>VLOOKUP(Tabla2[[#This Row],[NIT]],Clientes!A:C,2,0)</f>
        <v>Megalinea S.A.</v>
      </c>
      <c r="I232" s="77" t="str">
        <f>VLOOKUP(Tabla2[[#This Row],[NIT]],Clientes!A:C,3,0)</f>
        <v>PJ</v>
      </c>
      <c r="J232" s="73" t="s">
        <v>1040</v>
      </c>
      <c r="K232" s="267">
        <f>SUMIFS(Tabla4[Sub Total],Tabla4[Codigo],Tabla2[[#This Row],[Cod]])</f>
        <v>37912000</v>
      </c>
      <c r="L232" s="262">
        <f>SUMPRODUCT((Tabla4[Codigo]=Tabla2[[#This Row],[Cod]])*1,Tabla4[IVA])</f>
        <v>7203280</v>
      </c>
      <c r="M232" s="262">
        <f>SUMIFS(Tabla4[Total],Tabla4[Codigo],Tabla2[[#This Row],[Cod]])</f>
        <v>45115280</v>
      </c>
      <c r="N232" s="278">
        <f>SUMPRODUCT((Tabla1[Codigo]=Tabla2[[#This Row],[Cod]])*1,Tabla1[Valor])</f>
        <v>39536150</v>
      </c>
      <c r="O232" s="265">
        <f>IF(AND(Tabla2[[#This Row],[Estado]]="ok",LEFT(Tabla2[[#This Row],['# Factura]],3)="TIS"),Tabla2[[#This Row],[TOTAL]]-Tabla2[[#This Row],[pagado]],0)</f>
        <v>7.9999998211860657E-2</v>
      </c>
      <c r="P232" s="262">
        <f>Tabla2[[#This Row],[TOTAL]]-Tabla2[[#This Row],[Valor pago]]</f>
        <v>5579130</v>
      </c>
      <c r="Q232" s="265">
        <f>IF(Tabla2[[#This Row],[Saldo]]=0,0,IF(Tabla2[[#This Row],[Tipo cliente]]="PJ",Tabla2[[#This Row],[SUBTOTAL]]*11%,0))</f>
        <v>4170320</v>
      </c>
      <c r="R232" s="276">
        <f>IF(Tabla2[[#This Row],[Saldo]]=0,0,IF(Tabla2[[#This Row],[Tipo cliente]]="PJ",Tabla2[[#This Row],[SUBTOTAL]]*0.866%,0))</f>
        <v>328317.92</v>
      </c>
      <c r="S232" s="276">
        <f>IF(Tabla2[[#This Row],[Retiene IVA]]="S",Tabla2[[#This Row],[IVA]]*0.15,0)</f>
        <v>1080492</v>
      </c>
      <c r="T232" s="265">
        <f>+Tabla2[[#This Row],[Saldo]]-Tabla2[[#This Row],[Rete fte]]-Tabla2[[#This Row],[rete ica]]-Tabla2[[#This Row],[Rete IVA]]</f>
        <v>8.0000000074505806E-2</v>
      </c>
      <c r="U23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45115279.920000002</v>
      </c>
      <c r="W232" s="23">
        <f>IF(Tabla2[[#This Row],[Fecha F.E.]]="","",YEAR(Tabla2[[#This Row],[Fecha F.E.]]))</f>
        <v>2023</v>
      </c>
      <c r="X232" s="23">
        <f>IF(Tabla2[[#This Row],[Fecha]]="","",YEAR(Tabla2[[#This Row],[Fecha]]))</f>
        <v>2023</v>
      </c>
    </row>
    <row r="233" spans="1:24" x14ac:dyDescent="0.25">
      <c r="A233" s="3">
        <v>233</v>
      </c>
      <c r="B233" s="77" t="s">
        <v>1235</v>
      </c>
      <c r="C233" s="360">
        <v>44964</v>
      </c>
      <c r="D233" s="76" t="s">
        <v>1236</v>
      </c>
      <c r="E233" s="360">
        <v>44964</v>
      </c>
      <c r="F233" s="78" t="s">
        <v>231</v>
      </c>
      <c r="G233" s="85">
        <v>830064224</v>
      </c>
      <c r="H233" s="177" t="str">
        <f>VLOOKUP(Tabla2[[#This Row],[NIT]],Clientes!A:C,2,0)</f>
        <v>CONPORTUARIO LTDA</v>
      </c>
      <c r="I233" s="77" t="str">
        <f>VLOOKUP(Tabla2[[#This Row],[NIT]],Clientes!A:C,3,0)</f>
        <v>PJ</v>
      </c>
      <c r="J233" s="73" t="s">
        <v>794</v>
      </c>
      <c r="K233" s="267">
        <f>SUMIFS(Tabla4[Sub Total],Tabla4[Codigo],Tabla2[[#This Row],[Cod]])</f>
        <v>600000</v>
      </c>
      <c r="L233" s="262">
        <f>SUMPRODUCT((Tabla4[Codigo]=Tabla2[[#This Row],[Cod]])*1,Tabla4[IVA])</f>
        <v>114000</v>
      </c>
      <c r="M233" s="262">
        <f>SUMIFS(Tabla4[Total],Tabla4[Codigo],Tabla2[[#This Row],[Cod]])</f>
        <v>714000</v>
      </c>
      <c r="N233" s="278">
        <f>SUMPRODUCT((Tabla1[Codigo]=Tabla2[[#This Row],[Cod]])*1,Tabla1[Valor])</f>
        <v>570204</v>
      </c>
      <c r="O233" s="265">
        <f>IF(AND(Tabla2[[#This Row],[Estado]]="ok",LEFT(Tabla2[[#This Row],['# Factura]],3)="TIS"),Tabla2[[#This Row],[TOTAL]]-Tabla2[[#This Row],[pagado]],0)</f>
        <v>72000</v>
      </c>
      <c r="P233" s="262">
        <f>Tabla2[[#This Row],[TOTAL]]-Tabla2[[#This Row],[Valor pago]]</f>
        <v>143796</v>
      </c>
      <c r="Q233" s="265">
        <f>IF(Tabla2[[#This Row],[Saldo]]=0,0,IF(Tabla2[[#This Row],[Tipo cliente]]="PJ",Tabla2[[#This Row],[SUBTOTAL]]*11%,0))</f>
        <v>66000</v>
      </c>
      <c r="R233" s="276">
        <f>IF(Tabla2[[#This Row],[Saldo]]=0,0,IF(Tabla2[[#This Row],[Tipo cliente]]="PJ",Tabla2[[#This Row],[SUBTOTAL]]*0.966%,0))</f>
        <v>5796</v>
      </c>
      <c r="S233" s="276">
        <f>IF(Tabla2[[#This Row],[Retiene IVA]]="S",Tabla2[[#This Row],[IVA]]*0.15,0)</f>
        <v>0</v>
      </c>
      <c r="T233" s="265">
        <f>+Tabla2[[#This Row],[Saldo]]-Tabla2[[#This Row],[Rete fte]]-Tabla2[[#This Row],[rete ica]]-Tabla2[[#This Row],[Rete IVA]]</f>
        <v>72000</v>
      </c>
      <c r="U23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642000</v>
      </c>
      <c r="W233" s="23">
        <f>IF(Tabla2[[#This Row],[Fecha F.E.]]="","",YEAR(Tabla2[[#This Row],[Fecha F.E.]]))</f>
        <v>2023</v>
      </c>
      <c r="X233" s="23">
        <f>IF(Tabla2[[#This Row],[Fecha]]="","",YEAR(Tabla2[[#This Row],[Fecha]]))</f>
        <v>2023</v>
      </c>
    </row>
    <row r="234" spans="1:24" ht="26.25" x14ac:dyDescent="0.25">
      <c r="A234" s="3">
        <v>234</v>
      </c>
      <c r="B234" s="77" t="s">
        <v>1237</v>
      </c>
      <c r="C234" s="360">
        <v>44970</v>
      </c>
      <c r="D234" s="76" t="s">
        <v>1238</v>
      </c>
      <c r="E234" s="360">
        <v>44970</v>
      </c>
      <c r="F234" s="78" t="s">
        <v>231</v>
      </c>
      <c r="G234" s="85">
        <v>901034790</v>
      </c>
      <c r="H234" s="177" t="str">
        <f>VLOOKUP(Tabla2[[#This Row],[NIT]],Clientes!A:C,2,0)</f>
        <v>INSTITUTO DISTRITAL DE CIENCIA, BIOTECNOLOGIA E INNOVACION EN SALUD</v>
      </c>
      <c r="I234" s="77" t="str">
        <f>VLOOKUP(Tabla2[[#This Row],[NIT]],Clientes!A:C,3,0)</f>
        <v>PJ</v>
      </c>
      <c r="J234" s="73" t="s">
        <v>794</v>
      </c>
      <c r="K234" s="267">
        <f>SUMIFS(Tabla4[Sub Total],Tabla4[Codigo],Tabla2[[#This Row],[Cod]])</f>
        <v>6241166</v>
      </c>
      <c r="L234" s="262">
        <f>SUMPRODUCT((Tabla4[Codigo]=Tabla2[[#This Row],[Cod]])*1,Tabla4[IVA])</f>
        <v>1185821.54</v>
      </c>
      <c r="M234" s="262">
        <f>SUMIFS(Tabla4[Total],Tabla4[Codigo],Tabla2[[#This Row],[Cod]])</f>
        <v>7426987.54</v>
      </c>
      <c r="N234" s="278">
        <f>SUMPRODUCT((Tabla1[Codigo]=Tabla2[[#This Row],[Cod]])*1,Tabla1[Valor])</f>
        <v>6951661</v>
      </c>
      <c r="O234" s="265">
        <f>IF(AND(Tabla2[[#This Row],[Estado]]="ok",LEFT(Tabla2[[#This Row],['# Factura]],3)="TIS"),Tabla2[[#This Row],[TOTAL]]-Tabla2[[#This Row],[pagado]],0)</f>
        <v>0</v>
      </c>
      <c r="P234" s="262">
        <f>Tabla2[[#This Row],[TOTAL]]-Tabla2[[#This Row],[Valor pago]]</f>
        <v>475326.54000000004</v>
      </c>
      <c r="Q234" s="265">
        <f>IF(Tabla2[[#This Row],[Saldo]]=0,0,IF(Tabla2[[#This Row],[Tipo cliente]]="PJ",Tabla2[[#This Row],[SUBTOTAL]]*11%,0))</f>
        <v>686528.26</v>
      </c>
      <c r="R234" s="276">
        <f>IF(Tabla2[[#This Row],[Saldo]]=0,0,IF(Tabla2[[#This Row],[Tipo cliente]]="PJ",Tabla2[[#This Row],[SUBTOTAL]]*0.966%,0))</f>
        <v>60289.663560000001</v>
      </c>
      <c r="S234" s="276">
        <f>IF(Tabla2[[#This Row],[Retiene IVA]]="S",Tabla2[[#This Row],[IVA]]*0.15,0)</f>
        <v>0</v>
      </c>
      <c r="T234" s="265">
        <f>+Tabla2[[#This Row],[Saldo]]-Tabla2[[#This Row],[Rete fte]]-Tabla2[[#This Row],[rete ica]]-Tabla2[[#This Row],[Rete IVA]]</f>
        <v>-271491.38355999999</v>
      </c>
      <c r="U23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7426987.54</v>
      </c>
      <c r="W234" s="23">
        <f>IF(Tabla2[[#This Row],[Fecha F.E.]]="","",YEAR(Tabla2[[#This Row],[Fecha F.E.]]))</f>
        <v>2023</v>
      </c>
      <c r="X234" s="23">
        <f>IF(Tabla2[[#This Row],[Fecha]]="","",YEAR(Tabla2[[#This Row],[Fecha]]))</f>
        <v>2023</v>
      </c>
    </row>
    <row r="235" spans="1:24" ht="26.25" x14ac:dyDescent="0.25">
      <c r="A235" s="3">
        <v>235</v>
      </c>
      <c r="B235" s="77" t="s">
        <v>1239</v>
      </c>
      <c r="C235" s="360">
        <v>44972</v>
      </c>
      <c r="D235" s="76" t="s">
        <v>1240</v>
      </c>
      <c r="E235" s="360">
        <v>44972</v>
      </c>
      <c r="F235" s="78" t="s">
        <v>231</v>
      </c>
      <c r="G235" s="85">
        <v>900396116</v>
      </c>
      <c r="H235" s="177" t="str">
        <f>VLOOKUP(Tabla2[[#This Row],[NIT]],Clientes!A:C,2,0)</f>
        <v>PRODUCTORA INTERAMERICANA DE PLASTICOS S.A.S.</v>
      </c>
      <c r="I235" s="77" t="str">
        <f>VLOOKUP(Tabla2[[#This Row],[NIT]],Clientes!A:C,3,0)</f>
        <v>PJ</v>
      </c>
      <c r="J235" s="73" t="s">
        <v>794</v>
      </c>
      <c r="K235" s="267">
        <f>SUMIFS(Tabla4[Sub Total],Tabla4[Codigo],Tabla2[[#This Row],[Cod]])</f>
        <v>600000</v>
      </c>
      <c r="L235" s="262">
        <f>SUMPRODUCT((Tabla4[Codigo]=Tabla2[[#This Row],[Cod]])*1,Tabla4[IVA])</f>
        <v>114000</v>
      </c>
      <c r="M235" s="262">
        <f>SUMIFS(Tabla4[Total],Tabla4[Codigo],Tabla2[[#This Row],[Cod]])</f>
        <v>714000</v>
      </c>
      <c r="N235" s="278">
        <f>SUMPRODUCT((Tabla1[Codigo]=Tabla2[[#This Row],[Cod]])*1,Tabla1[Valor])</f>
        <v>642204</v>
      </c>
      <c r="O235" s="265">
        <f>IF(AND(Tabla2[[#This Row],[Estado]]="ok",LEFT(Tabla2[[#This Row],['# Factura]],3)="TIS"),Tabla2[[#This Row],[TOTAL]]-Tabla2[[#This Row],[pagado]],0)</f>
        <v>0</v>
      </c>
      <c r="P235" s="262">
        <f>Tabla2[[#This Row],[TOTAL]]-Tabla2[[#This Row],[Valor pago]]</f>
        <v>71796</v>
      </c>
      <c r="Q235" s="265">
        <f>IF(Tabla2[[#This Row],[Saldo]]=0,0,IF(Tabla2[[#This Row],[Tipo cliente]]="PJ",Tabla2[[#This Row],[SUBTOTAL]]*11%,0))</f>
        <v>66000</v>
      </c>
      <c r="R235" s="276">
        <f>IF(Tabla2[[#This Row],[Saldo]]=0,0,IF(Tabla2[[#This Row],[Tipo cliente]]="PJ",Tabla2[[#This Row],[SUBTOTAL]]*0.966%,0))</f>
        <v>5796</v>
      </c>
      <c r="S235" s="276">
        <f>IF(Tabla2[[#This Row],[Retiene IVA]]="S",Tabla2[[#This Row],[IVA]]*0.15,0)</f>
        <v>0</v>
      </c>
      <c r="T235" s="265">
        <f>+Tabla2[[#This Row],[Saldo]]-Tabla2[[#This Row],[Rete fte]]-Tabla2[[#This Row],[rete ica]]-Tabla2[[#This Row],[Rete IVA]]</f>
        <v>0</v>
      </c>
      <c r="U23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714000</v>
      </c>
      <c r="W235" s="23">
        <f>IF(Tabla2[[#This Row],[Fecha F.E.]]="","",YEAR(Tabla2[[#This Row],[Fecha F.E.]]))</f>
        <v>2023</v>
      </c>
      <c r="X235" s="23">
        <f>IF(Tabla2[[#This Row],[Fecha]]="","",YEAR(Tabla2[[#This Row],[Fecha]]))</f>
        <v>2023</v>
      </c>
    </row>
    <row r="236" spans="1:24" x14ac:dyDescent="0.25">
      <c r="A236" s="3">
        <v>236</v>
      </c>
      <c r="B236" s="77" t="s">
        <v>1241</v>
      </c>
      <c r="C236" s="360">
        <v>44972</v>
      </c>
      <c r="D236" s="76" t="s">
        <v>1242</v>
      </c>
      <c r="E236" s="360">
        <v>44972</v>
      </c>
      <c r="F236" s="78" t="s">
        <v>231</v>
      </c>
      <c r="G236" s="85">
        <v>800028768</v>
      </c>
      <c r="H236" s="177" t="str">
        <f>VLOOKUP(Tabla2[[#This Row],[NIT]],Clientes!A:C,2,0)</f>
        <v>Comercializadora ERZ SAS</v>
      </c>
      <c r="I236" s="77" t="str">
        <f>VLOOKUP(Tabla2[[#This Row],[NIT]],Clientes!A:C,3,0)</f>
        <v>PJ</v>
      </c>
      <c r="J236" s="73" t="s">
        <v>794</v>
      </c>
      <c r="K236" s="267">
        <f>SUMIFS(Tabla4[Sub Total],Tabla4[Codigo],Tabla2[[#This Row],[Cod]])</f>
        <v>520000</v>
      </c>
      <c r="L236" s="262">
        <f>SUMPRODUCT((Tabla4[Codigo]=Tabla2[[#This Row],[Cod]])*1,Tabla4[IVA])</f>
        <v>0</v>
      </c>
      <c r="M236" s="262">
        <f>SUMIFS(Tabla4[Total],Tabla4[Codigo],Tabla2[[#This Row],[Cod]])</f>
        <v>520000</v>
      </c>
      <c r="N236" s="278">
        <f>SUMPRODUCT((Tabla1[Codigo]=Tabla2[[#This Row],[Cod]])*1,Tabla1[Valor])</f>
        <v>458501</v>
      </c>
      <c r="O236" s="265">
        <f>IF(AND(Tabla2[[#This Row],[Estado]]="ok",LEFT(Tabla2[[#This Row],['# Factura]],3)="TIS"),Tabla2[[#This Row],[TOTAL]]-Tabla2[[#This Row],[pagado]],0)</f>
        <v>0</v>
      </c>
      <c r="P236" s="262">
        <f>Tabla2[[#This Row],[TOTAL]]-Tabla2[[#This Row],[Valor pago]]</f>
        <v>61499</v>
      </c>
      <c r="Q236" s="265">
        <f>IF(Tabla2[[#This Row],[Saldo]]=0,0,IF(Tabla2[[#This Row],[Tipo cliente]]="PJ",Tabla2[[#This Row],[SUBTOTAL]]*11%,0))</f>
        <v>57200</v>
      </c>
      <c r="R236" s="276">
        <f>IF(Tabla2[[#This Row],[Saldo]]=0,0,IF(Tabla2[[#This Row],[Tipo cliente]]="PJ",Tabla2[[#This Row],[SUBTOTAL]]*0.966%,0))</f>
        <v>5023.2</v>
      </c>
      <c r="S236" s="276">
        <f>IF(Tabla2[[#This Row],[Retiene IVA]]="S",Tabla2[[#This Row],[IVA]]*0.15,0)</f>
        <v>0</v>
      </c>
      <c r="T236" s="265">
        <f>+Tabla2[[#This Row],[Saldo]]-Tabla2[[#This Row],[Rete fte]]-Tabla2[[#This Row],[rete ica]]-Tabla2[[#This Row],[Rete IVA]]</f>
        <v>-724.19999999999982</v>
      </c>
      <c r="U23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520000</v>
      </c>
      <c r="W236" s="23">
        <f>IF(Tabla2[[#This Row],[Fecha F.E.]]="","",YEAR(Tabla2[[#This Row],[Fecha F.E.]]))</f>
        <v>2023</v>
      </c>
      <c r="X236" s="23">
        <f>IF(Tabla2[[#This Row],[Fecha]]="","",YEAR(Tabla2[[#This Row],[Fecha]]))</f>
        <v>2023</v>
      </c>
    </row>
    <row r="237" spans="1:24" x14ac:dyDescent="0.25">
      <c r="A237" s="3">
        <v>237</v>
      </c>
      <c r="B237" s="77" t="s">
        <v>1243</v>
      </c>
      <c r="C237" s="360">
        <v>44981</v>
      </c>
      <c r="D237" s="76" t="s">
        <v>1244</v>
      </c>
      <c r="E237" s="360">
        <v>44981</v>
      </c>
      <c r="F237" s="78" t="s">
        <v>231</v>
      </c>
      <c r="G237" s="85">
        <v>830057687</v>
      </c>
      <c r="H237" s="177" t="str">
        <f>VLOOKUP(Tabla2[[#This Row],[NIT]],Clientes!A:C,2,0)</f>
        <v>ATECNO S.A.S</v>
      </c>
      <c r="I237" s="77" t="str">
        <f>VLOOKUP(Tabla2[[#This Row],[NIT]],Clientes!A:C,3,0)</f>
        <v>PJ</v>
      </c>
      <c r="J237" s="73" t="s">
        <v>794</v>
      </c>
      <c r="K237" s="267">
        <f>SUMIFS(Tabla4[Sub Total],Tabla4[Codigo],Tabla2[[#This Row],[Cod]])</f>
        <v>6351600</v>
      </c>
      <c r="L237" s="262">
        <f>SUMPRODUCT((Tabla4[Codigo]=Tabla2[[#This Row],[Cod]])*1,Tabla4[IVA])</f>
        <v>0</v>
      </c>
      <c r="M237" s="262">
        <f>SUMIFS(Tabla4[Total],Tabla4[Codigo],Tabla2[[#This Row],[Cod]])</f>
        <v>6351600</v>
      </c>
      <c r="N237" s="278">
        <f>SUMPRODUCT((Tabla1[Codigo]=Tabla2[[#This Row],[Cod]])*1,Tabla1[Valor])</f>
        <v>5597919</v>
      </c>
      <c r="O237" s="265">
        <f>IF(AND(Tabla2[[#This Row],[Estado]]="ok",LEFT(Tabla2[[#This Row],['# Factura]],3)="TIS"),Tabla2[[#This Row],[TOTAL]]-Tabla2[[#This Row],[pagado]],0)</f>
        <v>0</v>
      </c>
      <c r="P237" s="262">
        <f>Tabla2[[#This Row],[TOTAL]]-Tabla2[[#This Row],[Valor pago]]</f>
        <v>753681</v>
      </c>
      <c r="Q237" s="265">
        <f>IF(Tabla2[[#This Row],[Saldo]]=0,0,IF(Tabla2[[#This Row],[Tipo cliente]]="PJ",Tabla2[[#This Row],[SUBTOTAL]]*11%,0))</f>
        <v>698676</v>
      </c>
      <c r="R237" s="276">
        <f>IF(Tabla2[[#This Row],[Saldo]]=0,0,IF(Tabla2[[#This Row],[Tipo cliente]]="PJ",Tabla2[[#This Row],[SUBTOTAL]]*0.966%,0))</f>
        <v>61356.455999999998</v>
      </c>
      <c r="S237" s="276">
        <f>IF(Tabla2[[#This Row],[Retiene IVA]]="S",Tabla2[[#This Row],[IVA]]*0.15,0)</f>
        <v>0</v>
      </c>
      <c r="T237" s="265">
        <f>+Tabla2[[#This Row],[Saldo]]-Tabla2[[#This Row],[Rete fte]]-Tabla2[[#This Row],[rete ica]]-Tabla2[[#This Row],[Rete IVA]]</f>
        <v>-6351.4559999999983</v>
      </c>
      <c r="U23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6351600</v>
      </c>
      <c r="V237" s="23" t="s">
        <v>1245</v>
      </c>
      <c r="W237" s="23">
        <f>IF(Tabla2[[#This Row],[Fecha F.E.]]="","",YEAR(Tabla2[[#This Row],[Fecha F.E.]]))</f>
        <v>2023</v>
      </c>
      <c r="X237" s="23">
        <f>IF(Tabla2[[#This Row],[Fecha]]="","",YEAR(Tabla2[[#This Row],[Fecha]]))</f>
        <v>2023</v>
      </c>
    </row>
    <row r="238" spans="1:24" ht="26.25" x14ac:dyDescent="0.25">
      <c r="A238" s="3">
        <v>238</v>
      </c>
      <c r="B238" s="77" t="s">
        <v>1246</v>
      </c>
      <c r="C238" s="360">
        <v>44981</v>
      </c>
      <c r="D238" s="76" t="s">
        <v>1247</v>
      </c>
      <c r="E238" s="360">
        <v>44981</v>
      </c>
      <c r="F238" s="78" t="s">
        <v>231</v>
      </c>
      <c r="G238" s="85">
        <v>900396116</v>
      </c>
      <c r="H238" s="177" t="str">
        <f>VLOOKUP(Tabla2[[#This Row],[NIT]],Clientes!A:C,2,0)</f>
        <v>PRODUCTORA INTERAMERICANA DE PLASTICOS S.A.S.</v>
      </c>
      <c r="I238" s="77" t="str">
        <f>VLOOKUP(Tabla2[[#This Row],[NIT]],Clientes!A:C,3,0)</f>
        <v>PJ</v>
      </c>
      <c r="J238" s="73" t="s">
        <v>794</v>
      </c>
      <c r="K238" s="267">
        <f>SUMIFS(Tabla4[Sub Total],Tabla4[Codigo],Tabla2[[#This Row],[Cod]])</f>
        <v>300000</v>
      </c>
      <c r="L238" s="262">
        <f>SUMPRODUCT((Tabla4[Codigo]=Tabla2[[#This Row],[Cod]])*1,Tabla4[IVA])</f>
        <v>57000</v>
      </c>
      <c r="M238" s="262">
        <f>SUMIFS(Tabla4[Total],Tabla4[Codigo],Tabla2[[#This Row],[Cod]])</f>
        <v>357000</v>
      </c>
      <c r="N238" s="278">
        <f>SUMPRODUCT((Tabla1[Codigo]=Tabla2[[#This Row],[Cod]])*1,Tabla1[Valor])</f>
        <v>321102</v>
      </c>
      <c r="O238" s="265">
        <f>IF(AND(Tabla2[[#This Row],[Estado]]="ok",LEFT(Tabla2[[#This Row],['# Factura]],3)="TIS"),Tabla2[[#This Row],[TOTAL]]-Tabla2[[#This Row],[pagado]],0)</f>
        <v>0</v>
      </c>
      <c r="P238" s="262">
        <f>Tabla2[[#This Row],[TOTAL]]-Tabla2[[#This Row],[Valor pago]]</f>
        <v>35898</v>
      </c>
      <c r="Q238" s="265">
        <f>IF(Tabla2[[#This Row],[Saldo]]=0,0,IF(Tabla2[[#This Row],[Tipo cliente]]="PJ",Tabla2[[#This Row],[SUBTOTAL]]*11%,0))</f>
        <v>33000</v>
      </c>
      <c r="R238" s="276">
        <f>IF(Tabla2[[#This Row],[Saldo]]=0,0,IF(Tabla2[[#This Row],[Tipo cliente]]="PJ",Tabla2[[#This Row],[SUBTOTAL]]*0.966%,0))</f>
        <v>2898</v>
      </c>
      <c r="S238" s="276">
        <f>IF(Tabla2[[#This Row],[Retiene IVA]]="S",Tabla2[[#This Row],[IVA]]*0.15,0)</f>
        <v>0</v>
      </c>
      <c r="T238" s="265">
        <f>+Tabla2[[#This Row],[Saldo]]-Tabla2[[#This Row],[Rete fte]]-Tabla2[[#This Row],[rete ica]]-Tabla2[[#This Row],[Rete IVA]]</f>
        <v>0</v>
      </c>
      <c r="U23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238" s="23">
        <f>IF(Tabla2[[#This Row],[Fecha F.E.]]="","",YEAR(Tabla2[[#This Row],[Fecha F.E.]]))</f>
        <v>2023</v>
      </c>
      <c r="X238" s="23">
        <f>IF(Tabla2[[#This Row],[Fecha]]="","",YEAR(Tabla2[[#This Row],[Fecha]]))</f>
        <v>2023</v>
      </c>
    </row>
    <row r="239" spans="1:24" x14ac:dyDescent="0.25">
      <c r="A239" s="3">
        <v>239</v>
      </c>
      <c r="B239" s="77" t="s">
        <v>1248</v>
      </c>
      <c r="C239" s="360">
        <v>44981</v>
      </c>
      <c r="D239" s="76" t="s">
        <v>1249</v>
      </c>
      <c r="E239" s="360">
        <v>44981</v>
      </c>
      <c r="F239" s="78" t="s">
        <v>231</v>
      </c>
      <c r="G239" s="85">
        <v>901030518</v>
      </c>
      <c r="H239" s="177" t="str">
        <f>VLOOKUP(Tabla2[[#This Row],[NIT]],Clientes!A:C,2,0)</f>
        <v>Inversiones Sajamib SAS</v>
      </c>
      <c r="I239" s="77" t="str">
        <f>VLOOKUP(Tabla2[[#This Row],[NIT]],Clientes!A:C,3,0)</f>
        <v>PJ</v>
      </c>
      <c r="J239" s="73" t="s">
        <v>794</v>
      </c>
      <c r="K239" s="267">
        <f>SUMIFS(Tabla4[Sub Total],Tabla4[Codigo],Tabla2[[#This Row],[Cod]])</f>
        <v>644000</v>
      </c>
      <c r="L239" s="262">
        <f>SUMPRODUCT((Tabla4[Codigo]=Tabla2[[#This Row],[Cod]])*1,Tabla4[IVA])</f>
        <v>0</v>
      </c>
      <c r="M239" s="262">
        <f>SUMIFS(Tabla4[Total],Tabla4[Codigo],Tabla2[[#This Row],[Cod]])</f>
        <v>644000</v>
      </c>
      <c r="N239" s="278">
        <f>SUMPRODUCT((Tabla1[Codigo]=Tabla2[[#This Row],[Cod]])*1,Tabla1[Valor])</f>
        <v>644000</v>
      </c>
      <c r="O239" s="265">
        <f>IF(AND(Tabla2[[#This Row],[Estado]]="ok",LEFT(Tabla2[[#This Row],['# Factura]],3)="TIS"),Tabla2[[#This Row],[TOTAL]]-Tabla2[[#This Row],[pagado]],0)</f>
        <v>0</v>
      </c>
      <c r="P239" s="262">
        <f>Tabla2[[#This Row],[TOTAL]]-Tabla2[[#This Row],[Valor pago]]</f>
        <v>0</v>
      </c>
      <c r="Q239" s="265">
        <f>IF(Tabla2[[#This Row],[Saldo]]=0,0,IF(Tabla2[[#This Row],[Tipo cliente]]="PJ",Tabla2[[#This Row],[SUBTOTAL]]*11%,0))</f>
        <v>0</v>
      </c>
      <c r="R239" s="276">
        <f>IF(Tabla2[[#This Row],[Saldo]]=0,0,IF(Tabla2[[#This Row],[Tipo cliente]]="PJ",Tabla2[[#This Row],[SUBTOTAL]]*0.966%,0))</f>
        <v>0</v>
      </c>
      <c r="S239" s="276">
        <f>IF(Tabla2[[#This Row],[Retiene IVA]]="S",Tabla2[[#This Row],[IVA]]*0.15,0)</f>
        <v>0</v>
      </c>
      <c r="T239" s="265">
        <f>+Tabla2[[#This Row],[Saldo]]-Tabla2[[#This Row],[Rete fte]]-Tabla2[[#This Row],[rete ica]]-Tabla2[[#This Row],[Rete IVA]]</f>
        <v>0</v>
      </c>
      <c r="U23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644000</v>
      </c>
      <c r="W239" s="23">
        <f>IF(Tabla2[[#This Row],[Fecha F.E.]]="","",YEAR(Tabla2[[#This Row],[Fecha F.E.]]))</f>
        <v>2023</v>
      </c>
      <c r="X239" s="23">
        <f>IF(Tabla2[[#This Row],[Fecha]]="","",YEAR(Tabla2[[#This Row],[Fecha]]))</f>
        <v>2023</v>
      </c>
    </row>
    <row r="240" spans="1:24" ht="26.25" x14ac:dyDescent="0.25">
      <c r="A240" s="3">
        <v>240</v>
      </c>
      <c r="B240" s="77" t="s">
        <v>1250</v>
      </c>
      <c r="C240" s="360">
        <v>44981</v>
      </c>
      <c r="D240" s="76" t="s">
        <v>1251</v>
      </c>
      <c r="E240" s="360">
        <v>44981</v>
      </c>
      <c r="F240" s="78" t="s">
        <v>231</v>
      </c>
      <c r="G240" s="85">
        <v>900641244</v>
      </c>
      <c r="H240" s="177" t="str">
        <f>VLOOKUP(Tabla2[[#This Row],[NIT]],Clientes!A:C,2,0)</f>
        <v>PASTRY CHEF PASTELERIA Y COCINA GOURMET SAS</v>
      </c>
      <c r="I240" s="77" t="str">
        <f>VLOOKUP(Tabla2[[#This Row],[NIT]],Clientes!A:C,3,0)</f>
        <v>PJ</v>
      </c>
      <c r="J240" s="73" t="s">
        <v>794</v>
      </c>
      <c r="K240" s="267">
        <f>SUMIFS(Tabla4[Sub Total],Tabla4[Codigo],Tabla2[[#This Row],[Cod]])</f>
        <v>1446666</v>
      </c>
      <c r="L240" s="262">
        <f>SUMPRODUCT((Tabla4[Codigo]=Tabla2[[#This Row],[Cod]])*1,Tabla4[IVA])</f>
        <v>0</v>
      </c>
      <c r="M240" s="262">
        <f>SUMIFS(Tabla4[Total],Tabla4[Codigo],Tabla2[[#This Row],[Cod]])</f>
        <v>1446666</v>
      </c>
      <c r="N240" s="278">
        <f>SUMPRODUCT((Tabla1[Codigo]=Tabla2[[#This Row],[Cod]])*1,Tabla1[Valor])</f>
        <v>1723268</v>
      </c>
      <c r="O240" s="265">
        <f>IF(AND(Tabla2[[#This Row],[Estado]]="ok",LEFT(Tabla2[[#This Row],['# Factura]],3)="TIS"),Tabla2[[#This Row],[TOTAL]]-Tabla2[[#This Row],[pagado]],0)</f>
        <v>0</v>
      </c>
      <c r="P240" s="262">
        <f>Tabla2[[#This Row],[TOTAL]]-Tabla2[[#This Row],[Valor pago]]</f>
        <v>-276602</v>
      </c>
      <c r="Q240" s="265">
        <f>IF(Tabla2[[#This Row],[Saldo]]=0,0,IF(Tabla2[[#This Row],[Tipo cliente]]="PJ",Tabla2[[#This Row],[SUBTOTAL]]*11%,0))</f>
        <v>159133.26</v>
      </c>
      <c r="R240" s="276">
        <f>IF(Tabla2[[#This Row],[Saldo]]=0,0,IF(Tabla2[[#This Row],[Tipo cliente]]="PJ",Tabla2[[#This Row],[SUBTOTAL]]*0.966%,0))</f>
        <v>13974.79356</v>
      </c>
      <c r="S240" s="276">
        <f>IF(Tabla2[[#This Row],[Retiene IVA]]="S",Tabla2[[#This Row],[IVA]]*0.15,0)</f>
        <v>0</v>
      </c>
      <c r="T240" s="265">
        <f>+Tabla2[[#This Row],[Saldo]]-Tabla2[[#This Row],[Rete fte]]-Tabla2[[#This Row],[rete ica]]-Tabla2[[#This Row],[Rete IVA]]</f>
        <v>-449710.05356000003</v>
      </c>
      <c r="U24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1446666</v>
      </c>
      <c r="W240" s="23">
        <f>IF(Tabla2[[#This Row],[Fecha F.E.]]="","",YEAR(Tabla2[[#This Row],[Fecha F.E.]]))</f>
        <v>2023</v>
      </c>
      <c r="X240" s="23">
        <f>IF(Tabla2[[#This Row],[Fecha]]="","",YEAR(Tabla2[[#This Row],[Fecha]]))</f>
        <v>2023</v>
      </c>
    </row>
    <row r="241" spans="1:24" x14ac:dyDescent="0.25">
      <c r="A241" s="3">
        <v>241</v>
      </c>
      <c r="B241" s="77" t="s">
        <v>1252</v>
      </c>
      <c r="C241" s="360">
        <v>44987</v>
      </c>
      <c r="D241" s="76" t="s">
        <v>1253</v>
      </c>
      <c r="E241" s="360">
        <v>44987</v>
      </c>
      <c r="F241" s="78" t="s">
        <v>231</v>
      </c>
      <c r="G241" s="85">
        <v>900355950</v>
      </c>
      <c r="H241" s="177" t="str">
        <f>VLOOKUP(Tabla2[[#This Row],[NIT]],Clientes!A:C,2,0)</f>
        <v>TECNOLOGIA DE OFICINA S.A.S.</v>
      </c>
      <c r="I241" s="77" t="str">
        <f>VLOOKUP(Tabla2[[#This Row],[NIT]],Clientes!A:C,3,0)</f>
        <v>PJ</v>
      </c>
      <c r="J241" s="73" t="s">
        <v>794</v>
      </c>
      <c r="K241" s="267">
        <f>SUMIFS(Tabla4[Sub Total],Tabla4[Codigo],Tabla2[[#This Row],[Cod]])</f>
        <v>503000</v>
      </c>
      <c r="L241" s="262">
        <f>SUMPRODUCT((Tabla4[Codigo]=Tabla2[[#This Row],[Cod]])*1,Tabla4[IVA])</f>
        <v>0</v>
      </c>
      <c r="M241" s="262">
        <f>SUMIFS(Tabla4[Total],Tabla4[Codigo],Tabla2[[#This Row],[Cod]])</f>
        <v>503000</v>
      </c>
      <c r="N241" s="278">
        <f>SUMPRODUCT((Tabla1[Codigo]=Tabla2[[#This Row],[Cod]])*1,Tabla1[Valor])</f>
        <v>503000</v>
      </c>
      <c r="O241" s="265">
        <f>IF(AND(Tabla2[[#This Row],[Estado]]="ok",LEFT(Tabla2[[#This Row],['# Factura]],3)="TIS"),Tabla2[[#This Row],[TOTAL]]-Tabla2[[#This Row],[pagado]],0)</f>
        <v>0</v>
      </c>
      <c r="P241" s="262">
        <f>Tabla2[[#This Row],[TOTAL]]-Tabla2[[#This Row],[Valor pago]]</f>
        <v>0</v>
      </c>
      <c r="Q241" s="265">
        <f>IF(Tabla2[[#This Row],[Saldo]]=0,0,IF(Tabla2[[#This Row],[Tipo cliente]]="PJ",Tabla2[[#This Row],[SUBTOTAL]]*11%,0))</f>
        <v>0</v>
      </c>
      <c r="R241" s="276">
        <f>IF(Tabla2[[#This Row],[Saldo]]=0,0,IF(Tabla2[[#This Row],[Tipo cliente]]="PJ",Tabla2[[#This Row],[SUBTOTAL]]*0.966%,0))</f>
        <v>0</v>
      </c>
      <c r="S241" s="276">
        <f>IF(Tabla2[[#This Row],[Retiene IVA]]="S",Tabla2[[#This Row],[IVA]]*0.15,0)</f>
        <v>0</v>
      </c>
      <c r="T241" s="265">
        <f>+Tabla2[[#This Row],[Saldo]]-Tabla2[[#This Row],[Rete fte]]-Tabla2[[#This Row],[rete ica]]-Tabla2[[#This Row],[Rete IVA]]</f>
        <v>0</v>
      </c>
      <c r="U24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503000</v>
      </c>
      <c r="W241" s="23">
        <f>IF(Tabla2[[#This Row],[Fecha F.E.]]="","",YEAR(Tabla2[[#This Row],[Fecha F.E.]]))</f>
        <v>2023</v>
      </c>
      <c r="X241" s="23">
        <f>IF(Tabla2[[#This Row],[Fecha]]="","",YEAR(Tabla2[[#This Row],[Fecha]]))</f>
        <v>2023</v>
      </c>
    </row>
    <row r="242" spans="1:24" ht="26.25" x14ac:dyDescent="0.25">
      <c r="A242" s="3">
        <v>242</v>
      </c>
      <c r="B242" s="77" t="s">
        <v>1254</v>
      </c>
      <c r="C242" s="360">
        <v>44992</v>
      </c>
      <c r="D242" s="76" t="s">
        <v>1255</v>
      </c>
      <c r="E242" s="360">
        <v>44992</v>
      </c>
      <c r="F242" s="78" t="s">
        <v>231</v>
      </c>
      <c r="G242" s="85">
        <v>900396116</v>
      </c>
      <c r="H242" s="177" t="str">
        <f>VLOOKUP(Tabla2[[#This Row],[NIT]],Clientes!A:C,2,0)</f>
        <v>PRODUCTORA INTERAMERICANA DE PLASTICOS S.A.S.</v>
      </c>
      <c r="I242" s="77" t="str">
        <f>VLOOKUP(Tabla2[[#This Row],[NIT]],Clientes!A:C,3,0)</f>
        <v>PJ</v>
      </c>
      <c r="J242" s="73" t="s">
        <v>794</v>
      </c>
      <c r="K242" s="267">
        <f>SUMIFS(Tabla4[Sub Total],Tabla4[Codigo],Tabla2[[#This Row],[Cod]])</f>
        <v>3920000</v>
      </c>
      <c r="L242" s="262">
        <f>SUMPRODUCT((Tabla4[Codigo]=Tabla2[[#This Row],[Cod]])*1,Tabla4[IVA])</f>
        <v>0</v>
      </c>
      <c r="M242" s="262">
        <f>SUMIFS(Tabla4[Total],Tabla4[Codigo],Tabla2[[#This Row],[Cod]])</f>
        <v>3920000</v>
      </c>
      <c r="N242" s="278">
        <f>SUMPRODUCT((Tabla1[Codigo]=Tabla2[[#This Row],[Cod]])*1,Tabla1[Valor])</f>
        <v>3554371</v>
      </c>
      <c r="O242" s="265">
        <f>IF(AND(Tabla2[[#This Row],[Estado]]="ok",LEFT(Tabla2[[#This Row],['# Factura]],3)="TIS"),Tabla2[[#This Row],[TOTAL]]-Tabla2[[#This Row],[pagado]],0)</f>
        <v>0</v>
      </c>
      <c r="P242" s="262">
        <f>Tabla2[[#This Row],[TOTAL]]-Tabla2[[#This Row],[Valor pago]]</f>
        <v>365629</v>
      </c>
      <c r="Q242" s="265">
        <f>IF(Tabla2[[#This Row],[Saldo]]=0,0,IF(Tabla2[[#This Row],[Tipo cliente]]="PJ",Tabla2[[#This Row],[SUBTOTAL]]*11%,0))</f>
        <v>431200</v>
      </c>
      <c r="R242" s="276">
        <f>IF(Tabla2[[#This Row],[Saldo]]=0,0,IF(Tabla2[[#This Row],[Tipo cliente]]="PJ",Tabla2[[#This Row],[SUBTOTAL]]*0.966%,0))</f>
        <v>37867.199999999997</v>
      </c>
      <c r="S242" s="276">
        <f>IF(Tabla2[[#This Row],[Retiene IVA]]="S",Tabla2[[#This Row],[IVA]]*0.15,0)</f>
        <v>0</v>
      </c>
      <c r="T242" s="265">
        <f>+Tabla2[[#This Row],[Saldo]]-Tabla2[[#This Row],[Rete fte]]-Tabla2[[#This Row],[rete ica]]-Tabla2[[#This Row],[Rete IVA]]</f>
        <v>-103438.2</v>
      </c>
      <c r="U24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3920000</v>
      </c>
      <c r="W242" s="23">
        <f>IF(Tabla2[[#This Row],[Fecha F.E.]]="","",YEAR(Tabla2[[#This Row],[Fecha F.E.]]))</f>
        <v>2023</v>
      </c>
      <c r="X242" s="23">
        <f>IF(Tabla2[[#This Row],[Fecha]]="","",YEAR(Tabla2[[#This Row],[Fecha]]))</f>
        <v>2023</v>
      </c>
    </row>
    <row r="243" spans="1:24" x14ac:dyDescent="0.25">
      <c r="A243" s="3">
        <v>243</v>
      </c>
      <c r="B243" s="77" t="s">
        <v>1256</v>
      </c>
      <c r="C243" s="360">
        <v>44995</v>
      </c>
      <c r="D243" s="76" t="s">
        <v>1257</v>
      </c>
      <c r="E243" s="360">
        <v>44995</v>
      </c>
      <c r="F243" s="78" t="s">
        <v>231</v>
      </c>
      <c r="G243" s="85">
        <v>900824665</v>
      </c>
      <c r="H243" s="177" t="str">
        <f>VLOOKUP(Tabla2[[#This Row],[NIT]],Clientes!A:C,2,0)</f>
        <v>CLEAN MAX SAS</v>
      </c>
      <c r="I243" s="77" t="str">
        <f>VLOOKUP(Tabla2[[#This Row],[NIT]],Clientes!A:C,3,0)</f>
        <v>PJ</v>
      </c>
      <c r="J243" s="73" t="s">
        <v>794</v>
      </c>
      <c r="K243" s="267">
        <f>SUMIFS(Tabla4[Sub Total],Tabla4[Codigo],Tabla2[[#This Row],[Cod]])</f>
        <v>360000</v>
      </c>
      <c r="L243" s="262">
        <f>SUMPRODUCT((Tabla4[Codigo]=Tabla2[[#This Row],[Cod]])*1,Tabla4[IVA])</f>
        <v>0</v>
      </c>
      <c r="M243" s="262">
        <f>SUMIFS(Tabla4[Total],Tabla4[Codigo],Tabla2[[#This Row],[Cod]])</f>
        <v>360000</v>
      </c>
      <c r="N243" s="278">
        <f>SUMPRODUCT((Tabla1[Codigo]=Tabla2[[#This Row],[Cod]])*1,Tabla1[Valor])</f>
        <v>342482</v>
      </c>
      <c r="O243" s="265">
        <f>IF(AND(Tabla2[[#This Row],[Estado]]="ok",LEFT(Tabla2[[#This Row],['# Factura]],3)="TIS"),Tabla2[[#This Row],[TOTAL]]-Tabla2[[#This Row],[pagado]],0)</f>
        <v>0</v>
      </c>
      <c r="P243" s="262">
        <f>Tabla2[[#This Row],[TOTAL]]-Tabla2[[#This Row],[Valor pago]]</f>
        <v>17518</v>
      </c>
      <c r="Q243" s="265">
        <f>IF(Tabla2[[#This Row],[Saldo]]=0,0,IF(Tabla2[[#This Row],[Tipo cliente]]="PJ",Tabla2[[#This Row],[SUBTOTAL]]*11%,0))</f>
        <v>39600</v>
      </c>
      <c r="R243" s="276">
        <f>IF(Tabla2[[#This Row],[Saldo]]=0,0,IF(Tabla2[[#This Row],[Tipo cliente]]="PJ",Tabla2[[#This Row],[SUBTOTAL]]*0.966%,0))</f>
        <v>3477.6</v>
      </c>
      <c r="S243" s="276">
        <f>IF(Tabla2[[#This Row],[Retiene IVA]]="S",Tabla2[[#This Row],[IVA]]*0.15,0)</f>
        <v>0</v>
      </c>
      <c r="T243" s="265">
        <f>+Tabla2[[#This Row],[Saldo]]-Tabla2[[#This Row],[Rete fte]]-Tabla2[[#This Row],[rete ica]]-Tabla2[[#This Row],[Rete IVA]]</f>
        <v>-25559.599999999999</v>
      </c>
      <c r="U24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360000</v>
      </c>
      <c r="W243" s="23">
        <f>IF(Tabla2[[#This Row],[Fecha F.E.]]="","",YEAR(Tabla2[[#This Row],[Fecha F.E.]]))</f>
        <v>2023</v>
      </c>
      <c r="X243" s="23">
        <f>IF(Tabla2[[#This Row],[Fecha]]="","",YEAR(Tabla2[[#This Row],[Fecha]]))</f>
        <v>2023</v>
      </c>
    </row>
    <row r="244" spans="1:24" x14ac:dyDescent="0.25">
      <c r="A244" s="3">
        <v>244</v>
      </c>
      <c r="B244" s="77" t="s">
        <v>1258</v>
      </c>
      <c r="C244" s="360">
        <v>44995</v>
      </c>
      <c r="D244" s="76" t="s">
        <v>1259</v>
      </c>
      <c r="E244" s="360">
        <v>44995</v>
      </c>
      <c r="F244" s="78" t="s">
        <v>231</v>
      </c>
      <c r="G244" s="85">
        <v>901000847</v>
      </c>
      <c r="H244" s="177" t="str">
        <f>VLOOKUP(Tabla2[[#This Row],[NIT]],Clientes!A:C,2,0)</f>
        <v>SOLUCIONES INDUSTRIALES MONTERREY SAS</v>
      </c>
      <c r="I244" s="77" t="str">
        <f>VLOOKUP(Tabla2[[#This Row],[NIT]],Clientes!A:C,3,0)</f>
        <v>PJ</v>
      </c>
      <c r="J244" s="73" t="s">
        <v>794</v>
      </c>
      <c r="K244" s="267">
        <f>SUMIFS(Tabla4[Sub Total],Tabla4[Codigo],Tabla2[[#This Row],[Cod]])</f>
        <v>522000</v>
      </c>
      <c r="L244" s="262">
        <f>SUMPRODUCT((Tabla4[Codigo]=Tabla2[[#This Row],[Cod]])*1,Tabla4[IVA])</f>
        <v>0</v>
      </c>
      <c r="M244" s="262">
        <f>SUMIFS(Tabla4[Total],Tabla4[Codigo],Tabla2[[#This Row],[Cod]])</f>
        <v>522000</v>
      </c>
      <c r="N244" s="278">
        <f>SUMPRODUCT((Tabla1[Codigo]=Tabla2[[#This Row],[Cod]])*1,Tabla1[Valor])</f>
        <v>464757.48</v>
      </c>
      <c r="O244" s="265">
        <f>IF(AND(Tabla2[[#This Row],[Estado]]="ok",LEFT(Tabla2[[#This Row],['# Factura]],3)="TIS"),Tabla2[[#This Row],[TOTAL]]-Tabla2[[#This Row],[pagado]],0)</f>
        <v>0</v>
      </c>
      <c r="P244" s="262">
        <f>Tabla2[[#This Row],[TOTAL]]-Tabla2[[#This Row],[Valor pago]]</f>
        <v>57242.520000000019</v>
      </c>
      <c r="Q244" s="265">
        <f>IF(Tabla2[[#This Row],[Saldo]]=0,0,IF(Tabla2[[#This Row],[Tipo cliente]]="PJ",Tabla2[[#This Row],[SUBTOTAL]]*11%,0))</f>
        <v>57420</v>
      </c>
      <c r="R244" s="276">
        <f>IF(Tabla2[[#This Row],[Saldo]]=0,0,IF(Tabla2[[#This Row],[Tipo cliente]]="PJ",Tabla2[[#This Row],[SUBTOTAL]]*0.966%,0))</f>
        <v>5042.5200000000004</v>
      </c>
      <c r="S244" s="276">
        <f>IF(Tabla2[[#This Row],[Retiene IVA]]="S",Tabla2[[#This Row],[IVA]]*0.15,0)</f>
        <v>0</v>
      </c>
      <c r="T244" s="265">
        <f>+Tabla2[[#This Row],[Saldo]]-Tabla2[[#This Row],[Rete fte]]-Tabla2[[#This Row],[rete ica]]-Tabla2[[#This Row],[Rete IVA]]</f>
        <v>-5219.9999999999818</v>
      </c>
      <c r="U24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522000</v>
      </c>
      <c r="W244" s="23">
        <f>IF(Tabla2[[#This Row],[Fecha F.E.]]="","",YEAR(Tabla2[[#This Row],[Fecha F.E.]]))</f>
        <v>2023</v>
      </c>
      <c r="X244" s="23">
        <f>IF(Tabla2[[#This Row],[Fecha]]="","",YEAR(Tabla2[[#This Row],[Fecha]]))</f>
        <v>2023</v>
      </c>
    </row>
    <row r="245" spans="1:24" x14ac:dyDescent="0.25">
      <c r="A245" s="3">
        <v>245</v>
      </c>
      <c r="B245" s="77" t="s">
        <v>1260</v>
      </c>
      <c r="C245" s="360">
        <v>45058</v>
      </c>
      <c r="D245" s="76" t="s">
        <v>1261</v>
      </c>
      <c r="E245" s="360">
        <v>44995</v>
      </c>
      <c r="F245" s="78" t="s">
        <v>231</v>
      </c>
      <c r="G245" s="85">
        <v>900526437</v>
      </c>
      <c r="H245" s="177" t="str">
        <f>VLOOKUP(Tabla2[[#This Row],[NIT]],Clientes!A:C,2,0)</f>
        <v>EXPRESS CLEAN LAVANDERIA</v>
      </c>
      <c r="I245" s="77" t="str">
        <f>VLOOKUP(Tabla2[[#This Row],[NIT]],Clientes!A:C,3,0)</f>
        <v>PJ</v>
      </c>
      <c r="J245" s="73" t="s">
        <v>794</v>
      </c>
      <c r="K245" s="267">
        <f>SUMIFS(Tabla4[Sub Total],Tabla4[Codigo],Tabla2[[#This Row],[Cod]])</f>
        <v>1140000</v>
      </c>
      <c r="L245" s="262">
        <f>SUMPRODUCT((Tabla4[Codigo]=Tabla2[[#This Row],[Cod]])*1,Tabla4[IVA])</f>
        <v>0</v>
      </c>
      <c r="M245" s="262">
        <f>SUMIFS(Tabla4[Total],Tabla4[Codigo],Tabla2[[#This Row],[Cod]])</f>
        <v>1140000</v>
      </c>
      <c r="N245" s="278">
        <f>SUMPRODUCT((Tabla1[Codigo]=Tabla2[[#This Row],[Cod]])*1,Tabla1[Valor])</f>
        <v>1004728</v>
      </c>
      <c r="O245" s="265">
        <f>IF(AND(Tabla2[[#This Row],[Estado]]="ok",LEFT(Tabla2[[#This Row],['# Factura]],3)="TIS"),Tabla2[[#This Row],[TOTAL]]-Tabla2[[#This Row],[pagado]],0)</f>
        <v>0</v>
      </c>
      <c r="P245" s="262">
        <f>Tabla2[[#This Row],[TOTAL]]-Tabla2[[#This Row],[Valor pago]]</f>
        <v>135272</v>
      </c>
      <c r="Q245" s="265">
        <f>IF(Tabla2[[#This Row],[Saldo]]=0,0,IF(Tabla2[[#This Row],[Tipo cliente]]="PJ",Tabla2[[#This Row],[SUBTOTAL]]*11%,0))</f>
        <v>125400</v>
      </c>
      <c r="R245" s="276">
        <f>IF(Tabla2[[#This Row],[Saldo]]=0,0,IF(Tabla2[[#This Row],[Tipo cliente]]="PJ",Tabla2[[#This Row],[SUBTOTAL]]*0.966%,0))</f>
        <v>11012.4</v>
      </c>
      <c r="S245" s="276">
        <f>IF(Tabla2[[#This Row],[Retiene IVA]]="S",Tabla2[[#This Row],[IVA]]*0.15,0)</f>
        <v>0</v>
      </c>
      <c r="T245" s="265">
        <f>+Tabla2[[#This Row],[Saldo]]-Tabla2[[#This Row],[Rete fte]]-Tabla2[[#This Row],[rete ica]]-Tabla2[[#This Row],[Rete IVA]]</f>
        <v>-1140.3999999999996</v>
      </c>
      <c r="U24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1140000</v>
      </c>
      <c r="W245" s="23">
        <f>IF(Tabla2[[#This Row],[Fecha F.E.]]="","",YEAR(Tabla2[[#This Row],[Fecha F.E.]]))</f>
        <v>2023</v>
      </c>
      <c r="X245" s="23">
        <f>IF(Tabla2[[#This Row],[Fecha]]="","",YEAR(Tabla2[[#This Row],[Fecha]]))</f>
        <v>2023</v>
      </c>
    </row>
    <row r="246" spans="1:24" x14ac:dyDescent="0.25">
      <c r="A246" s="3">
        <v>246</v>
      </c>
      <c r="B246" s="77" t="s">
        <v>1262</v>
      </c>
      <c r="C246" s="360">
        <v>45001</v>
      </c>
      <c r="D246" s="76" t="s">
        <v>1263</v>
      </c>
      <c r="E246" s="360">
        <v>45001</v>
      </c>
      <c r="F246" s="78" t="s">
        <v>231</v>
      </c>
      <c r="G246" s="85">
        <v>830033212</v>
      </c>
      <c r="H246" s="177" t="str">
        <f>VLOOKUP(Tabla2[[#This Row],[NIT]],Clientes!A:C,2,0)</f>
        <v>HUTERCOL S.A.S.</v>
      </c>
      <c r="I246" s="77" t="str">
        <f>VLOOKUP(Tabla2[[#This Row],[NIT]],Clientes!A:C,3,0)</f>
        <v>PJ</v>
      </c>
      <c r="J246" s="73" t="s">
        <v>794</v>
      </c>
      <c r="K246" s="267">
        <f>SUMIFS(Tabla4[Sub Total],Tabla4[Codigo],Tabla2[[#This Row],[Cod]])</f>
        <v>1200000</v>
      </c>
      <c r="L246" s="262">
        <f>SUMPRODUCT((Tabla4[Codigo]=Tabla2[[#This Row],[Cod]])*1,Tabla4[IVA])</f>
        <v>228000</v>
      </c>
      <c r="M246" s="262">
        <f>SUMIFS(Tabla4[Total],Tabla4[Codigo],Tabla2[[#This Row],[Cod]])</f>
        <v>1428000</v>
      </c>
      <c r="N246" s="278">
        <f>SUMPRODUCT((Tabla1[Codigo]=Tabla2[[#This Row],[Cod]])*1,Tabla1[Valor])</f>
        <v>1287600</v>
      </c>
      <c r="O246" s="265">
        <f>IF(AND(Tabla2[[#This Row],[Estado]]="ok",LEFT(Tabla2[[#This Row],['# Factura]],3)="TIS"),Tabla2[[#This Row],[TOTAL]]-Tabla2[[#This Row],[pagado]],0)</f>
        <v>0</v>
      </c>
      <c r="P246" s="262">
        <f>Tabla2[[#This Row],[TOTAL]]-Tabla2[[#This Row],[Valor pago]]</f>
        <v>140400</v>
      </c>
      <c r="Q246" s="265">
        <f>IF(Tabla2[[#This Row],[Saldo]]=0,0,IF(Tabla2[[#This Row],[Tipo cliente]]="PJ",Tabla2[[#This Row],[SUBTOTAL]]*11%,0))</f>
        <v>132000</v>
      </c>
      <c r="R246" s="276">
        <f>IF(Tabla2[[#This Row],[Saldo]]=0,0,IF(Tabla2[[#This Row],[Tipo cliente]]="PJ",Tabla2[[#This Row],[SUBTOTAL]]*0.966%,0))</f>
        <v>11592</v>
      </c>
      <c r="S246" s="276">
        <f>IF(Tabla2[[#This Row],[Retiene IVA]]="S",Tabla2[[#This Row],[IVA]]*0.15,0)</f>
        <v>0</v>
      </c>
      <c r="T246" s="265">
        <f>+Tabla2[[#This Row],[Saldo]]-Tabla2[[#This Row],[Rete fte]]-Tabla2[[#This Row],[rete ica]]-Tabla2[[#This Row],[Rete IVA]]</f>
        <v>-3192</v>
      </c>
      <c r="U24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1428000</v>
      </c>
      <c r="W246" s="23">
        <f>IF(Tabla2[[#This Row],[Fecha F.E.]]="","",YEAR(Tabla2[[#This Row],[Fecha F.E.]]))</f>
        <v>2023</v>
      </c>
      <c r="X246" s="23">
        <f>IF(Tabla2[[#This Row],[Fecha]]="","",YEAR(Tabla2[[#This Row],[Fecha]]))</f>
        <v>2023</v>
      </c>
    </row>
    <row r="247" spans="1:24" x14ac:dyDescent="0.25">
      <c r="A247" s="3">
        <v>247</v>
      </c>
      <c r="B247" s="77" t="s">
        <v>1264</v>
      </c>
      <c r="C247" s="360">
        <v>45010</v>
      </c>
      <c r="D247" s="76" t="s">
        <v>1265</v>
      </c>
      <c r="E247" s="360">
        <v>45010</v>
      </c>
      <c r="F247" s="78" t="s">
        <v>231</v>
      </c>
      <c r="G247" s="85">
        <v>900850933</v>
      </c>
      <c r="H247" s="177" t="str">
        <f>VLOOKUP(Tabla2[[#This Row],[NIT]],Clientes!A:C,2,0)</f>
        <v>CHILLER PLANT SERVICES SAS</v>
      </c>
      <c r="I247" s="77" t="str">
        <f>VLOOKUP(Tabla2[[#This Row],[NIT]],Clientes!A:C,3,0)</f>
        <v>PJ</v>
      </c>
      <c r="J247" s="73" t="s">
        <v>794</v>
      </c>
      <c r="K247" s="267">
        <f>SUMIFS(Tabla4[Sub Total],Tabla4[Codigo],Tabla2[[#This Row],[Cod]])</f>
        <v>570000</v>
      </c>
      <c r="L247" s="262">
        <f>SUMPRODUCT((Tabla4[Codigo]=Tabla2[[#This Row],[Cod]])*1,Tabla4[IVA])</f>
        <v>108300</v>
      </c>
      <c r="M247" s="262">
        <f>SUMIFS(Tabla4[Total],Tabla4[Codigo],Tabla2[[#This Row],[Cod]])</f>
        <v>678300</v>
      </c>
      <c r="N247" s="278">
        <f>SUMPRODUCT((Tabla1[Codigo]=Tabla2[[#This Row],[Cod]])*1,Tabla1[Valor])</f>
        <v>678300</v>
      </c>
      <c r="O247" s="265">
        <f>IF(AND(Tabla2[[#This Row],[Estado]]="ok",LEFT(Tabla2[[#This Row],['# Factura]],3)="TIS"),Tabla2[[#This Row],[TOTAL]]-Tabla2[[#This Row],[pagado]],0)</f>
        <v>0</v>
      </c>
      <c r="P247" s="262">
        <f>Tabla2[[#This Row],[TOTAL]]-Tabla2[[#This Row],[Valor pago]]</f>
        <v>0</v>
      </c>
      <c r="Q247" s="265">
        <f>IF(Tabla2[[#This Row],[Saldo]]=0,0,IF(Tabla2[[#This Row],[Tipo cliente]]="PJ",Tabla2[[#This Row],[SUBTOTAL]]*11%,0))</f>
        <v>0</v>
      </c>
      <c r="R247" s="276">
        <f>IF(Tabla2[[#This Row],[Saldo]]=0,0,IF(Tabla2[[#This Row],[Tipo cliente]]="PJ",Tabla2[[#This Row],[SUBTOTAL]]*0.966%,0))</f>
        <v>0</v>
      </c>
      <c r="S247" s="276">
        <f>IF(Tabla2[[#This Row],[Retiene IVA]]="S",Tabla2[[#This Row],[IVA]]*0.15,0)</f>
        <v>0</v>
      </c>
      <c r="T247" s="265">
        <f>+Tabla2[[#This Row],[Saldo]]-Tabla2[[#This Row],[Rete fte]]-Tabla2[[#This Row],[rete ica]]-Tabla2[[#This Row],[Rete IVA]]</f>
        <v>0</v>
      </c>
      <c r="U24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678300</v>
      </c>
      <c r="W247" s="23">
        <f>IF(Tabla2[[#This Row],[Fecha F.E.]]="","",YEAR(Tabla2[[#This Row],[Fecha F.E.]]))</f>
        <v>2023</v>
      </c>
      <c r="X247" s="23">
        <f>IF(Tabla2[[#This Row],[Fecha]]="","",YEAR(Tabla2[[#This Row],[Fecha]]))</f>
        <v>2023</v>
      </c>
    </row>
    <row r="248" spans="1:24" ht="26.25" x14ac:dyDescent="0.25">
      <c r="A248" s="3">
        <v>248</v>
      </c>
      <c r="B248" s="77" t="s">
        <v>1266</v>
      </c>
      <c r="C248" s="360">
        <v>45020</v>
      </c>
      <c r="D248" s="76" t="s">
        <v>1267</v>
      </c>
      <c r="E248" s="360">
        <v>45020</v>
      </c>
      <c r="F248" s="78" t="s">
        <v>231</v>
      </c>
      <c r="G248" s="85">
        <v>900641244</v>
      </c>
      <c r="H248" s="177" t="str">
        <f>VLOOKUP(Tabla2[[#This Row],[NIT]],Clientes!A:C,2,0)</f>
        <v>PASTRY CHEF PASTELERIA Y COCINA GOURMET SAS</v>
      </c>
      <c r="I248" s="77" t="str">
        <f>VLOOKUP(Tabla2[[#This Row],[NIT]],Clientes!A:C,3,0)</f>
        <v>PJ</v>
      </c>
      <c r="J248" s="73" t="s">
        <v>794</v>
      </c>
      <c r="K248" s="267">
        <f>SUMIFS(Tabla4[Sub Total],Tabla4[Codigo],Tabla2[[#This Row],[Cod]])</f>
        <v>723333</v>
      </c>
      <c r="L248" s="262">
        <f>SUMPRODUCT((Tabla4[Codigo]=Tabla2[[#This Row],[Cod]])*1,Tabla4[IVA])</f>
        <v>137433.26999999999</v>
      </c>
      <c r="M248" s="262">
        <f>SUMIFS(Tabla4[Total],Tabla4[Codigo],Tabla2[[#This Row],[Cod]])</f>
        <v>860766.27</v>
      </c>
      <c r="N248" s="278">
        <f>SUMPRODUCT((Tabla1[Codigo]=Tabla2[[#This Row],[Cod]])*1,Tabla1[Valor])</f>
        <v>831833</v>
      </c>
      <c r="O248" s="265">
        <f>IF(AND(Tabla2[[#This Row],[Estado]]="ok",LEFT(Tabla2[[#This Row],['# Factura]],3)="TIS"),Tabla2[[#This Row],[TOTAL]]-Tabla2[[#This Row],[pagado]],0)</f>
        <v>0</v>
      </c>
      <c r="P248" s="262">
        <f>Tabla2[[#This Row],[TOTAL]]-Tabla2[[#This Row],[Valor pago]]</f>
        <v>28933.270000000019</v>
      </c>
      <c r="Q248" s="265">
        <f>IF(Tabla2[[#This Row],[Saldo]]=0,0,IF(Tabla2[[#This Row],[Tipo cliente]]="PJ",Tabla2[[#This Row],[SUBTOTAL]]*11%,0))</f>
        <v>79566.63</v>
      </c>
      <c r="R248" s="276">
        <f>IF(Tabla2[[#This Row],[Saldo]]=0,0,IF(Tabla2[[#This Row],[Tipo cliente]]="PJ",Tabla2[[#This Row],[SUBTOTAL]]*0.966%,0))</f>
        <v>6987.39678</v>
      </c>
      <c r="S248" s="276">
        <f>IF(Tabla2[[#This Row],[Retiene IVA]]="S",Tabla2[[#This Row],[IVA]]*0.15,0)</f>
        <v>0</v>
      </c>
      <c r="T248" s="265">
        <f>+Tabla2[[#This Row],[Saldo]]-Tabla2[[#This Row],[Rete fte]]-Tabla2[[#This Row],[rete ica]]-Tabla2[[#This Row],[Rete IVA]]</f>
        <v>-57620.756779999989</v>
      </c>
      <c r="U24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860766.27</v>
      </c>
      <c r="W248" s="23">
        <f>IF(Tabla2[[#This Row],[Fecha F.E.]]="","",YEAR(Tabla2[[#This Row],[Fecha F.E.]]))</f>
        <v>2023</v>
      </c>
      <c r="X248" s="23">
        <f>IF(Tabla2[[#This Row],[Fecha]]="","",YEAR(Tabla2[[#This Row],[Fecha]]))</f>
        <v>2023</v>
      </c>
    </row>
    <row r="249" spans="1:24" ht="26.25" x14ac:dyDescent="0.25">
      <c r="A249" s="3">
        <v>249</v>
      </c>
      <c r="B249" s="77" t="s">
        <v>1268</v>
      </c>
      <c r="C249" s="360">
        <v>45020</v>
      </c>
      <c r="D249" s="76" t="s">
        <v>1269</v>
      </c>
      <c r="E249" s="360">
        <v>45020</v>
      </c>
      <c r="F249" s="78" t="s">
        <v>231</v>
      </c>
      <c r="G249" s="85">
        <v>900396116</v>
      </c>
      <c r="H249" s="177" t="str">
        <f>VLOOKUP(Tabla2[[#This Row],[NIT]],Clientes!A:C,2,0)</f>
        <v>PRODUCTORA INTERAMERICANA DE PLASTICOS S.A.S.</v>
      </c>
      <c r="I249" s="77" t="str">
        <f>VLOOKUP(Tabla2[[#This Row],[NIT]],Clientes!A:C,3,0)</f>
        <v>PJ</v>
      </c>
      <c r="J249" s="73" t="s">
        <v>794</v>
      </c>
      <c r="K249" s="267">
        <f>SUMIFS(Tabla4[Sub Total],Tabla4[Codigo],Tabla2[[#This Row],[Cod]])</f>
        <v>300000</v>
      </c>
      <c r="L249" s="262">
        <f>SUMPRODUCT((Tabla4[Codigo]=Tabla2[[#This Row],[Cod]])*1,Tabla4[IVA])</f>
        <v>57000</v>
      </c>
      <c r="M249" s="262">
        <f>SUMIFS(Tabla4[Total],Tabla4[Codigo],Tabla2[[#This Row],[Cod]])</f>
        <v>357000</v>
      </c>
      <c r="N249" s="278">
        <f>SUMPRODUCT((Tabla1[Codigo]=Tabla2[[#This Row],[Cod]])*1,Tabla1[Valor])</f>
        <v>321102</v>
      </c>
      <c r="O249" s="265">
        <f>IF(AND(Tabla2[[#This Row],[Estado]]="ok",LEFT(Tabla2[[#This Row],['# Factura]],3)="TIS"),Tabla2[[#This Row],[TOTAL]]-Tabla2[[#This Row],[pagado]],0)</f>
        <v>0</v>
      </c>
      <c r="P249" s="262">
        <f>Tabla2[[#This Row],[TOTAL]]-Tabla2[[#This Row],[Valor pago]]</f>
        <v>35898</v>
      </c>
      <c r="Q249" s="265">
        <f>IF(Tabla2[[#This Row],[Saldo]]=0,0,IF(Tabla2[[#This Row],[Tipo cliente]]="PJ",Tabla2[[#This Row],[SUBTOTAL]]*11%,0))</f>
        <v>33000</v>
      </c>
      <c r="R249" s="276">
        <f>IF(Tabla2[[#This Row],[Saldo]]=0,0,IF(Tabla2[[#This Row],[Tipo cliente]]="PJ",Tabla2[[#This Row],[SUBTOTAL]]*0.966%,0))</f>
        <v>2898</v>
      </c>
      <c r="S249" s="276">
        <f>IF(Tabla2[[#This Row],[Retiene IVA]]="S",Tabla2[[#This Row],[IVA]]*0.15,0)</f>
        <v>0</v>
      </c>
      <c r="T249" s="265">
        <f>+Tabla2[[#This Row],[Saldo]]-Tabla2[[#This Row],[Rete fte]]-Tabla2[[#This Row],[rete ica]]-Tabla2[[#This Row],[Rete IVA]]</f>
        <v>0</v>
      </c>
      <c r="U24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249" s="23">
        <f>IF(Tabla2[[#This Row],[Fecha F.E.]]="","",YEAR(Tabla2[[#This Row],[Fecha F.E.]]))</f>
        <v>2023</v>
      </c>
      <c r="X249" s="23">
        <f>IF(Tabla2[[#This Row],[Fecha]]="","",YEAR(Tabla2[[#This Row],[Fecha]]))</f>
        <v>2023</v>
      </c>
    </row>
    <row r="250" spans="1:24" x14ac:dyDescent="0.25">
      <c r="A250" s="3">
        <v>250</v>
      </c>
      <c r="B250" s="77" t="s">
        <v>1270</v>
      </c>
      <c r="C250" s="360">
        <v>45020</v>
      </c>
      <c r="D250" s="76" t="s">
        <v>1271</v>
      </c>
      <c r="E250" s="360">
        <v>45020</v>
      </c>
      <c r="F250" s="78" t="s">
        <v>231</v>
      </c>
      <c r="G250" s="85">
        <v>800028768</v>
      </c>
      <c r="H250" s="177" t="str">
        <f>VLOOKUP(Tabla2[[#This Row],[NIT]],Clientes!A:C,2,0)</f>
        <v>Comercializadora ERZ SAS</v>
      </c>
      <c r="I250" s="77" t="str">
        <f>VLOOKUP(Tabla2[[#This Row],[NIT]],Clientes!A:C,3,0)</f>
        <v>PJ</v>
      </c>
      <c r="J250" s="73" t="s">
        <v>794</v>
      </c>
      <c r="K250" s="267">
        <f>SUMIFS(Tabla4[Sub Total],Tabla4[Codigo],Tabla2[[#This Row],[Cod]])</f>
        <v>260000</v>
      </c>
      <c r="L250" s="262">
        <f>SUMPRODUCT((Tabla4[Codigo]=Tabla2[[#This Row],[Cod]])*1,Tabla4[IVA])</f>
        <v>49400</v>
      </c>
      <c r="M250" s="262">
        <f>SUMIFS(Tabla4[Total],Tabla4[Codigo],Tabla2[[#This Row],[Cod]])</f>
        <v>309400</v>
      </c>
      <c r="N250" s="278">
        <f>SUMPRODUCT((Tabla1[Codigo]=Tabla2[[#This Row],[Cod]])*1,Tabla1[Valor])</f>
        <v>278899</v>
      </c>
      <c r="O250" s="265">
        <f>IF(AND(Tabla2[[#This Row],[Estado]]="ok",LEFT(Tabla2[[#This Row],['# Factura]],3)="TIS"),Tabla2[[#This Row],[TOTAL]]-Tabla2[[#This Row],[pagado]],0)</f>
        <v>0</v>
      </c>
      <c r="P250" s="262">
        <f>Tabla2[[#This Row],[TOTAL]]-Tabla2[[#This Row],[Valor pago]]</f>
        <v>30501</v>
      </c>
      <c r="Q250" s="265">
        <f>IF(Tabla2[[#This Row],[Saldo]]=0,0,IF(Tabla2[[#This Row],[Tipo cliente]]="PJ",Tabla2[[#This Row],[SUBTOTAL]]*11%,0))</f>
        <v>28600</v>
      </c>
      <c r="R250" s="276">
        <f>IF(Tabla2[[#This Row],[Saldo]]=0,0,IF(Tabla2[[#This Row],[Tipo cliente]]="PJ",Tabla2[[#This Row],[SUBTOTAL]]*0.966%,0))</f>
        <v>2511.6</v>
      </c>
      <c r="S250" s="276">
        <f>IF(Tabla2[[#This Row],[Retiene IVA]]="S",Tabla2[[#This Row],[IVA]]*0.15,0)</f>
        <v>0</v>
      </c>
      <c r="T250" s="265">
        <f>+Tabla2[[#This Row],[Saldo]]-Tabla2[[#This Row],[Rete fte]]-Tabla2[[#This Row],[rete ica]]-Tabla2[[#This Row],[Rete IVA]]</f>
        <v>-610.59999999999991</v>
      </c>
      <c r="U25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309400</v>
      </c>
      <c r="W250" s="23">
        <f>IF(Tabla2[[#This Row],[Fecha F.E.]]="","",YEAR(Tabla2[[#This Row],[Fecha F.E.]]))</f>
        <v>2023</v>
      </c>
      <c r="X250" s="23">
        <f>IF(Tabla2[[#This Row],[Fecha]]="","",YEAR(Tabla2[[#This Row],[Fecha]]))</f>
        <v>2023</v>
      </c>
    </row>
    <row r="251" spans="1:24" x14ac:dyDescent="0.25">
      <c r="A251" s="3">
        <v>251</v>
      </c>
      <c r="B251" s="77" t="s">
        <v>1272</v>
      </c>
      <c r="C251" s="360">
        <v>45020</v>
      </c>
      <c r="D251" s="76" t="s">
        <v>1273</v>
      </c>
      <c r="E251" s="360">
        <v>45020</v>
      </c>
      <c r="F251" s="78" t="s">
        <v>231</v>
      </c>
      <c r="G251" s="85">
        <v>901030518</v>
      </c>
      <c r="H251" s="177" t="str">
        <f>VLOOKUP(Tabla2[[#This Row],[NIT]],Clientes!A:C,2,0)</f>
        <v>Inversiones Sajamib SAS</v>
      </c>
      <c r="I251" s="77" t="str">
        <f>VLOOKUP(Tabla2[[#This Row],[NIT]],Clientes!A:C,3,0)</f>
        <v>PJ</v>
      </c>
      <c r="J251" s="73" t="s">
        <v>794</v>
      </c>
      <c r="K251" s="267">
        <f>SUMIFS(Tabla4[Sub Total],Tabla4[Codigo],Tabla2[[#This Row],[Cod]])</f>
        <v>400000</v>
      </c>
      <c r="L251" s="262">
        <f>SUMPRODUCT((Tabla4[Codigo]=Tabla2[[#This Row],[Cod]])*1,Tabla4[IVA])</f>
        <v>0</v>
      </c>
      <c r="M251" s="262">
        <f>SUMIFS(Tabla4[Total],Tabla4[Codigo],Tabla2[[#This Row],[Cod]])</f>
        <v>400000</v>
      </c>
      <c r="N251" s="278">
        <f>SUMPRODUCT((Tabla1[Codigo]=Tabla2[[#This Row],[Cod]])*1,Tabla1[Valor])</f>
        <v>400000</v>
      </c>
      <c r="O251" s="265">
        <f>IF(AND(Tabla2[[#This Row],[Estado]]="ok",LEFT(Tabla2[[#This Row],['# Factura]],3)="TIS"),Tabla2[[#This Row],[TOTAL]]-Tabla2[[#This Row],[pagado]],0)</f>
        <v>0</v>
      </c>
      <c r="P251" s="262">
        <f>Tabla2[[#This Row],[TOTAL]]-Tabla2[[#This Row],[Valor pago]]</f>
        <v>0</v>
      </c>
      <c r="Q251" s="265">
        <f>IF(Tabla2[[#This Row],[Saldo]]=0,0,IF(Tabla2[[#This Row],[Tipo cliente]]="PJ",Tabla2[[#This Row],[SUBTOTAL]]*11%,0))</f>
        <v>0</v>
      </c>
      <c r="R251" s="276">
        <f>IF(Tabla2[[#This Row],[Saldo]]=0,0,IF(Tabla2[[#This Row],[Tipo cliente]]="PJ",Tabla2[[#This Row],[SUBTOTAL]]*0.966%,0))</f>
        <v>0</v>
      </c>
      <c r="S251" s="276">
        <f>IF(Tabla2[[#This Row],[Retiene IVA]]="S",Tabla2[[#This Row],[IVA]]*0.15,0)</f>
        <v>0</v>
      </c>
      <c r="T251" s="265">
        <f>+Tabla2[[#This Row],[Saldo]]-Tabla2[[#This Row],[Rete fte]]-Tabla2[[#This Row],[rete ica]]-Tabla2[[#This Row],[Rete IVA]]</f>
        <v>0</v>
      </c>
      <c r="U25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251" s="23">
        <f>IF(Tabla2[[#This Row],[Fecha F.E.]]="","",YEAR(Tabla2[[#This Row],[Fecha F.E.]]))</f>
        <v>2023</v>
      </c>
      <c r="X251" s="23">
        <f>IF(Tabla2[[#This Row],[Fecha]]="","",YEAR(Tabla2[[#This Row],[Fecha]]))</f>
        <v>2023</v>
      </c>
    </row>
    <row r="252" spans="1:24" x14ac:dyDescent="0.25">
      <c r="A252" s="3">
        <v>252</v>
      </c>
      <c r="B252" s="77" t="s">
        <v>1274</v>
      </c>
      <c r="C252" s="360">
        <v>45020</v>
      </c>
      <c r="D252" s="76" t="s">
        <v>1275</v>
      </c>
      <c r="E252" s="360">
        <v>45020</v>
      </c>
      <c r="F252" s="78" t="s">
        <v>231</v>
      </c>
      <c r="G252" s="85">
        <v>900454322</v>
      </c>
      <c r="H252" s="177" t="str">
        <f>VLOOKUP(Tabla2[[#This Row],[NIT]],Clientes!A:C,2,0)</f>
        <v>MEMCO SAS</v>
      </c>
      <c r="I252" s="77" t="str">
        <f>VLOOKUP(Tabla2[[#This Row],[NIT]],Clientes!A:C,3,0)</f>
        <v>PJ</v>
      </c>
      <c r="J252" s="73" t="s">
        <v>794</v>
      </c>
      <c r="K252" s="267">
        <f>SUMIFS(Tabla4[Sub Total],Tabla4[Codigo],Tabla2[[#This Row],[Cod]])</f>
        <v>480000</v>
      </c>
      <c r="L252" s="262">
        <f>SUMPRODUCT((Tabla4[Codigo]=Tabla2[[#This Row],[Cod]])*1,Tabla4[IVA])</f>
        <v>91200</v>
      </c>
      <c r="M252" s="262">
        <f>SUMIFS(Tabla4[Total],Tabla4[Codigo],Tabla2[[#This Row],[Cod]])</f>
        <v>571200</v>
      </c>
      <c r="N252" s="278">
        <f>SUMPRODUCT((Tabla1[Codigo]=Tabla2[[#This Row],[Cod]])*1,Tabla1[Valor])</f>
        <v>547363</v>
      </c>
      <c r="O252" s="265">
        <f>IF(AND(Tabla2[[#This Row],[Estado]]="ok",LEFT(Tabla2[[#This Row],['# Factura]],3)="TIS"),Tabla2[[#This Row],[TOTAL]]-Tabla2[[#This Row],[pagado]],0)</f>
        <v>0</v>
      </c>
      <c r="P252" s="262">
        <f>Tabla2[[#This Row],[TOTAL]]-Tabla2[[#This Row],[Valor pago]]</f>
        <v>23837</v>
      </c>
      <c r="Q252" s="265">
        <f>IF(Tabla2[[#This Row],[Saldo]]=0,0,IF(Tabla2[[#This Row],[Tipo cliente]]="PJ",Tabla2[[#This Row],[SUBTOTAL]]*11%,0))</f>
        <v>52800</v>
      </c>
      <c r="R252" s="276">
        <f>IF(Tabla2[[#This Row],[Saldo]]=0,0,IF(Tabla2[[#This Row],[Tipo cliente]]="PJ",Tabla2[[#This Row],[SUBTOTAL]]*0.966%,0))</f>
        <v>4636.8</v>
      </c>
      <c r="S252" s="276">
        <f>IF(Tabla2[[#This Row],[Retiene IVA]]="S",Tabla2[[#This Row],[IVA]]*0.15,0)</f>
        <v>0</v>
      </c>
      <c r="T252" s="265">
        <f>+Tabla2[[#This Row],[Saldo]]-Tabla2[[#This Row],[Rete fte]]-Tabla2[[#This Row],[rete ica]]-Tabla2[[#This Row],[Rete IVA]]</f>
        <v>-33599.800000000003</v>
      </c>
      <c r="U25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571200</v>
      </c>
      <c r="W252" s="23">
        <f>IF(Tabla2[[#This Row],[Fecha F.E.]]="","",YEAR(Tabla2[[#This Row],[Fecha F.E.]]))</f>
        <v>2023</v>
      </c>
      <c r="X252" s="23">
        <f>IF(Tabla2[[#This Row],[Fecha]]="","",YEAR(Tabla2[[#This Row],[Fecha]]))</f>
        <v>2023</v>
      </c>
    </row>
    <row r="253" spans="1:24" x14ac:dyDescent="0.25">
      <c r="A253" s="3">
        <v>253</v>
      </c>
      <c r="B253" s="77" t="s">
        <v>1276</v>
      </c>
      <c r="C253" s="360">
        <v>45021</v>
      </c>
      <c r="D253" s="76" t="s">
        <v>1277</v>
      </c>
      <c r="E253" s="360">
        <v>45021</v>
      </c>
      <c r="F253" s="78" t="s">
        <v>716</v>
      </c>
      <c r="G253" s="85">
        <v>860001999</v>
      </c>
      <c r="H253" s="177" t="str">
        <f>VLOOKUP(Tabla2[[#This Row],[NIT]],Clientes!A:C,2,0)</f>
        <v>LUCTA GRANCOLOMBIA SAS</v>
      </c>
      <c r="I253" s="77" t="str">
        <f>VLOOKUP(Tabla2[[#This Row],[NIT]],Clientes!A:C,3,0)</f>
        <v>PJ</v>
      </c>
      <c r="J253" s="73" t="s">
        <v>794</v>
      </c>
      <c r="K253" s="267">
        <f>SUMIFS(Tabla4[Sub Total],Tabla4[Codigo],Tabla2[[#This Row],[Cod]])</f>
        <v>12000000</v>
      </c>
      <c r="L253" s="262">
        <f>SUMPRODUCT((Tabla4[Codigo]=Tabla2[[#This Row],[Cod]])*1,Tabla4[IVA])</f>
        <v>2280000</v>
      </c>
      <c r="M253" s="262">
        <f>SUMIFS(Tabla4[Total],Tabla4[Codigo],Tabla2[[#This Row],[Cod]])</f>
        <v>14280000</v>
      </c>
      <c r="N253" s="278">
        <f>SUMPRODUCT((Tabla1[Codigo]=Tabla2[[#This Row],[Cod]])*1,Tabla1[Valor])</f>
        <v>0</v>
      </c>
      <c r="O253" s="265">
        <f>IF(AND(Tabla2[[#This Row],[Estado]]="ok",LEFT(Tabla2[[#This Row],['# Factura]],3)="TIS"),Tabla2[[#This Row],[TOTAL]]-Tabla2[[#This Row],[pagado]],0)</f>
        <v>0</v>
      </c>
      <c r="P253" s="262">
        <f>Tabla2[[#This Row],[TOTAL]]-Tabla2[[#This Row],[Valor pago]]</f>
        <v>14280000</v>
      </c>
      <c r="Q253" s="265">
        <f>IF(Tabla2[[#This Row],[Saldo]]=0,0,IF(Tabla2[[#This Row],[Tipo cliente]]="PJ",Tabla2[[#This Row],[SUBTOTAL]]*11%,0))</f>
        <v>1320000</v>
      </c>
      <c r="R253" s="276">
        <f>IF(Tabla2[[#This Row],[Saldo]]=0,0,IF(Tabla2[[#This Row],[Tipo cliente]]="PJ",Tabla2[[#This Row],[SUBTOTAL]]*0.966%,0))</f>
        <v>115920</v>
      </c>
      <c r="S253" s="276">
        <f>IF(Tabla2[[#This Row],[Retiene IVA]]="S",Tabla2[[#This Row],[IVA]]*0.15,0)</f>
        <v>0</v>
      </c>
      <c r="T253" s="265">
        <f>+Tabla2[[#This Row],[Saldo]]-Tabla2[[#This Row],[Rete fte]]-Tabla2[[#This Row],[rete ica]]-Tabla2[[#This Row],[Rete IVA]]</f>
        <v>12844080</v>
      </c>
      <c r="U25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53" s="23">
        <f>IF(Tabla2[[#This Row],[Fecha F.E.]]="","",YEAR(Tabla2[[#This Row],[Fecha F.E.]]))</f>
        <v>2023</v>
      </c>
      <c r="X253" s="23">
        <f>IF(Tabla2[[#This Row],[Fecha]]="","",YEAR(Tabla2[[#This Row],[Fecha]]))</f>
        <v>2023</v>
      </c>
    </row>
    <row r="254" spans="1:24" x14ac:dyDescent="0.25">
      <c r="A254" s="3">
        <v>254</v>
      </c>
      <c r="B254" s="77" t="s">
        <v>1278</v>
      </c>
      <c r="C254" s="360">
        <v>45028</v>
      </c>
      <c r="D254" s="76" t="s">
        <v>1279</v>
      </c>
      <c r="E254" s="360">
        <v>45028</v>
      </c>
      <c r="F254" s="78" t="s">
        <v>231</v>
      </c>
      <c r="G254" s="85">
        <v>52385710</v>
      </c>
      <c r="H254" s="177" t="str">
        <f>VLOOKUP(Tabla2[[#This Row],[NIT]],Clientes!A:C,2,0)</f>
        <v>Maria del Pilar Alvarado Joya</v>
      </c>
      <c r="I254" s="77" t="str">
        <f>VLOOKUP(Tabla2[[#This Row],[NIT]],Clientes!A:C,3,0)</f>
        <v>PN</v>
      </c>
      <c r="J254" s="73" t="s">
        <v>794</v>
      </c>
      <c r="K254" s="267">
        <f>SUMIFS(Tabla4[Sub Total],Tabla4[Codigo],Tabla2[[#This Row],[Cod]])</f>
        <v>900000</v>
      </c>
      <c r="L254" s="262">
        <f>SUMPRODUCT((Tabla4[Codigo]=Tabla2[[#This Row],[Cod]])*1,Tabla4[IVA])</f>
        <v>0</v>
      </c>
      <c r="M254" s="262">
        <f>SUMIFS(Tabla4[Total],Tabla4[Codigo],Tabla2[[#This Row],[Cod]])</f>
        <v>900000</v>
      </c>
      <c r="N254" s="278">
        <f>SUMPRODUCT((Tabla1[Codigo]=Tabla2[[#This Row],[Cod]])*1,Tabla1[Valor])</f>
        <v>900000</v>
      </c>
      <c r="O254" s="265">
        <f>IF(AND(Tabla2[[#This Row],[Estado]]="ok",LEFT(Tabla2[[#This Row],['# Factura]],3)="TIS"),Tabla2[[#This Row],[TOTAL]]-Tabla2[[#This Row],[pagado]],0)</f>
        <v>0</v>
      </c>
      <c r="P254" s="262">
        <f>Tabla2[[#This Row],[TOTAL]]-Tabla2[[#This Row],[Valor pago]]</f>
        <v>0</v>
      </c>
      <c r="Q254" s="265">
        <f>IF(Tabla2[[#This Row],[Saldo]]=0,0,IF(Tabla2[[#This Row],[Tipo cliente]]="PJ",Tabla2[[#This Row],[SUBTOTAL]]*11%,0))</f>
        <v>0</v>
      </c>
      <c r="R254" s="276">
        <f>IF(Tabla2[[#This Row],[Saldo]]=0,0,IF(Tabla2[[#This Row],[Tipo cliente]]="PJ",Tabla2[[#This Row],[SUBTOTAL]]*0.966%,0))</f>
        <v>0</v>
      </c>
      <c r="S254" s="276">
        <f>IF(Tabla2[[#This Row],[Retiene IVA]]="S",Tabla2[[#This Row],[IVA]]*0.15,0)</f>
        <v>0</v>
      </c>
      <c r="T254" s="265">
        <f>+Tabla2[[#This Row],[Saldo]]-Tabla2[[#This Row],[Rete fte]]-Tabla2[[#This Row],[rete ica]]-Tabla2[[#This Row],[Rete IVA]]</f>
        <v>0</v>
      </c>
      <c r="U25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254" s="23">
        <f>IF(Tabla2[[#This Row],[Fecha F.E.]]="","",YEAR(Tabla2[[#This Row],[Fecha F.E.]]))</f>
        <v>2023</v>
      </c>
      <c r="X254" s="23">
        <f>IF(Tabla2[[#This Row],[Fecha]]="","",YEAR(Tabla2[[#This Row],[Fecha]]))</f>
        <v>2023</v>
      </c>
    </row>
    <row r="255" spans="1:24" x14ac:dyDescent="0.25">
      <c r="A255" s="3">
        <v>255</v>
      </c>
      <c r="B255" s="77" t="s">
        <v>1280</v>
      </c>
      <c r="C255" s="360">
        <v>45041</v>
      </c>
      <c r="D255" s="76" t="s">
        <v>1281</v>
      </c>
      <c r="E255" s="360">
        <v>45041</v>
      </c>
      <c r="F255" s="78" t="s">
        <v>231</v>
      </c>
      <c r="G255" s="85">
        <v>900232864</v>
      </c>
      <c r="H255" s="177" t="str">
        <f>VLOOKUP(Tabla2[[#This Row],[NIT]],Clientes!A:C,2,0)</f>
        <v>STT Group sucursal colombia SA</v>
      </c>
      <c r="I255" s="77" t="str">
        <f>VLOOKUP(Tabla2[[#This Row],[NIT]],Clientes!A:C,3,0)</f>
        <v>PJ</v>
      </c>
      <c r="J255" s="73" t="s">
        <v>794</v>
      </c>
      <c r="K255" s="267">
        <f>SUMIFS(Tabla4[Sub Total],Tabla4[Codigo],Tabla2[[#This Row],[Cod]])</f>
        <v>1116000</v>
      </c>
      <c r="L255" s="262">
        <f>SUMPRODUCT((Tabla4[Codigo]=Tabla2[[#This Row],[Cod]])*1,Tabla4[IVA])</f>
        <v>212040</v>
      </c>
      <c r="M255" s="262">
        <f>SUMIFS(Tabla4[Total],Tabla4[Codigo],Tabla2[[#This Row],[Cod]])</f>
        <v>1328040</v>
      </c>
      <c r="N255" s="278">
        <f>SUMPRODUCT((Tabla1[Codigo]=Tabla2[[#This Row],[Cod]])*1,Tabla1[Valor])</f>
        <v>1753615.44</v>
      </c>
      <c r="O255" s="265">
        <f>IF(AND(Tabla2[[#This Row],[Estado]]="ok",LEFT(Tabla2[[#This Row],['# Factura]],3)="TIS"),Tabla2[[#This Row],[TOTAL]]-Tabla2[[#This Row],[pagado]],0)</f>
        <v>0</v>
      </c>
      <c r="P255" s="262">
        <f>Tabla2[[#This Row],[TOTAL]]-Tabla2[[#This Row],[Valor pago]]</f>
        <v>-425575.43999999994</v>
      </c>
      <c r="Q255" s="265">
        <f>IF(Tabla2[[#This Row],[Saldo]]=0,0,IF(Tabla2[[#This Row],[Tipo cliente]]="PJ",Tabla2[[#This Row],[SUBTOTAL]]*11%,0))</f>
        <v>122760</v>
      </c>
      <c r="R255" s="276">
        <f>IF(Tabla2[[#This Row],[Saldo]]=0,0,IF(Tabla2[[#This Row],[Tipo cliente]]="PJ",Tabla2[[#This Row],[SUBTOTAL]]*0.966%,0))</f>
        <v>10780.56</v>
      </c>
      <c r="S255" s="276">
        <f>IF(Tabla2[[#This Row],[Retiene IVA]]="S",Tabla2[[#This Row],[IVA]]*0.15,0)</f>
        <v>0</v>
      </c>
      <c r="T255" s="265">
        <f>+Tabla2[[#This Row],[Saldo]]-Tabla2[[#This Row],[Rete fte]]-Tabla2[[#This Row],[rete ica]]-Tabla2[[#This Row],[Rete IVA]]</f>
        <v>-559116</v>
      </c>
      <c r="U25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1328040</v>
      </c>
      <c r="W255" s="23">
        <f>IF(Tabla2[[#This Row],[Fecha F.E.]]="","",YEAR(Tabla2[[#This Row],[Fecha F.E.]]))</f>
        <v>2023</v>
      </c>
      <c r="X255" s="23">
        <f>IF(Tabla2[[#This Row],[Fecha]]="","",YEAR(Tabla2[[#This Row],[Fecha]]))</f>
        <v>2023</v>
      </c>
    </row>
    <row r="256" spans="1:24" x14ac:dyDescent="0.25">
      <c r="A256" s="3">
        <v>256</v>
      </c>
      <c r="B256" s="77" t="s">
        <v>1282</v>
      </c>
      <c r="C256" s="360">
        <v>45043</v>
      </c>
      <c r="D256" s="76" t="s">
        <v>1283</v>
      </c>
      <c r="E256" s="360">
        <v>45043</v>
      </c>
      <c r="F256" s="78" t="s">
        <v>231</v>
      </c>
      <c r="G256" s="85">
        <v>900505660</v>
      </c>
      <c r="H256" s="177" t="str">
        <f>VLOOKUP(Tabla2[[#This Row],[NIT]],Clientes!A:C,2,0)</f>
        <v>DIGITAL MEDIA TECHNOLOGIES COLOMBIA SAS</v>
      </c>
      <c r="I256" s="77" t="str">
        <f>VLOOKUP(Tabla2[[#This Row],[NIT]],Clientes!A:C,3,0)</f>
        <v>PJ</v>
      </c>
      <c r="J256" s="73" t="s">
        <v>794</v>
      </c>
      <c r="K256" s="267">
        <f>SUMIFS(Tabla4[Sub Total],Tabla4[Codigo],Tabla2[[#This Row],[Cod]])</f>
        <v>250000</v>
      </c>
      <c r="L256" s="262">
        <f>SUMPRODUCT((Tabla4[Codigo]=Tabla2[[#This Row],[Cod]])*1,Tabla4[IVA])</f>
        <v>47500</v>
      </c>
      <c r="M256" s="262">
        <f>SUMIFS(Tabla4[Total],Tabla4[Codigo],Tabla2[[#This Row],[Cod]])</f>
        <v>297500</v>
      </c>
      <c r="N256" s="278">
        <f>SUMPRODUCT((Tabla1[Codigo]=Tabla2[[#This Row],[Cod]])*1,Tabla1[Valor])</f>
        <v>748000</v>
      </c>
      <c r="O256" s="265">
        <f>IF(AND(Tabla2[[#This Row],[Estado]]="ok",LEFT(Tabla2[[#This Row],['# Factura]],3)="TIS"),Tabla2[[#This Row],[TOTAL]]-Tabla2[[#This Row],[pagado]],0)</f>
        <v>0</v>
      </c>
      <c r="P256" s="262">
        <f>Tabla2[[#This Row],[TOTAL]]-Tabla2[[#This Row],[Valor pago]]</f>
        <v>-450500</v>
      </c>
      <c r="Q256" s="265">
        <f>IF(Tabla2[[#This Row],[Saldo]]=0,0,IF(Tabla2[[#This Row],[Tipo cliente]]="PJ",Tabla2[[#This Row],[SUBTOTAL]]*11%,0))</f>
        <v>27500</v>
      </c>
      <c r="R256" s="276">
        <f>IF(Tabla2[[#This Row],[Saldo]]=0,0,IF(Tabla2[[#This Row],[Tipo cliente]]="PJ",Tabla2[[#This Row],[SUBTOTAL]]*0.966%,0))</f>
        <v>2415</v>
      </c>
      <c r="S256" s="276">
        <f>IF(Tabla2[[#This Row],[Retiene IVA]]="S",Tabla2[[#This Row],[IVA]]*0.15,0)</f>
        <v>0</v>
      </c>
      <c r="T256" s="265">
        <f>+Tabla2[[#This Row],[Saldo]]-Tabla2[[#This Row],[Rete fte]]-Tabla2[[#This Row],[rete ica]]-Tabla2[[#This Row],[Rete IVA]]</f>
        <v>-480415</v>
      </c>
      <c r="U25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297500</v>
      </c>
      <c r="W256" s="23">
        <f>IF(Tabla2[[#This Row],[Fecha F.E.]]="","",YEAR(Tabla2[[#This Row],[Fecha F.E.]]))</f>
        <v>2023</v>
      </c>
      <c r="X256" s="23">
        <f>IF(Tabla2[[#This Row],[Fecha]]="","",YEAR(Tabla2[[#This Row],[Fecha]]))</f>
        <v>2023</v>
      </c>
    </row>
    <row r="257" spans="1:24" x14ac:dyDescent="0.25">
      <c r="A257" s="3">
        <v>257</v>
      </c>
      <c r="B257" s="77" t="s">
        <v>1284</v>
      </c>
      <c r="C257" s="360">
        <v>45050</v>
      </c>
      <c r="D257" s="76" t="s">
        <v>1285</v>
      </c>
      <c r="E257" s="360">
        <v>45050</v>
      </c>
      <c r="F257" s="78" t="s">
        <v>231</v>
      </c>
      <c r="G257" s="85">
        <v>830099436</v>
      </c>
      <c r="H257" s="177" t="str">
        <f>VLOOKUP(Tabla2[[#This Row],[NIT]],Clientes!A:C,2,0)</f>
        <v>ETRA INTERANDINA SA</v>
      </c>
      <c r="I257" s="77" t="str">
        <f>VLOOKUP(Tabla2[[#This Row],[NIT]],Clientes!A:C,3,0)</f>
        <v>PJ</v>
      </c>
      <c r="J257" s="73" t="s">
        <v>794</v>
      </c>
      <c r="K257" s="267">
        <f>SUMIFS(Tabla4[Sub Total],Tabla4[Codigo],Tabla2[[#This Row],[Cod]])</f>
        <v>2580000</v>
      </c>
      <c r="L257" s="262">
        <f>SUMPRODUCT((Tabla4[Codigo]=Tabla2[[#This Row],[Cod]])*1,Tabla4[IVA])</f>
        <v>490200</v>
      </c>
      <c r="M257" s="262">
        <f>SUMIFS(Tabla4[Total],Tabla4[Codigo],Tabla2[[#This Row],[Cod]])</f>
        <v>3070200</v>
      </c>
      <c r="N257" s="278">
        <f>SUMPRODUCT((Tabla1[Codigo]=Tabla2[[#This Row],[Cod]])*1,Tabla1[Valor])</f>
        <v>2944657.2</v>
      </c>
      <c r="O257" s="265">
        <f>IF(AND(Tabla2[[#This Row],[Estado]]="ok",LEFT(Tabla2[[#This Row],['# Factura]],3)="TIS"),Tabla2[[#This Row],[TOTAL]]-Tabla2[[#This Row],[pagado]],0)</f>
        <v>0</v>
      </c>
      <c r="P257" s="262">
        <f>Tabla2[[#This Row],[TOTAL]]-Tabla2[[#This Row],[Valor pago]]</f>
        <v>125542.79999999981</v>
      </c>
      <c r="Q257" s="265">
        <f>IF(Tabla2[[#This Row],[Saldo]]=0,0,IF(Tabla2[[#This Row],[Tipo cliente]]="PJ",Tabla2[[#This Row],[SUBTOTAL]]*11%,0))</f>
        <v>283800</v>
      </c>
      <c r="R257" s="276">
        <f>IF(Tabla2[[#This Row],[Saldo]]=0,0,IF(Tabla2[[#This Row],[Tipo cliente]]="PJ",Tabla2[[#This Row],[SUBTOTAL]]*0.966%,0))</f>
        <v>24922.799999999999</v>
      </c>
      <c r="S257" s="276">
        <f>IF(Tabla2[[#This Row],[Retiene IVA]]="S",Tabla2[[#This Row],[IVA]]*0.15,0)</f>
        <v>0</v>
      </c>
      <c r="T257" s="265">
        <f>+Tabla2[[#This Row],[Saldo]]-Tabla2[[#This Row],[Rete fte]]-Tabla2[[#This Row],[rete ica]]-Tabla2[[#This Row],[Rete IVA]]</f>
        <v>-183180.00000000017</v>
      </c>
      <c r="U25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3070200</v>
      </c>
      <c r="W257" s="23">
        <f>IF(Tabla2[[#This Row],[Fecha F.E.]]="","",YEAR(Tabla2[[#This Row],[Fecha F.E.]]))</f>
        <v>2023</v>
      </c>
      <c r="X257" s="23">
        <f>IF(Tabla2[[#This Row],[Fecha]]="","",YEAR(Tabla2[[#This Row],[Fecha]]))</f>
        <v>2023</v>
      </c>
    </row>
    <row r="258" spans="1:24" x14ac:dyDescent="0.25">
      <c r="A258" s="3">
        <v>258</v>
      </c>
      <c r="B258" s="77" t="s">
        <v>1286</v>
      </c>
      <c r="C258" s="360">
        <v>45055</v>
      </c>
      <c r="D258" s="76" t="s">
        <v>1287</v>
      </c>
      <c r="E258" s="360">
        <v>45055</v>
      </c>
      <c r="F258" s="78" t="s">
        <v>231</v>
      </c>
      <c r="G258" s="85">
        <v>800028768</v>
      </c>
      <c r="H258" s="177" t="str">
        <f>VLOOKUP(Tabla2[[#This Row],[NIT]],Clientes!A:C,2,0)</f>
        <v>Comercializadora ERZ SAS</v>
      </c>
      <c r="I258" s="77" t="str">
        <f>VLOOKUP(Tabla2[[#This Row],[NIT]],Clientes!A:C,3,0)</f>
        <v>PJ</v>
      </c>
      <c r="J258" s="73" t="s">
        <v>794</v>
      </c>
      <c r="K258" s="267">
        <f>SUMIFS(Tabla4[Sub Total],Tabla4[Codigo],Tabla2[[#This Row],[Cod]])</f>
        <v>260000</v>
      </c>
      <c r="L258" s="262">
        <f>SUMPRODUCT((Tabla4[Codigo]=Tabla2[[#This Row],[Cod]])*1,Tabla4[IVA])</f>
        <v>49400</v>
      </c>
      <c r="M258" s="262">
        <f>SUMIFS(Tabla4[Total],Tabla4[Codigo],Tabla2[[#This Row],[Cod]])</f>
        <v>309400</v>
      </c>
      <c r="N258" s="278">
        <f>SUMPRODUCT((Tabla1[Codigo]=Tabla2[[#This Row],[Cod]])*1,Tabla1[Valor])</f>
        <v>385800</v>
      </c>
      <c r="O258" s="265">
        <f>IF(AND(Tabla2[[#This Row],[Estado]]="ok",LEFT(Tabla2[[#This Row],['# Factura]],3)="TIS"),Tabla2[[#This Row],[TOTAL]]-Tabla2[[#This Row],[pagado]],0)</f>
        <v>0</v>
      </c>
      <c r="P258" s="262">
        <f>Tabla2[[#This Row],[TOTAL]]-Tabla2[[#This Row],[Valor pago]]</f>
        <v>-76400</v>
      </c>
      <c r="Q258" s="265">
        <f>IF(Tabla2[[#This Row],[Saldo]]=0,0,IF(Tabla2[[#This Row],[Tipo cliente]]="PJ",Tabla2[[#This Row],[SUBTOTAL]]*11%,0))</f>
        <v>28600</v>
      </c>
      <c r="R258" s="276">
        <f>IF(Tabla2[[#This Row],[Saldo]]=0,0,IF(Tabla2[[#This Row],[Tipo cliente]]="PJ",Tabla2[[#This Row],[SUBTOTAL]]*0.966%,0))</f>
        <v>2511.6</v>
      </c>
      <c r="S258" s="276">
        <f>IF(Tabla2[[#This Row],[Retiene IVA]]="S",Tabla2[[#This Row],[IVA]]*0.15,0)</f>
        <v>0</v>
      </c>
      <c r="T258" s="265">
        <f>+Tabla2[[#This Row],[Saldo]]-Tabla2[[#This Row],[Rete fte]]-Tabla2[[#This Row],[rete ica]]-Tabla2[[#This Row],[Rete IVA]]</f>
        <v>-107511.6</v>
      </c>
      <c r="U25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309400</v>
      </c>
      <c r="W258" s="23">
        <f>IF(Tabla2[[#This Row],[Fecha F.E.]]="","",YEAR(Tabla2[[#This Row],[Fecha F.E.]]))</f>
        <v>2023</v>
      </c>
      <c r="X258" s="23">
        <f>IF(Tabla2[[#This Row],[Fecha]]="","",YEAR(Tabla2[[#This Row],[Fecha]]))</f>
        <v>2023</v>
      </c>
    </row>
    <row r="259" spans="1:24" x14ac:dyDescent="0.25">
      <c r="A259" s="3">
        <v>259</v>
      </c>
      <c r="B259" s="77" t="s">
        <v>1288</v>
      </c>
      <c r="C259" s="360">
        <v>45055</v>
      </c>
      <c r="D259" s="76" t="s">
        <v>1289</v>
      </c>
      <c r="E259" s="360">
        <v>45055</v>
      </c>
      <c r="F259" s="78" t="s">
        <v>231</v>
      </c>
      <c r="G259" s="85">
        <v>901030518</v>
      </c>
      <c r="H259" s="177" t="str">
        <f>VLOOKUP(Tabla2[[#This Row],[NIT]],Clientes!A:C,2,0)</f>
        <v>Inversiones Sajamib SAS</v>
      </c>
      <c r="I259" s="77" t="str">
        <f>VLOOKUP(Tabla2[[#This Row],[NIT]],Clientes!A:C,3,0)</f>
        <v>PJ</v>
      </c>
      <c r="J259" s="73" t="s">
        <v>794</v>
      </c>
      <c r="K259" s="267">
        <f>SUMIFS(Tabla4[Sub Total],Tabla4[Codigo],Tabla2[[#This Row],[Cod]])</f>
        <v>400000</v>
      </c>
      <c r="L259" s="262">
        <f>SUMPRODUCT((Tabla4[Codigo]=Tabla2[[#This Row],[Cod]])*1,Tabla4[IVA])</f>
        <v>0</v>
      </c>
      <c r="M259" s="262">
        <f>SUMIFS(Tabla4[Total],Tabla4[Codigo],Tabla2[[#This Row],[Cod]])</f>
        <v>400000</v>
      </c>
      <c r="N259" s="278">
        <f>SUMPRODUCT((Tabla1[Codigo]=Tabla2[[#This Row],[Cod]])*1,Tabla1[Valor])</f>
        <v>400000</v>
      </c>
      <c r="O259" s="265">
        <f>IF(AND(Tabla2[[#This Row],[Estado]]="ok",LEFT(Tabla2[[#This Row],['# Factura]],3)="TIS"),Tabla2[[#This Row],[TOTAL]]-Tabla2[[#This Row],[pagado]],0)</f>
        <v>0</v>
      </c>
      <c r="P259" s="262">
        <f>Tabla2[[#This Row],[TOTAL]]-Tabla2[[#This Row],[Valor pago]]</f>
        <v>0</v>
      </c>
      <c r="Q259" s="265">
        <f>IF(Tabla2[[#This Row],[Saldo]]=0,0,IF(Tabla2[[#This Row],[Tipo cliente]]="PJ",Tabla2[[#This Row],[SUBTOTAL]]*11%,0))</f>
        <v>0</v>
      </c>
      <c r="R259" s="276">
        <f>IF(Tabla2[[#This Row],[Saldo]]=0,0,IF(Tabla2[[#This Row],[Tipo cliente]]="PJ",Tabla2[[#This Row],[SUBTOTAL]]*0.966%,0))</f>
        <v>0</v>
      </c>
      <c r="S259" s="276">
        <f>IF(Tabla2[[#This Row],[Retiene IVA]]="S",Tabla2[[#This Row],[IVA]]*0.15,0)</f>
        <v>0</v>
      </c>
      <c r="T259" s="265">
        <f>+Tabla2[[#This Row],[Saldo]]-Tabla2[[#This Row],[Rete fte]]-Tabla2[[#This Row],[rete ica]]-Tabla2[[#This Row],[Rete IVA]]</f>
        <v>0</v>
      </c>
      <c r="U25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259" s="23">
        <f>IF(Tabla2[[#This Row],[Fecha F.E.]]="","",YEAR(Tabla2[[#This Row],[Fecha F.E.]]))</f>
        <v>2023</v>
      </c>
      <c r="X259" s="23">
        <f>IF(Tabla2[[#This Row],[Fecha]]="","",YEAR(Tabla2[[#This Row],[Fecha]]))</f>
        <v>2023</v>
      </c>
    </row>
    <row r="260" spans="1:24" ht="26.25" x14ac:dyDescent="0.25">
      <c r="A260" s="3">
        <v>260</v>
      </c>
      <c r="B260" s="77" t="s">
        <v>1290</v>
      </c>
      <c r="C260" s="360">
        <v>45055</v>
      </c>
      <c r="D260" s="76" t="s">
        <v>1291</v>
      </c>
      <c r="E260" s="360">
        <v>45055</v>
      </c>
      <c r="F260" s="78" t="s">
        <v>231</v>
      </c>
      <c r="G260" s="85">
        <v>900396116</v>
      </c>
      <c r="H260" s="177" t="str">
        <f>VLOOKUP(Tabla2[[#This Row],[NIT]],Clientes!A:C,2,0)</f>
        <v>PRODUCTORA INTERAMERICANA DE PLASTICOS S.A.S.</v>
      </c>
      <c r="I260" s="77" t="str">
        <f>VLOOKUP(Tabla2[[#This Row],[NIT]],Clientes!A:C,3,0)</f>
        <v>PJ</v>
      </c>
      <c r="J260" s="73" t="s">
        <v>794</v>
      </c>
      <c r="K260" s="267">
        <f>SUMIFS(Tabla4[Sub Total],Tabla4[Codigo],Tabla2[[#This Row],[Cod]])</f>
        <v>300000</v>
      </c>
      <c r="L260" s="262">
        <f>SUMPRODUCT((Tabla4[Codigo]=Tabla2[[#This Row],[Cod]])*1,Tabla4[IVA])</f>
        <v>57000</v>
      </c>
      <c r="M260" s="262">
        <f>SUMIFS(Tabla4[Total],Tabla4[Codigo],Tabla2[[#This Row],[Cod]])</f>
        <v>357000</v>
      </c>
      <c r="N260" s="278">
        <f>SUMPRODUCT((Tabla1[Codigo]=Tabla2[[#This Row],[Cod]])*1,Tabla1[Valor])</f>
        <v>321102</v>
      </c>
      <c r="O260" s="265">
        <f>IF(AND(Tabla2[[#This Row],[Estado]]="ok",LEFT(Tabla2[[#This Row],['# Factura]],3)="TIS"),Tabla2[[#This Row],[TOTAL]]-Tabla2[[#This Row],[pagado]],0)</f>
        <v>0</v>
      </c>
      <c r="P260" s="262">
        <f>Tabla2[[#This Row],[TOTAL]]-Tabla2[[#This Row],[Valor pago]]</f>
        <v>35898</v>
      </c>
      <c r="Q260" s="265">
        <f>IF(Tabla2[[#This Row],[Saldo]]=0,0,IF(Tabla2[[#This Row],[Tipo cliente]]="PJ",Tabla2[[#This Row],[SUBTOTAL]]*11%,0))</f>
        <v>33000</v>
      </c>
      <c r="R260" s="276">
        <f>IF(Tabla2[[#This Row],[Saldo]]=0,0,IF(Tabla2[[#This Row],[Tipo cliente]]="PJ",Tabla2[[#This Row],[SUBTOTAL]]*0.966%,0))</f>
        <v>2898</v>
      </c>
      <c r="S260" s="276">
        <f>IF(Tabla2[[#This Row],[Retiene IVA]]="S",Tabla2[[#This Row],[IVA]]*0.15,0)</f>
        <v>0</v>
      </c>
      <c r="T260" s="265">
        <f>+Tabla2[[#This Row],[Saldo]]-Tabla2[[#This Row],[Rete fte]]-Tabla2[[#This Row],[rete ica]]-Tabla2[[#This Row],[Rete IVA]]</f>
        <v>0</v>
      </c>
      <c r="U26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260" s="23">
        <f>IF(Tabla2[[#This Row],[Fecha F.E.]]="","",YEAR(Tabla2[[#This Row],[Fecha F.E.]]))</f>
        <v>2023</v>
      </c>
      <c r="X260" s="23">
        <f>IF(Tabla2[[#This Row],[Fecha]]="","",YEAR(Tabla2[[#This Row],[Fecha]]))</f>
        <v>2023</v>
      </c>
    </row>
    <row r="261" spans="1:24" x14ac:dyDescent="0.25">
      <c r="A261" s="3">
        <v>261</v>
      </c>
      <c r="B261" s="77" t="s">
        <v>1292</v>
      </c>
      <c r="C261" s="360">
        <v>45055</v>
      </c>
      <c r="D261" s="76" t="s">
        <v>1293</v>
      </c>
      <c r="E261" s="360">
        <v>45055</v>
      </c>
      <c r="F261" s="78" t="s">
        <v>231</v>
      </c>
      <c r="G261" s="85">
        <v>901342609</v>
      </c>
      <c r="H261" s="177" t="str">
        <f>VLOOKUP(Tabla2[[#This Row],[NIT]],Clientes!A:C,2,0)</f>
        <v>ROYCO SOLUCIONES SAS</v>
      </c>
      <c r="I261" s="77" t="str">
        <f>VLOOKUP(Tabla2[[#This Row],[NIT]],Clientes!A:C,3,0)</f>
        <v>PJ</v>
      </c>
      <c r="J261" s="73" t="s">
        <v>794</v>
      </c>
      <c r="K261" s="267">
        <f>SUMIFS(Tabla4[Sub Total],Tabla4[Codigo],Tabla2[[#This Row],[Cod]])</f>
        <v>175000</v>
      </c>
      <c r="L261" s="262">
        <f>SUMPRODUCT((Tabla4[Codigo]=Tabla2[[#This Row],[Cod]])*1,Tabla4[IVA])</f>
        <v>33250</v>
      </c>
      <c r="M261" s="262">
        <f>SUMIFS(Tabla4[Total],Tabla4[Codigo],Tabla2[[#This Row],[Cod]])</f>
        <v>208250</v>
      </c>
      <c r="N261" s="278">
        <f>SUMPRODUCT((Tabla1[Codigo]=Tabla2[[#This Row],[Cod]])*1,Tabla1[Valor])</f>
        <v>187310</v>
      </c>
      <c r="O261" s="265">
        <f>IF(AND(Tabla2[[#This Row],[Estado]]="ok",LEFT(Tabla2[[#This Row],['# Factura]],3)="TIS"),Tabla2[[#This Row],[TOTAL]]-Tabla2[[#This Row],[pagado]],0)</f>
        <v>0</v>
      </c>
      <c r="P261" s="262">
        <f>Tabla2[[#This Row],[TOTAL]]-Tabla2[[#This Row],[Valor pago]]</f>
        <v>20940</v>
      </c>
      <c r="Q261" s="265">
        <f>IF(Tabla2[[#This Row],[Saldo]]=0,0,IF(Tabla2[[#This Row],[Tipo cliente]]="PJ",Tabla2[[#This Row],[SUBTOTAL]]*11%,0))</f>
        <v>19250</v>
      </c>
      <c r="R261" s="276">
        <f>IF(Tabla2[[#This Row],[Saldo]]=0,0,IF(Tabla2[[#This Row],[Tipo cliente]]="PJ",Tabla2[[#This Row],[SUBTOTAL]]*0.966%,0))</f>
        <v>1690.5</v>
      </c>
      <c r="S261" s="276">
        <f>IF(Tabla2[[#This Row],[Retiene IVA]]="S",Tabla2[[#This Row],[IVA]]*0.15,0)</f>
        <v>0</v>
      </c>
      <c r="T261" s="265">
        <f>+Tabla2[[#This Row],[Saldo]]-Tabla2[[#This Row],[Rete fte]]-Tabla2[[#This Row],[rete ica]]-Tabla2[[#This Row],[Rete IVA]]</f>
        <v>-0.5</v>
      </c>
      <c r="U26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208250</v>
      </c>
      <c r="W261" s="23">
        <f>IF(Tabla2[[#This Row],[Fecha F.E.]]="","",YEAR(Tabla2[[#This Row],[Fecha F.E.]]))</f>
        <v>2023</v>
      </c>
      <c r="X261" s="23">
        <f>IF(Tabla2[[#This Row],[Fecha]]="","",YEAR(Tabla2[[#This Row],[Fecha]]))</f>
        <v>2023</v>
      </c>
    </row>
    <row r="262" spans="1:24" x14ac:dyDescent="0.25">
      <c r="A262" s="3">
        <v>262</v>
      </c>
      <c r="B262" s="77" t="s">
        <v>1294</v>
      </c>
      <c r="C262" s="360">
        <v>45055</v>
      </c>
      <c r="D262" s="76" t="s">
        <v>1295</v>
      </c>
      <c r="E262" s="360">
        <v>45055</v>
      </c>
      <c r="F262" s="78" t="s">
        <v>231</v>
      </c>
      <c r="G262" s="85">
        <v>60090915</v>
      </c>
      <c r="H262" s="177" t="e">
        <f>VLOOKUP(Tabla2[[#This Row],[NIT]],Clientes!A:C,2,0)</f>
        <v>#N/A</v>
      </c>
      <c r="I262" s="77" t="e">
        <f>VLOOKUP(Tabla2[[#This Row],[NIT]],Clientes!A:C,3,0)</f>
        <v>#N/A</v>
      </c>
      <c r="J262" s="73" t="s">
        <v>794</v>
      </c>
      <c r="K262" s="267">
        <f>SUMIFS(Tabla4[Sub Total],Tabla4[Codigo],Tabla2[[#This Row],[Cod]])</f>
        <v>18116800</v>
      </c>
      <c r="L262" s="262">
        <f>SUMPRODUCT((Tabla4[Codigo]=Tabla2[[#This Row],[Cod]])*1,Tabla4[IVA])</f>
        <v>3442192</v>
      </c>
      <c r="M262" s="262">
        <f>SUMIFS(Tabla4[Total],Tabla4[Codigo],Tabla2[[#This Row],[Cod]])</f>
        <v>21558992</v>
      </c>
      <c r="N262" s="278">
        <f>SUMPRODUCT((Tabla1[Codigo]=Tabla2[[#This Row],[Cod]])*1,Tabla1[Valor])</f>
        <v>20161100</v>
      </c>
      <c r="O262" s="265" t="e">
        <f>IF(AND(Tabla2[[#This Row],[Estado]]="ok",LEFT(Tabla2[[#This Row],['# Factura]],3)="TIS"),Tabla2[[#This Row],[TOTAL]]-Tabla2[[#This Row],[pagado]],0)</f>
        <v>#N/A</v>
      </c>
      <c r="P262" s="262">
        <f>Tabla2[[#This Row],[TOTAL]]-Tabla2[[#This Row],[Valor pago]]</f>
        <v>1397892</v>
      </c>
      <c r="Q262" s="265" t="e">
        <f>IF(Tabla2[[#This Row],[Saldo]]=0,0,IF(Tabla2[[#This Row],[Tipo cliente]]="PJ",Tabla2[[#This Row],[SUBTOTAL]]*11%,0))</f>
        <v>#N/A</v>
      </c>
      <c r="R262" s="276" t="e">
        <f>IF(Tabla2[[#This Row],[Saldo]]=0,0,IF(Tabla2[[#This Row],[Tipo cliente]]="PJ",Tabla2[[#This Row],[SUBTOTAL]]*0.966%,0))</f>
        <v>#N/A</v>
      </c>
      <c r="S262" s="276">
        <f>IF(Tabla2[[#This Row],[Retiene IVA]]="S",Tabla2[[#This Row],[IVA]]*0.15,0)</f>
        <v>0</v>
      </c>
      <c r="T262" s="265" t="e">
        <f>+Tabla2[[#This Row],[Saldo]]-Tabla2[[#This Row],[Rete fte]]-Tabla2[[#This Row],[rete ica]]-Tabla2[[#This Row],[Rete IVA]]</f>
        <v>#N/A</v>
      </c>
      <c r="U262" s="279" t="e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#N/A</v>
      </c>
      <c r="W262" s="23">
        <f>IF(Tabla2[[#This Row],[Fecha F.E.]]="","",YEAR(Tabla2[[#This Row],[Fecha F.E.]]))</f>
        <v>2023</v>
      </c>
      <c r="X262" s="23">
        <f>IF(Tabla2[[#This Row],[Fecha]]="","",YEAR(Tabla2[[#This Row],[Fecha]]))</f>
        <v>2023</v>
      </c>
    </row>
    <row r="263" spans="1:24" x14ac:dyDescent="0.25">
      <c r="A263" s="3">
        <v>263</v>
      </c>
      <c r="B263" s="77" t="s">
        <v>1296</v>
      </c>
      <c r="C263" s="360">
        <v>45062</v>
      </c>
      <c r="D263" s="76" t="s">
        <v>1297</v>
      </c>
      <c r="E263" s="360">
        <v>45062</v>
      </c>
      <c r="F263" s="78" t="s">
        <v>231</v>
      </c>
      <c r="G263" s="85">
        <v>901005631</v>
      </c>
      <c r="H263" s="177" t="str">
        <f>VLOOKUP(Tabla2[[#This Row],[NIT]],Clientes!A:C,2,0)</f>
        <v xml:space="preserve">JALO RENT SAS </v>
      </c>
      <c r="I263" s="77" t="str">
        <f>VLOOKUP(Tabla2[[#This Row],[NIT]],Clientes!A:C,3,0)</f>
        <v>PJ</v>
      </c>
      <c r="J263" s="73" t="s">
        <v>794</v>
      </c>
      <c r="K263" s="267">
        <f>SUMIFS(Tabla4[Sub Total],Tabla4[Codigo],Tabla2[[#This Row],[Cod]])</f>
        <v>1125000</v>
      </c>
      <c r="L263" s="262">
        <f>SUMPRODUCT((Tabla4[Codigo]=Tabla2[[#This Row],[Cod]])*1,Tabla4[IVA])</f>
        <v>213750</v>
      </c>
      <c r="M263" s="262">
        <f>SUMIFS(Tabla4[Total],Tabla4[Codigo],Tabla2[[#This Row],[Cod]])</f>
        <v>1338750</v>
      </c>
      <c r="N263" s="278">
        <f>SUMPRODUCT((Tabla1[Codigo]=Tabla2[[#This Row],[Cod]])*1,Tabla1[Valor])</f>
        <v>1205257</v>
      </c>
      <c r="O263" s="265">
        <f>IF(AND(Tabla2[[#This Row],[Estado]]="ok",LEFT(Tabla2[[#This Row],['# Factura]],3)="TIS"),Tabla2[[#This Row],[TOTAL]]-Tabla2[[#This Row],[pagado]],0)</f>
        <v>0</v>
      </c>
      <c r="P263" s="262">
        <f>Tabla2[[#This Row],[TOTAL]]-Tabla2[[#This Row],[Valor pago]]</f>
        <v>133493</v>
      </c>
      <c r="Q263" s="265">
        <f>IF(Tabla2[[#This Row],[Saldo]]=0,0,IF(Tabla2[[#This Row],[Tipo cliente]]="PJ",Tabla2[[#This Row],[SUBTOTAL]]*11%,0))</f>
        <v>123750</v>
      </c>
      <c r="R263" s="276">
        <f>IF(Tabla2[[#This Row],[Saldo]]=0,0,IF(Tabla2[[#This Row],[Tipo cliente]]="PJ",Tabla2[[#This Row],[SUBTOTAL]]*0.966%,0))</f>
        <v>10867.5</v>
      </c>
      <c r="S263" s="276">
        <f>IF(Tabla2[[#This Row],[Retiene IVA]]="S",Tabla2[[#This Row],[IVA]]*0.15,0)</f>
        <v>0</v>
      </c>
      <c r="T263" s="265">
        <f>+Tabla2[[#This Row],[Saldo]]-Tabla2[[#This Row],[Rete fte]]-Tabla2[[#This Row],[rete ica]]-Tabla2[[#This Row],[Rete IVA]]</f>
        <v>-1124.5</v>
      </c>
      <c r="U26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1338750</v>
      </c>
      <c r="W263" s="23">
        <f>IF(Tabla2[[#This Row],[Fecha F.E.]]="","",YEAR(Tabla2[[#This Row],[Fecha F.E.]]))</f>
        <v>2023</v>
      </c>
      <c r="X263" s="23">
        <f>IF(Tabla2[[#This Row],[Fecha]]="","",YEAR(Tabla2[[#This Row],[Fecha]]))</f>
        <v>2023</v>
      </c>
    </row>
    <row r="264" spans="1:24" x14ac:dyDescent="0.25">
      <c r="A264" s="3">
        <v>264</v>
      </c>
      <c r="B264" s="77" t="s">
        <v>1298</v>
      </c>
      <c r="C264" s="360">
        <v>45062</v>
      </c>
      <c r="D264" s="76" t="s">
        <v>1299</v>
      </c>
      <c r="E264" s="360">
        <v>44981</v>
      </c>
      <c r="F264" s="78" t="s">
        <v>231</v>
      </c>
      <c r="G264" s="85">
        <v>901342609</v>
      </c>
      <c r="H264" s="177" t="str">
        <f>VLOOKUP(Tabla2[[#This Row],[NIT]],Clientes!A:C,2,0)</f>
        <v>ROYCO SOLUCIONES SAS</v>
      </c>
      <c r="I264" s="77" t="str">
        <f>VLOOKUP(Tabla2[[#This Row],[NIT]],Clientes!A:C,3,0)</f>
        <v>PJ</v>
      </c>
      <c r="J264" s="73" t="s">
        <v>794</v>
      </c>
      <c r="K264" s="267">
        <f>SUMIFS(Tabla4[Sub Total],Tabla4[Codigo],Tabla2[[#This Row],[Cod]])</f>
        <v>750000</v>
      </c>
      <c r="L264" s="262">
        <f>SUMPRODUCT((Tabla4[Codigo]=Tabla2[[#This Row],[Cod]])*1,Tabla4[IVA])</f>
        <v>0</v>
      </c>
      <c r="M264" s="262">
        <f>SUMIFS(Tabla4[Total],Tabla4[Codigo],Tabla2[[#This Row],[Cod]])</f>
        <v>750000</v>
      </c>
      <c r="N264" s="278">
        <f>SUMPRODUCT((Tabla1[Codigo]=Tabla2[[#This Row],[Cod]])*1,Tabla1[Valor])</f>
        <v>667500</v>
      </c>
      <c r="O264" s="265">
        <f>IF(AND(Tabla2[[#This Row],[Estado]]="ok",LEFT(Tabla2[[#This Row],['# Factura]],3)="TIS"),Tabla2[[#This Row],[TOTAL]]-Tabla2[[#This Row],[pagado]],0)</f>
        <v>0</v>
      </c>
      <c r="P264" s="262">
        <f>Tabla2[[#This Row],[TOTAL]]-Tabla2[[#This Row],[Valor pago]]</f>
        <v>82500</v>
      </c>
      <c r="Q264" s="265">
        <f>IF(Tabla2[[#This Row],[Saldo]]=0,0,IF(Tabla2[[#This Row],[Tipo cliente]]="PJ",Tabla2[[#This Row],[SUBTOTAL]]*11%,0))</f>
        <v>82500</v>
      </c>
      <c r="R264" s="276">
        <f>IF(Tabla2[[#This Row],[Saldo]]=0,0,IF(Tabla2[[#This Row],[Tipo cliente]]="PJ",Tabla2[[#This Row],[SUBTOTAL]]*0.966%,0))</f>
        <v>7245</v>
      </c>
      <c r="S264" s="276">
        <f>IF(Tabla2[[#This Row],[Retiene IVA]]="S",Tabla2[[#This Row],[IVA]]*0.15,0)</f>
        <v>0</v>
      </c>
      <c r="T264" s="265">
        <f>+Tabla2[[#This Row],[Saldo]]-Tabla2[[#This Row],[Rete fte]]-Tabla2[[#This Row],[rete ica]]-Tabla2[[#This Row],[Rete IVA]]</f>
        <v>-7245</v>
      </c>
      <c r="U26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750000</v>
      </c>
      <c r="W264" s="23">
        <f>IF(Tabla2[[#This Row],[Fecha F.E.]]="","",YEAR(Tabla2[[#This Row],[Fecha F.E.]]))</f>
        <v>2023</v>
      </c>
      <c r="X264" s="23">
        <f>IF(Tabla2[[#This Row],[Fecha]]="","",YEAR(Tabla2[[#This Row],[Fecha]]))</f>
        <v>2023</v>
      </c>
    </row>
    <row r="265" spans="1:24" x14ac:dyDescent="0.25">
      <c r="A265" s="3">
        <v>265</v>
      </c>
      <c r="B265" s="77" t="s">
        <v>1300</v>
      </c>
      <c r="C265" s="360">
        <v>45062</v>
      </c>
      <c r="D265" s="76" t="s">
        <v>1301</v>
      </c>
      <c r="E265" s="360">
        <v>45034</v>
      </c>
      <c r="F265" s="78" t="s">
        <v>231</v>
      </c>
      <c r="G265" s="85">
        <v>901139486</v>
      </c>
      <c r="H265" s="177" t="str">
        <f>VLOOKUP(Tabla2[[#This Row],[NIT]],Clientes!A:C,2,0)</f>
        <v>BBC HOLDING SAS</v>
      </c>
      <c r="I265" s="77" t="str">
        <f>VLOOKUP(Tabla2[[#This Row],[NIT]],Clientes!A:C,3,0)</f>
        <v>PJ</v>
      </c>
      <c r="J265" s="73" t="s">
        <v>794</v>
      </c>
      <c r="K265" s="267">
        <f>SUMIFS(Tabla4[Sub Total],Tabla4[Codigo],Tabla2[[#This Row],[Cod]])</f>
        <v>750000</v>
      </c>
      <c r="L265" s="262">
        <f>SUMPRODUCT((Tabla4[Codigo]=Tabla2[[#This Row],[Cod]])*1,Tabla4[IVA])</f>
        <v>142500</v>
      </c>
      <c r="M265" s="262">
        <f>SUMIFS(Tabla4[Total],Tabla4[Codigo],Tabla2[[#This Row],[Cod]])</f>
        <v>892500</v>
      </c>
      <c r="N265" s="278">
        <f>SUMPRODUCT((Tabla1[Codigo]=Tabla2[[#This Row],[Cod]])*1,Tabla1[Valor])</f>
        <v>862500</v>
      </c>
      <c r="O265" s="265">
        <f>IF(AND(Tabla2[[#This Row],[Estado]]="ok",LEFT(Tabla2[[#This Row],['# Factura]],3)="TIS"),Tabla2[[#This Row],[TOTAL]]-Tabla2[[#This Row],[pagado]],0)</f>
        <v>0</v>
      </c>
      <c r="P265" s="262">
        <f>Tabla2[[#This Row],[TOTAL]]-Tabla2[[#This Row],[Valor pago]]</f>
        <v>30000</v>
      </c>
      <c r="Q265" s="265">
        <f>IF(Tabla2[[#This Row],[Saldo]]=0,0,IF(Tabla2[[#This Row],[Tipo cliente]]="PJ",Tabla2[[#This Row],[SUBTOTAL]]*11%,0))</f>
        <v>82500</v>
      </c>
      <c r="R265" s="276">
        <f>IF(Tabla2[[#This Row],[Saldo]]=0,0,IF(Tabla2[[#This Row],[Tipo cliente]]="PJ",Tabla2[[#This Row],[SUBTOTAL]]*0.966%,0))</f>
        <v>7245</v>
      </c>
      <c r="S265" s="276">
        <f>IF(Tabla2[[#This Row],[Retiene IVA]]="S",Tabla2[[#This Row],[IVA]]*0.15,0)</f>
        <v>0</v>
      </c>
      <c r="T265" s="265">
        <f>+Tabla2[[#This Row],[Saldo]]-Tabla2[[#This Row],[Rete fte]]-Tabla2[[#This Row],[rete ica]]-Tabla2[[#This Row],[Rete IVA]]</f>
        <v>-59745</v>
      </c>
      <c r="U26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892500</v>
      </c>
      <c r="W265" s="23">
        <f>IF(Tabla2[[#This Row],[Fecha F.E.]]="","",YEAR(Tabla2[[#This Row],[Fecha F.E.]]))</f>
        <v>2023</v>
      </c>
      <c r="X265" s="23">
        <f>IF(Tabla2[[#This Row],[Fecha]]="","",YEAR(Tabla2[[#This Row],[Fecha]]))</f>
        <v>2023</v>
      </c>
    </row>
    <row r="266" spans="1:24" ht="26.25" x14ac:dyDescent="0.25">
      <c r="A266" s="3">
        <v>266</v>
      </c>
      <c r="B266" s="77" t="s">
        <v>1302</v>
      </c>
      <c r="C266" s="360">
        <v>45062</v>
      </c>
      <c r="D266" s="76" t="s">
        <v>1303</v>
      </c>
      <c r="E266" s="360">
        <v>45062</v>
      </c>
      <c r="F266" s="78" t="s">
        <v>231</v>
      </c>
      <c r="G266" s="85">
        <v>830054076</v>
      </c>
      <c r="H266" s="177" t="str">
        <f>VLOOKUP(Tabla2[[#This Row],[NIT]],Clientes!A:C,2,0)</f>
        <v>FIDEICOMISOS SOCIEDAD FIDUCIARIA DE OCCIDENTE SA</v>
      </c>
      <c r="I266" s="77" t="str">
        <f>VLOOKUP(Tabla2[[#This Row],[NIT]],Clientes!A:C,3,0)</f>
        <v>PJ</v>
      </c>
      <c r="J266" s="73" t="s">
        <v>1051</v>
      </c>
      <c r="K266" s="267">
        <f>SUMIFS(Tabla4[Sub Total],Tabla4[Codigo],Tabla2[[#This Row],[Cod]])</f>
        <v>6956800</v>
      </c>
      <c r="L266" s="262">
        <f>SUMPRODUCT((Tabla4[Codigo]=Tabla2[[#This Row],[Cod]])*1,Tabla4[IVA])</f>
        <v>1321792</v>
      </c>
      <c r="M266" s="262">
        <f>SUMIFS(Tabla4[Total],Tabla4[Codigo],Tabla2[[#This Row],[Cod]])</f>
        <v>8278592</v>
      </c>
      <c r="N266" s="278">
        <f>SUMPRODUCT((Tabla1[Codigo]=Tabla2[[#This Row],[Cod]])*1,Tabla1[Valor])</f>
        <v>7254829.3100000005</v>
      </c>
      <c r="O266" s="265">
        <f>IF(AND(Tabla2[[#This Row],[Estado]]="ok",LEFT(Tabla2[[#This Row],['# Factura]],3)="TIS"),Tabla2[[#This Row],[TOTAL]]-Tabla2[[#This Row],[pagado]],0)</f>
        <v>0</v>
      </c>
      <c r="P266" s="262">
        <f>Tabla2[[#This Row],[TOTAL]]-Tabla2[[#This Row],[Valor pago]]</f>
        <v>1023762.6899999995</v>
      </c>
      <c r="Q266" s="265">
        <f>IF(Tabla2[[#This Row],[Saldo]]=0,0,IF(Tabla2[[#This Row],[Tipo cliente]]="PJ",Tabla2[[#This Row],[SUBTOTAL]]*11%,0))</f>
        <v>765248</v>
      </c>
      <c r="R266" s="276">
        <f>IF(Tabla2[[#This Row],[Saldo]]=0,0,IF(Tabla2[[#This Row],[Tipo cliente]]="PJ",Tabla2[[#This Row],[SUBTOTAL]]*0.966%,0))</f>
        <v>67202.687999999995</v>
      </c>
      <c r="S266" s="276">
        <f>IF(Tabla2[[#This Row],[Retiene IVA]]="S",Tabla2[[#This Row],[IVA]]*0.15,0)</f>
        <v>198268.79999999999</v>
      </c>
      <c r="T266" s="265">
        <f>+Tabla2[[#This Row],[Saldo]]-Tabla2[[#This Row],[Rete fte]]-Tabla2[[#This Row],[rete ica]]-Tabla2[[#This Row],[Rete IVA]]</f>
        <v>-6956.7980000005045</v>
      </c>
      <c r="U26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8278592</v>
      </c>
      <c r="W266" s="23">
        <f>IF(Tabla2[[#This Row],[Fecha F.E.]]="","",YEAR(Tabla2[[#This Row],[Fecha F.E.]]))</f>
        <v>2023</v>
      </c>
      <c r="X266" s="23">
        <f>IF(Tabla2[[#This Row],[Fecha]]="","",YEAR(Tabla2[[#This Row],[Fecha]]))</f>
        <v>2023</v>
      </c>
    </row>
    <row r="267" spans="1:24" x14ac:dyDescent="0.25">
      <c r="A267" s="3">
        <v>267</v>
      </c>
      <c r="B267" s="77" t="s">
        <v>1304</v>
      </c>
      <c r="C267" s="360">
        <v>45062</v>
      </c>
      <c r="D267" s="76" t="s">
        <v>1305</v>
      </c>
      <c r="E267" s="360">
        <v>45058</v>
      </c>
      <c r="F267" s="78" t="s">
        <v>231</v>
      </c>
      <c r="G267" s="85">
        <v>830057687</v>
      </c>
      <c r="H267" s="177" t="str">
        <f>VLOOKUP(Tabla2[[#This Row],[NIT]],Clientes!A:C,2,0)</f>
        <v>ATECNO S.A.S</v>
      </c>
      <c r="I267" s="77" t="str">
        <f>VLOOKUP(Tabla2[[#This Row],[NIT]],Clientes!A:C,3,0)</f>
        <v>PJ</v>
      </c>
      <c r="J267" s="73" t="s">
        <v>794</v>
      </c>
      <c r="K267" s="267">
        <f>SUMIFS(Tabla4[Sub Total],Tabla4[Codigo],Tabla2[[#This Row],[Cod]])</f>
        <v>1110000</v>
      </c>
      <c r="L267" s="262">
        <f>SUMPRODUCT((Tabla4[Codigo]=Tabla2[[#This Row],[Cod]])*1,Tabla4[IVA])</f>
        <v>210900</v>
      </c>
      <c r="M267" s="262">
        <f>SUMIFS(Tabla4[Total],Tabla4[Codigo],Tabla2[[#This Row],[Cod]])</f>
        <v>1320900</v>
      </c>
      <c r="N267" s="278">
        <f>SUMPRODUCT((Tabla1[Codigo]=Tabla2[[#This Row],[Cod]])*1,Tabla1[Valor])</f>
        <v>1266887</v>
      </c>
      <c r="O267" s="265">
        <f>IF(AND(Tabla2[[#This Row],[Estado]]="ok",LEFT(Tabla2[[#This Row],['# Factura]],3)="TIS"),Tabla2[[#This Row],[TOTAL]]-Tabla2[[#This Row],[pagado]],0)</f>
        <v>0</v>
      </c>
      <c r="P267" s="262">
        <f>Tabla2[[#This Row],[TOTAL]]-Tabla2[[#This Row],[Valor pago]]</f>
        <v>54013</v>
      </c>
      <c r="Q267" s="265">
        <f>IF(Tabla2[[#This Row],[Saldo]]=0,0,IF(Tabla2[[#This Row],[Tipo cliente]]="PJ",Tabla2[[#This Row],[SUBTOTAL]]*11%,0))</f>
        <v>122100</v>
      </c>
      <c r="R267" s="276">
        <f>IF(Tabla2[[#This Row],[Saldo]]=0,0,IF(Tabla2[[#This Row],[Tipo cliente]]="PJ",Tabla2[[#This Row],[SUBTOTAL]]*0.966%,0))</f>
        <v>10722.6</v>
      </c>
      <c r="S267" s="276">
        <f>IF(Tabla2[[#This Row],[Retiene IVA]]="S",Tabla2[[#This Row],[IVA]]*0.15,0)</f>
        <v>0</v>
      </c>
      <c r="T267" s="265">
        <f>+Tabla2[[#This Row],[Saldo]]-Tabla2[[#This Row],[Rete fte]]-Tabla2[[#This Row],[rete ica]]-Tabla2[[#This Row],[Rete IVA]]</f>
        <v>-78809.600000000006</v>
      </c>
      <c r="U26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1320900</v>
      </c>
      <c r="V267" s="23" t="s">
        <v>1306</v>
      </c>
      <c r="W267" s="23">
        <f>IF(Tabla2[[#This Row],[Fecha F.E.]]="","",YEAR(Tabla2[[#This Row],[Fecha F.E.]]))</f>
        <v>2023</v>
      </c>
      <c r="X267" s="23">
        <f>IF(Tabla2[[#This Row],[Fecha]]="","",YEAR(Tabla2[[#This Row],[Fecha]]))</f>
        <v>2023</v>
      </c>
    </row>
    <row r="268" spans="1:24" ht="26.25" x14ac:dyDescent="0.25">
      <c r="A268" s="3">
        <v>268</v>
      </c>
      <c r="B268" s="77" t="s">
        <v>1307</v>
      </c>
      <c r="C268" s="360">
        <v>45062</v>
      </c>
      <c r="D268" s="76" t="s">
        <v>1308</v>
      </c>
      <c r="E268" s="360">
        <v>45062</v>
      </c>
      <c r="F268" s="78" t="s">
        <v>716</v>
      </c>
      <c r="G268" s="85">
        <v>830054076</v>
      </c>
      <c r="H268" s="177" t="str">
        <f>VLOOKUP(Tabla2[[#This Row],[NIT]],Clientes!A:C,2,0)</f>
        <v>FIDEICOMISOS SOCIEDAD FIDUCIARIA DE OCCIDENTE SA</v>
      </c>
      <c r="I268" s="77" t="str">
        <f>VLOOKUP(Tabla2[[#This Row],[NIT]],Clientes!A:C,3,0)</f>
        <v>PJ</v>
      </c>
      <c r="J268" s="73" t="s">
        <v>794</v>
      </c>
      <c r="K268" s="267">
        <f>SUMIFS(Tabla4[Sub Total],Tabla4[Codigo],Tabla2[[#This Row],[Cod]])</f>
        <v>6956800</v>
      </c>
      <c r="L268" s="262">
        <f>SUMPRODUCT((Tabla4[Codigo]=Tabla2[[#This Row],[Cod]])*1,Tabla4[IVA])</f>
        <v>0</v>
      </c>
      <c r="M268" s="262">
        <f>SUMIFS(Tabla4[Total],Tabla4[Codigo],Tabla2[[#This Row],[Cod]])</f>
        <v>6956800</v>
      </c>
      <c r="N268" s="278">
        <f>SUMPRODUCT((Tabla1[Codigo]=Tabla2[[#This Row],[Cod]])*1,Tabla1[Valor])</f>
        <v>0</v>
      </c>
      <c r="O268" s="265">
        <f>IF(AND(Tabla2[[#This Row],[Estado]]="ok",LEFT(Tabla2[[#This Row],['# Factura]],3)="TIS"),Tabla2[[#This Row],[TOTAL]]-Tabla2[[#This Row],[pagado]],0)</f>
        <v>0</v>
      </c>
      <c r="P268" s="262">
        <f>Tabla2[[#This Row],[TOTAL]]-Tabla2[[#This Row],[Valor pago]]</f>
        <v>6956800</v>
      </c>
      <c r="Q268" s="265">
        <f>IF(Tabla2[[#This Row],[Saldo]]=0,0,IF(Tabla2[[#This Row],[Tipo cliente]]="PJ",Tabla2[[#This Row],[SUBTOTAL]]*11%,0))</f>
        <v>765248</v>
      </c>
      <c r="R268" s="276">
        <f>IF(Tabla2[[#This Row],[Saldo]]=0,0,IF(Tabla2[[#This Row],[Tipo cliente]]="PJ",Tabla2[[#This Row],[SUBTOTAL]]*0.966%,0))</f>
        <v>67202.687999999995</v>
      </c>
      <c r="S268" s="276">
        <f>IF(Tabla2[[#This Row],[Retiene IVA]]="S",Tabla2[[#This Row],[IVA]]*0.15,0)</f>
        <v>0</v>
      </c>
      <c r="T268" s="265">
        <f>+Tabla2[[#This Row],[Saldo]]-Tabla2[[#This Row],[Rete fte]]-Tabla2[[#This Row],[rete ica]]-Tabla2[[#This Row],[Rete IVA]]</f>
        <v>6124349.3119999999</v>
      </c>
      <c r="U26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68" s="23">
        <f>IF(Tabla2[[#This Row],[Fecha F.E.]]="","",YEAR(Tabla2[[#This Row],[Fecha F.E.]]))</f>
        <v>2023</v>
      </c>
      <c r="X268" s="23">
        <f>IF(Tabla2[[#This Row],[Fecha]]="","",YEAR(Tabla2[[#This Row],[Fecha]]))</f>
        <v>2023</v>
      </c>
    </row>
    <row r="269" spans="1:24" x14ac:dyDescent="0.25">
      <c r="A269" s="3">
        <v>269</v>
      </c>
      <c r="B269" s="77" t="s">
        <v>1309</v>
      </c>
      <c r="C269" s="360">
        <v>45063</v>
      </c>
      <c r="D269" s="76"/>
      <c r="E269" s="360"/>
      <c r="F269" s="78" t="s">
        <v>716</v>
      </c>
      <c r="G269" s="85">
        <v>830066664</v>
      </c>
      <c r="H269" s="177" t="str">
        <f>VLOOKUP(Tabla2[[#This Row],[NIT]],Clientes!A:C,2,0)</f>
        <v>ALFONSO URIBE S &amp; CIA SA</v>
      </c>
      <c r="I269" s="77" t="str">
        <f>VLOOKUP(Tabla2[[#This Row],[NIT]],Clientes!A:C,3,0)</f>
        <v>PJ</v>
      </c>
      <c r="J269" s="73" t="s">
        <v>794</v>
      </c>
      <c r="K269" s="267">
        <f>SUMIFS(Tabla4[Sub Total],Tabla4[Codigo],Tabla2[[#This Row],[Cod]])</f>
        <v>3146000</v>
      </c>
      <c r="L269" s="262">
        <f>SUMPRODUCT((Tabla4[Codigo]=Tabla2[[#This Row],[Cod]])*1,Tabla4[IVA])</f>
        <v>597740</v>
      </c>
      <c r="M269" s="262">
        <f>SUMIFS(Tabla4[Total],Tabla4[Codigo],Tabla2[[#This Row],[Cod]])</f>
        <v>3743740</v>
      </c>
      <c r="N269" s="278">
        <f>SUMPRODUCT((Tabla1[Codigo]=Tabla2[[#This Row],[Cod]])*1,Tabla1[Valor])</f>
        <v>0</v>
      </c>
      <c r="O269" s="265">
        <f>IF(AND(Tabla2[[#This Row],[Estado]]="ok",LEFT(Tabla2[[#This Row],['# Factura]],3)="TIS"),Tabla2[[#This Row],[TOTAL]]-Tabla2[[#This Row],[pagado]],0)</f>
        <v>0</v>
      </c>
      <c r="P269" s="262">
        <f>Tabla2[[#This Row],[TOTAL]]-Tabla2[[#This Row],[Valor pago]]</f>
        <v>3743740</v>
      </c>
      <c r="Q269" s="265">
        <f>IF(Tabla2[[#This Row],[Saldo]]=0,0,IF(Tabla2[[#This Row],[Tipo cliente]]="PJ",Tabla2[[#This Row],[SUBTOTAL]]*11%,0))</f>
        <v>346060</v>
      </c>
      <c r="R269" s="276">
        <f>IF(Tabla2[[#This Row],[Saldo]]=0,0,IF(Tabla2[[#This Row],[Tipo cliente]]="PJ",Tabla2[[#This Row],[SUBTOTAL]]*0.966%,0))</f>
        <v>30390.36</v>
      </c>
      <c r="S269" s="276">
        <f>IF(Tabla2[[#This Row],[Retiene IVA]]="S",Tabla2[[#This Row],[IVA]]*0.15,0)</f>
        <v>0</v>
      </c>
      <c r="T269" s="265">
        <f>+Tabla2[[#This Row],[Saldo]]-Tabla2[[#This Row],[Rete fte]]-Tabla2[[#This Row],[rete ica]]-Tabla2[[#This Row],[Rete IVA]]</f>
        <v>3367289.64</v>
      </c>
      <c r="U26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269" s="23" t="str">
        <f>IF(Tabla2[[#This Row],[Fecha F.E.]]="","",YEAR(Tabla2[[#This Row],[Fecha F.E.]]))</f>
        <v/>
      </c>
      <c r="X269" s="23">
        <f>IF(Tabla2[[#This Row],[Fecha]]="","",YEAR(Tabla2[[#This Row],[Fecha]]))</f>
        <v>2023</v>
      </c>
    </row>
    <row r="270" spans="1:24" s="5" customFormat="1" x14ac:dyDescent="0.25">
      <c r="A270" s="3">
        <v>270</v>
      </c>
      <c r="B270" s="77" t="s">
        <v>1310</v>
      </c>
      <c r="C270" s="360">
        <v>45063</v>
      </c>
      <c r="D270" s="76"/>
      <c r="E270" s="360"/>
      <c r="F270" s="78" t="s">
        <v>716</v>
      </c>
      <c r="G270" s="85">
        <v>832000662</v>
      </c>
      <c r="H270" s="177" t="str">
        <f>VLOOKUP(Tabla2[[#This Row],[NIT]],Clientes!A:C,2,0)</f>
        <v xml:space="preserve">VENTAS Y MARCAS SAS </v>
      </c>
      <c r="I270" s="77" t="str">
        <f>VLOOKUP(Tabla2[[#This Row],[NIT]],Clientes!A:C,3,0)</f>
        <v>PJ</v>
      </c>
      <c r="J270" s="73" t="s">
        <v>794</v>
      </c>
      <c r="K270" s="267">
        <f>SUMIFS(Tabla4[Sub Total],Tabla4[Codigo],Tabla2[[#This Row],[Cod]])</f>
        <v>950000</v>
      </c>
      <c r="L270" s="262">
        <f>SUMPRODUCT((Tabla4[Codigo]=Tabla2[[#This Row],[Cod]])*1,Tabla4[IVA])</f>
        <v>180500</v>
      </c>
      <c r="M270" s="262">
        <f>SUMIFS(Tabla4[Total],Tabla4[Codigo],Tabla2[[#This Row],[Cod]])</f>
        <v>1130500</v>
      </c>
      <c r="N270" s="278">
        <f>SUMPRODUCT((Tabla1[Codigo]=Tabla2[[#This Row],[Cod]])*1,Tabla1[Valor])</f>
        <v>0</v>
      </c>
      <c r="O270" s="265">
        <f>IF(AND(Tabla2[[#This Row],[Estado]]="ok",LEFT(Tabla2[[#This Row],['# Factura]],3)="TIS"),Tabla2[[#This Row],[TOTAL]]-Tabla2[[#This Row],[pagado]],0)</f>
        <v>0</v>
      </c>
      <c r="P270" s="262">
        <f>Tabla2[[#This Row],[TOTAL]]-Tabla2[[#This Row],[Valor pago]]</f>
        <v>1130500</v>
      </c>
      <c r="Q270" s="265">
        <f>IF(Tabla2[[#This Row],[Saldo]]=0,0,IF(Tabla2[[#This Row],[Tipo cliente]]="PJ",Tabla2[[#This Row],[SUBTOTAL]]*11%,0))</f>
        <v>104500</v>
      </c>
      <c r="R270" s="276">
        <f>IF(Tabla2[[#This Row],[Saldo]]=0,0,IF(Tabla2[[#This Row],[Tipo cliente]]="PJ",Tabla2[[#This Row],[SUBTOTAL]]*0.966%,0))</f>
        <v>9177</v>
      </c>
      <c r="S270" s="276">
        <f>IF(Tabla2[[#This Row],[Retiene IVA]]="S",Tabla2[[#This Row],[IVA]]*0.15,0)</f>
        <v>0</v>
      </c>
      <c r="T270" s="265">
        <f>+Tabla2[[#This Row],[Saldo]]-Tabla2[[#This Row],[Rete fte]]-Tabla2[[#This Row],[rete ica]]-Tabla2[[#This Row],[Rete IVA]]</f>
        <v>1016823</v>
      </c>
      <c r="U27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V270" s="23"/>
      <c r="W270" s="23" t="str">
        <f>IF(Tabla2[[#This Row],[Fecha F.E.]]="","",YEAR(Tabla2[[#This Row],[Fecha F.E.]]))</f>
        <v/>
      </c>
      <c r="X270" s="23">
        <f>IF(Tabla2[[#This Row],[Fecha]]="","",YEAR(Tabla2[[#This Row],[Fecha]]))</f>
        <v>2023</v>
      </c>
    </row>
    <row r="271" spans="1:24" s="5" customFormat="1" ht="25.5" x14ac:dyDescent="0.2">
      <c r="A271" s="83">
        <v>271</v>
      </c>
      <c r="B271" s="56" t="s">
        <v>1311</v>
      </c>
      <c r="C271" s="172">
        <v>45065</v>
      </c>
      <c r="D271" s="60" t="s">
        <v>1312</v>
      </c>
      <c r="E271" s="172">
        <v>45287</v>
      </c>
      <c r="F271" s="173" t="s">
        <v>716</v>
      </c>
      <c r="G271" s="242">
        <v>900396116</v>
      </c>
      <c r="H271" s="178" t="str">
        <f>VLOOKUP(Tabla2[[#This Row],[NIT]],Clientes!A:C,2,0)</f>
        <v>PRODUCTORA INTERAMERICANA DE PLASTICOS S.A.S.</v>
      </c>
      <c r="I271" s="56" t="str">
        <f>VLOOKUP(Tabla2[[#This Row],[NIT]],Clientes!A:C,3,0)</f>
        <v>PJ</v>
      </c>
      <c r="J271" s="73" t="s">
        <v>794</v>
      </c>
      <c r="K271" s="270">
        <f>SUMIFS(Tabla4[Sub Total],Tabla4[Codigo],Tabla2[[#This Row],[Cod]])</f>
        <v>-800000</v>
      </c>
      <c r="L271" s="271">
        <f>SUMPRODUCT((Tabla4[Codigo]=Tabla2[[#This Row],[Cod]])*1,Tabla4[IVA])</f>
        <v>0</v>
      </c>
      <c r="M271" s="271">
        <f>SUMIFS(Tabla4[Total],Tabla4[Codigo],Tabla2[[#This Row],[Cod]])</f>
        <v>-800000</v>
      </c>
      <c r="N271" s="282">
        <f>SUMPRODUCT((Tabla1[Codigo]=Tabla2[[#This Row],[Cod]])*1,Tabla1[Valor])</f>
        <v>0</v>
      </c>
      <c r="O271" s="283">
        <f>IF(AND(Tabla2[[#This Row],[Estado]]="ok",LEFT(Tabla2[[#This Row],['# Factura]],3)="TIS"),Tabla2[[#This Row],[TOTAL]]-Tabla2[[#This Row],[pagado]],0)</f>
        <v>0</v>
      </c>
      <c r="P271" s="271">
        <f>Tabla2[[#This Row],[TOTAL]]-Tabla2[[#This Row],[Valor pago]]</f>
        <v>-800000</v>
      </c>
      <c r="Q271" s="265">
        <f>IF(Tabla2[[#This Row],[Saldo]]=0,0,IF(Tabla2[[#This Row],[Tipo cliente]]="PJ",Tabla2[[#This Row],[SUBTOTAL]]*11%,0))</f>
        <v>-88000</v>
      </c>
      <c r="R271" s="284">
        <f>IF(Tabla2[[#This Row],[Saldo]]=0,0,IF(Tabla2[[#This Row],[Tipo cliente]]="PJ",Tabla2[[#This Row],[SUBTOTAL]]*0.966%,0))</f>
        <v>-7728</v>
      </c>
      <c r="S271" s="284">
        <f>IF(Tabla2[[#This Row],[Retiene IVA]]="S",Tabla2[[#This Row],[IVA]]*0.15,0)</f>
        <v>0</v>
      </c>
      <c r="T271" s="283">
        <f>+Tabla2[[#This Row],[Saldo]]-Tabla2[[#This Row],[Rete fte]]-Tabla2[[#This Row],[rete ica]]-Tabla2[[#This Row],[Rete IVA]]</f>
        <v>-704272</v>
      </c>
      <c r="U271" s="285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V271" s="5" t="s">
        <v>1313</v>
      </c>
      <c r="W271" s="5">
        <f>IF(Tabla2[[#This Row],[Fecha F.E.]]="","",YEAR(Tabla2[[#This Row],[Fecha F.E.]]))</f>
        <v>2023</v>
      </c>
      <c r="X271" s="5">
        <f>IF(Tabla2[[#This Row],[Fecha]]="","",YEAR(Tabla2[[#This Row],[Fecha]]))</f>
        <v>2023</v>
      </c>
    </row>
    <row r="272" spans="1:24" s="5" customFormat="1" ht="25.5" x14ac:dyDescent="0.2">
      <c r="A272" s="83">
        <v>272</v>
      </c>
      <c r="B272" s="56" t="s">
        <v>1314</v>
      </c>
      <c r="C272" s="172">
        <v>45065</v>
      </c>
      <c r="D272" s="60" t="s">
        <v>1315</v>
      </c>
      <c r="E272" s="172">
        <v>44955</v>
      </c>
      <c r="F272" s="173" t="s">
        <v>716</v>
      </c>
      <c r="G272" s="242">
        <v>901034790</v>
      </c>
      <c r="H272" s="178" t="str">
        <f>VLOOKUP(Tabla2[[#This Row],[NIT]],Clientes!A:C,2,0)</f>
        <v>INSTITUTO DISTRITAL DE CIENCIA, BIOTECNOLOGIA E INNOVACION EN SALUD</v>
      </c>
      <c r="I272" s="56" t="str">
        <f>VLOOKUP(Tabla2[[#This Row],[NIT]],Clientes!A:C,3,0)</f>
        <v>PJ</v>
      </c>
      <c r="J272" s="73" t="s">
        <v>794</v>
      </c>
      <c r="K272" s="270">
        <f>SUMIFS(Tabla4[Sub Total],Tabla4[Codigo],Tabla2[[#This Row],[Cod]])</f>
        <v>-5496000</v>
      </c>
      <c r="L272" s="271">
        <f>SUMPRODUCT((Tabla4[Codigo]=Tabla2[[#This Row],[Cod]])*1,Tabla4[IVA])</f>
        <v>-1044240</v>
      </c>
      <c r="M272" s="271">
        <f>SUMIFS(Tabla4[Total],Tabla4[Codigo],Tabla2[[#This Row],[Cod]])</f>
        <v>-6540240</v>
      </c>
      <c r="N272" s="282">
        <f>SUMPRODUCT((Tabla1[Codigo]=Tabla2[[#This Row],[Cod]])*1,Tabla1[Valor])</f>
        <v>0</v>
      </c>
      <c r="O272" s="283">
        <f>IF(AND(Tabla2[[#This Row],[Estado]]="ok",LEFT(Tabla2[[#This Row],['# Factura]],3)="TIS"),Tabla2[[#This Row],[TOTAL]]-Tabla2[[#This Row],[pagado]],0)</f>
        <v>0</v>
      </c>
      <c r="P272" s="271">
        <f>Tabla2[[#This Row],[TOTAL]]-Tabla2[[#This Row],[Valor pago]]</f>
        <v>-6540240</v>
      </c>
      <c r="Q272" s="265">
        <f>IF(Tabla2[[#This Row],[Saldo]]=0,0,IF(Tabla2[[#This Row],[Tipo cliente]]="PJ",Tabla2[[#This Row],[SUBTOTAL]]*11%,0))</f>
        <v>-604560</v>
      </c>
      <c r="R272" s="284">
        <f>IF(Tabla2[[#This Row],[Saldo]]=0,0,IF(Tabla2[[#This Row],[Tipo cliente]]="PJ",Tabla2[[#This Row],[SUBTOTAL]]*0.966%,0))</f>
        <v>-53091.360000000001</v>
      </c>
      <c r="S272" s="284">
        <f>IF(Tabla2[[#This Row],[Retiene IVA]]="S",Tabla2[[#This Row],[IVA]]*0.15,0)</f>
        <v>0</v>
      </c>
      <c r="T272" s="283">
        <f>+Tabla2[[#This Row],[Saldo]]-Tabla2[[#This Row],[Rete fte]]-Tabla2[[#This Row],[rete ica]]-Tabla2[[#This Row],[Rete IVA]]</f>
        <v>-5882588.6399999997</v>
      </c>
      <c r="U272" s="285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V272" s="5" t="s">
        <v>1316</v>
      </c>
      <c r="W272" s="5">
        <f>IF(Tabla2[[#This Row],[Fecha F.E.]]="","",YEAR(Tabla2[[#This Row],[Fecha F.E.]]))</f>
        <v>2023</v>
      </c>
      <c r="X272" s="5">
        <f>IF(Tabla2[[#This Row],[Fecha]]="","",YEAR(Tabla2[[#This Row],[Fecha]]))</f>
        <v>2023</v>
      </c>
    </row>
    <row r="273" spans="1:24" ht="25.5" x14ac:dyDescent="0.25">
      <c r="A273" s="83">
        <v>273</v>
      </c>
      <c r="B273" s="56" t="s">
        <v>1317</v>
      </c>
      <c r="C273" s="172">
        <v>45065</v>
      </c>
      <c r="D273" s="60" t="s">
        <v>1318</v>
      </c>
      <c r="E273" s="172">
        <v>44925</v>
      </c>
      <c r="F273" s="173" t="s">
        <v>231</v>
      </c>
      <c r="G273" s="242">
        <v>901034790</v>
      </c>
      <c r="H273" s="178" t="str">
        <f>VLOOKUP(Tabla2[[#This Row],[NIT]],Clientes!A:C,2,0)</f>
        <v>INSTITUTO DISTRITAL DE CIENCIA, BIOTECNOLOGIA E INNOVACION EN SALUD</v>
      </c>
      <c r="I273" s="56" t="str">
        <f>VLOOKUP(Tabla2[[#This Row],[NIT]],Clientes!A:C,3,0)</f>
        <v>PJ</v>
      </c>
      <c r="J273" s="73" t="s">
        <v>794</v>
      </c>
      <c r="K273" s="270">
        <f>SUMIFS(Tabla4[Sub Total],Tabla4[Codigo],Tabla2[[#This Row],[Cod]])</f>
        <v>-745166</v>
      </c>
      <c r="L273" s="271">
        <f>SUMPRODUCT((Tabla4[Codigo]=Tabla2[[#This Row],[Cod]])*1,Tabla4[IVA])</f>
        <v>-141581.54</v>
      </c>
      <c r="M273" s="271">
        <f>SUMIFS(Tabla4[Total],Tabla4[Codigo],Tabla2[[#This Row],[Cod]])</f>
        <v>-886747.54</v>
      </c>
      <c r="N273" s="282">
        <f>SUMPRODUCT((Tabla1[Codigo]=Tabla2[[#This Row],[Cod]])*1,Tabla1[Valor])</f>
        <v>0</v>
      </c>
      <c r="O273" s="283">
        <f>IF(AND(Tabla2[[#This Row],[Estado]]="ok",LEFT(Tabla2[[#This Row],['# Factura]],3)="TIS"),Tabla2[[#This Row],[TOTAL]]-Tabla2[[#This Row],[pagado]],0)</f>
        <v>0</v>
      </c>
      <c r="P273" s="271">
        <f>Tabla2[[#This Row],[TOTAL]]-Tabla2[[#This Row],[Valor pago]]</f>
        <v>-886747.54</v>
      </c>
      <c r="Q273" s="265">
        <f>IF(Tabla2[[#This Row],[Saldo]]=0,0,IF(Tabla2[[#This Row],[Tipo cliente]]="PJ",Tabla2[[#This Row],[SUBTOTAL]]*11%,0))</f>
        <v>-81968.259999999995</v>
      </c>
      <c r="R273" s="284">
        <f>IF(Tabla2[[#This Row],[Saldo]]=0,0,IF(Tabla2[[#This Row],[Tipo cliente]]="PJ",Tabla2[[#This Row],[SUBTOTAL]]*0.966%,0))</f>
        <v>-7198.3035600000003</v>
      </c>
      <c r="S273" s="284">
        <f>IF(Tabla2[[#This Row],[Retiene IVA]]="S",Tabla2[[#This Row],[IVA]]*0.15,0)</f>
        <v>0</v>
      </c>
      <c r="T273" s="283">
        <f>+Tabla2[[#This Row],[Saldo]]-Tabla2[[#This Row],[Rete fte]]-Tabla2[[#This Row],[rete ica]]-Tabla2[[#This Row],[Rete IVA]]</f>
        <v>-797580.97644</v>
      </c>
      <c r="U273" s="285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V273" s="5" t="s">
        <v>1316</v>
      </c>
      <c r="W273" s="5">
        <f>IF(Tabla2[[#This Row],[Fecha F.E.]]="","",YEAR(Tabla2[[#This Row],[Fecha F.E.]]))</f>
        <v>2022</v>
      </c>
      <c r="X273" s="5">
        <f>IF(Tabla2[[#This Row],[Fecha]]="","",YEAR(Tabla2[[#This Row],[Fecha]]))</f>
        <v>2023</v>
      </c>
    </row>
    <row r="274" spans="1:24" ht="26.25" x14ac:dyDescent="0.25">
      <c r="A274" s="3">
        <v>274</v>
      </c>
      <c r="B274" s="77" t="s">
        <v>1319</v>
      </c>
      <c r="C274" s="360">
        <v>45065</v>
      </c>
      <c r="D274" s="76" t="s">
        <v>1320</v>
      </c>
      <c r="E274" s="360">
        <v>44697</v>
      </c>
      <c r="F274" s="78" t="s">
        <v>716</v>
      </c>
      <c r="G274" s="85">
        <v>830054076</v>
      </c>
      <c r="H274" s="177" t="str">
        <f>VLOOKUP(Tabla2[[#This Row],[NIT]],Clientes!A:C,2,0)</f>
        <v>FIDEICOMISOS SOCIEDAD FIDUCIARIA DE OCCIDENTE SA</v>
      </c>
      <c r="I274" s="77" t="str">
        <f>VLOOKUP(Tabla2[[#This Row],[NIT]],Clientes!A:C,3,0)</f>
        <v>PJ</v>
      </c>
      <c r="J274" s="73" t="s">
        <v>794</v>
      </c>
      <c r="K274" s="267">
        <f>SUMIFS(Tabla4[Sub Total],Tabla4[Codigo],Tabla2[[#This Row],[Cod]])</f>
        <v>-6956800</v>
      </c>
      <c r="L274" s="262">
        <f>SUMPRODUCT((Tabla4[Codigo]=Tabla2[[#This Row],[Cod]])*1,Tabla4[IVA])</f>
        <v>-1321792</v>
      </c>
      <c r="M274" s="262">
        <f>SUMIFS(Tabla4[Total],Tabla4[Codigo],Tabla2[[#This Row],[Cod]])</f>
        <v>-8278592</v>
      </c>
      <c r="N274" s="278">
        <f>SUMPRODUCT((Tabla1[Codigo]=Tabla2[[#This Row],[Cod]])*1,Tabla1[Valor])</f>
        <v>0</v>
      </c>
      <c r="O274" s="265">
        <f>IF(AND(Tabla2[[#This Row],[Estado]]="ok",LEFT(Tabla2[[#This Row],['# Factura]],3)="TIS"),Tabla2[[#This Row],[TOTAL]]-Tabla2[[#This Row],[pagado]],0)</f>
        <v>0</v>
      </c>
      <c r="P274" s="262">
        <f>Tabla2[[#This Row],[TOTAL]]-Tabla2[[#This Row],[Valor pago]]</f>
        <v>-8278592</v>
      </c>
      <c r="Q274" s="265">
        <f>IF(Tabla2[[#This Row],[Saldo]]=0,0,IF(Tabla2[[#This Row],[Tipo cliente]]="PJ",Tabla2[[#This Row],[SUBTOTAL]]*11%,0))</f>
        <v>-765248</v>
      </c>
      <c r="R274" s="276">
        <f>IF(Tabla2[[#This Row],[Saldo]]=0,0,IF(Tabla2[[#This Row],[Tipo cliente]]="PJ",Tabla2[[#This Row],[SUBTOTAL]]*0.966%,0))</f>
        <v>-67202.687999999995</v>
      </c>
      <c r="S274" s="276">
        <f>IF(Tabla2[[#This Row],[Retiene IVA]]="S",Tabla2[[#This Row],[IVA]]*0.15,0)</f>
        <v>0</v>
      </c>
      <c r="T274" s="265">
        <f>+Tabla2[[#This Row],[Saldo]]-Tabla2[[#This Row],[Rete fte]]-Tabla2[[#This Row],[rete ica]]-Tabla2[[#This Row],[Rete IVA]]</f>
        <v>-7446141.3119999999</v>
      </c>
      <c r="U27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V274" s="23" t="s">
        <v>1308</v>
      </c>
      <c r="W274" s="23">
        <f>IF(Tabla2[[#This Row],[Fecha F.E.]]="","",YEAR(Tabla2[[#This Row],[Fecha F.E.]]))</f>
        <v>2022</v>
      </c>
      <c r="X274" s="23">
        <f>IF(Tabla2[[#This Row],[Fecha]]="","",YEAR(Tabla2[[#This Row],[Fecha]]))</f>
        <v>2023</v>
      </c>
    </row>
    <row r="275" spans="1:24" x14ac:dyDescent="0.25">
      <c r="A275" s="3">
        <v>275</v>
      </c>
      <c r="B275" s="77" t="s">
        <v>1321</v>
      </c>
      <c r="C275" s="360">
        <v>45072</v>
      </c>
      <c r="D275" s="76" t="s">
        <v>1322</v>
      </c>
      <c r="E275" s="360">
        <v>45072</v>
      </c>
      <c r="F275" s="78" t="s">
        <v>231</v>
      </c>
      <c r="G275" s="85">
        <v>900430367</v>
      </c>
      <c r="H275" s="177" t="str">
        <f>VLOOKUP(Tabla2[[#This Row],[NIT]],Clientes!A:C,2,0)</f>
        <v>RADIOLOGICAL PROTECTION SERVICES SAS</v>
      </c>
      <c r="I275" s="77" t="str">
        <f>VLOOKUP(Tabla2[[#This Row],[NIT]],Clientes!A:C,3,0)</f>
        <v>PJ</v>
      </c>
      <c r="J275" s="73" t="s">
        <v>794</v>
      </c>
      <c r="K275" s="267">
        <f>SUMIFS(Tabla4[Sub Total],Tabla4[Codigo],Tabla2[[#This Row],[Cod]])</f>
        <v>900000</v>
      </c>
      <c r="L275" s="262">
        <f>SUMPRODUCT((Tabla4[Codigo]=Tabla2[[#This Row],[Cod]])*1,Tabla4[IVA])</f>
        <v>171000</v>
      </c>
      <c r="M275" s="262">
        <f>SUMIFS(Tabla4[Total],Tabla4[Codigo],Tabla2[[#This Row],[Cod]])</f>
        <v>1071000</v>
      </c>
      <c r="N275" s="278">
        <f>SUMPRODUCT((Tabla1[Codigo]=Tabla2[[#This Row],[Cod]])*1,Tabla1[Valor])</f>
        <v>1035535</v>
      </c>
      <c r="O275" s="265">
        <f>IF(AND(Tabla2[[#This Row],[Estado]]="ok",LEFT(Tabla2[[#This Row],['# Factura]],3)="TIS"),Tabla2[[#This Row],[TOTAL]]-Tabla2[[#This Row],[pagado]],0)</f>
        <v>0</v>
      </c>
      <c r="P275" s="262">
        <f>Tabla2[[#This Row],[TOTAL]]-Tabla2[[#This Row],[Valor pago]]</f>
        <v>35465</v>
      </c>
      <c r="Q275" s="265">
        <f>IF(Tabla2[[#This Row],[Saldo]]=0,0,IF(Tabla2[[#This Row],[Tipo cliente]]="PJ",Tabla2[[#This Row],[SUBTOTAL]]*11%,0))</f>
        <v>99000</v>
      </c>
      <c r="R275" s="276">
        <f>IF(Tabla2[[#This Row],[Saldo]]=0,0,IF(Tabla2[[#This Row],[Tipo cliente]]="PJ",Tabla2[[#This Row],[SUBTOTAL]]*0.966%,0))</f>
        <v>8694</v>
      </c>
      <c r="S275" s="276">
        <f>IF(Tabla2[[#This Row],[Retiene IVA]]="S",Tabla2[[#This Row],[IVA]]*0.15,0)</f>
        <v>0</v>
      </c>
      <c r="T275" s="265">
        <f>+Tabla2[[#This Row],[Saldo]]-Tabla2[[#This Row],[Rete fte]]-Tabla2[[#This Row],[rete ica]]-Tabla2[[#This Row],[Rete IVA]]</f>
        <v>-72229</v>
      </c>
      <c r="U27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1071000</v>
      </c>
      <c r="V275" s="23" t="s">
        <v>1316</v>
      </c>
      <c r="W275" s="23">
        <f>IF(Tabla2[[#This Row],[Fecha F.E.]]="","",YEAR(Tabla2[[#This Row],[Fecha F.E.]]))</f>
        <v>2023</v>
      </c>
      <c r="X275" s="23">
        <f>IF(Tabla2[[#This Row],[Fecha]]="","",YEAR(Tabla2[[#This Row],[Fecha]]))</f>
        <v>2023</v>
      </c>
    </row>
    <row r="276" spans="1:24" x14ac:dyDescent="0.25">
      <c r="A276" s="3">
        <v>276</v>
      </c>
      <c r="B276" s="77" t="s">
        <v>1323</v>
      </c>
      <c r="C276" s="360">
        <v>45083</v>
      </c>
      <c r="D276" s="76" t="s">
        <v>1324</v>
      </c>
      <c r="E276" s="360">
        <v>45083</v>
      </c>
      <c r="F276" s="78" t="s">
        <v>231</v>
      </c>
      <c r="G276" s="85">
        <v>800028768</v>
      </c>
      <c r="H276" s="177" t="str">
        <f>VLOOKUP(Tabla2[[#This Row],[NIT]],Clientes!A:C,2,0)</f>
        <v>Comercializadora ERZ SAS</v>
      </c>
      <c r="I276" s="77" t="str">
        <f>VLOOKUP(Tabla2[[#This Row],[NIT]],Clientes!A:C,3,0)</f>
        <v>PJ</v>
      </c>
      <c r="J276" s="73" t="s">
        <v>794</v>
      </c>
      <c r="K276" s="267">
        <f>SUMIFS(Tabla4[Sub Total],Tabla4[Codigo],Tabla2[[#This Row],[Cod]])</f>
        <v>260000</v>
      </c>
      <c r="L276" s="262">
        <f>SUMPRODUCT((Tabla4[Codigo]=Tabla2[[#This Row],[Cod]])*1,Tabla4[IVA])</f>
        <v>49400</v>
      </c>
      <c r="M276" s="262">
        <f>SUMIFS(Tabla4[Total],Tabla4[Codigo],Tabla2[[#This Row],[Cod]])</f>
        <v>309400</v>
      </c>
      <c r="N276" s="278">
        <f>SUMPRODUCT((Tabla1[Codigo]=Tabla2[[#This Row],[Cod]])*1,Tabla1[Valor])</f>
        <v>280800</v>
      </c>
      <c r="O276" s="265">
        <f>IF(AND(Tabla2[[#This Row],[Estado]]="ok",LEFT(Tabla2[[#This Row],['# Factura]],3)="TIS"),Tabla2[[#This Row],[TOTAL]]-Tabla2[[#This Row],[pagado]],0)</f>
        <v>0</v>
      </c>
      <c r="P276" s="262">
        <f>Tabla2[[#This Row],[TOTAL]]-Tabla2[[#This Row],[Valor pago]]</f>
        <v>28600</v>
      </c>
      <c r="Q276" s="265">
        <f>IF(Tabla2[[#This Row],[Saldo]]=0,0,IF(Tabla2[[#This Row],[Tipo cliente]]="PJ",Tabla2[[#This Row],[SUBTOTAL]]*11%,0))</f>
        <v>28600</v>
      </c>
      <c r="R276" s="276">
        <f>IF(Tabla2[[#This Row],[Saldo]]=0,0,IF(Tabla2[[#This Row],[Tipo cliente]]="PJ",Tabla2[[#This Row],[SUBTOTAL]]*0.966%,0))</f>
        <v>2511.6</v>
      </c>
      <c r="S276" s="276">
        <f>IF(Tabla2[[#This Row],[Retiene IVA]]="S",Tabla2[[#This Row],[IVA]]*0.15,0)</f>
        <v>0</v>
      </c>
      <c r="T276" s="265">
        <f>+Tabla2[[#This Row],[Saldo]]-Tabla2[[#This Row],[Rete fte]]-Tabla2[[#This Row],[rete ica]]-Tabla2[[#This Row],[Rete IVA]]</f>
        <v>-2511.6</v>
      </c>
      <c r="U27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309400</v>
      </c>
      <c r="W276" s="23">
        <f>IF(Tabla2[[#This Row],[Fecha F.E.]]="","",YEAR(Tabla2[[#This Row],[Fecha F.E.]]))</f>
        <v>2023</v>
      </c>
      <c r="X276" s="23">
        <f>IF(Tabla2[[#This Row],[Fecha]]="","",YEAR(Tabla2[[#This Row],[Fecha]]))</f>
        <v>2023</v>
      </c>
    </row>
    <row r="277" spans="1:24" ht="26.25" x14ac:dyDescent="0.25">
      <c r="A277" s="3">
        <v>277</v>
      </c>
      <c r="B277" s="77" t="s">
        <v>1325</v>
      </c>
      <c r="C277" s="360">
        <v>45083</v>
      </c>
      <c r="D277" s="76" t="s">
        <v>1326</v>
      </c>
      <c r="E277" s="360">
        <v>45083</v>
      </c>
      <c r="F277" s="78" t="s">
        <v>231</v>
      </c>
      <c r="G277" s="85">
        <v>900396116</v>
      </c>
      <c r="H277" s="177" t="str">
        <f>VLOOKUP(Tabla2[[#This Row],[NIT]],Clientes!A:C,2,0)</f>
        <v>PRODUCTORA INTERAMERICANA DE PLASTICOS S.A.S.</v>
      </c>
      <c r="I277" s="77" t="str">
        <f>VLOOKUP(Tabla2[[#This Row],[NIT]],Clientes!A:C,3,0)</f>
        <v>PJ</v>
      </c>
      <c r="J277" s="73" t="s">
        <v>794</v>
      </c>
      <c r="K277" s="267">
        <f>SUMIFS(Tabla4[Sub Total],Tabla4[Codigo],Tabla2[[#This Row],[Cod]])</f>
        <v>300000</v>
      </c>
      <c r="L277" s="262">
        <f>SUMPRODUCT((Tabla4[Codigo]=Tabla2[[#This Row],[Cod]])*1,Tabla4[IVA])</f>
        <v>57000</v>
      </c>
      <c r="M277" s="262">
        <f>SUMIFS(Tabla4[Total],Tabla4[Codigo],Tabla2[[#This Row],[Cod]])</f>
        <v>357000</v>
      </c>
      <c r="N277" s="278">
        <f>SUMPRODUCT((Tabla1[Codigo]=Tabla2[[#This Row],[Cod]])*1,Tabla1[Valor])</f>
        <v>321102</v>
      </c>
      <c r="O277" s="265">
        <f>IF(AND(Tabla2[[#This Row],[Estado]]="ok",LEFT(Tabla2[[#This Row],['# Factura]],3)="TIS"),Tabla2[[#This Row],[TOTAL]]-Tabla2[[#This Row],[pagado]],0)</f>
        <v>0</v>
      </c>
      <c r="P277" s="262">
        <f>Tabla2[[#This Row],[TOTAL]]-Tabla2[[#This Row],[Valor pago]]</f>
        <v>35898</v>
      </c>
      <c r="Q277" s="265">
        <f>IF(Tabla2[[#This Row],[Saldo]]=0,0,IF(Tabla2[[#This Row],[Tipo cliente]]="PJ",Tabla2[[#This Row],[SUBTOTAL]]*11%,0))</f>
        <v>33000</v>
      </c>
      <c r="R277" s="276">
        <f>IF(Tabla2[[#This Row],[Saldo]]=0,0,IF(Tabla2[[#This Row],[Tipo cliente]]="PJ",Tabla2[[#This Row],[SUBTOTAL]]*0.966%,0))</f>
        <v>2898</v>
      </c>
      <c r="S277" s="276">
        <f>IF(Tabla2[[#This Row],[Retiene IVA]]="S",Tabla2[[#This Row],[IVA]]*0.15,0)</f>
        <v>0</v>
      </c>
      <c r="T277" s="265">
        <f>+Tabla2[[#This Row],[Saldo]]-Tabla2[[#This Row],[Rete fte]]-Tabla2[[#This Row],[rete ica]]-Tabla2[[#This Row],[Rete IVA]]</f>
        <v>0</v>
      </c>
      <c r="U27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277" s="23">
        <f>IF(Tabla2[[#This Row],[Fecha F.E.]]="","",YEAR(Tabla2[[#This Row],[Fecha F.E.]]))</f>
        <v>2023</v>
      </c>
      <c r="X277" s="23">
        <f>IF(Tabla2[[#This Row],[Fecha]]="","",YEAR(Tabla2[[#This Row],[Fecha]]))</f>
        <v>2023</v>
      </c>
    </row>
    <row r="278" spans="1:24" x14ac:dyDescent="0.25">
      <c r="A278" s="3">
        <v>278</v>
      </c>
      <c r="B278" s="77" t="s">
        <v>1327</v>
      </c>
      <c r="C278" s="360">
        <v>45083</v>
      </c>
      <c r="D278" s="76" t="s">
        <v>1328</v>
      </c>
      <c r="E278" s="360">
        <v>45083</v>
      </c>
      <c r="F278" s="78" t="s">
        <v>231</v>
      </c>
      <c r="G278" s="85">
        <v>901342609</v>
      </c>
      <c r="H278" s="177" t="str">
        <f>VLOOKUP(Tabla2[[#This Row],[NIT]],Clientes!A:C,2,0)</f>
        <v>ROYCO SOLUCIONES SAS</v>
      </c>
      <c r="I278" s="77" t="str">
        <f>VLOOKUP(Tabla2[[#This Row],[NIT]],Clientes!A:C,3,0)</f>
        <v>PJ</v>
      </c>
      <c r="J278" s="73" t="s">
        <v>794</v>
      </c>
      <c r="K278" s="267">
        <f>SUMIFS(Tabla4[Sub Total],Tabla4[Codigo],Tabla2[[#This Row],[Cod]])</f>
        <v>175000</v>
      </c>
      <c r="L278" s="262">
        <f>SUMPRODUCT((Tabla4[Codigo]=Tabla2[[#This Row],[Cod]])*1,Tabla4[IVA])</f>
        <v>33250</v>
      </c>
      <c r="M278" s="262">
        <f>SUMIFS(Tabla4[Total],Tabla4[Codigo],Tabla2[[#This Row],[Cod]])</f>
        <v>208250</v>
      </c>
      <c r="N278" s="278">
        <f>SUMPRODUCT((Tabla1[Codigo]=Tabla2[[#This Row],[Cod]])*1,Tabla1[Valor])</f>
        <v>55871</v>
      </c>
      <c r="O278" s="265">
        <f>IF(AND(Tabla2[[#This Row],[Estado]]="ok",LEFT(Tabla2[[#This Row],['# Factura]],3)="TIS"),Tabla2[[#This Row],[TOTAL]]-Tabla2[[#This Row],[pagado]],0)</f>
        <v>131438.5</v>
      </c>
      <c r="P278" s="262">
        <f>Tabla2[[#This Row],[TOTAL]]-Tabla2[[#This Row],[Valor pago]]</f>
        <v>152379</v>
      </c>
      <c r="Q278" s="265">
        <f>IF(Tabla2[[#This Row],[Saldo]]=0,0,IF(Tabla2[[#This Row],[Tipo cliente]]="PJ",Tabla2[[#This Row],[SUBTOTAL]]*11%,0))</f>
        <v>19250</v>
      </c>
      <c r="R278" s="276">
        <f>IF(Tabla2[[#This Row],[Saldo]]=0,0,IF(Tabla2[[#This Row],[Tipo cliente]]="PJ",Tabla2[[#This Row],[SUBTOTAL]]*0.966%,0))</f>
        <v>1690.5</v>
      </c>
      <c r="S278" s="276">
        <f>IF(Tabla2[[#This Row],[Retiene IVA]]="S",Tabla2[[#This Row],[IVA]]*0.15,0)</f>
        <v>0</v>
      </c>
      <c r="T278" s="265">
        <f>+Tabla2[[#This Row],[Saldo]]-Tabla2[[#This Row],[Rete fte]]-Tabla2[[#This Row],[rete ica]]-Tabla2[[#This Row],[Rete IVA]]</f>
        <v>131438.5</v>
      </c>
      <c r="U27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76811.5</v>
      </c>
      <c r="W278" s="23">
        <f>IF(Tabla2[[#This Row],[Fecha F.E.]]="","",YEAR(Tabla2[[#This Row],[Fecha F.E.]]))</f>
        <v>2023</v>
      </c>
      <c r="X278" s="23">
        <f>IF(Tabla2[[#This Row],[Fecha]]="","",YEAR(Tabla2[[#This Row],[Fecha]]))</f>
        <v>2023</v>
      </c>
    </row>
    <row r="279" spans="1:24" x14ac:dyDescent="0.25">
      <c r="A279" s="3">
        <v>279</v>
      </c>
      <c r="B279" s="77" t="s">
        <v>1329</v>
      </c>
      <c r="C279" s="360">
        <v>45083</v>
      </c>
      <c r="D279" s="76" t="s">
        <v>1330</v>
      </c>
      <c r="E279" s="360">
        <v>45083</v>
      </c>
      <c r="F279" s="78" t="s">
        <v>231</v>
      </c>
      <c r="G279" s="85">
        <v>900693605</v>
      </c>
      <c r="H279" s="177" t="str">
        <f>VLOOKUP(Tabla2[[#This Row],[NIT]],Clientes!A:C,2,0)</f>
        <v>CONSTRUCCIONES CIVILES JMR S.A.S</v>
      </c>
      <c r="I279" s="77" t="str">
        <f>VLOOKUP(Tabla2[[#This Row],[NIT]],Clientes!A:C,3,0)</f>
        <v>PJ</v>
      </c>
      <c r="J279" s="73" t="s">
        <v>794</v>
      </c>
      <c r="K279" s="267">
        <f>SUMIFS(Tabla4[Sub Total],Tabla4[Codigo],Tabla2[[#This Row],[Cod]])</f>
        <v>1000000</v>
      </c>
      <c r="L279" s="262">
        <f>SUMPRODUCT((Tabla4[Codigo]=Tabla2[[#This Row],[Cod]])*1,Tabla4[IVA])</f>
        <v>190000</v>
      </c>
      <c r="M279" s="262">
        <f>SUMIFS(Tabla4[Total],Tabla4[Codigo],Tabla2[[#This Row],[Cod]])</f>
        <v>1190000</v>
      </c>
      <c r="N279" s="278">
        <f>SUMPRODUCT((Tabla1[Codigo]=Tabla2[[#This Row],[Cod]])*1,Tabla1[Valor])</f>
        <v>1000000</v>
      </c>
      <c r="O279" s="265">
        <f>IF(AND(Tabla2[[#This Row],[Estado]]="ok",LEFT(Tabla2[[#This Row],['# Factura]],3)="TIS"),Tabla2[[#This Row],[TOTAL]]-Tabla2[[#This Row],[pagado]],0)</f>
        <v>70340</v>
      </c>
      <c r="P279" s="262">
        <f>Tabla2[[#This Row],[TOTAL]]-Tabla2[[#This Row],[Valor pago]]</f>
        <v>190000</v>
      </c>
      <c r="Q279" s="265">
        <f>IF(Tabla2[[#This Row],[Saldo]]=0,0,IF(Tabla2[[#This Row],[Tipo cliente]]="PJ",Tabla2[[#This Row],[SUBTOTAL]]*11%,0))</f>
        <v>110000</v>
      </c>
      <c r="R279" s="276">
        <f>IF(Tabla2[[#This Row],[Saldo]]=0,0,IF(Tabla2[[#This Row],[Tipo cliente]]="PJ",Tabla2[[#This Row],[SUBTOTAL]]*0.966%,0))</f>
        <v>9660</v>
      </c>
      <c r="S279" s="276">
        <f>IF(Tabla2[[#This Row],[Retiene IVA]]="S",Tabla2[[#This Row],[IVA]]*0.15,0)</f>
        <v>0</v>
      </c>
      <c r="T279" s="265">
        <f>+Tabla2[[#This Row],[Saldo]]-Tabla2[[#This Row],[Rete fte]]-Tabla2[[#This Row],[rete ica]]-Tabla2[[#This Row],[Rete IVA]]</f>
        <v>70340</v>
      </c>
      <c r="U27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1119660</v>
      </c>
      <c r="W279" s="23">
        <f>IF(Tabla2[[#This Row],[Fecha F.E.]]="","",YEAR(Tabla2[[#This Row],[Fecha F.E.]]))</f>
        <v>2023</v>
      </c>
      <c r="X279" s="23">
        <f>IF(Tabla2[[#This Row],[Fecha]]="","",YEAR(Tabla2[[#This Row],[Fecha]]))</f>
        <v>2023</v>
      </c>
    </row>
    <row r="280" spans="1:24" x14ac:dyDescent="0.25">
      <c r="A280" s="3">
        <v>280</v>
      </c>
      <c r="B280" s="77" t="s">
        <v>1331</v>
      </c>
      <c r="C280" s="360">
        <v>45083</v>
      </c>
      <c r="D280" s="76" t="s">
        <v>1332</v>
      </c>
      <c r="E280" s="360">
        <v>45083</v>
      </c>
      <c r="F280" s="78" t="s">
        <v>231</v>
      </c>
      <c r="G280" s="85">
        <v>901030518</v>
      </c>
      <c r="H280" s="177" t="str">
        <f>VLOOKUP(Tabla2[[#This Row],[NIT]],Clientes!A:C,2,0)</f>
        <v>Inversiones Sajamib SAS</v>
      </c>
      <c r="I280" s="77" t="str">
        <f>VLOOKUP(Tabla2[[#This Row],[NIT]],Clientes!A:C,3,0)</f>
        <v>PJ</v>
      </c>
      <c r="J280" s="73" t="s">
        <v>794</v>
      </c>
      <c r="K280" s="267">
        <f>SUMIFS(Tabla4[Sub Total],Tabla4[Codigo],Tabla2[[#This Row],[Cod]])</f>
        <v>400000</v>
      </c>
      <c r="L280" s="262">
        <f>SUMPRODUCT((Tabla4[Codigo]=Tabla2[[#This Row],[Cod]])*1,Tabla4[IVA])</f>
        <v>0</v>
      </c>
      <c r="M280" s="262">
        <f>SUMIFS(Tabla4[Total],Tabla4[Codigo],Tabla2[[#This Row],[Cod]])</f>
        <v>400000</v>
      </c>
      <c r="N280" s="278">
        <f>SUMPRODUCT((Tabla1[Codigo]=Tabla2[[#This Row],[Cod]])*1,Tabla1[Valor])</f>
        <v>400000</v>
      </c>
      <c r="O280" s="265">
        <f>IF(AND(Tabla2[[#This Row],[Estado]]="ok",LEFT(Tabla2[[#This Row],['# Factura]],3)="TIS"),Tabla2[[#This Row],[TOTAL]]-Tabla2[[#This Row],[pagado]],0)</f>
        <v>0</v>
      </c>
      <c r="P280" s="262">
        <f>Tabla2[[#This Row],[TOTAL]]-Tabla2[[#This Row],[Valor pago]]</f>
        <v>0</v>
      </c>
      <c r="Q280" s="265">
        <f>IF(Tabla2[[#This Row],[Saldo]]=0,0,IF(Tabla2[[#This Row],[Tipo cliente]]="PJ",Tabla2[[#This Row],[SUBTOTAL]]*11%,0))</f>
        <v>0</v>
      </c>
      <c r="R280" s="276">
        <f>IF(Tabla2[[#This Row],[Saldo]]=0,0,IF(Tabla2[[#This Row],[Tipo cliente]]="PJ",Tabla2[[#This Row],[SUBTOTAL]]*0.966%,0))</f>
        <v>0</v>
      </c>
      <c r="S280" s="276">
        <f>IF(Tabla2[[#This Row],[Retiene IVA]]="S",Tabla2[[#This Row],[IVA]]*0.15,0)</f>
        <v>0</v>
      </c>
      <c r="T280" s="265">
        <f>+Tabla2[[#This Row],[Saldo]]-Tabla2[[#This Row],[Rete fte]]-Tabla2[[#This Row],[rete ica]]-Tabla2[[#This Row],[Rete IVA]]</f>
        <v>0</v>
      </c>
      <c r="U28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280" s="23">
        <f>IF(Tabla2[[#This Row],[Fecha F.E.]]="","",YEAR(Tabla2[[#This Row],[Fecha F.E.]]))</f>
        <v>2023</v>
      </c>
      <c r="X280" s="23">
        <f>IF(Tabla2[[#This Row],[Fecha]]="","",YEAR(Tabla2[[#This Row],[Fecha]]))</f>
        <v>2023</v>
      </c>
    </row>
    <row r="281" spans="1:24" x14ac:dyDescent="0.25">
      <c r="A281" s="3">
        <v>281</v>
      </c>
      <c r="B281" s="77" t="s">
        <v>1333</v>
      </c>
      <c r="C281" s="360">
        <v>45083</v>
      </c>
      <c r="D281" s="76" t="s">
        <v>1334</v>
      </c>
      <c r="E281" s="360">
        <v>45083</v>
      </c>
      <c r="F281" s="78" t="s">
        <v>231</v>
      </c>
      <c r="G281" s="85">
        <v>900505660</v>
      </c>
      <c r="H281" s="177" t="str">
        <f>VLOOKUP(Tabla2[[#This Row],[NIT]],Clientes!A:C,2,0)</f>
        <v>DIGITAL MEDIA TECHNOLOGIES COLOMBIA SAS</v>
      </c>
      <c r="I281" s="77" t="str">
        <f>VLOOKUP(Tabla2[[#This Row],[NIT]],Clientes!A:C,3,0)</f>
        <v>PJ</v>
      </c>
      <c r="J281" s="73" t="s">
        <v>794</v>
      </c>
      <c r="K281" s="267">
        <f>SUMIFS(Tabla4[Sub Total],Tabla4[Codigo],Tabla2[[#This Row],[Cod]])</f>
        <v>250000</v>
      </c>
      <c r="L281" s="262">
        <f>SUMPRODUCT((Tabla4[Codigo]=Tabla2[[#This Row],[Cod]])*1,Tabla4[IVA])</f>
        <v>47500</v>
      </c>
      <c r="M281" s="262">
        <f>SUMIFS(Tabla4[Total],Tabla4[Codigo],Tabla2[[#This Row],[Cod]])</f>
        <v>297500</v>
      </c>
      <c r="N281" s="278">
        <f>SUMPRODUCT((Tabla1[Codigo]=Tabla2[[#This Row],[Cod]])*1,Tabla1[Valor])</f>
        <v>270000</v>
      </c>
      <c r="O281" s="265">
        <f>IF(AND(Tabla2[[#This Row],[Estado]]="ok",LEFT(Tabla2[[#This Row],['# Factura]],3)="TIS"),Tabla2[[#This Row],[TOTAL]]-Tabla2[[#This Row],[pagado]],0)</f>
        <v>0</v>
      </c>
      <c r="P281" s="262">
        <f>Tabla2[[#This Row],[TOTAL]]-Tabla2[[#This Row],[Valor pago]]</f>
        <v>27500</v>
      </c>
      <c r="Q281" s="265">
        <f>IF(Tabla2[[#This Row],[Saldo]]=0,0,IF(Tabla2[[#This Row],[Tipo cliente]]="PJ",Tabla2[[#This Row],[SUBTOTAL]]*11%,0))</f>
        <v>27500</v>
      </c>
      <c r="R281" s="276">
        <f>IF(Tabla2[[#This Row],[Saldo]]=0,0,IF(Tabla2[[#This Row],[Tipo cliente]]="PJ",Tabla2[[#This Row],[SUBTOTAL]]*0.966%,0))</f>
        <v>2415</v>
      </c>
      <c r="S281" s="276">
        <f>IF(Tabla2[[#This Row],[Retiene IVA]]="S",Tabla2[[#This Row],[IVA]]*0.15,0)</f>
        <v>0</v>
      </c>
      <c r="T281" s="265">
        <f>+Tabla2[[#This Row],[Saldo]]-Tabla2[[#This Row],[Rete fte]]-Tabla2[[#This Row],[rete ica]]-Tabla2[[#This Row],[Rete IVA]]</f>
        <v>-2415</v>
      </c>
      <c r="U28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297500</v>
      </c>
      <c r="W281" s="23">
        <f>IF(Tabla2[[#This Row],[Fecha F.E.]]="","",YEAR(Tabla2[[#This Row],[Fecha F.E.]]))</f>
        <v>2023</v>
      </c>
      <c r="X281" s="23">
        <f>IF(Tabla2[[#This Row],[Fecha]]="","",YEAR(Tabla2[[#This Row],[Fecha]]))</f>
        <v>2023</v>
      </c>
    </row>
    <row r="282" spans="1:24" x14ac:dyDescent="0.25">
      <c r="A282" s="3">
        <v>282</v>
      </c>
      <c r="B282" s="77" t="s">
        <v>1335</v>
      </c>
      <c r="C282" s="360">
        <v>45083</v>
      </c>
      <c r="D282" s="76" t="s">
        <v>1336</v>
      </c>
      <c r="E282" s="360">
        <v>45083</v>
      </c>
      <c r="F282" s="78" t="s">
        <v>231</v>
      </c>
      <c r="G282" s="85">
        <v>52385710</v>
      </c>
      <c r="H282" s="177" t="str">
        <f>VLOOKUP(Tabla2[[#This Row],[NIT]],Clientes!A:C,2,0)</f>
        <v>Maria del Pilar Alvarado Joya</v>
      </c>
      <c r="I282" s="77" t="str">
        <f>VLOOKUP(Tabla2[[#This Row],[NIT]],Clientes!A:C,3,0)</f>
        <v>PN</v>
      </c>
      <c r="J282" s="73" t="s">
        <v>794</v>
      </c>
      <c r="K282" s="267">
        <f>SUMIFS(Tabla4[Sub Total],Tabla4[Codigo],Tabla2[[#This Row],[Cod]])</f>
        <v>400000</v>
      </c>
      <c r="L282" s="262">
        <f>SUMPRODUCT((Tabla4[Codigo]=Tabla2[[#This Row],[Cod]])*1,Tabla4[IVA])</f>
        <v>0</v>
      </c>
      <c r="M282" s="262">
        <f>SUMIFS(Tabla4[Total],Tabla4[Codigo],Tabla2[[#This Row],[Cod]])</f>
        <v>400000</v>
      </c>
      <c r="N282" s="278">
        <f>SUMPRODUCT((Tabla1[Codigo]=Tabla2[[#This Row],[Cod]])*1,Tabla1[Valor])</f>
        <v>400000</v>
      </c>
      <c r="O282" s="265">
        <f>IF(AND(Tabla2[[#This Row],[Estado]]="ok",LEFT(Tabla2[[#This Row],['# Factura]],3)="TIS"),Tabla2[[#This Row],[TOTAL]]-Tabla2[[#This Row],[pagado]],0)</f>
        <v>0</v>
      </c>
      <c r="P282" s="262">
        <f>Tabla2[[#This Row],[TOTAL]]-Tabla2[[#This Row],[Valor pago]]</f>
        <v>0</v>
      </c>
      <c r="Q282" s="265">
        <f>IF(Tabla2[[#This Row],[Saldo]]=0,0,IF(Tabla2[[#This Row],[Tipo cliente]]="PJ",Tabla2[[#This Row],[SUBTOTAL]]*11%,0))</f>
        <v>0</v>
      </c>
      <c r="R282" s="276">
        <f>IF(Tabla2[[#This Row],[Saldo]]=0,0,IF(Tabla2[[#This Row],[Tipo cliente]]="PJ",Tabla2[[#This Row],[SUBTOTAL]]*0.966%,0))</f>
        <v>0</v>
      </c>
      <c r="S282" s="276">
        <f>IF(Tabla2[[#This Row],[Retiene IVA]]="S",Tabla2[[#This Row],[IVA]]*0.15,0)</f>
        <v>0</v>
      </c>
      <c r="T282" s="265">
        <f>+Tabla2[[#This Row],[Saldo]]-Tabla2[[#This Row],[Rete fte]]-Tabla2[[#This Row],[rete ica]]-Tabla2[[#This Row],[Rete IVA]]</f>
        <v>0</v>
      </c>
      <c r="U28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282" s="23">
        <f>IF(Tabla2[[#This Row],[Fecha F.E.]]="","",YEAR(Tabla2[[#This Row],[Fecha F.E.]]))</f>
        <v>2023</v>
      </c>
      <c r="X282" s="23">
        <f>IF(Tabla2[[#This Row],[Fecha]]="","",YEAR(Tabla2[[#This Row],[Fecha]]))</f>
        <v>2023</v>
      </c>
    </row>
    <row r="283" spans="1:24" x14ac:dyDescent="0.25">
      <c r="A283" s="3">
        <v>283</v>
      </c>
      <c r="B283" s="77" t="s">
        <v>1337</v>
      </c>
      <c r="C283" s="360">
        <v>45083</v>
      </c>
      <c r="D283" s="76" t="s">
        <v>1338</v>
      </c>
      <c r="E283" s="360">
        <v>45083</v>
      </c>
      <c r="F283" s="78" t="s">
        <v>231</v>
      </c>
      <c r="G283" s="85">
        <v>901587935</v>
      </c>
      <c r="H283" s="177" t="str">
        <f>VLOOKUP(Tabla2[[#This Row],[NIT]],Clientes!A:C,2,0)</f>
        <v>JALO HASHTAG 98 SAS</v>
      </c>
      <c r="I283" s="77" t="str">
        <f>VLOOKUP(Tabla2[[#This Row],[NIT]],Clientes!A:C,3,0)</f>
        <v>PJ</v>
      </c>
      <c r="J283" s="73" t="s">
        <v>794</v>
      </c>
      <c r="K283" s="267">
        <f>SUMIFS(Tabla4[Sub Total],Tabla4[Codigo],Tabla2[[#This Row],[Cod]])</f>
        <v>585000</v>
      </c>
      <c r="L283" s="262">
        <f>SUMPRODUCT((Tabla4[Codigo]=Tabla2[[#This Row],[Cod]])*1,Tabla4[IVA])</f>
        <v>111150</v>
      </c>
      <c r="M283" s="262">
        <f>SUMIFS(Tabla4[Total],Tabla4[Codigo],Tabla2[[#This Row],[Cod]])</f>
        <v>696150</v>
      </c>
      <c r="N283" s="278">
        <f>SUMPRODUCT((Tabla1[Codigo]=Tabla2[[#This Row],[Cod]])*1,Tabla1[Valor])</f>
        <v>672750</v>
      </c>
      <c r="O283" s="265">
        <f>IF(AND(Tabla2[[#This Row],[Estado]]="ok",LEFT(Tabla2[[#This Row],['# Factura]],3)="TIS"),Tabla2[[#This Row],[TOTAL]]-Tabla2[[#This Row],[pagado]],0)</f>
        <v>0</v>
      </c>
      <c r="P283" s="262">
        <f>Tabla2[[#This Row],[TOTAL]]-Tabla2[[#This Row],[Valor pago]]</f>
        <v>23400</v>
      </c>
      <c r="Q283" s="265">
        <f>IF(Tabla2[[#This Row],[Saldo]]=0,0,IF(Tabla2[[#This Row],[Tipo cliente]]="PJ",Tabla2[[#This Row],[SUBTOTAL]]*11%,0))</f>
        <v>64350</v>
      </c>
      <c r="R283" s="276">
        <f>IF(Tabla2[[#This Row],[Saldo]]=0,0,IF(Tabla2[[#This Row],[Tipo cliente]]="PJ",Tabla2[[#This Row],[SUBTOTAL]]*0.966%,0))</f>
        <v>5651.1</v>
      </c>
      <c r="S283" s="276">
        <f>IF(Tabla2[[#This Row],[Retiene IVA]]="S",Tabla2[[#This Row],[IVA]]*0.15,0)</f>
        <v>0</v>
      </c>
      <c r="T283" s="265">
        <f>+Tabla2[[#This Row],[Saldo]]-Tabla2[[#This Row],[Rete fte]]-Tabla2[[#This Row],[rete ica]]-Tabla2[[#This Row],[Rete IVA]]</f>
        <v>-46601.1</v>
      </c>
      <c r="U28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696150</v>
      </c>
      <c r="W283" s="23">
        <f>IF(Tabla2[[#This Row],[Fecha F.E.]]="","",YEAR(Tabla2[[#This Row],[Fecha F.E.]]))</f>
        <v>2023</v>
      </c>
      <c r="X283" s="23">
        <f>IF(Tabla2[[#This Row],[Fecha]]="","",YEAR(Tabla2[[#This Row],[Fecha]]))</f>
        <v>2023</v>
      </c>
    </row>
    <row r="284" spans="1:24" x14ac:dyDescent="0.25">
      <c r="A284" s="3">
        <v>284</v>
      </c>
      <c r="B284" s="77" t="s">
        <v>1339</v>
      </c>
      <c r="C284" s="360">
        <v>45085</v>
      </c>
      <c r="D284" s="76" t="s">
        <v>1340</v>
      </c>
      <c r="E284" s="360">
        <v>45085</v>
      </c>
      <c r="F284" s="78" t="s">
        <v>231</v>
      </c>
      <c r="G284" s="85">
        <v>830066664</v>
      </c>
      <c r="H284" s="177" t="str">
        <f>VLOOKUP(Tabla2[[#This Row],[NIT]],Clientes!A:C,2,0)</f>
        <v>ALFONSO URIBE S &amp; CIA SA</v>
      </c>
      <c r="I284" s="77" t="str">
        <f>VLOOKUP(Tabla2[[#This Row],[NIT]],Clientes!A:C,3,0)</f>
        <v>PJ</v>
      </c>
      <c r="J284" s="73" t="s">
        <v>794</v>
      </c>
      <c r="K284" s="267">
        <f>SUMIFS(Tabla4[Sub Total],Tabla4[Codigo],Tabla2[[#This Row],[Cod]])</f>
        <v>3016000</v>
      </c>
      <c r="L284" s="262">
        <f>SUMPRODUCT((Tabla4[Codigo]=Tabla2[[#This Row],[Cod]])*1,Tabla4[IVA])</f>
        <v>573040</v>
      </c>
      <c r="M284" s="262">
        <f>SUMIFS(Tabla4[Total],Tabla4[Codigo],Tabla2[[#This Row],[Cod]])</f>
        <v>3589040</v>
      </c>
      <c r="N284" s="278">
        <f>SUMPRODUCT((Tabla1[Codigo]=Tabla2[[#This Row],[Cod]])*1,Tabla1[Valor])</f>
        <v>3589040</v>
      </c>
      <c r="O284" s="265">
        <f>IF(AND(Tabla2[[#This Row],[Estado]]="ok",LEFT(Tabla2[[#This Row],['# Factura]],3)="TIS"),Tabla2[[#This Row],[TOTAL]]-Tabla2[[#This Row],[pagado]],0)</f>
        <v>0</v>
      </c>
      <c r="P284" s="262">
        <f>Tabla2[[#This Row],[TOTAL]]-Tabla2[[#This Row],[Valor pago]]</f>
        <v>0</v>
      </c>
      <c r="Q284" s="265">
        <f>IF(Tabla2[[#This Row],[Saldo]]=0,0,IF(Tabla2[[#This Row],[Tipo cliente]]="PJ",Tabla2[[#This Row],[SUBTOTAL]]*11%,0))</f>
        <v>0</v>
      </c>
      <c r="R284" s="276">
        <f>IF(Tabla2[[#This Row],[Saldo]]=0,0,IF(Tabla2[[#This Row],[Tipo cliente]]="PJ",Tabla2[[#This Row],[SUBTOTAL]]*0.966%,0))</f>
        <v>0</v>
      </c>
      <c r="S284" s="276">
        <f>IF(Tabla2[[#This Row],[Retiene IVA]]="S",Tabla2[[#This Row],[IVA]]*0.15,0)</f>
        <v>0</v>
      </c>
      <c r="T284" s="265">
        <f>+Tabla2[[#This Row],[Saldo]]-Tabla2[[#This Row],[Rete fte]]-Tabla2[[#This Row],[rete ica]]-Tabla2[[#This Row],[Rete IVA]]</f>
        <v>0</v>
      </c>
      <c r="U28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3589040</v>
      </c>
      <c r="W284" s="23">
        <f>IF(Tabla2[[#This Row],[Fecha F.E.]]="","",YEAR(Tabla2[[#This Row],[Fecha F.E.]]))</f>
        <v>2023</v>
      </c>
      <c r="X284" s="23">
        <f>IF(Tabla2[[#This Row],[Fecha]]="","",YEAR(Tabla2[[#This Row],[Fecha]]))</f>
        <v>2023</v>
      </c>
    </row>
    <row r="285" spans="1:24" x14ac:dyDescent="0.25">
      <c r="A285" s="3">
        <v>285</v>
      </c>
      <c r="B285" s="77" t="s">
        <v>1341</v>
      </c>
      <c r="C285" s="360">
        <v>45093</v>
      </c>
      <c r="D285" s="76" t="s">
        <v>1342</v>
      </c>
      <c r="E285" s="360">
        <v>45093</v>
      </c>
      <c r="F285" s="78" t="s">
        <v>231</v>
      </c>
      <c r="G285" s="85">
        <v>900110590</v>
      </c>
      <c r="H285" s="177" t="str">
        <f>VLOOKUP(Tabla2[[#This Row],[NIT]],Clientes!A:C,2,0)</f>
        <v xml:space="preserve">GENERAL RIKS SERVICES SAS </v>
      </c>
      <c r="I285" s="77" t="str">
        <f>VLOOKUP(Tabla2[[#This Row],[NIT]],Clientes!A:C,3,0)</f>
        <v>PJ</v>
      </c>
      <c r="J285" s="73" t="s">
        <v>794</v>
      </c>
      <c r="K285" s="267">
        <f>SUMIFS(Tabla4[Sub Total],Tabla4[Codigo],Tabla2[[#This Row],[Cod]])</f>
        <v>1290000</v>
      </c>
      <c r="L285" s="262">
        <f>SUMPRODUCT((Tabla4[Codigo]=Tabla2[[#This Row],[Cod]])*1,Tabla4[IVA])</f>
        <v>245100</v>
      </c>
      <c r="M285" s="262">
        <f>SUMIFS(Tabla4[Total],Tabla4[Codigo],Tabla2[[#This Row],[Cod]])</f>
        <v>1535100</v>
      </c>
      <c r="N285" s="278">
        <f>SUMPRODUCT((Tabla1[Codigo]=Tabla2[[#This Row],[Cod]])*1,Tabla1[Valor])</f>
        <v>1393200</v>
      </c>
      <c r="O285" s="265">
        <f>IF(AND(Tabla2[[#This Row],[Estado]]="ok",LEFT(Tabla2[[#This Row],['# Factura]],3)="TIS"),Tabla2[[#This Row],[TOTAL]]-Tabla2[[#This Row],[pagado]],0)</f>
        <v>0</v>
      </c>
      <c r="P285" s="262">
        <f>Tabla2[[#This Row],[TOTAL]]-Tabla2[[#This Row],[Valor pago]]</f>
        <v>141900</v>
      </c>
      <c r="Q285" s="265">
        <f>IF(Tabla2[[#This Row],[Saldo]]=0,0,IF(Tabla2[[#This Row],[Tipo cliente]]="PJ",Tabla2[[#This Row],[SUBTOTAL]]*11%,0))</f>
        <v>141900</v>
      </c>
      <c r="R285" s="276">
        <f>IF(Tabla2[[#This Row],[Saldo]]=0,0,IF(Tabla2[[#This Row],[Tipo cliente]]="PJ",Tabla2[[#This Row],[SUBTOTAL]]*0.966%,0))</f>
        <v>12461.4</v>
      </c>
      <c r="S285" s="276">
        <f>IF(Tabla2[[#This Row],[Retiene IVA]]="S",Tabla2[[#This Row],[IVA]]*0.15,0)</f>
        <v>0</v>
      </c>
      <c r="T285" s="265">
        <f>+Tabla2[[#This Row],[Saldo]]-Tabla2[[#This Row],[Rete fte]]-Tabla2[[#This Row],[rete ica]]-Tabla2[[#This Row],[Rete IVA]]</f>
        <v>-12461.4</v>
      </c>
      <c r="U28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1535100</v>
      </c>
      <c r="W285" s="23">
        <f>IF(Tabla2[[#This Row],[Fecha F.E.]]="","",YEAR(Tabla2[[#This Row],[Fecha F.E.]]))</f>
        <v>2023</v>
      </c>
      <c r="X285" s="23">
        <f>IF(Tabla2[[#This Row],[Fecha]]="","",YEAR(Tabla2[[#This Row],[Fecha]]))</f>
        <v>2023</v>
      </c>
    </row>
    <row r="286" spans="1:24" x14ac:dyDescent="0.25">
      <c r="A286" s="3">
        <v>286</v>
      </c>
      <c r="B286" s="77" t="s">
        <v>1343</v>
      </c>
      <c r="C286" s="360">
        <v>45099</v>
      </c>
      <c r="D286" s="76" t="s">
        <v>1344</v>
      </c>
      <c r="E286" s="360">
        <v>45099</v>
      </c>
      <c r="F286" s="78" t="s">
        <v>231</v>
      </c>
      <c r="G286" s="85">
        <v>900850933</v>
      </c>
      <c r="H286" s="177" t="str">
        <f>VLOOKUP(Tabla2[[#This Row],[NIT]],Clientes!A:C,2,0)</f>
        <v>CHILLER PLANT SERVICES SAS</v>
      </c>
      <c r="I286" s="77" t="str">
        <f>VLOOKUP(Tabla2[[#This Row],[NIT]],Clientes!A:C,3,0)</f>
        <v>PJ</v>
      </c>
      <c r="J286" s="73" t="s">
        <v>794</v>
      </c>
      <c r="K286" s="267">
        <f>SUMIFS(Tabla4[Sub Total],Tabla4[Codigo],Tabla2[[#This Row],[Cod]])</f>
        <v>95000</v>
      </c>
      <c r="L286" s="262">
        <f>SUMPRODUCT((Tabla4[Codigo]=Tabla2[[#This Row],[Cod]])*1,Tabla4[IVA])</f>
        <v>18050</v>
      </c>
      <c r="M286" s="262">
        <f>SUMIFS(Tabla4[Total],Tabla4[Codigo],Tabla2[[#This Row],[Cod]])</f>
        <v>113050</v>
      </c>
      <c r="N286" s="278">
        <f>SUMPRODUCT((Tabla1[Codigo]=Tabla2[[#This Row],[Cod]])*1,Tabla1[Valor])</f>
        <v>113050</v>
      </c>
      <c r="O286" s="265">
        <f>IF(AND(Tabla2[[#This Row],[Estado]]="ok",LEFT(Tabla2[[#This Row],['# Factura]],3)="TIS"),Tabla2[[#This Row],[TOTAL]]-Tabla2[[#This Row],[pagado]],0)</f>
        <v>0</v>
      </c>
      <c r="P286" s="262">
        <f>Tabla2[[#This Row],[TOTAL]]-Tabla2[[#This Row],[Valor pago]]</f>
        <v>0</v>
      </c>
      <c r="Q286" s="265">
        <f>IF(Tabla2[[#This Row],[Saldo]]=0,0,IF(Tabla2[[#This Row],[Tipo cliente]]="PJ",Tabla2[[#This Row],[SUBTOTAL]]*11%,0))</f>
        <v>0</v>
      </c>
      <c r="R286" s="276">
        <f>IF(Tabla2[[#This Row],[Saldo]]=0,0,IF(Tabla2[[#This Row],[Tipo cliente]]="PJ",Tabla2[[#This Row],[SUBTOTAL]]*0.966%,0))</f>
        <v>0</v>
      </c>
      <c r="S286" s="276">
        <f>IF(Tabla2[[#This Row],[Retiene IVA]]="S",Tabla2[[#This Row],[IVA]]*0.15,0)</f>
        <v>0</v>
      </c>
      <c r="T286" s="265">
        <f>+Tabla2[[#This Row],[Saldo]]-Tabla2[[#This Row],[Rete fte]]-Tabla2[[#This Row],[rete ica]]-Tabla2[[#This Row],[Rete IVA]]</f>
        <v>0</v>
      </c>
      <c r="U28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113050</v>
      </c>
      <c r="W286" s="23">
        <f>IF(Tabla2[[#This Row],[Fecha F.E.]]="","",YEAR(Tabla2[[#This Row],[Fecha F.E.]]))</f>
        <v>2023</v>
      </c>
      <c r="X286" s="23">
        <f>IF(Tabla2[[#This Row],[Fecha]]="","",YEAR(Tabla2[[#This Row],[Fecha]]))</f>
        <v>2023</v>
      </c>
    </row>
    <row r="287" spans="1:24" x14ac:dyDescent="0.25">
      <c r="A287" s="3">
        <v>287</v>
      </c>
      <c r="B287" s="77" t="s">
        <v>1345</v>
      </c>
      <c r="C287" s="360">
        <v>45117</v>
      </c>
      <c r="D287" s="76" t="s">
        <v>1346</v>
      </c>
      <c r="E287" s="360">
        <v>45086</v>
      </c>
      <c r="F287" s="78" t="s">
        <v>231</v>
      </c>
      <c r="G287" s="85">
        <v>860001999</v>
      </c>
      <c r="H287" s="177" t="str">
        <f>VLOOKUP(Tabla2[[#This Row],[NIT]],Clientes!A:C,2,0)</f>
        <v>LUCTA GRANCOLOMBIA SAS</v>
      </c>
      <c r="I287" s="77" t="str">
        <f>VLOOKUP(Tabla2[[#This Row],[NIT]],Clientes!A:C,3,0)</f>
        <v>PJ</v>
      </c>
      <c r="J287" s="73" t="s">
        <v>1051</v>
      </c>
      <c r="K287" s="267">
        <f>SUMIFS(Tabla4[Sub Total],Tabla4[Codigo],Tabla2[[#This Row],[Cod]])</f>
        <v>12000000</v>
      </c>
      <c r="L287" s="262">
        <f>SUMPRODUCT((Tabla4[Codigo]=Tabla2[[#This Row],[Cod]])*1,Tabla4[IVA])</f>
        <v>2280000</v>
      </c>
      <c r="M287" s="262">
        <f>SUMIFS(Tabla4[Total],Tabla4[Codigo],Tabla2[[#This Row],[Cod]])</f>
        <v>14280000</v>
      </c>
      <c r="N287" s="278">
        <f>SUMPRODUCT((Tabla1[Codigo]=Tabla2[[#This Row],[Cod]])*1,Tabla1[Valor])</f>
        <v>12558000</v>
      </c>
      <c r="O287" s="265">
        <f>IF(AND(Tabla2[[#This Row],[Estado]]="ok",LEFT(Tabla2[[#This Row],['# Factura]],3)="TIS"),Tabla2[[#This Row],[TOTAL]]-Tabla2[[#This Row],[pagado]],0)</f>
        <v>0</v>
      </c>
      <c r="P287" s="262">
        <f>Tabla2[[#This Row],[TOTAL]]-Tabla2[[#This Row],[Valor pago]]</f>
        <v>1722000</v>
      </c>
      <c r="Q287" s="265">
        <f>IF(Tabla2[[#This Row],[Saldo]]=0,0,IF(Tabla2[[#This Row],[Tipo cliente]]="PJ",Tabla2[[#This Row],[SUBTOTAL]]*11%,0))</f>
        <v>1320000</v>
      </c>
      <c r="R287" s="276">
        <f>IF(Tabla2[[#This Row],[Saldo]]=0,0,IF(Tabla2[[#This Row],[Tipo cliente]]="PJ",Tabla2[[#This Row],[SUBTOTAL]]*0.966%,0))</f>
        <v>115920</v>
      </c>
      <c r="S287" s="276">
        <f>IF(Tabla2[[#This Row],[Retiene IVA]]="S",Tabla2[[#This Row],[IVA]]*0.15,0)</f>
        <v>342000</v>
      </c>
      <c r="T287" s="265">
        <f>+Tabla2[[#This Row],[Saldo]]-Tabla2[[#This Row],[Rete fte]]-Tabla2[[#This Row],[rete ica]]-Tabla2[[#This Row],[Rete IVA]]</f>
        <v>-55920</v>
      </c>
      <c r="U28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14280000</v>
      </c>
      <c r="W287" s="23">
        <f>IF(Tabla2[[#This Row],[Fecha F.E.]]="","",YEAR(Tabla2[[#This Row],[Fecha F.E.]]))</f>
        <v>2023</v>
      </c>
      <c r="X287" s="23">
        <f>IF(Tabla2[[#This Row],[Fecha]]="","",YEAR(Tabla2[[#This Row],[Fecha]]))</f>
        <v>2023</v>
      </c>
    </row>
    <row r="288" spans="1:24" x14ac:dyDescent="0.25">
      <c r="A288" s="3">
        <v>288</v>
      </c>
      <c r="B288" s="77" t="s">
        <v>1347</v>
      </c>
      <c r="C288" s="360">
        <v>45117</v>
      </c>
      <c r="D288" s="76" t="s">
        <v>1348</v>
      </c>
      <c r="E288" s="360">
        <v>45086</v>
      </c>
      <c r="F288" s="78" t="s">
        <v>716</v>
      </c>
      <c r="G288" s="85">
        <v>860001999</v>
      </c>
      <c r="H288" s="177" t="str">
        <f>VLOOKUP(Tabla2[[#This Row],[NIT]],Clientes!A:C,2,0)</f>
        <v>LUCTA GRANCOLOMBIA SAS</v>
      </c>
      <c r="I288" s="77" t="str">
        <f>VLOOKUP(Tabla2[[#This Row],[NIT]],Clientes!A:C,3,0)</f>
        <v>PJ</v>
      </c>
      <c r="J288" s="73" t="s">
        <v>794</v>
      </c>
      <c r="K288" s="267">
        <f>SUMIFS(Tabla4[Sub Total],Tabla4[Codigo],Tabla2[[#This Row],[Cod]])</f>
        <v>-12000000</v>
      </c>
      <c r="L288" s="262">
        <f>SUMPRODUCT((Tabla4[Codigo]=Tabla2[[#This Row],[Cod]])*1,Tabla4[IVA])</f>
        <v>-2280000</v>
      </c>
      <c r="M288" s="262">
        <f>SUMIFS(Tabla4[Total],Tabla4[Codigo],Tabla2[[#This Row],[Cod]])</f>
        <v>-14280000</v>
      </c>
      <c r="N288" s="278">
        <f>SUMPRODUCT((Tabla1[Codigo]=Tabla2[[#This Row],[Cod]])*1,Tabla1[Valor])</f>
        <v>0</v>
      </c>
      <c r="O288" s="265">
        <f>IF(AND(Tabla2[[#This Row],[Estado]]="ok",LEFT(Tabla2[[#This Row],['# Factura]],3)="TIS"),Tabla2[[#This Row],[TOTAL]]-Tabla2[[#This Row],[pagado]],0)</f>
        <v>0</v>
      </c>
      <c r="P288" s="262">
        <f>Tabla2[[#This Row],[TOTAL]]-Tabla2[[#This Row],[Valor pago]]</f>
        <v>-14280000</v>
      </c>
      <c r="Q288" s="265">
        <f>IF(Tabla2[[#This Row],[Saldo]]=0,0,IF(Tabla2[[#This Row],[Tipo cliente]]="PJ",Tabla2[[#This Row],[SUBTOTAL]]*11%,0))</f>
        <v>-1320000</v>
      </c>
      <c r="R288" s="276">
        <f>IF(Tabla2[[#This Row],[Saldo]]=0,0,IF(Tabla2[[#This Row],[Tipo cliente]]="PJ",Tabla2[[#This Row],[SUBTOTAL]]*0.966%,0))</f>
        <v>-115920</v>
      </c>
      <c r="S288" s="276">
        <f>IF(Tabla2[[#This Row],[Retiene IVA]]="S",Tabla2[[#This Row],[IVA]]*0.15,0)</f>
        <v>0</v>
      </c>
      <c r="T288" s="265">
        <f>+Tabla2[[#This Row],[Saldo]]-Tabla2[[#This Row],[Rete fte]]-Tabla2[[#This Row],[rete ica]]-Tabla2[[#This Row],[Rete IVA]]</f>
        <v>-12844080</v>
      </c>
      <c r="U28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V288" s="23" t="s">
        <v>1277</v>
      </c>
      <c r="W288" s="23">
        <f>IF(Tabla2[[#This Row],[Fecha F.E.]]="","",YEAR(Tabla2[[#This Row],[Fecha F.E.]]))</f>
        <v>2023</v>
      </c>
      <c r="X288" s="23">
        <f>IF(Tabla2[[#This Row],[Fecha]]="","",YEAR(Tabla2[[#This Row],[Fecha]]))</f>
        <v>2023</v>
      </c>
    </row>
    <row r="289" spans="1:24" x14ac:dyDescent="0.25">
      <c r="A289" s="3">
        <v>289</v>
      </c>
      <c r="B289" s="77" t="s">
        <v>1349</v>
      </c>
      <c r="C289" s="360">
        <v>45131</v>
      </c>
      <c r="D289" s="76"/>
      <c r="E289" s="360"/>
      <c r="F289" s="78" t="s">
        <v>716</v>
      </c>
      <c r="G289" s="85">
        <v>860014787</v>
      </c>
      <c r="H289" s="177" t="str">
        <f>VLOOKUP(Tabla2[[#This Row],[NIT]],Clientes!A:C,2,0)</f>
        <v>Walsom SAS</v>
      </c>
      <c r="I289" s="77" t="str">
        <f>VLOOKUP(Tabla2[[#This Row],[NIT]],Clientes!A:C,3,0)</f>
        <v>PJ</v>
      </c>
      <c r="J289" s="73" t="s">
        <v>794</v>
      </c>
      <c r="K289" s="267">
        <f>SUMIFS(Tabla4[Sub Total],Tabla4[Codigo],Tabla2[[#This Row],[Cod]])</f>
        <v>700000</v>
      </c>
      <c r="L289" s="262">
        <f>SUMPRODUCT((Tabla4[Codigo]=Tabla2[[#This Row],[Cod]])*1,Tabla4[IVA])</f>
        <v>133000</v>
      </c>
      <c r="M289" s="262">
        <f>SUMIFS(Tabla4[Total],Tabla4[Codigo],Tabla2[[#This Row],[Cod]])</f>
        <v>833000</v>
      </c>
      <c r="N289" s="278">
        <f>SUMPRODUCT((Tabla1[Codigo]=Tabla2[[#This Row],[Cod]])*1,Tabla1[Valor])</f>
        <v>0</v>
      </c>
      <c r="O289" s="265">
        <f>IF(AND(Tabla2[[#This Row],[Estado]]="ok",LEFT(Tabla2[[#This Row],['# Factura]],3)="TIS"),Tabla2[[#This Row],[TOTAL]]-Tabla2[[#This Row],[pagado]],0)</f>
        <v>0</v>
      </c>
      <c r="P289" s="262">
        <f>Tabla2[[#This Row],[TOTAL]]-Tabla2[[#This Row],[Valor pago]]</f>
        <v>833000</v>
      </c>
      <c r="Q289" s="265">
        <f>IF(Tabla2[[#This Row],[Saldo]]=0,0,IF(Tabla2[[#This Row],[Tipo cliente]]="PJ",Tabla2[[#This Row],[SUBTOTAL]]*11%,0))</f>
        <v>77000</v>
      </c>
      <c r="R289" s="276">
        <f>IF(Tabla2[[#This Row],[Saldo]]=0,0,IF(Tabla2[[#This Row],[Tipo cliente]]="PJ",Tabla2[[#This Row],[SUBTOTAL]]*0.966%,0))</f>
        <v>6762</v>
      </c>
      <c r="S289" s="276">
        <f>IF(Tabla2[[#This Row],[Retiene IVA]]="S",Tabla2[[#This Row],[IVA]]*0.15,0)</f>
        <v>0</v>
      </c>
      <c r="T289" s="265">
        <f>+Tabla2[[#This Row],[Saldo]]-Tabla2[[#This Row],[Rete fte]]-Tabla2[[#This Row],[rete ica]]-Tabla2[[#This Row],[Rete IVA]]</f>
        <v>749238</v>
      </c>
      <c r="U28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V289" s="23" t="s">
        <v>1316</v>
      </c>
      <c r="W289" s="23" t="str">
        <f>IF(Tabla2[[#This Row],[Fecha F.E.]]="","",YEAR(Tabla2[[#This Row],[Fecha F.E.]]))</f>
        <v/>
      </c>
      <c r="X289" s="23">
        <f>IF(Tabla2[[#This Row],[Fecha]]="","",YEAR(Tabla2[[#This Row],[Fecha]]))</f>
        <v>2023</v>
      </c>
    </row>
    <row r="290" spans="1:24" x14ac:dyDescent="0.25">
      <c r="A290" s="3">
        <v>290</v>
      </c>
      <c r="B290" s="77" t="s">
        <v>1350</v>
      </c>
      <c r="C290" s="360">
        <v>45127</v>
      </c>
      <c r="D290" s="76" t="s">
        <v>1351</v>
      </c>
      <c r="E290" s="360">
        <v>45127</v>
      </c>
      <c r="F290" s="78" t="s">
        <v>231</v>
      </c>
      <c r="G290" s="85">
        <v>800028768</v>
      </c>
      <c r="H290" s="177" t="str">
        <f>VLOOKUP(Tabla2[[#This Row],[NIT]],Clientes!A:C,2,0)</f>
        <v>Comercializadora ERZ SAS</v>
      </c>
      <c r="I290" s="77" t="str">
        <f>VLOOKUP(Tabla2[[#This Row],[NIT]],Clientes!A:C,3,0)</f>
        <v>PJ</v>
      </c>
      <c r="J290" s="73" t="s">
        <v>794</v>
      </c>
      <c r="K290" s="267">
        <f>SUMIFS(Tabla4[Sub Total],Tabla4[Codigo],Tabla2[[#This Row],[Cod]])</f>
        <v>260000</v>
      </c>
      <c r="L290" s="262">
        <f>SUMPRODUCT((Tabla4[Codigo]=Tabla2[[#This Row],[Cod]])*1,Tabla4[IVA])</f>
        <v>49400</v>
      </c>
      <c r="M290" s="262">
        <f>SUMIFS(Tabla4[Total],Tabla4[Codigo],Tabla2[[#This Row],[Cod]])</f>
        <v>309400</v>
      </c>
      <c r="N290" s="278">
        <f>SUMPRODUCT((Tabla1[Codigo]=Tabla2[[#This Row],[Cod]])*1,Tabla1[Valor])</f>
        <v>280800</v>
      </c>
      <c r="O290" s="265">
        <f>IF(AND(Tabla2[[#This Row],[Estado]]="ok",LEFT(Tabla2[[#This Row],['# Factura]],3)="TIS"),Tabla2[[#This Row],[TOTAL]]-Tabla2[[#This Row],[pagado]],0)</f>
        <v>0</v>
      </c>
      <c r="P290" s="262">
        <f>Tabla2[[#This Row],[TOTAL]]-Tabla2[[#This Row],[Valor pago]]</f>
        <v>28600</v>
      </c>
      <c r="Q290" s="265">
        <f>IF(Tabla2[[#This Row],[Saldo]]=0,0,IF(Tabla2[[#This Row],[Tipo cliente]]="PJ",Tabla2[[#This Row],[SUBTOTAL]]*11%,0))</f>
        <v>28600</v>
      </c>
      <c r="R290" s="276">
        <f>IF(Tabla2[[#This Row],[Saldo]]=0,0,IF(Tabla2[[#This Row],[Tipo cliente]]="PJ",Tabla2[[#This Row],[SUBTOTAL]]*0.966%,0))</f>
        <v>2511.6</v>
      </c>
      <c r="S290" s="276">
        <f>IF(Tabla2[[#This Row],[Retiene IVA]]="S",Tabla2[[#This Row],[IVA]]*0.15,0)</f>
        <v>0</v>
      </c>
      <c r="T290" s="265">
        <f>+Tabla2[[#This Row],[Saldo]]-Tabla2[[#This Row],[Rete fte]]-Tabla2[[#This Row],[rete ica]]-Tabla2[[#This Row],[Rete IVA]]</f>
        <v>-2511.6</v>
      </c>
      <c r="U29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309400</v>
      </c>
      <c r="V290" s="23" t="s">
        <v>1316</v>
      </c>
      <c r="W290" s="23">
        <f>IF(Tabla2[[#This Row],[Fecha F.E.]]="","",YEAR(Tabla2[[#This Row],[Fecha F.E.]]))</f>
        <v>2023</v>
      </c>
      <c r="X290" s="23">
        <f>IF(Tabla2[[#This Row],[Fecha]]="","",YEAR(Tabla2[[#This Row],[Fecha]]))</f>
        <v>2023</v>
      </c>
    </row>
    <row r="291" spans="1:24" ht="26.25" x14ac:dyDescent="0.25">
      <c r="A291" s="3">
        <v>291</v>
      </c>
      <c r="B291" s="77" t="s">
        <v>1352</v>
      </c>
      <c r="C291" s="360">
        <v>45127</v>
      </c>
      <c r="D291" s="76" t="s">
        <v>1353</v>
      </c>
      <c r="E291" s="360">
        <v>45127</v>
      </c>
      <c r="F291" s="78" t="s">
        <v>231</v>
      </c>
      <c r="G291" s="85">
        <v>900396116</v>
      </c>
      <c r="H291" s="177" t="str">
        <f>VLOOKUP(Tabla2[[#This Row],[NIT]],Clientes!A:C,2,0)</f>
        <v>PRODUCTORA INTERAMERICANA DE PLASTICOS S.A.S.</v>
      </c>
      <c r="I291" s="77" t="str">
        <f>VLOOKUP(Tabla2[[#This Row],[NIT]],Clientes!A:C,3,0)</f>
        <v>PJ</v>
      </c>
      <c r="J291" s="73" t="s">
        <v>794</v>
      </c>
      <c r="K291" s="267">
        <f>SUMIFS(Tabla4[Sub Total],Tabla4[Codigo],Tabla2[[#This Row],[Cod]])</f>
        <v>300000</v>
      </c>
      <c r="L291" s="262">
        <f>SUMPRODUCT((Tabla4[Codigo]=Tabla2[[#This Row],[Cod]])*1,Tabla4[IVA])</f>
        <v>57000</v>
      </c>
      <c r="M291" s="262">
        <f>SUMIFS(Tabla4[Total],Tabla4[Codigo],Tabla2[[#This Row],[Cod]])</f>
        <v>357000</v>
      </c>
      <c r="N291" s="278">
        <f>SUMPRODUCT((Tabla1[Codigo]=Tabla2[[#This Row],[Cod]])*1,Tabla1[Valor])</f>
        <v>321102</v>
      </c>
      <c r="O291" s="265">
        <f>IF(AND(Tabla2[[#This Row],[Estado]]="ok",LEFT(Tabla2[[#This Row],['# Factura]],3)="TIS"),Tabla2[[#This Row],[TOTAL]]-Tabla2[[#This Row],[pagado]],0)</f>
        <v>0</v>
      </c>
      <c r="P291" s="262">
        <f>Tabla2[[#This Row],[TOTAL]]-Tabla2[[#This Row],[Valor pago]]</f>
        <v>35898</v>
      </c>
      <c r="Q291" s="265">
        <f>IF(Tabla2[[#This Row],[Saldo]]=0,0,IF(Tabla2[[#This Row],[Tipo cliente]]="PJ",Tabla2[[#This Row],[SUBTOTAL]]*11%,0))</f>
        <v>33000</v>
      </c>
      <c r="R291" s="276">
        <f>IF(Tabla2[[#This Row],[Saldo]]=0,0,IF(Tabla2[[#This Row],[Tipo cliente]]="PJ",Tabla2[[#This Row],[SUBTOTAL]]*0.966%,0))</f>
        <v>2898</v>
      </c>
      <c r="S291" s="276">
        <f>IF(Tabla2[[#This Row],[Retiene IVA]]="S",Tabla2[[#This Row],[IVA]]*0.15,0)</f>
        <v>0</v>
      </c>
      <c r="T291" s="265">
        <f>+Tabla2[[#This Row],[Saldo]]-Tabla2[[#This Row],[Rete fte]]-Tabla2[[#This Row],[rete ica]]-Tabla2[[#This Row],[Rete IVA]]</f>
        <v>0</v>
      </c>
      <c r="U29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291" s="23">
        <f>IF(Tabla2[[#This Row],[Fecha F.E.]]="","",YEAR(Tabla2[[#This Row],[Fecha F.E.]]))</f>
        <v>2023</v>
      </c>
      <c r="X291" s="23">
        <f>IF(Tabla2[[#This Row],[Fecha]]="","",YEAR(Tabla2[[#This Row],[Fecha]]))</f>
        <v>2023</v>
      </c>
    </row>
    <row r="292" spans="1:24" x14ac:dyDescent="0.25">
      <c r="A292" s="3">
        <v>292</v>
      </c>
      <c r="B292" s="77" t="s">
        <v>1354</v>
      </c>
      <c r="C292" s="360">
        <v>45127</v>
      </c>
      <c r="D292" s="76" t="s">
        <v>1355</v>
      </c>
      <c r="E292" s="360">
        <v>45127</v>
      </c>
      <c r="F292" s="78" t="s">
        <v>231</v>
      </c>
      <c r="G292" s="85">
        <v>901342609</v>
      </c>
      <c r="H292" s="177" t="str">
        <f>VLOOKUP(Tabla2[[#This Row],[NIT]],Clientes!A:C,2,0)</f>
        <v>ROYCO SOLUCIONES SAS</v>
      </c>
      <c r="I292" s="77" t="str">
        <f>VLOOKUP(Tabla2[[#This Row],[NIT]],Clientes!A:C,3,0)</f>
        <v>PJ</v>
      </c>
      <c r="J292" s="73" t="s">
        <v>794</v>
      </c>
      <c r="K292" s="267">
        <f>SUMIFS(Tabla4[Sub Total],Tabla4[Codigo],Tabla2[[#This Row],[Cod]])</f>
        <v>175000</v>
      </c>
      <c r="L292" s="262">
        <f>SUMPRODUCT((Tabla4[Codigo]=Tabla2[[#This Row],[Cod]])*1,Tabla4[IVA])</f>
        <v>33250</v>
      </c>
      <c r="M292" s="262">
        <f>SUMIFS(Tabla4[Total],Tabla4[Codigo],Tabla2[[#This Row],[Cod]])</f>
        <v>208250</v>
      </c>
      <c r="N292" s="278">
        <f>SUMPRODUCT((Tabla1[Codigo]=Tabla2[[#This Row],[Cod]])*1,Tabla1[Valor])</f>
        <v>199470</v>
      </c>
      <c r="O292" s="265">
        <f>IF(AND(Tabla2[[#This Row],[Estado]]="ok",LEFT(Tabla2[[#This Row],['# Factura]],3)="TIS"),Tabla2[[#This Row],[TOTAL]]-Tabla2[[#This Row],[pagado]],0)</f>
        <v>0</v>
      </c>
      <c r="P292" s="262">
        <f>Tabla2[[#This Row],[TOTAL]]-Tabla2[[#This Row],[Valor pago]]</f>
        <v>8780</v>
      </c>
      <c r="Q292" s="265">
        <f>IF(Tabla2[[#This Row],[Saldo]]=0,0,IF(Tabla2[[#This Row],[Tipo cliente]]="PJ",Tabla2[[#This Row],[SUBTOTAL]]*11%,0))</f>
        <v>19250</v>
      </c>
      <c r="R292" s="276">
        <f>IF(Tabla2[[#This Row],[Saldo]]=0,0,IF(Tabla2[[#This Row],[Tipo cliente]]="PJ",Tabla2[[#This Row],[SUBTOTAL]]*0.966%,0))</f>
        <v>1690.5</v>
      </c>
      <c r="S292" s="276">
        <f>IF(Tabla2[[#This Row],[Retiene IVA]]="S",Tabla2[[#This Row],[IVA]]*0.15,0)</f>
        <v>0</v>
      </c>
      <c r="T292" s="265">
        <f>+Tabla2[[#This Row],[Saldo]]-Tabla2[[#This Row],[Rete fte]]-Tabla2[[#This Row],[rete ica]]-Tabla2[[#This Row],[Rete IVA]]</f>
        <v>-12160.5</v>
      </c>
      <c r="U29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208250</v>
      </c>
      <c r="W292" s="23">
        <f>IF(Tabla2[[#This Row],[Fecha F.E.]]="","",YEAR(Tabla2[[#This Row],[Fecha F.E.]]))</f>
        <v>2023</v>
      </c>
      <c r="X292" s="23">
        <f>IF(Tabla2[[#This Row],[Fecha]]="","",YEAR(Tabla2[[#This Row],[Fecha]]))</f>
        <v>2023</v>
      </c>
    </row>
    <row r="293" spans="1:24" x14ac:dyDescent="0.25">
      <c r="A293" s="3">
        <v>293</v>
      </c>
      <c r="B293" s="77" t="s">
        <v>1356</v>
      </c>
      <c r="C293" s="360">
        <v>45127</v>
      </c>
      <c r="D293" s="76" t="s">
        <v>1357</v>
      </c>
      <c r="E293" s="360">
        <v>45127</v>
      </c>
      <c r="F293" s="78" t="s">
        <v>231</v>
      </c>
      <c r="G293" s="85">
        <v>900505660</v>
      </c>
      <c r="H293" s="177" t="str">
        <f>VLOOKUP(Tabla2[[#This Row],[NIT]],Clientes!A:C,2,0)</f>
        <v>DIGITAL MEDIA TECHNOLOGIES COLOMBIA SAS</v>
      </c>
      <c r="I293" s="77" t="str">
        <f>VLOOKUP(Tabla2[[#This Row],[NIT]],Clientes!A:C,3,0)</f>
        <v>PJ</v>
      </c>
      <c r="J293" s="73" t="s">
        <v>794</v>
      </c>
      <c r="K293" s="267">
        <f>SUMIFS(Tabla4[Sub Total],Tabla4[Codigo],Tabla2[[#This Row],[Cod]])</f>
        <v>250000</v>
      </c>
      <c r="L293" s="262">
        <f>SUMPRODUCT((Tabla4[Codigo]=Tabla2[[#This Row],[Cod]])*1,Tabla4[IVA])</f>
        <v>47500</v>
      </c>
      <c r="M293" s="262">
        <f>SUMIFS(Tabla4[Total],Tabla4[Codigo],Tabla2[[#This Row],[Cod]])</f>
        <v>297500</v>
      </c>
      <c r="N293" s="278">
        <f>SUMPRODUCT((Tabla1[Codigo]=Tabla2[[#This Row],[Cod]])*1,Tabla1[Valor])</f>
        <v>270000</v>
      </c>
      <c r="O293" s="265">
        <f>IF(AND(Tabla2[[#This Row],[Estado]]="ok",LEFT(Tabla2[[#This Row],['# Factura]],3)="TIS"),Tabla2[[#This Row],[TOTAL]]-Tabla2[[#This Row],[pagado]],0)</f>
        <v>0</v>
      </c>
      <c r="P293" s="262">
        <f>Tabla2[[#This Row],[TOTAL]]-Tabla2[[#This Row],[Valor pago]]</f>
        <v>27500</v>
      </c>
      <c r="Q293" s="265">
        <f>IF(Tabla2[[#This Row],[Saldo]]=0,0,IF(Tabla2[[#This Row],[Tipo cliente]]="PJ",Tabla2[[#This Row],[SUBTOTAL]]*11%,0))</f>
        <v>27500</v>
      </c>
      <c r="R293" s="276">
        <f>IF(Tabla2[[#This Row],[Saldo]]=0,0,IF(Tabla2[[#This Row],[Tipo cliente]]="PJ",Tabla2[[#This Row],[SUBTOTAL]]*0.966%,0))</f>
        <v>2415</v>
      </c>
      <c r="S293" s="276">
        <f>IF(Tabla2[[#This Row],[Retiene IVA]]="S",Tabla2[[#This Row],[IVA]]*0.15,0)</f>
        <v>0</v>
      </c>
      <c r="T293" s="265">
        <f>+Tabla2[[#This Row],[Saldo]]-Tabla2[[#This Row],[Rete fte]]-Tabla2[[#This Row],[rete ica]]-Tabla2[[#This Row],[Rete IVA]]</f>
        <v>-2415</v>
      </c>
      <c r="U29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297500</v>
      </c>
      <c r="W293" s="23">
        <f>IF(Tabla2[[#This Row],[Fecha F.E.]]="","",YEAR(Tabla2[[#This Row],[Fecha F.E.]]))</f>
        <v>2023</v>
      </c>
      <c r="X293" s="23">
        <f>IF(Tabla2[[#This Row],[Fecha]]="","",YEAR(Tabla2[[#This Row],[Fecha]]))</f>
        <v>2023</v>
      </c>
    </row>
    <row r="294" spans="1:24" x14ac:dyDescent="0.25">
      <c r="A294" s="3">
        <v>294</v>
      </c>
      <c r="B294" s="77" t="s">
        <v>1358</v>
      </c>
      <c r="C294" s="360">
        <v>45127</v>
      </c>
      <c r="D294" s="76" t="s">
        <v>1359</v>
      </c>
      <c r="E294" s="360">
        <v>45127</v>
      </c>
      <c r="F294" s="78" t="s">
        <v>231</v>
      </c>
      <c r="G294" s="85">
        <v>901030518</v>
      </c>
      <c r="H294" s="177" t="str">
        <f>VLOOKUP(Tabla2[[#This Row],[NIT]],Clientes!A:C,2,0)</f>
        <v>Inversiones Sajamib SAS</v>
      </c>
      <c r="I294" s="77" t="str">
        <f>VLOOKUP(Tabla2[[#This Row],[NIT]],Clientes!A:C,3,0)</f>
        <v>PJ</v>
      </c>
      <c r="J294" s="73" t="s">
        <v>794</v>
      </c>
      <c r="K294" s="267">
        <f>SUMIFS(Tabla4[Sub Total],Tabla4[Codigo],Tabla2[[#This Row],[Cod]])</f>
        <v>400000</v>
      </c>
      <c r="L294" s="262">
        <f>SUMPRODUCT((Tabla4[Codigo]=Tabla2[[#This Row],[Cod]])*1,Tabla4[IVA])</f>
        <v>0</v>
      </c>
      <c r="M294" s="262">
        <f>SUMIFS(Tabla4[Total],Tabla4[Codigo],Tabla2[[#This Row],[Cod]])</f>
        <v>400000</v>
      </c>
      <c r="N294" s="278">
        <f>SUMPRODUCT((Tabla1[Codigo]=Tabla2[[#This Row],[Cod]])*1,Tabla1[Valor])</f>
        <v>400000</v>
      </c>
      <c r="O294" s="265">
        <f>IF(AND(Tabla2[[#This Row],[Estado]]="ok",LEFT(Tabla2[[#This Row],['# Factura]],3)="TIS"),Tabla2[[#This Row],[TOTAL]]-Tabla2[[#This Row],[pagado]],0)</f>
        <v>0</v>
      </c>
      <c r="P294" s="262">
        <f>Tabla2[[#This Row],[TOTAL]]-Tabla2[[#This Row],[Valor pago]]</f>
        <v>0</v>
      </c>
      <c r="Q294" s="265">
        <f>IF(Tabla2[[#This Row],[Saldo]]=0,0,IF(Tabla2[[#This Row],[Tipo cliente]]="PJ",Tabla2[[#This Row],[SUBTOTAL]]*11%,0))</f>
        <v>0</v>
      </c>
      <c r="R294" s="276">
        <f>IF(Tabla2[[#This Row],[Saldo]]=0,0,IF(Tabla2[[#This Row],[Tipo cliente]]="PJ",Tabla2[[#This Row],[SUBTOTAL]]*0.966%,0))</f>
        <v>0</v>
      </c>
      <c r="S294" s="276">
        <f>IF(Tabla2[[#This Row],[Retiene IVA]]="S",Tabla2[[#This Row],[IVA]]*0.15,0)</f>
        <v>0</v>
      </c>
      <c r="T294" s="265">
        <f>+Tabla2[[#This Row],[Saldo]]-Tabla2[[#This Row],[Rete fte]]-Tabla2[[#This Row],[rete ica]]-Tabla2[[#This Row],[Rete IVA]]</f>
        <v>0</v>
      </c>
      <c r="U29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294" s="23">
        <f>IF(Tabla2[[#This Row],[Fecha F.E.]]="","",YEAR(Tabla2[[#This Row],[Fecha F.E.]]))</f>
        <v>2023</v>
      </c>
      <c r="X294" s="23">
        <f>IF(Tabla2[[#This Row],[Fecha]]="","",YEAR(Tabla2[[#This Row],[Fecha]]))</f>
        <v>2023</v>
      </c>
    </row>
    <row r="295" spans="1:24" x14ac:dyDescent="0.25">
      <c r="A295" s="3">
        <v>295</v>
      </c>
      <c r="B295" s="77" t="s">
        <v>1360</v>
      </c>
      <c r="C295" s="360">
        <v>45127</v>
      </c>
      <c r="D295" s="76" t="s">
        <v>1361</v>
      </c>
      <c r="E295" s="360">
        <v>45127</v>
      </c>
      <c r="F295" s="78" t="s">
        <v>231</v>
      </c>
      <c r="G295" s="85">
        <v>52385710</v>
      </c>
      <c r="H295" s="177" t="str">
        <f>VLOOKUP(Tabla2[[#This Row],[NIT]],Clientes!A:C,2,0)</f>
        <v>Maria del Pilar Alvarado Joya</v>
      </c>
      <c r="I295" s="77" t="str">
        <f>VLOOKUP(Tabla2[[#This Row],[NIT]],Clientes!A:C,3,0)</f>
        <v>PN</v>
      </c>
      <c r="J295" s="73" t="s">
        <v>794</v>
      </c>
      <c r="K295" s="267">
        <f>SUMIFS(Tabla4[Sub Total],Tabla4[Codigo],Tabla2[[#This Row],[Cod]])</f>
        <v>900000</v>
      </c>
      <c r="L295" s="262">
        <f>SUMPRODUCT((Tabla4[Codigo]=Tabla2[[#This Row],[Cod]])*1,Tabla4[IVA])</f>
        <v>0</v>
      </c>
      <c r="M295" s="262">
        <f>SUMIFS(Tabla4[Total],Tabla4[Codigo],Tabla2[[#This Row],[Cod]])</f>
        <v>900000</v>
      </c>
      <c r="N295" s="278">
        <f>SUMPRODUCT((Tabla1[Codigo]=Tabla2[[#This Row],[Cod]])*1,Tabla1[Valor])</f>
        <v>900000</v>
      </c>
      <c r="O295" s="265">
        <f>IF(AND(Tabla2[[#This Row],[Estado]]="ok",LEFT(Tabla2[[#This Row],['# Factura]],3)="TIS"),Tabla2[[#This Row],[TOTAL]]-Tabla2[[#This Row],[pagado]],0)</f>
        <v>0</v>
      </c>
      <c r="P295" s="262">
        <f>Tabla2[[#This Row],[TOTAL]]-Tabla2[[#This Row],[Valor pago]]</f>
        <v>0</v>
      </c>
      <c r="Q295" s="265">
        <f>IF(Tabla2[[#This Row],[Saldo]]=0,0,IF(Tabla2[[#This Row],[Tipo cliente]]="PJ",Tabla2[[#This Row],[SUBTOTAL]]*11%,0))</f>
        <v>0</v>
      </c>
      <c r="R295" s="276">
        <f>IF(Tabla2[[#This Row],[Saldo]]=0,0,IF(Tabla2[[#This Row],[Tipo cliente]]="PJ",Tabla2[[#This Row],[SUBTOTAL]]*0.966%,0))</f>
        <v>0</v>
      </c>
      <c r="S295" s="276">
        <f>IF(Tabla2[[#This Row],[Retiene IVA]]="S",Tabla2[[#This Row],[IVA]]*0.15,0)</f>
        <v>0</v>
      </c>
      <c r="T295" s="265">
        <f>+Tabla2[[#This Row],[Saldo]]-Tabla2[[#This Row],[Rete fte]]-Tabla2[[#This Row],[rete ica]]-Tabla2[[#This Row],[Rete IVA]]</f>
        <v>0</v>
      </c>
      <c r="U29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295" s="23">
        <f>IF(Tabla2[[#This Row],[Fecha F.E.]]="","",YEAR(Tabla2[[#This Row],[Fecha F.E.]]))</f>
        <v>2023</v>
      </c>
      <c r="X295" s="23">
        <f>IF(Tabla2[[#This Row],[Fecha]]="","",YEAR(Tabla2[[#This Row],[Fecha]]))</f>
        <v>2023</v>
      </c>
    </row>
    <row r="296" spans="1:24" x14ac:dyDescent="0.25">
      <c r="A296" s="3">
        <v>296</v>
      </c>
      <c r="B296" s="77" t="s">
        <v>1362</v>
      </c>
      <c r="C296" s="360">
        <v>45137</v>
      </c>
      <c r="D296" s="76" t="s">
        <v>1363</v>
      </c>
      <c r="E296" s="360">
        <v>45137</v>
      </c>
      <c r="F296" s="78" t="s">
        <v>231</v>
      </c>
      <c r="G296" s="85">
        <v>52385710</v>
      </c>
      <c r="H296" s="177" t="str">
        <f>VLOOKUP(Tabla2[[#This Row],[NIT]],Clientes!A:C,2,0)</f>
        <v>Maria del Pilar Alvarado Joya</v>
      </c>
      <c r="I296" s="77" t="str">
        <f>VLOOKUP(Tabla2[[#This Row],[NIT]],Clientes!A:C,3,0)</f>
        <v>PN</v>
      </c>
      <c r="J296" s="73" t="s">
        <v>794</v>
      </c>
      <c r="K296" s="267">
        <f>SUMIFS(Tabla4[Sub Total],Tabla4[Codigo],Tabla2[[#This Row],[Cod]])</f>
        <v>300000</v>
      </c>
      <c r="L296" s="262">
        <f>SUMPRODUCT((Tabla4[Codigo]=Tabla2[[#This Row],[Cod]])*1,Tabla4[IVA])</f>
        <v>0</v>
      </c>
      <c r="M296" s="262">
        <f>SUMIFS(Tabla4[Total],Tabla4[Codigo],Tabla2[[#This Row],[Cod]])</f>
        <v>300000</v>
      </c>
      <c r="N296" s="278">
        <f>SUMPRODUCT((Tabla1[Codigo]=Tabla2[[#This Row],[Cod]])*1,Tabla1[Valor])</f>
        <v>300000</v>
      </c>
      <c r="O296" s="265">
        <f>IF(AND(Tabla2[[#This Row],[Estado]]="ok",LEFT(Tabla2[[#This Row],['# Factura]],3)="TIS"),Tabla2[[#This Row],[TOTAL]]-Tabla2[[#This Row],[pagado]],0)</f>
        <v>0</v>
      </c>
      <c r="P296" s="262">
        <f>Tabla2[[#This Row],[TOTAL]]-Tabla2[[#This Row],[Valor pago]]</f>
        <v>0</v>
      </c>
      <c r="Q296" s="265">
        <f>IF(Tabla2[[#This Row],[Saldo]]=0,0,IF(Tabla2[[#This Row],[Tipo cliente]]="PJ",Tabla2[[#This Row],[SUBTOTAL]]*11%,0))</f>
        <v>0</v>
      </c>
      <c r="R296" s="276">
        <f>IF(Tabla2[[#This Row],[Saldo]]=0,0,IF(Tabla2[[#This Row],[Tipo cliente]]="PJ",Tabla2[[#This Row],[SUBTOTAL]]*0.966%,0))</f>
        <v>0</v>
      </c>
      <c r="S296" s="276">
        <f>IF(Tabla2[[#This Row],[Retiene IVA]]="S",Tabla2[[#This Row],[IVA]]*0.15,0)</f>
        <v>0</v>
      </c>
      <c r="T296" s="265">
        <f>+Tabla2[[#This Row],[Saldo]]-Tabla2[[#This Row],[Rete fte]]-Tabla2[[#This Row],[rete ica]]-Tabla2[[#This Row],[Rete IVA]]</f>
        <v>0</v>
      </c>
      <c r="U29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300000</v>
      </c>
      <c r="W296" s="23">
        <f>IF(Tabla2[[#This Row],[Fecha F.E.]]="","",YEAR(Tabla2[[#This Row],[Fecha F.E.]]))</f>
        <v>2023</v>
      </c>
      <c r="X296" s="23">
        <f>IF(Tabla2[[#This Row],[Fecha]]="","",YEAR(Tabla2[[#This Row],[Fecha]]))</f>
        <v>2023</v>
      </c>
    </row>
    <row r="297" spans="1:24" x14ac:dyDescent="0.25">
      <c r="A297" s="3">
        <v>297</v>
      </c>
      <c r="B297" s="77" t="s">
        <v>1364</v>
      </c>
      <c r="C297" s="360">
        <v>45137</v>
      </c>
      <c r="D297" s="76" t="s">
        <v>1365</v>
      </c>
      <c r="E297" s="360">
        <v>45137</v>
      </c>
      <c r="F297" s="78" t="s">
        <v>231</v>
      </c>
      <c r="G297" s="85">
        <v>900355950</v>
      </c>
      <c r="H297" s="177" t="str">
        <f>VLOOKUP(Tabla2[[#This Row],[NIT]],Clientes!A:C,2,0)</f>
        <v>TECNOLOGIA DE OFICINA S.A.S.</v>
      </c>
      <c r="I297" s="77" t="str">
        <f>VLOOKUP(Tabla2[[#This Row],[NIT]],Clientes!A:C,3,0)</f>
        <v>PJ</v>
      </c>
      <c r="J297" s="73" t="s">
        <v>794</v>
      </c>
      <c r="K297" s="267">
        <f>SUMIFS(Tabla4[Sub Total],Tabla4[Codigo],Tabla2[[#This Row],[Cod]])</f>
        <v>648000</v>
      </c>
      <c r="L297" s="262">
        <f>SUMPRODUCT((Tabla4[Codigo]=Tabla2[[#This Row],[Cod]])*1,Tabla4[IVA])</f>
        <v>123120</v>
      </c>
      <c r="M297" s="262">
        <f>SUMIFS(Tabla4[Total],Tabla4[Codigo],Tabla2[[#This Row],[Cod]])</f>
        <v>771120</v>
      </c>
      <c r="N297" s="278">
        <f>SUMPRODUCT((Tabla1[Codigo]=Tabla2[[#This Row],[Cod]])*1,Tabla1[Valor])</f>
        <v>771120</v>
      </c>
      <c r="O297" s="265">
        <f>IF(AND(Tabla2[[#This Row],[Estado]]="ok",LEFT(Tabla2[[#This Row],['# Factura]],3)="TIS"),Tabla2[[#This Row],[TOTAL]]-Tabla2[[#This Row],[pagado]],0)</f>
        <v>0</v>
      </c>
      <c r="P297" s="262">
        <f>Tabla2[[#This Row],[TOTAL]]-Tabla2[[#This Row],[Valor pago]]</f>
        <v>0</v>
      </c>
      <c r="Q297" s="265">
        <f>IF(Tabla2[[#This Row],[Saldo]]=0,0,IF(Tabla2[[#This Row],[Tipo cliente]]="PJ",Tabla2[[#This Row],[SUBTOTAL]]*11%,0))</f>
        <v>0</v>
      </c>
      <c r="R297" s="276">
        <f>IF(Tabla2[[#This Row],[Saldo]]=0,0,IF(Tabla2[[#This Row],[Tipo cliente]]="PJ",Tabla2[[#This Row],[SUBTOTAL]]*0.966%,0))</f>
        <v>0</v>
      </c>
      <c r="S297" s="276">
        <f>IF(Tabla2[[#This Row],[Retiene IVA]]="S",Tabla2[[#This Row],[IVA]]*0.15,0)</f>
        <v>0</v>
      </c>
      <c r="T297" s="265">
        <f>+Tabla2[[#This Row],[Saldo]]-Tabla2[[#This Row],[Rete fte]]-Tabla2[[#This Row],[rete ica]]-Tabla2[[#This Row],[Rete IVA]]</f>
        <v>0</v>
      </c>
      <c r="U29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771120</v>
      </c>
      <c r="W297" s="23">
        <f>IF(Tabla2[[#This Row],[Fecha F.E.]]="","",YEAR(Tabla2[[#This Row],[Fecha F.E.]]))</f>
        <v>2023</v>
      </c>
      <c r="X297" s="23">
        <f>IF(Tabla2[[#This Row],[Fecha]]="","",YEAR(Tabla2[[#This Row],[Fecha]]))</f>
        <v>2023</v>
      </c>
    </row>
    <row r="298" spans="1:24" x14ac:dyDescent="0.25">
      <c r="A298" s="3">
        <v>298</v>
      </c>
      <c r="B298" s="77" t="s">
        <v>1366</v>
      </c>
      <c r="C298" s="360">
        <v>45140</v>
      </c>
      <c r="D298" s="76" t="s">
        <v>1367</v>
      </c>
      <c r="E298" s="360">
        <v>45127</v>
      </c>
      <c r="F298" s="78" t="s">
        <v>231</v>
      </c>
      <c r="G298" s="85">
        <v>832000662</v>
      </c>
      <c r="H298" s="177" t="str">
        <f>VLOOKUP(Tabla2[[#This Row],[NIT]],Clientes!A:C,2,0)</f>
        <v xml:space="preserve">VENTAS Y MARCAS SAS </v>
      </c>
      <c r="I298" s="77" t="str">
        <f>VLOOKUP(Tabla2[[#This Row],[NIT]],Clientes!A:C,3,0)</f>
        <v>PJ</v>
      </c>
      <c r="J298" s="73" t="s">
        <v>794</v>
      </c>
      <c r="K298" s="267">
        <f>SUMIFS(Tabla4[Sub Total],Tabla4[Codigo],Tabla2[[#This Row],[Cod]])</f>
        <v>950000</v>
      </c>
      <c r="L298" s="262">
        <f>SUMPRODUCT((Tabla4[Codigo]=Tabla2[[#This Row],[Cod]])*1,Tabla4[IVA])</f>
        <v>180500</v>
      </c>
      <c r="M298" s="262">
        <f>SUMIFS(Tabla4[Total],Tabla4[Codigo],Tabla2[[#This Row],[Cod]])</f>
        <v>1130500</v>
      </c>
      <c r="N298" s="278">
        <f>SUMPRODUCT((Tabla1[Codigo]=Tabla2[[#This Row],[Cod]])*1,Tabla1[Valor])</f>
        <v>1017773</v>
      </c>
      <c r="O298" s="265">
        <f>IF(AND(Tabla2[[#This Row],[Estado]]="ok",LEFT(Tabla2[[#This Row],['# Factura]],3)="TIS"),Tabla2[[#This Row],[TOTAL]]-Tabla2[[#This Row],[pagado]],0)</f>
        <v>0</v>
      </c>
      <c r="P298" s="262">
        <f>Tabla2[[#This Row],[TOTAL]]-Tabla2[[#This Row],[Valor pago]]</f>
        <v>112727</v>
      </c>
      <c r="Q298" s="265">
        <f>IF(Tabla2[[#This Row],[Saldo]]=0,0,IF(Tabla2[[#This Row],[Tipo cliente]]="PJ",Tabla2[[#This Row],[SUBTOTAL]]*11%,0))</f>
        <v>104500</v>
      </c>
      <c r="R298" s="276">
        <f>IF(Tabla2[[#This Row],[Saldo]]=0,0,IF(Tabla2[[#This Row],[Tipo cliente]]="PJ",Tabla2[[#This Row],[SUBTOTAL]]*0.966%,0))</f>
        <v>9177</v>
      </c>
      <c r="S298" s="276">
        <f>IF(Tabla2[[#This Row],[Retiene IVA]]="S",Tabla2[[#This Row],[IVA]]*0.15,0)</f>
        <v>0</v>
      </c>
      <c r="T298" s="265">
        <f>+Tabla2[[#This Row],[Saldo]]-Tabla2[[#This Row],[Rete fte]]-Tabla2[[#This Row],[rete ica]]-Tabla2[[#This Row],[Rete IVA]]</f>
        <v>-950</v>
      </c>
      <c r="U29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1130500</v>
      </c>
      <c r="W298" s="23">
        <f>IF(Tabla2[[#This Row],[Fecha F.E.]]="","",YEAR(Tabla2[[#This Row],[Fecha F.E.]]))</f>
        <v>2023</v>
      </c>
      <c r="X298" s="23">
        <f>IF(Tabla2[[#This Row],[Fecha]]="","",YEAR(Tabla2[[#This Row],[Fecha]]))</f>
        <v>2023</v>
      </c>
    </row>
    <row r="299" spans="1:24" x14ac:dyDescent="0.25">
      <c r="A299" s="3">
        <v>299</v>
      </c>
      <c r="B299" s="77" t="s">
        <v>1368</v>
      </c>
      <c r="C299" s="360">
        <v>45140</v>
      </c>
      <c r="D299" s="76" t="s">
        <v>1369</v>
      </c>
      <c r="E299" s="360">
        <v>45127</v>
      </c>
      <c r="F299" s="78" t="s">
        <v>231</v>
      </c>
      <c r="G299" s="85">
        <v>900022013</v>
      </c>
      <c r="H299" s="177" t="str">
        <f>VLOOKUP(Tabla2[[#This Row],[NIT]],Clientes!A:C,2,0)</f>
        <v>INVERSIONES FRANQUIHER S A S</v>
      </c>
      <c r="I299" s="77" t="str">
        <f>VLOOKUP(Tabla2[[#This Row],[NIT]],Clientes!A:C,3,0)</f>
        <v>PJ</v>
      </c>
      <c r="J299" s="73" t="s">
        <v>794</v>
      </c>
      <c r="K299" s="267">
        <f>SUMIFS(Tabla4[Sub Total],Tabla4[Codigo],Tabla2[[#This Row],[Cod]])</f>
        <v>450000</v>
      </c>
      <c r="L299" s="262">
        <f>SUMPRODUCT((Tabla4[Codigo]=Tabla2[[#This Row],[Cod]])*1,Tabla4[IVA])</f>
        <v>85500</v>
      </c>
      <c r="M299" s="262">
        <f>SUMIFS(Tabla4[Total],Tabla4[Codigo],Tabla2[[#This Row],[Cod]])</f>
        <v>535500</v>
      </c>
      <c r="N299" s="278">
        <f>SUMPRODUCT((Tabla1[Codigo]=Tabla2[[#This Row],[Cod]])*1,Tabla1[Valor])</f>
        <v>482895</v>
      </c>
      <c r="O299" s="265">
        <f>IF(AND(Tabla2[[#This Row],[Estado]]="ok",LEFT(Tabla2[[#This Row],['# Factura]],3)="TIS"),Tabla2[[#This Row],[TOTAL]]-Tabla2[[#This Row],[pagado]],0)</f>
        <v>0</v>
      </c>
      <c r="P299" s="262">
        <f>Tabla2[[#This Row],[TOTAL]]-Tabla2[[#This Row],[Valor pago]]</f>
        <v>52605</v>
      </c>
      <c r="Q299" s="265">
        <f>IF(Tabla2[[#This Row],[Saldo]]=0,0,IF(Tabla2[[#This Row],[Tipo cliente]]="PJ",Tabla2[[#This Row],[SUBTOTAL]]*11%,0))</f>
        <v>49500</v>
      </c>
      <c r="R299" s="276">
        <f>IF(Tabla2[[#This Row],[Saldo]]=0,0,IF(Tabla2[[#This Row],[Tipo cliente]]="PJ",Tabla2[[#This Row],[SUBTOTAL]]*0.966%,0))</f>
        <v>4347</v>
      </c>
      <c r="S299" s="276">
        <f>IF(Tabla2[[#This Row],[Retiene IVA]]="S",Tabla2[[#This Row],[IVA]]*0.15,0)</f>
        <v>0</v>
      </c>
      <c r="T299" s="265">
        <f>+Tabla2[[#This Row],[Saldo]]-Tabla2[[#This Row],[Rete fte]]-Tabla2[[#This Row],[rete ica]]-Tabla2[[#This Row],[Rete IVA]]</f>
        <v>-1242</v>
      </c>
      <c r="U29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535500</v>
      </c>
      <c r="W299" s="23">
        <f>IF(Tabla2[[#This Row],[Fecha F.E.]]="","",YEAR(Tabla2[[#This Row],[Fecha F.E.]]))</f>
        <v>2023</v>
      </c>
      <c r="X299" s="23">
        <f>IF(Tabla2[[#This Row],[Fecha]]="","",YEAR(Tabla2[[#This Row],[Fecha]]))</f>
        <v>2023</v>
      </c>
    </row>
    <row r="300" spans="1:24" x14ac:dyDescent="0.25">
      <c r="A300" s="3">
        <v>300</v>
      </c>
      <c r="B300" s="77" t="s">
        <v>1370</v>
      </c>
      <c r="C300" s="360">
        <v>45140</v>
      </c>
      <c r="D300" s="76" t="s">
        <v>1371</v>
      </c>
      <c r="E300" s="360">
        <v>45127</v>
      </c>
      <c r="F300" s="78" t="s">
        <v>231</v>
      </c>
      <c r="G300" s="85">
        <v>901218098</v>
      </c>
      <c r="H300" s="177" t="str">
        <f>VLOOKUP(Tabla2[[#This Row],[NIT]],Clientes!A:C,2,0)</f>
        <v>H &amp; S FRANQUICIAS SAS</v>
      </c>
      <c r="I300" s="77" t="str">
        <f>VLOOKUP(Tabla2[[#This Row],[NIT]],Clientes!A:C,3,0)</f>
        <v>PJ</v>
      </c>
      <c r="J300" s="73" t="s">
        <v>794</v>
      </c>
      <c r="K300" s="267">
        <f>SUMIFS(Tabla4[Sub Total],Tabla4[Codigo],Tabla2[[#This Row],[Cod]])</f>
        <v>450000</v>
      </c>
      <c r="L300" s="262">
        <f>SUMPRODUCT((Tabla4[Codigo]=Tabla2[[#This Row],[Cod]])*1,Tabla4[IVA])</f>
        <v>85500</v>
      </c>
      <c r="M300" s="262">
        <f>SUMIFS(Tabla4[Total],Tabla4[Codigo],Tabla2[[#This Row],[Cod]])</f>
        <v>535500</v>
      </c>
      <c r="N300" s="278">
        <f>SUMPRODUCT((Tabla1[Codigo]=Tabla2[[#This Row],[Cod]])*1,Tabla1[Valor])</f>
        <v>482895</v>
      </c>
      <c r="O300" s="265">
        <f>IF(AND(Tabla2[[#This Row],[Estado]]="ok",LEFT(Tabla2[[#This Row],['# Factura]],3)="TIS"),Tabla2[[#This Row],[TOTAL]]-Tabla2[[#This Row],[pagado]],0)</f>
        <v>0</v>
      </c>
      <c r="P300" s="262">
        <f>Tabla2[[#This Row],[TOTAL]]-Tabla2[[#This Row],[Valor pago]]</f>
        <v>52605</v>
      </c>
      <c r="Q300" s="265">
        <f>IF(Tabla2[[#This Row],[Saldo]]=0,0,IF(Tabla2[[#This Row],[Tipo cliente]]="PJ",Tabla2[[#This Row],[SUBTOTAL]]*11%,0))</f>
        <v>49500</v>
      </c>
      <c r="R300" s="276">
        <f>IF(Tabla2[[#This Row],[Saldo]]=0,0,IF(Tabla2[[#This Row],[Tipo cliente]]="PJ",Tabla2[[#This Row],[SUBTOTAL]]*0.966%,0))</f>
        <v>4347</v>
      </c>
      <c r="S300" s="276">
        <f>IF(Tabla2[[#This Row],[Retiene IVA]]="S",Tabla2[[#This Row],[IVA]]*0.15,0)</f>
        <v>0</v>
      </c>
      <c r="T300" s="265">
        <f>+Tabla2[[#This Row],[Saldo]]-Tabla2[[#This Row],[Rete fte]]-Tabla2[[#This Row],[rete ica]]-Tabla2[[#This Row],[Rete IVA]]</f>
        <v>-1242</v>
      </c>
      <c r="U30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535500</v>
      </c>
      <c r="W300" s="23">
        <f>IF(Tabla2[[#This Row],[Fecha F.E.]]="","",YEAR(Tabla2[[#This Row],[Fecha F.E.]]))</f>
        <v>2023</v>
      </c>
      <c r="X300" s="23">
        <f>IF(Tabla2[[#This Row],[Fecha]]="","",YEAR(Tabla2[[#This Row],[Fecha]]))</f>
        <v>2023</v>
      </c>
    </row>
    <row r="301" spans="1:24" x14ac:dyDescent="0.25">
      <c r="A301" s="3">
        <v>301</v>
      </c>
      <c r="B301" s="77" t="s">
        <v>1372</v>
      </c>
      <c r="C301" s="360">
        <v>45156</v>
      </c>
      <c r="D301" s="76" t="s">
        <v>1373</v>
      </c>
      <c r="E301" s="360">
        <v>45282</v>
      </c>
      <c r="F301" s="78" t="s">
        <v>796</v>
      </c>
      <c r="G301" s="85">
        <v>800159215</v>
      </c>
      <c r="H301" s="177" t="str">
        <f>VLOOKUP(Tabla2[[#This Row],[NIT]],Clientes!A:C,2,0)</f>
        <v>INDU B SAS</v>
      </c>
      <c r="I301" s="77" t="str">
        <f>VLOOKUP(Tabla2[[#This Row],[NIT]],Clientes!A:C,3,0)</f>
        <v>PJ</v>
      </c>
      <c r="J301" s="73" t="s">
        <v>794</v>
      </c>
      <c r="K301" s="267">
        <f>SUMIFS(Tabla4[Sub Total],Tabla4[Codigo],Tabla2[[#This Row],[Cod]])</f>
        <v>3381000</v>
      </c>
      <c r="L301" s="262">
        <f>SUMPRODUCT((Tabla4[Codigo]=Tabla2[[#This Row],[Cod]])*1,Tabla4[IVA])</f>
        <v>0</v>
      </c>
      <c r="M301" s="262">
        <f>SUMIFS(Tabla4[Total],Tabla4[Codigo],Tabla2[[#This Row],[Cod]])</f>
        <v>3381000</v>
      </c>
      <c r="N301" s="278">
        <f>SUMPRODUCT((Tabla1[Codigo]=Tabla2[[#This Row],[Cod]])*1,Tabla1[Valor])</f>
        <v>3858870</v>
      </c>
      <c r="O301" s="265">
        <f>IF(AND(Tabla2[[#This Row],[Estado]]="ok",LEFT(Tabla2[[#This Row],['# Factura]],3)="TIS"),Tabla2[[#This Row],[TOTAL]]-Tabla2[[#This Row],[pagado]],0)</f>
        <v>0</v>
      </c>
      <c r="P301" s="262">
        <f>Tabla2[[#This Row],[TOTAL]]-Tabla2[[#This Row],[Valor pago]]</f>
        <v>-477870</v>
      </c>
      <c r="Q301" s="265">
        <f>IF(Tabla2[[#This Row],[Saldo]]=0,0,IF(Tabla2[[#This Row],[Tipo cliente]]="PJ",Tabla2[[#This Row],[SUBTOTAL]]*11%,0))</f>
        <v>371910</v>
      </c>
      <c r="R301" s="276">
        <f>IF(Tabla2[[#This Row],[Saldo]]=0,0,IF(Tabla2[[#This Row],[Tipo cliente]]="PJ",Tabla2[[#This Row],[SUBTOTAL]]*0.966%,0))</f>
        <v>32660.46</v>
      </c>
      <c r="S301" s="276">
        <f>IF(Tabla2[[#This Row],[Retiene IVA]]="S",Tabla2[[#This Row],[IVA]]*0.15,0)</f>
        <v>0</v>
      </c>
      <c r="T301" s="265">
        <f>+Tabla2[[#This Row],[Saldo]]-Tabla2[[#This Row],[Rete fte]]-Tabla2[[#This Row],[rete ica]]-Tabla2[[#This Row],[Rete IVA]]</f>
        <v>-882440.46</v>
      </c>
      <c r="U30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301" s="23">
        <f>IF(Tabla2[[#This Row],[Fecha F.E.]]="","",YEAR(Tabla2[[#This Row],[Fecha F.E.]]))</f>
        <v>2023</v>
      </c>
      <c r="X301" s="23">
        <f>IF(Tabla2[[#This Row],[Fecha]]="","",YEAR(Tabla2[[#This Row],[Fecha]]))</f>
        <v>2023</v>
      </c>
    </row>
    <row r="302" spans="1:24" x14ac:dyDescent="0.25">
      <c r="A302" s="3">
        <v>302</v>
      </c>
      <c r="B302" s="77" t="s">
        <v>1374</v>
      </c>
      <c r="C302" s="360">
        <v>45160</v>
      </c>
      <c r="D302" s="76" t="s">
        <v>1375</v>
      </c>
      <c r="E302" s="360">
        <v>45160</v>
      </c>
      <c r="F302" s="78" t="s">
        <v>231</v>
      </c>
      <c r="G302" s="85">
        <v>800028768</v>
      </c>
      <c r="H302" s="177" t="str">
        <f>VLOOKUP(Tabla2[[#This Row],[NIT]],Clientes!A:C,2,0)</f>
        <v>Comercializadora ERZ SAS</v>
      </c>
      <c r="I302" s="77" t="str">
        <f>VLOOKUP(Tabla2[[#This Row],[NIT]],Clientes!A:C,3,0)</f>
        <v>PJ</v>
      </c>
      <c r="J302" s="73" t="s">
        <v>794</v>
      </c>
      <c r="K302" s="267">
        <f>SUMIFS(Tabla4[Sub Total],Tabla4[Codigo],Tabla2[[#This Row],[Cod]])</f>
        <v>260000</v>
      </c>
      <c r="L302" s="262">
        <f>SUMPRODUCT((Tabla4[Codigo]=Tabla2[[#This Row],[Cod]])*1,Tabla4[IVA])</f>
        <v>49400</v>
      </c>
      <c r="M302" s="262">
        <f>SUMIFS(Tabla4[Total],Tabla4[Codigo],Tabla2[[#This Row],[Cod]])</f>
        <v>309400</v>
      </c>
      <c r="N302" s="278">
        <f>SUMPRODUCT((Tabla1[Codigo]=Tabla2[[#This Row],[Cod]])*1,Tabla1[Valor])</f>
        <v>280800</v>
      </c>
      <c r="O302" s="265">
        <f>IF(AND(Tabla2[[#This Row],[Estado]]="ok",LEFT(Tabla2[[#This Row],['# Factura]],3)="TIS"),Tabla2[[#This Row],[TOTAL]]-Tabla2[[#This Row],[pagado]],0)</f>
        <v>0</v>
      </c>
      <c r="P302" s="262">
        <f>Tabla2[[#This Row],[TOTAL]]-Tabla2[[#This Row],[Valor pago]]</f>
        <v>28600</v>
      </c>
      <c r="Q302" s="265">
        <f>IF(Tabla2[[#This Row],[Saldo]]=0,0,IF(Tabla2[[#This Row],[Tipo cliente]]="PJ",Tabla2[[#This Row],[SUBTOTAL]]*11%,0))</f>
        <v>28600</v>
      </c>
      <c r="R302" s="276">
        <f>IF(Tabla2[[#This Row],[Saldo]]=0,0,IF(Tabla2[[#This Row],[Tipo cliente]]="PJ",Tabla2[[#This Row],[SUBTOTAL]]*0.966%,0))</f>
        <v>2511.6</v>
      </c>
      <c r="S302" s="276">
        <f>IF(Tabla2[[#This Row],[Retiene IVA]]="S",Tabla2[[#This Row],[IVA]]*0.15,0)</f>
        <v>0</v>
      </c>
      <c r="T302" s="265">
        <f>+Tabla2[[#This Row],[Saldo]]-Tabla2[[#This Row],[Rete fte]]-Tabla2[[#This Row],[rete ica]]-Tabla2[[#This Row],[Rete IVA]]</f>
        <v>-2511.6</v>
      </c>
      <c r="U30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309400</v>
      </c>
      <c r="W302" s="23">
        <f>IF(Tabla2[[#This Row],[Fecha F.E.]]="","",YEAR(Tabla2[[#This Row],[Fecha F.E.]]))</f>
        <v>2023</v>
      </c>
      <c r="X302" s="23">
        <f>IF(Tabla2[[#This Row],[Fecha]]="","",YEAR(Tabla2[[#This Row],[Fecha]]))</f>
        <v>2023</v>
      </c>
    </row>
    <row r="303" spans="1:24" x14ac:dyDescent="0.25">
      <c r="A303" s="3">
        <v>303</v>
      </c>
      <c r="B303" s="77" t="s">
        <v>1376</v>
      </c>
      <c r="C303" s="360">
        <v>45160</v>
      </c>
      <c r="D303" s="76" t="s">
        <v>1377</v>
      </c>
      <c r="E303" s="360">
        <v>45160</v>
      </c>
      <c r="F303" s="78" t="s">
        <v>231</v>
      </c>
      <c r="G303" s="85">
        <v>901342609</v>
      </c>
      <c r="H303" s="177" t="str">
        <f>VLOOKUP(Tabla2[[#This Row],[NIT]],Clientes!A:C,2,0)</f>
        <v>ROYCO SOLUCIONES SAS</v>
      </c>
      <c r="I303" s="77" t="str">
        <f>VLOOKUP(Tabla2[[#This Row],[NIT]],Clientes!A:C,3,0)</f>
        <v>PJ</v>
      </c>
      <c r="J303" s="73" t="s">
        <v>794</v>
      </c>
      <c r="K303" s="267">
        <f>SUMIFS(Tabla4[Sub Total],Tabla4[Codigo],Tabla2[[#This Row],[Cod]])</f>
        <v>175000</v>
      </c>
      <c r="L303" s="262">
        <f>SUMPRODUCT((Tabla4[Codigo]=Tabla2[[#This Row],[Cod]])*1,Tabla4[IVA])</f>
        <v>33250</v>
      </c>
      <c r="M303" s="262">
        <f>SUMIFS(Tabla4[Total],Tabla4[Codigo],Tabla2[[#This Row],[Cod]])</f>
        <v>208250</v>
      </c>
      <c r="N303" s="278">
        <f>SUMPRODUCT((Tabla1[Codigo]=Tabla2[[#This Row],[Cod]])*1,Tabla1[Valor])</f>
        <v>199470</v>
      </c>
      <c r="O303" s="265">
        <f>IF(AND(Tabla2[[#This Row],[Estado]]="ok",LEFT(Tabla2[[#This Row],['# Factura]],3)="TIS"),Tabla2[[#This Row],[TOTAL]]-Tabla2[[#This Row],[pagado]],0)</f>
        <v>0</v>
      </c>
      <c r="P303" s="262">
        <f>Tabla2[[#This Row],[TOTAL]]-Tabla2[[#This Row],[Valor pago]]</f>
        <v>8780</v>
      </c>
      <c r="Q303" s="265">
        <f>IF(Tabla2[[#This Row],[Saldo]]=0,0,IF(Tabla2[[#This Row],[Tipo cliente]]="PJ",Tabla2[[#This Row],[SUBTOTAL]]*11%,0))</f>
        <v>19250</v>
      </c>
      <c r="R303" s="276">
        <f>IF(Tabla2[[#This Row],[Saldo]]=0,0,IF(Tabla2[[#This Row],[Tipo cliente]]="PJ",Tabla2[[#This Row],[SUBTOTAL]]*0.966%,0))</f>
        <v>1690.5</v>
      </c>
      <c r="S303" s="276">
        <f>IF(Tabla2[[#This Row],[Retiene IVA]]="S",Tabla2[[#This Row],[IVA]]*0.15,0)</f>
        <v>0</v>
      </c>
      <c r="T303" s="265">
        <f>+Tabla2[[#This Row],[Saldo]]-Tabla2[[#This Row],[Rete fte]]-Tabla2[[#This Row],[rete ica]]-Tabla2[[#This Row],[Rete IVA]]</f>
        <v>-12160.5</v>
      </c>
      <c r="U30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208250</v>
      </c>
      <c r="W303" s="23">
        <f>IF(Tabla2[[#This Row],[Fecha F.E.]]="","",YEAR(Tabla2[[#This Row],[Fecha F.E.]]))</f>
        <v>2023</v>
      </c>
      <c r="X303" s="23">
        <f>IF(Tabla2[[#This Row],[Fecha]]="","",YEAR(Tabla2[[#This Row],[Fecha]]))</f>
        <v>2023</v>
      </c>
    </row>
    <row r="304" spans="1:24" x14ac:dyDescent="0.25">
      <c r="A304" s="3">
        <v>304</v>
      </c>
      <c r="B304" s="77" t="s">
        <v>1378</v>
      </c>
      <c r="C304" s="360">
        <v>45160</v>
      </c>
      <c r="D304" s="76" t="s">
        <v>1379</v>
      </c>
      <c r="E304" s="360">
        <v>45160</v>
      </c>
      <c r="F304" s="78" t="s">
        <v>231</v>
      </c>
      <c r="G304" s="85">
        <v>900505660</v>
      </c>
      <c r="H304" s="177" t="str">
        <f>VLOOKUP(Tabla2[[#This Row],[NIT]],Clientes!A:C,2,0)</f>
        <v>DIGITAL MEDIA TECHNOLOGIES COLOMBIA SAS</v>
      </c>
      <c r="I304" s="77" t="str">
        <f>VLOOKUP(Tabla2[[#This Row],[NIT]],Clientes!A:C,3,0)</f>
        <v>PJ</v>
      </c>
      <c r="J304" s="73" t="s">
        <v>794</v>
      </c>
      <c r="K304" s="267">
        <f>SUMIFS(Tabla4[Sub Total],Tabla4[Codigo],Tabla2[[#This Row],[Cod]])</f>
        <v>250000</v>
      </c>
      <c r="L304" s="262">
        <f>SUMPRODUCT((Tabla4[Codigo]=Tabla2[[#This Row],[Cod]])*1,Tabla4[IVA])</f>
        <v>47500</v>
      </c>
      <c r="M304" s="262">
        <f>SUMIFS(Tabla4[Total],Tabla4[Codigo],Tabla2[[#This Row],[Cod]])</f>
        <v>297500</v>
      </c>
      <c r="N304" s="278">
        <f>SUMPRODUCT((Tabla1[Codigo]=Tabla2[[#This Row],[Cod]])*1,Tabla1[Valor])</f>
        <v>270000</v>
      </c>
      <c r="O304" s="265">
        <f>IF(AND(Tabla2[[#This Row],[Estado]]="ok",LEFT(Tabla2[[#This Row],['# Factura]],3)="TIS"),Tabla2[[#This Row],[TOTAL]]-Tabla2[[#This Row],[pagado]],0)</f>
        <v>0</v>
      </c>
      <c r="P304" s="262">
        <f>Tabla2[[#This Row],[TOTAL]]-Tabla2[[#This Row],[Valor pago]]</f>
        <v>27500</v>
      </c>
      <c r="Q304" s="265">
        <f>IF(Tabla2[[#This Row],[Saldo]]=0,0,IF(Tabla2[[#This Row],[Tipo cliente]]="PJ",Tabla2[[#This Row],[SUBTOTAL]]*11%,0))</f>
        <v>27500</v>
      </c>
      <c r="R304" s="276">
        <f>IF(Tabla2[[#This Row],[Saldo]]=0,0,IF(Tabla2[[#This Row],[Tipo cliente]]="PJ",Tabla2[[#This Row],[SUBTOTAL]]*0.966%,0))</f>
        <v>2415</v>
      </c>
      <c r="S304" s="276">
        <f>IF(Tabla2[[#This Row],[Retiene IVA]]="S",Tabla2[[#This Row],[IVA]]*0.15,0)</f>
        <v>0</v>
      </c>
      <c r="T304" s="265">
        <f>+Tabla2[[#This Row],[Saldo]]-Tabla2[[#This Row],[Rete fte]]-Tabla2[[#This Row],[rete ica]]-Tabla2[[#This Row],[Rete IVA]]</f>
        <v>-2415</v>
      </c>
      <c r="U30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297500</v>
      </c>
      <c r="W304" s="23">
        <f>IF(Tabla2[[#This Row],[Fecha F.E.]]="","",YEAR(Tabla2[[#This Row],[Fecha F.E.]]))</f>
        <v>2023</v>
      </c>
      <c r="X304" s="23">
        <f>IF(Tabla2[[#This Row],[Fecha]]="","",YEAR(Tabla2[[#This Row],[Fecha]]))</f>
        <v>2023</v>
      </c>
    </row>
    <row r="305" spans="1:24" x14ac:dyDescent="0.25">
      <c r="A305" s="3">
        <v>305</v>
      </c>
      <c r="B305" s="77" t="s">
        <v>1380</v>
      </c>
      <c r="C305" s="360">
        <v>45160</v>
      </c>
      <c r="D305" s="76" t="s">
        <v>1381</v>
      </c>
      <c r="E305" s="360">
        <v>45160</v>
      </c>
      <c r="F305" s="78" t="s">
        <v>231</v>
      </c>
      <c r="G305" s="85">
        <v>901030518</v>
      </c>
      <c r="H305" s="177" t="str">
        <f>VLOOKUP(Tabla2[[#This Row],[NIT]],Clientes!A:C,2,0)</f>
        <v>Inversiones Sajamib SAS</v>
      </c>
      <c r="I305" s="77" t="str">
        <f>VLOOKUP(Tabla2[[#This Row],[NIT]],Clientes!A:C,3,0)</f>
        <v>PJ</v>
      </c>
      <c r="J305" s="73" t="s">
        <v>794</v>
      </c>
      <c r="K305" s="267">
        <f>SUMIFS(Tabla4[Sub Total],Tabla4[Codigo],Tabla2[[#This Row],[Cod]])</f>
        <v>400000</v>
      </c>
      <c r="L305" s="262">
        <f>SUMPRODUCT((Tabla4[Codigo]=Tabla2[[#This Row],[Cod]])*1,Tabla4[IVA])</f>
        <v>0</v>
      </c>
      <c r="M305" s="262">
        <f>SUMIFS(Tabla4[Total],Tabla4[Codigo],Tabla2[[#This Row],[Cod]])</f>
        <v>400000</v>
      </c>
      <c r="N305" s="278">
        <f>SUMPRODUCT((Tabla1[Codigo]=Tabla2[[#This Row],[Cod]])*1,Tabla1[Valor])</f>
        <v>400000</v>
      </c>
      <c r="O305" s="265">
        <f>IF(AND(Tabla2[[#This Row],[Estado]]="ok",LEFT(Tabla2[[#This Row],['# Factura]],3)="TIS"),Tabla2[[#This Row],[TOTAL]]-Tabla2[[#This Row],[pagado]],0)</f>
        <v>0</v>
      </c>
      <c r="P305" s="262">
        <f>Tabla2[[#This Row],[TOTAL]]-Tabla2[[#This Row],[Valor pago]]</f>
        <v>0</v>
      </c>
      <c r="Q305" s="265">
        <f>IF(Tabla2[[#This Row],[Saldo]]=0,0,IF(Tabla2[[#This Row],[Tipo cliente]]="PJ",Tabla2[[#This Row],[SUBTOTAL]]*11%,0))</f>
        <v>0</v>
      </c>
      <c r="R305" s="276">
        <f>IF(Tabla2[[#This Row],[Saldo]]=0,0,IF(Tabla2[[#This Row],[Tipo cliente]]="PJ",Tabla2[[#This Row],[SUBTOTAL]]*0.966%,0))</f>
        <v>0</v>
      </c>
      <c r="S305" s="276">
        <f>IF(Tabla2[[#This Row],[Retiene IVA]]="S",Tabla2[[#This Row],[IVA]]*0.15,0)</f>
        <v>0</v>
      </c>
      <c r="T305" s="265">
        <f>+Tabla2[[#This Row],[Saldo]]-Tabla2[[#This Row],[Rete fte]]-Tabla2[[#This Row],[rete ica]]-Tabla2[[#This Row],[Rete IVA]]</f>
        <v>0</v>
      </c>
      <c r="U30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305" s="23">
        <f>IF(Tabla2[[#This Row],[Fecha F.E.]]="","",YEAR(Tabla2[[#This Row],[Fecha F.E.]]))</f>
        <v>2023</v>
      </c>
      <c r="X305" s="23">
        <f>IF(Tabla2[[#This Row],[Fecha]]="","",YEAR(Tabla2[[#This Row],[Fecha]]))</f>
        <v>2023</v>
      </c>
    </row>
    <row r="306" spans="1:24" x14ac:dyDescent="0.25">
      <c r="A306" s="3">
        <v>306</v>
      </c>
      <c r="B306" s="77" t="s">
        <v>1382</v>
      </c>
      <c r="C306" s="360">
        <v>45160</v>
      </c>
      <c r="D306" s="76" t="s">
        <v>1383</v>
      </c>
      <c r="E306" s="360">
        <v>45160</v>
      </c>
      <c r="F306" s="78" t="s">
        <v>231</v>
      </c>
      <c r="G306" s="85">
        <v>52385710</v>
      </c>
      <c r="H306" s="177" t="str">
        <f>VLOOKUP(Tabla2[[#This Row],[NIT]],Clientes!A:C,2,0)</f>
        <v>Maria del Pilar Alvarado Joya</v>
      </c>
      <c r="I306" s="77" t="str">
        <f>VLOOKUP(Tabla2[[#This Row],[NIT]],Clientes!A:C,3,0)</f>
        <v>PN</v>
      </c>
      <c r="J306" s="73" t="s">
        <v>794</v>
      </c>
      <c r="K306" s="267">
        <f>SUMIFS(Tabla4[Sub Total],Tabla4[Codigo],Tabla2[[#This Row],[Cod]])</f>
        <v>300000</v>
      </c>
      <c r="L306" s="262">
        <f>SUMPRODUCT((Tabla4[Codigo]=Tabla2[[#This Row],[Cod]])*1,Tabla4[IVA])</f>
        <v>0</v>
      </c>
      <c r="M306" s="262">
        <f>SUMIFS(Tabla4[Total],Tabla4[Codigo],Tabla2[[#This Row],[Cod]])</f>
        <v>300000</v>
      </c>
      <c r="N306" s="278">
        <f>SUMPRODUCT((Tabla1[Codigo]=Tabla2[[#This Row],[Cod]])*1,Tabla1[Valor])</f>
        <v>300000</v>
      </c>
      <c r="O306" s="265">
        <f>IF(AND(Tabla2[[#This Row],[Estado]]="ok",LEFT(Tabla2[[#This Row],['# Factura]],3)="TIS"),Tabla2[[#This Row],[TOTAL]]-Tabla2[[#This Row],[pagado]],0)</f>
        <v>0</v>
      </c>
      <c r="P306" s="262">
        <f>Tabla2[[#This Row],[TOTAL]]-Tabla2[[#This Row],[Valor pago]]</f>
        <v>0</v>
      </c>
      <c r="Q306" s="265">
        <f>IF(Tabla2[[#This Row],[Saldo]]=0,0,IF(Tabla2[[#This Row],[Tipo cliente]]="PJ",Tabla2[[#This Row],[SUBTOTAL]]*11%,0))</f>
        <v>0</v>
      </c>
      <c r="R306" s="276">
        <f>IF(Tabla2[[#This Row],[Saldo]]=0,0,IF(Tabla2[[#This Row],[Tipo cliente]]="PJ",Tabla2[[#This Row],[SUBTOTAL]]*0.966%,0))</f>
        <v>0</v>
      </c>
      <c r="S306" s="276">
        <f>IF(Tabla2[[#This Row],[Retiene IVA]]="S",Tabla2[[#This Row],[IVA]]*0.15,0)</f>
        <v>0</v>
      </c>
      <c r="T306" s="265">
        <f>+Tabla2[[#This Row],[Saldo]]-Tabla2[[#This Row],[Rete fte]]-Tabla2[[#This Row],[rete ica]]-Tabla2[[#This Row],[Rete IVA]]</f>
        <v>0</v>
      </c>
      <c r="U30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300000</v>
      </c>
      <c r="W306" s="23">
        <f>IF(Tabla2[[#This Row],[Fecha F.E.]]="","",YEAR(Tabla2[[#This Row],[Fecha F.E.]]))</f>
        <v>2023</v>
      </c>
      <c r="X306" s="23">
        <f>IF(Tabla2[[#This Row],[Fecha]]="","",YEAR(Tabla2[[#This Row],[Fecha]]))</f>
        <v>2023</v>
      </c>
    </row>
    <row r="307" spans="1:24" ht="26.25" x14ac:dyDescent="0.25">
      <c r="A307" s="3">
        <v>307</v>
      </c>
      <c r="B307" s="77" t="s">
        <v>1384</v>
      </c>
      <c r="C307" s="360">
        <v>45160</v>
      </c>
      <c r="D307" s="76" t="s">
        <v>1385</v>
      </c>
      <c r="E307" s="360">
        <v>45160</v>
      </c>
      <c r="F307" s="78" t="s">
        <v>231</v>
      </c>
      <c r="G307" s="85">
        <v>900396116</v>
      </c>
      <c r="H307" s="177" t="str">
        <f>VLOOKUP(Tabla2[[#This Row],[NIT]],Clientes!A:C,2,0)</f>
        <v>PRODUCTORA INTERAMERICANA DE PLASTICOS S.A.S.</v>
      </c>
      <c r="I307" s="77" t="str">
        <f>VLOOKUP(Tabla2[[#This Row],[NIT]],Clientes!A:C,3,0)</f>
        <v>PJ</v>
      </c>
      <c r="J307" s="73" t="s">
        <v>794</v>
      </c>
      <c r="K307" s="267">
        <f>SUMIFS(Tabla4[Sub Total],Tabla4[Codigo],Tabla2[[#This Row],[Cod]])</f>
        <v>300000</v>
      </c>
      <c r="L307" s="262">
        <f>SUMPRODUCT((Tabla4[Codigo]=Tabla2[[#This Row],[Cod]])*1,Tabla4[IVA])</f>
        <v>57000</v>
      </c>
      <c r="M307" s="262">
        <f>SUMIFS(Tabla4[Total],Tabla4[Codigo],Tabla2[[#This Row],[Cod]])</f>
        <v>357000</v>
      </c>
      <c r="N307" s="278">
        <f>SUMPRODUCT((Tabla1[Codigo]=Tabla2[[#This Row],[Cod]])*1,Tabla1[Valor])</f>
        <v>321102</v>
      </c>
      <c r="O307" s="265">
        <f>IF(AND(Tabla2[[#This Row],[Estado]]="ok",LEFT(Tabla2[[#This Row],['# Factura]],3)="TIS"),Tabla2[[#This Row],[TOTAL]]-Tabla2[[#This Row],[pagado]],0)</f>
        <v>0</v>
      </c>
      <c r="P307" s="262">
        <f>Tabla2[[#This Row],[TOTAL]]-Tabla2[[#This Row],[Valor pago]]</f>
        <v>35898</v>
      </c>
      <c r="Q307" s="265">
        <f>IF(Tabla2[[#This Row],[Saldo]]=0,0,IF(Tabla2[[#This Row],[Tipo cliente]]="PJ",Tabla2[[#This Row],[SUBTOTAL]]*11%,0))</f>
        <v>33000</v>
      </c>
      <c r="R307" s="276">
        <f>IF(Tabla2[[#This Row],[Saldo]]=0,0,IF(Tabla2[[#This Row],[Tipo cliente]]="PJ",Tabla2[[#This Row],[SUBTOTAL]]*0.966%,0))</f>
        <v>2898</v>
      </c>
      <c r="S307" s="276">
        <f>IF(Tabla2[[#This Row],[Retiene IVA]]="S",Tabla2[[#This Row],[IVA]]*0.15,0)</f>
        <v>0</v>
      </c>
      <c r="T307" s="265">
        <f>+Tabla2[[#This Row],[Saldo]]-Tabla2[[#This Row],[Rete fte]]-Tabla2[[#This Row],[rete ica]]-Tabla2[[#This Row],[Rete IVA]]</f>
        <v>0</v>
      </c>
      <c r="U30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307" s="23">
        <f>IF(Tabla2[[#This Row],[Fecha F.E.]]="","",YEAR(Tabla2[[#This Row],[Fecha F.E.]]))</f>
        <v>2023</v>
      </c>
      <c r="X307" s="23">
        <f>IF(Tabla2[[#This Row],[Fecha]]="","",YEAR(Tabla2[[#This Row],[Fecha]]))</f>
        <v>2023</v>
      </c>
    </row>
    <row r="308" spans="1:24" ht="26.25" x14ac:dyDescent="0.25">
      <c r="A308" s="3">
        <v>308</v>
      </c>
      <c r="B308" s="77" t="s">
        <v>1386</v>
      </c>
      <c r="C308" s="360">
        <v>45160</v>
      </c>
      <c r="D308" s="76" t="s">
        <v>1387</v>
      </c>
      <c r="E308" s="360">
        <v>45160</v>
      </c>
      <c r="F308" s="78" t="s">
        <v>231</v>
      </c>
      <c r="G308" s="85">
        <v>900396116</v>
      </c>
      <c r="H308" s="177" t="str">
        <f>VLOOKUP(Tabla2[[#This Row],[NIT]],Clientes!A:C,2,0)</f>
        <v>PRODUCTORA INTERAMERICANA DE PLASTICOS S.A.S.</v>
      </c>
      <c r="I308" s="77" t="str">
        <f>VLOOKUP(Tabla2[[#This Row],[NIT]],Clientes!A:C,3,0)</f>
        <v>PJ</v>
      </c>
      <c r="J308" s="73" t="s">
        <v>794</v>
      </c>
      <c r="K308" s="267">
        <f>SUMIFS(Tabla4[Sub Total],Tabla4[Codigo],Tabla2[[#This Row],[Cod]])</f>
        <v>1736000</v>
      </c>
      <c r="L308" s="262">
        <f>SUMPRODUCT((Tabla4[Codigo]=Tabla2[[#This Row],[Cod]])*1,Tabla4[IVA])</f>
        <v>329840</v>
      </c>
      <c r="M308" s="262">
        <f>SUMIFS(Tabla4[Total],Tabla4[Codigo],Tabla2[[#This Row],[Cod]])</f>
        <v>2065840</v>
      </c>
      <c r="N308" s="278">
        <f>SUMPRODUCT((Tabla1[Codigo]=Tabla2[[#This Row],[Cod]])*1,Tabla1[Valor])</f>
        <v>1858110</v>
      </c>
      <c r="O308" s="265">
        <f>IF(AND(Tabla2[[#This Row],[Estado]]="ok",LEFT(Tabla2[[#This Row],['# Factura]],3)="TIS"),Tabla2[[#This Row],[TOTAL]]-Tabla2[[#This Row],[pagado]],0)</f>
        <v>0.23999999999068677</v>
      </c>
      <c r="P308" s="262">
        <f>Tabla2[[#This Row],[TOTAL]]-Tabla2[[#This Row],[Valor pago]]</f>
        <v>207730</v>
      </c>
      <c r="Q308" s="265">
        <f>IF(Tabla2[[#This Row],[Saldo]]=0,0,IF(Tabla2[[#This Row],[Tipo cliente]]="PJ",Tabla2[[#This Row],[SUBTOTAL]]*11%,0))</f>
        <v>190960</v>
      </c>
      <c r="R308" s="276">
        <f>IF(Tabla2[[#This Row],[Saldo]]=0,0,IF(Tabla2[[#This Row],[Tipo cliente]]="PJ",Tabla2[[#This Row],[SUBTOTAL]]*0.966%,0))</f>
        <v>16769.760000000002</v>
      </c>
      <c r="S308" s="276">
        <f>IF(Tabla2[[#This Row],[Retiene IVA]]="S",Tabla2[[#This Row],[IVA]]*0.15,0)</f>
        <v>0</v>
      </c>
      <c r="T308" s="265">
        <f>+Tabla2[[#This Row],[Saldo]]-Tabla2[[#This Row],[Rete fte]]-Tabla2[[#This Row],[rete ica]]-Tabla2[[#This Row],[Rete IVA]]</f>
        <v>0.23999999999796273</v>
      </c>
      <c r="U30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2065839.76</v>
      </c>
      <c r="W308" s="23">
        <f>IF(Tabla2[[#This Row],[Fecha F.E.]]="","",YEAR(Tabla2[[#This Row],[Fecha F.E.]]))</f>
        <v>2023</v>
      </c>
      <c r="X308" s="23">
        <f>IF(Tabla2[[#This Row],[Fecha]]="","",YEAR(Tabla2[[#This Row],[Fecha]]))</f>
        <v>2023</v>
      </c>
    </row>
    <row r="309" spans="1:24" x14ac:dyDescent="0.25">
      <c r="A309" s="3">
        <v>309</v>
      </c>
      <c r="B309" s="77" t="s">
        <v>1388</v>
      </c>
      <c r="C309" s="360">
        <v>45167</v>
      </c>
      <c r="D309" s="76" t="s">
        <v>1389</v>
      </c>
      <c r="E309" s="360">
        <v>45167</v>
      </c>
      <c r="F309" s="78" t="s">
        <v>231</v>
      </c>
      <c r="G309" s="85">
        <v>830078301</v>
      </c>
      <c r="H309" s="177" t="str">
        <f>VLOOKUP(Tabla2[[#This Row],[NIT]],Clientes!A:C,2,0)</f>
        <v>SUPPLYTEC SAS</v>
      </c>
      <c r="I309" s="77" t="str">
        <f>VLOOKUP(Tabla2[[#This Row],[NIT]],Clientes!A:C,3,0)</f>
        <v>PJ</v>
      </c>
      <c r="J309" s="73" t="s">
        <v>794</v>
      </c>
      <c r="K309" s="267">
        <f>SUMIFS(Tabla4[Sub Total],Tabla4[Codigo],Tabla2[[#This Row],[Cod]])</f>
        <v>3168000</v>
      </c>
      <c r="L309" s="262">
        <f>SUMPRODUCT((Tabla4[Codigo]=Tabla2[[#This Row],[Cod]])*1,Tabla4[IVA])</f>
        <v>601920</v>
      </c>
      <c r="M309" s="262">
        <f>SUMIFS(Tabla4[Total],Tabla4[Codigo],Tabla2[[#This Row],[Cod]])</f>
        <v>3769920</v>
      </c>
      <c r="N309" s="278">
        <f>SUMPRODUCT((Tabla1[Codigo]=Tabla2[[#This Row],[Cod]])*1,Tabla1[Valor])</f>
        <v>3621341</v>
      </c>
      <c r="O309" s="265">
        <f>IF(AND(Tabla2[[#This Row],[Estado]]="ok",LEFT(Tabla2[[#This Row],['# Factura]],3)="TIS"),Tabla2[[#This Row],[TOTAL]]-Tabla2[[#This Row],[pagado]],0)</f>
        <v>0</v>
      </c>
      <c r="P309" s="262">
        <f>Tabla2[[#This Row],[TOTAL]]-Tabla2[[#This Row],[Valor pago]]</f>
        <v>148579</v>
      </c>
      <c r="Q309" s="265">
        <f>IF(Tabla2[[#This Row],[Saldo]]=0,0,IF(Tabla2[[#This Row],[Tipo cliente]]="PJ",Tabla2[[#This Row],[SUBTOTAL]]*11%,0))</f>
        <v>348480</v>
      </c>
      <c r="R309" s="276">
        <f>IF(Tabla2[[#This Row],[Saldo]]=0,0,IF(Tabla2[[#This Row],[Tipo cliente]]="PJ",Tabla2[[#This Row],[SUBTOTAL]]*0.966%,0))</f>
        <v>30602.880000000001</v>
      </c>
      <c r="S309" s="276">
        <f>IF(Tabla2[[#This Row],[Retiene IVA]]="S",Tabla2[[#This Row],[IVA]]*0.15,0)</f>
        <v>0</v>
      </c>
      <c r="T309" s="265">
        <f>+Tabla2[[#This Row],[Saldo]]-Tabla2[[#This Row],[Rete fte]]-Tabla2[[#This Row],[rete ica]]-Tabla2[[#This Row],[Rete IVA]]</f>
        <v>-230503.88</v>
      </c>
      <c r="U30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3769920</v>
      </c>
      <c r="W309" s="23">
        <f>IF(Tabla2[[#This Row],[Fecha F.E.]]="","",YEAR(Tabla2[[#This Row],[Fecha F.E.]]))</f>
        <v>2023</v>
      </c>
      <c r="X309" s="23">
        <f>IF(Tabla2[[#This Row],[Fecha]]="","",YEAR(Tabla2[[#This Row],[Fecha]]))</f>
        <v>2023</v>
      </c>
    </row>
    <row r="310" spans="1:24" x14ac:dyDescent="0.25">
      <c r="A310" s="3">
        <v>310</v>
      </c>
      <c r="B310" s="77" t="s">
        <v>1390</v>
      </c>
      <c r="C310" s="360">
        <v>45170</v>
      </c>
      <c r="D310" s="76" t="s">
        <v>1391</v>
      </c>
      <c r="E310" s="360">
        <v>45170</v>
      </c>
      <c r="F310" s="78" t="s">
        <v>231</v>
      </c>
      <c r="G310" s="85">
        <v>900526437</v>
      </c>
      <c r="H310" s="177" t="str">
        <f>VLOOKUP(Tabla2[[#This Row],[NIT]],Clientes!A:C,2,0)</f>
        <v>EXPRESS CLEAN LAVANDERIA</v>
      </c>
      <c r="I310" s="77" t="str">
        <f>VLOOKUP(Tabla2[[#This Row],[NIT]],Clientes!A:C,3,0)</f>
        <v>PJ</v>
      </c>
      <c r="J310" s="73" t="s">
        <v>794</v>
      </c>
      <c r="K310" s="267">
        <f>SUMIFS(Tabla4[Sub Total],Tabla4[Codigo],Tabla2[[#This Row],[Cod]])</f>
        <v>950000</v>
      </c>
      <c r="L310" s="262">
        <f>SUMPRODUCT((Tabla4[Codigo]=Tabla2[[#This Row],[Cod]])*1,Tabla4[IVA])</f>
        <v>180500</v>
      </c>
      <c r="M310" s="262">
        <f>SUMIFS(Tabla4[Total],Tabla4[Codigo],Tabla2[[#This Row],[Cod]])</f>
        <v>1130500</v>
      </c>
      <c r="N310" s="278">
        <f>SUMPRODUCT((Tabla1[Codigo]=Tabla2[[#This Row],[Cod]])*1,Tabla1[Valor])</f>
        <v>1017773</v>
      </c>
      <c r="O310" s="265">
        <f>IF(AND(Tabla2[[#This Row],[Estado]]="ok",LEFT(Tabla2[[#This Row],['# Factura]],3)="TIS"),Tabla2[[#This Row],[TOTAL]]-Tabla2[[#This Row],[pagado]],0)</f>
        <v>0</v>
      </c>
      <c r="P310" s="262">
        <f>Tabla2[[#This Row],[TOTAL]]-Tabla2[[#This Row],[Valor pago]]</f>
        <v>112727</v>
      </c>
      <c r="Q310" s="265">
        <f>IF(Tabla2[[#This Row],[Saldo]]=0,0,IF(Tabla2[[#This Row],[Tipo cliente]]="PJ",Tabla2[[#This Row],[SUBTOTAL]]*11%,0))</f>
        <v>104500</v>
      </c>
      <c r="R310" s="276">
        <f>IF(Tabla2[[#This Row],[Saldo]]=0,0,IF(Tabla2[[#This Row],[Tipo cliente]]="PJ",Tabla2[[#This Row],[SUBTOTAL]]*0.966%,0))</f>
        <v>9177</v>
      </c>
      <c r="S310" s="276">
        <f>IF(Tabla2[[#This Row],[Retiene IVA]]="S",Tabla2[[#This Row],[IVA]]*0.15,0)</f>
        <v>0</v>
      </c>
      <c r="T310" s="265">
        <f>+Tabla2[[#This Row],[Saldo]]-Tabla2[[#This Row],[Rete fte]]-Tabla2[[#This Row],[rete ica]]-Tabla2[[#This Row],[Rete IVA]]</f>
        <v>-950</v>
      </c>
      <c r="U31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1130500</v>
      </c>
      <c r="W310" s="23">
        <f>IF(Tabla2[[#This Row],[Fecha F.E.]]="","",YEAR(Tabla2[[#This Row],[Fecha F.E.]]))</f>
        <v>2023</v>
      </c>
      <c r="X310" s="23">
        <f>IF(Tabla2[[#This Row],[Fecha]]="","",YEAR(Tabla2[[#This Row],[Fecha]]))</f>
        <v>2023</v>
      </c>
    </row>
    <row r="311" spans="1:24" x14ac:dyDescent="0.25">
      <c r="A311" s="3">
        <v>311</v>
      </c>
      <c r="B311" s="77" t="s">
        <v>1392</v>
      </c>
      <c r="C311" s="360">
        <v>45175</v>
      </c>
      <c r="D311" s="76" t="s">
        <v>1393</v>
      </c>
      <c r="E311" s="360">
        <v>45175</v>
      </c>
      <c r="F311" s="78" t="s">
        <v>231</v>
      </c>
      <c r="G311" s="85">
        <v>860014787</v>
      </c>
      <c r="H311" s="177" t="str">
        <f>VLOOKUP(Tabla2[[#This Row],[NIT]],Clientes!A:C,2,0)</f>
        <v>Walsom SAS</v>
      </c>
      <c r="I311" s="77" t="str">
        <f>VLOOKUP(Tabla2[[#This Row],[NIT]],Clientes!A:C,3,0)</f>
        <v>PJ</v>
      </c>
      <c r="J311" s="73" t="s">
        <v>794</v>
      </c>
      <c r="K311" s="267">
        <f>SUMIFS(Tabla4[Sub Total],Tabla4[Codigo],Tabla2[[#This Row],[Cod]])</f>
        <v>700000</v>
      </c>
      <c r="L311" s="262">
        <f>SUMPRODUCT((Tabla4[Codigo]=Tabla2[[#This Row],[Cod]])*1,Tabla4[IVA])</f>
        <v>133000</v>
      </c>
      <c r="M311" s="262">
        <f>SUMIFS(Tabla4[Total],Tabla4[Codigo],Tabla2[[#This Row],[Cod]])</f>
        <v>833000</v>
      </c>
      <c r="N311" s="278">
        <f>SUMPRODUCT((Tabla1[Codigo]=Tabla2[[#This Row],[Cod]])*1,Tabla1[Valor])</f>
        <v>798938</v>
      </c>
      <c r="O311" s="265">
        <f>IF(AND(Tabla2[[#This Row],[Estado]]="ok",LEFT(Tabla2[[#This Row],['# Factura]],3)="TIS"),Tabla2[[#This Row],[TOTAL]]-Tabla2[[#This Row],[pagado]],0)</f>
        <v>0</v>
      </c>
      <c r="P311" s="262">
        <f>Tabla2[[#This Row],[TOTAL]]-Tabla2[[#This Row],[Valor pago]]</f>
        <v>34062</v>
      </c>
      <c r="Q311" s="265">
        <f>IF(Tabla2[[#This Row],[Saldo]]=0,0,IF(Tabla2[[#This Row],[Tipo cliente]]="PJ",Tabla2[[#This Row],[SUBTOTAL]]*11%,0))</f>
        <v>77000</v>
      </c>
      <c r="R311" s="276">
        <f>IF(Tabla2[[#This Row],[Saldo]]=0,0,IF(Tabla2[[#This Row],[Tipo cliente]]="PJ",Tabla2[[#This Row],[SUBTOTAL]]*0.966%,0))</f>
        <v>6762</v>
      </c>
      <c r="S311" s="276">
        <f>IF(Tabla2[[#This Row],[Retiene IVA]]="S",Tabla2[[#This Row],[IVA]]*0.15,0)</f>
        <v>0</v>
      </c>
      <c r="T311" s="265">
        <f>+Tabla2[[#This Row],[Saldo]]-Tabla2[[#This Row],[Rete fte]]-Tabla2[[#This Row],[rete ica]]-Tabla2[[#This Row],[Rete IVA]]</f>
        <v>-49700</v>
      </c>
      <c r="U31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833000</v>
      </c>
      <c r="W311" s="23">
        <f>IF(Tabla2[[#This Row],[Fecha F.E.]]="","",YEAR(Tabla2[[#This Row],[Fecha F.E.]]))</f>
        <v>2023</v>
      </c>
      <c r="X311" s="23">
        <f>IF(Tabla2[[#This Row],[Fecha]]="","",YEAR(Tabla2[[#This Row],[Fecha]]))</f>
        <v>2023</v>
      </c>
    </row>
    <row r="312" spans="1:24" x14ac:dyDescent="0.25">
      <c r="A312" s="3">
        <v>312</v>
      </c>
      <c r="B312" s="77" t="s">
        <v>1394</v>
      </c>
      <c r="C312" s="360">
        <v>45177</v>
      </c>
      <c r="D312" s="76" t="s">
        <v>1395</v>
      </c>
      <c r="E312" s="360">
        <v>45177</v>
      </c>
      <c r="F312" s="78" t="s">
        <v>231</v>
      </c>
      <c r="G312" s="85">
        <v>800028768</v>
      </c>
      <c r="H312" s="177" t="str">
        <f>VLOOKUP(Tabla2[[#This Row],[NIT]],Clientes!A:C,2,0)</f>
        <v>Comercializadora ERZ SAS</v>
      </c>
      <c r="I312" s="77" t="str">
        <f>VLOOKUP(Tabla2[[#This Row],[NIT]],Clientes!A:C,3,0)</f>
        <v>PJ</v>
      </c>
      <c r="J312" s="73" t="s">
        <v>794</v>
      </c>
      <c r="K312" s="267">
        <f>SUMIFS(Tabla4[Sub Total],Tabla4[Codigo],Tabla2[[#This Row],[Cod]])</f>
        <v>260000</v>
      </c>
      <c r="L312" s="262">
        <f>SUMPRODUCT((Tabla4[Codigo]=Tabla2[[#This Row],[Cod]])*1,Tabla4[IVA])</f>
        <v>49400</v>
      </c>
      <c r="M312" s="262">
        <f>SUMIFS(Tabla4[Total],Tabla4[Codigo],Tabla2[[#This Row],[Cod]])</f>
        <v>309400</v>
      </c>
      <c r="N312" s="278">
        <f>SUMPRODUCT((Tabla1[Codigo]=Tabla2[[#This Row],[Cod]])*1,Tabla1[Valor])</f>
        <v>280800</v>
      </c>
      <c r="O312" s="265">
        <f>IF(AND(Tabla2[[#This Row],[Estado]]="ok",LEFT(Tabla2[[#This Row],['# Factura]],3)="TIS"),Tabla2[[#This Row],[TOTAL]]-Tabla2[[#This Row],[pagado]],0)</f>
        <v>0</v>
      </c>
      <c r="P312" s="262">
        <f>Tabla2[[#This Row],[TOTAL]]-Tabla2[[#This Row],[Valor pago]]</f>
        <v>28600</v>
      </c>
      <c r="Q312" s="265">
        <f>IF(Tabla2[[#This Row],[Saldo]]=0,0,IF(Tabla2[[#This Row],[Tipo cliente]]="PJ",Tabla2[[#This Row],[SUBTOTAL]]*11%,0))</f>
        <v>28600</v>
      </c>
      <c r="R312" s="276">
        <f>IF(Tabla2[[#This Row],[Saldo]]=0,0,IF(Tabla2[[#This Row],[Tipo cliente]]="PJ",Tabla2[[#This Row],[SUBTOTAL]]*0.966%,0))</f>
        <v>2511.6</v>
      </c>
      <c r="S312" s="276">
        <f>IF(Tabla2[[#This Row],[Retiene IVA]]="S",Tabla2[[#This Row],[IVA]]*0.15,0)</f>
        <v>0</v>
      </c>
      <c r="T312" s="265">
        <f>+Tabla2[[#This Row],[Saldo]]-Tabla2[[#This Row],[Rete fte]]-Tabla2[[#This Row],[rete ica]]-Tabla2[[#This Row],[Rete IVA]]</f>
        <v>-2511.6</v>
      </c>
      <c r="U31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309400</v>
      </c>
      <c r="W312" s="23">
        <f>IF(Tabla2[[#This Row],[Fecha F.E.]]="","",YEAR(Tabla2[[#This Row],[Fecha F.E.]]))</f>
        <v>2023</v>
      </c>
      <c r="X312" s="23">
        <f>IF(Tabla2[[#This Row],[Fecha]]="","",YEAR(Tabla2[[#This Row],[Fecha]]))</f>
        <v>2023</v>
      </c>
    </row>
    <row r="313" spans="1:24" ht="26.25" x14ac:dyDescent="0.25">
      <c r="A313" s="3">
        <v>313</v>
      </c>
      <c r="B313" s="77" t="s">
        <v>1396</v>
      </c>
      <c r="C313" s="360">
        <v>45177</v>
      </c>
      <c r="D313" s="76" t="s">
        <v>1397</v>
      </c>
      <c r="E313" s="360">
        <v>45177</v>
      </c>
      <c r="F313" s="78" t="s">
        <v>231</v>
      </c>
      <c r="G313" s="85">
        <v>900396116</v>
      </c>
      <c r="H313" s="177" t="str">
        <f>VLOOKUP(Tabla2[[#This Row],[NIT]],Clientes!A:C,2,0)</f>
        <v>PRODUCTORA INTERAMERICANA DE PLASTICOS S.A.S.</v>
      </c>
      <c r="I313" s="77" t="str">
        <f>VLOOKUP(Tabla2[[#This Row],[NIT]],Clientes!A:C,3,0)</f>
        <v>PJ</v>
      </c>
      <c r="J313" s="73" t="s">
        <v>794</v>
      </c>
      <c r="K313" s="267">
        <f>SUMIFS(Tabla4[Sub Total],Tabla4[Codigo],Tabla2[[#This Row],[Cod]])</f>
        <v>300000</v>
      </c>
      <c r="L313" s="262">
        <f>SUMPRODUCT((Tabla4[Codigo]=Tabla2[[#This Row],[Cod]])*1,Tabla4[IVA])</f>
        <v>57000</v>
      </c>
      <c r="M313" s="262">
        <f>SUMIFS(Tabla4[Total],Tabla4[Codigo],Tabla2[[#This Row],[Cod]])</f>
        <v>357000</v>
      </c>
      <c r="N313" s="278">
        <f>SUMPRODUCT((Tabla1[Codigo]=Tabla2[[#This Row],[Cod]])*1,Tabla1[Valor])</f>
        <v>321102</v>
      </c>
      <c r="O313" s="265">
        <f>IF(AND(Tabla2[[#This Row],[Estado]]="ok",LEFT(Tabla2[[#This Row],['# Factura]],3)="TIS"),Tabla2[[#This Row],[TOTAL]]-Tabla2[[#This Row],[pagado]],0)</f>
        <v>0</v>
      </c>
      <c r="P313" s="262">
        <f>Tabla2[[#This Row],[TOTAL]]-Tabla2[[#This Row],[Valor pago]]</f>
        <v>35898</v>
      </c>
      <c r="Q313" s="265">
        <f>IF(Tabla2[[#This Row],[Saldo]]=0,0,IF(Tabla2[[#This Row],[Tipo cliente]]="PJ",Tabla2[[#This Row],[SUBTOTAL]]*11%,0))</f>
        <v>33000</v>
      </c>
      <c r="R313" s="276">
        <f>IF(Tabla2[[#This Row],[Saldo]]=0,0,IF(Tabla2[[#This Row],[Tipo cliente]]="PJ",Tabla2[[#This Row],[SUBTOTAL]]*0.966%,0))</f>
        <v>2898</v>
      </c>
      <c r="S313" s="276">
        <f>IF(Tabla2[[#This Row],[Retiene IVA]]="S",Tabla2[[#This Row],[IVA]]*0.15,0)</f>
        <v>0</v>
      </c>
      <c r="T313" s="265">
        <f>+Tabla2[[#This Row],[Saldo]]-Tabla2[[#This Row],[Rete fte]]-Tabla2[[#This Row],[rete ica]]-Tabla2[[#This Row],[Rete IVA]]</f>
        <v>0</v>
      </c>
      <c r="U31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313" s="23">
        <f>IF(Tabla2[[#This Row],[Fecha F.E.]]="","",YEAR(Tabla2[[#This Row],[Fecha F.E.]]))</f>
        <v>2023</v>
      </c>
      <c r="X313" s="23">
        <f>IF(Tabla2[[#This Row],[Fecha]]="","",YEAR(Tabla2[[#This Row],[Fecha]]))</f>
        <v>2023</v>
      </c>
    </row>
    <row r="314" spans="1:24" x14ac:dyDescent="0.25">
      <c r="A314" s="3">
        <v>314</v>
      </c>
      <c r="B314" s="77" t="s">
        <v>1398</v>
      </c>
      <c r="C314" s="360">
        <v>45177</v>
      </c>
      <c r="D314" s="76" t="s">
        <v>1399</v>
      </c>
      <c r="E314" s="360">
        <v>45177</v>
      </c>
      <c r="F314" s="78" t="s">
        <v>231</v>
      </c>
      <c r="G314" s="85">
        <v>901342609</v>
      </c>
      <c r="H314" s="177" t="str">
        <f>VLOOKUP(Tabla2[[#This Row],[NIT]],Clientes!A:C,2,0)</f>
        <v>ROYCO SOLUCIONES SAS</v>
      </c>
      <c r="I314" s="77" t="str">
        <f>VLOOKUP(Tabla2[[#This Row],[NIT]],Clientes!A:C,3,0)</f>
        <v>PJ</v>
      </c>
      <c r="J314" s="73" t="s">
        <v>794</v>
      </c>
      <c r="K314" s="267">
        <f>SUMIFS(Tabla4[Sub Total],Tabla4[Codigo],Tabla2[[#This Row],[Cod]])</f>
        <v>175000</v>
      </c>
      <c r="L314" s="262">
        <f>SUMPRODUCT((Tabla4[Codigo]=Tabla2[[#This Row],[Cod]])*1,Tabla4[IVA])</f>
        <v>33250</v>
      </c>
      <c r="M314" s="262">
        <f>SUMIFS(Tabla4[Total],Tabla4[Codigo],Tabla2[[#This Row],[Cod]])</f>
        <v>208250</v>
      </c>
      <c r="N314" s="278">
        <f>SUMPRODUCT((Tabla1[Codigo]=Tabla2[[#This Row],[Cod]])*1,Tabla1[Valor])</f>
        <v>201250</v>
      </c>
      <c r="O314" s="265">
        <f>IF(AND(Tabla2[[#This Row],[Estado]]="ok",LEFT(Tabla2[[#This Row],['# Factura]],3)="TIS"),Tabla2[[#This Row],[TOTAL]]-Tabla2[[#This Row],[pagado]],0)</f>
        <v>0</v>
      </c>
      <c r="P314" s="262">
        <f>Tabla2[[#This Row],[TOTAL]]-Tabla2[[#This Row],[Valor pago]]</f>
        <v>7000</v>
      </c>
      <c r="Q314" s="265">
        <f>IF(Tabla2[[#This Row],[Saldo]]=0,0,IF(Tabla2[[#This Row],[Tipo cliente]]="PJ",Tabla2[[#This Row],[SUBTOTAL]]*11%,0))</f>
        <v>19250</v>
      </c>
      <c r="R314" s="276">
        <f>IF(Tabla2[[#This Row],[Saldo]]=0,0,IF(Tabla2[[#This Row],[Tipo cliente]]="PJ",Tabla2[[#This Row],[SUBTOTAL]]*0.966%,0))</f>
        <v>1690.5</v>
      </c>
      <c r="S314" s="276">
        <f>IF(Tabla2[[#This Row],[Retiene IVA]]="S",Tabla2[[#This Row],[IVA]]*0.15,0)</f>
        <v>0</v>
      </c>
      <c r="T314" s="265">
        <f>+Tabla2[[#This Row],[Saldo]]-Tabla2[[#This Row],[Rete fte]]-Tabla2[[#This Row],[rete ica]]-Tabla2[[#This Row],[Rete IVA]]</f>
        <v>-13940.5</v>
      </c>
      <c r="U31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208250</v>
      </c>
      <c r="W314" s="23">
        <f>IF(Tabla2[[#This Row],[Fecha F.E.]]="","",YEAR(Tabla2[[#This Row],[Fecha F.E.]]))</f>
        <v>2023</v>
      </c>
      <c r="X314" s="23">
        <f>IF(Tabla2[[#This Row],[Fecha]]="","",YEAR(Tabla2[[#This Row],[Fecha]]))</f>
        <v>2023</v>
      </c>
    </row>
    <row r="315" spans="1:24" x14ac:dyDescent="0.25">
      <c r="A315" s="3">
        <v>315</v>
      </c>
      <c r="B315" s="77" t="s">
        <v>1400</v>
      </c>
      <c r="C315" s="360">
        <v>45177</v>
      </c>
      <c r="D315" s="76" t="s">
        <v>1401</v>
      </c>
      <c r="E315" s="360">
        <v>45177</v>
      </c>
      <c r="F315" s="78" t="s">
        <v>231</v>
      </c>
      <c r="G315" s="85">
        <v>900505660</v>
      </c>
      <c r="H315" s="177" t="str">
        <f>VLOOKUP(Tabla2[[#This Row],[NIT]],Clientes!A:C,2,0)</f>
        <v>DIGITAL MEDIA TECHNOLOGIES COLOMBIA SAS</v>
      </c>
      <c r="I315" s="77" t="str">
        <f>VLOOKUP(Tabla2[[#This Row],[NIT]],Clientes!A:C,3,0)</f>
        <v>PJ</v>
      </c>
      <c r="J315" s="73" t="s">
        <v>794</v>
      </c>
      <c r="K315" s="267">
        <f>SUMIFS(Tabla4[Sub Total],Tabla4[Codigo],Tabla2[[#This Row],[Cod]])</f>
        <v>250000</v>
      </c>
      <c r="L315" s="262">
        <f>SUMPRODUCT((Tabla4[Codigo]=Tabla2[[#This Row],[Cod]])*1,Tabla4[IVA])</f>
        <v>47500</v>
      </c>
      <c r="M315" s="262">
        <f>SUMIFS(Tabla4[Total],Tabla4[Codigo],Tabla2[[#This Row],[Cod]])</f>
        <v>297500</v>
      </c>
      <c r="N315" s="278">
        <f>SUMPRODUCT((Tabla1[Codigo]=Tabla2[[#This Row],[Cod]])*1,Tabla1[Valor])</f>
        <v>270000</v>
      </c>
      <c r="O315" s="265">
        <f>IF(AND(Tabla2[[#This Row],[Estado]]="ok",LEFT(Tabla2[[#This Row],['# Factura]],3)="TIS"),Tabla2[[#This Row],[TOTAL]]-Tabla2[[#This Row],[pagado]],0)</f>
        <v>0</v>
      </c>
      <c r="P315" s="262">
        <f>Tabla2[[#This Row],[TOTAL]]-Tabla2[[#This Row],[Valor pago]]</f>
        <v>27500</v>
      </c>
      <c r="Q315" s="265">
        <f>IF(Tabla2[[#This Row],[Saldo]]=0,0,IF(Tabla2[[#This Row],[Tipo cliente]]="PJ",Tabla2[[#This Row],[SUBTOTAL]]*11%,0))</f>
        <v>27500</v>
      </c>
      <c r="R315" s="276">
        <f>IF(Tabla2[[#This Row],[Saldo]]=0,0,IF(Tabla2[[#This Row],[Tipo cliente]]="PJ",Tabla2[[#This Row],[SUBTOTAL]]*0.966%,0))</f>
        <v>2415</v>
      </c>
      <c r="S315" s="276">
        <f>IF(Tabla2[[#This Row],[Retiene IVA]]="S",Tabla2[[#This Row],[IVA]]*0.15,0)</f>
        <v>0</v>
      </c>
      <c r="T315" s="265">
        <f>+Tabla2[[#This Row],[Saldo]]-Tabla2[[#This Row],[Rete fte]]-Tabla2[[#This Row],[rete ica]]-Tabla2[[#This Row],[Rete IVA]]</f>
        <v>-2415</v>
      </c>
      <c r="U31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297500</v>
      </c>
      <c r="W315" s="23">
        <f>IF(Tabla2[[#This Row],[Fecha F.E.]]="","",YEAR(Tabla2[[#This Row],[Fecha F.E.]]))</f>
        <v>2023</v>
      </c>
      <c r="X315" s="23">
        <f>IF(Tabla2[[#This Row],[Fecha]]="","",YEAR(Tabla2[[#This Row],[Fecha]]))</f>
        <v>2023</v>
      </c>
    </row>
    <row r="316" spans="1:24" x14ac:dyDescent="0.25">
      <c r="A316" s="3">
        <v>316</v>
      </c>
      <c r="B316" s="77" t="s">
        <v>1402</v>
      </c>
      <c r="C316" s="360">
        <v>45177</v>
      </c>
      <c r="D316" s="76" t="s">
        <v>1403</v>
      </c>
      <c r="E316" s="360">
        <v>45177</v>
      </c>
      <c r="F316" s="78" t="s">
        <v>231</v>
      </c>
      <c r="G316" s="85">
        <v>901030518</v>
      </c>
      <c r="H316" s="177" t="str">
        <f>VLOOKUP(Tabla2[[#This Row],[NIT]],Clientes!A:C,2,0)</f>
        <v>Inversiones Sajamib SAS</v>
      </c>
      <c r="I316" s="77" t="str">
        <f>VLOOKUP(Tabla2[[#This Row],[NIT]],Clientes!A:C,3,0)</f>
        <v>PJ</v>
      </c>
      <c r="J316" s="73" t="s">
        <v>794</v>
      </c>
      <c r="K316" s="267">
        <f>SUMIFS(Tabla4[Sub Total],Tabla4[Codigo],Tabla2[[#This Row],[Cod]])</f>
        <v>400000</v>
      </c>
      <c r="L316" s="262">
        <f>SUMPRODUCT((Tabla4[Codigo]=Tabla2[[#This Row],[Cod]])*1,Tabla4[IVA])</f>
        <v>0</v>
      </c>
      <c r="M316" s="262">
        <f>SUMIFS(Tabla4[Total],Tabla4[Codigo],Tabla2[[#This Row],[Cod]])</f>
        <v>400000</v>
      </c>
      <c r="N316" s="278">
        <f>SUMPRODUCT((Tabla1[Codigo]=Tabla2[[#This Row],[Cod]])*1,Tabla1[Valor])</f>
        <v>400000</v>
      </c>
      <c r="O316" s="265">
        <f>IF(AND(Tabla2[[#This Row],[Estado]]="ok",LEFT(Tabla2[[#This Row],['# Factura]],3)="TIS"),Tabla2[[#This Row],[TOTAL]]-Tabla2[[#This Row],[pagado]],0)</f>
        <v>0</v>
      </c>
      <c r="P316" s="262">
        <f>Tabla2[[#This Row],[TOTAL]]-Tabla2[[#This Row],[Valor pago]]</f>
        <v>0</v>
      </c>
      <c r="Q316" s="265">
        <f>IF(Tabla2[[#This Row],[Saldo]]=0,0,IF(Tabla2[[#This Row],[Tipo cliente]]="PJ",Tabla2[[#This Row],[SUBTOTAL]]*11%,0))</f>
        <v>0</v>
      </c>
      <c r="R316" s="276">
        <f>IF(Tabla2[[#This Row],[Saldo]]=0,0,IF(Tabla2[[#This Row],[Tipo cliente]]="PJ",Tabla2[[#This Row],[SUBTOTAL]]*0.966%,0))</f>
        <v>0</v>
      </c>
      <c r="S316" s="276">
        <f>IF(Tabla2[[#This Row],[Retiene IVA]]="S",Tabla2[[#This Row],[IVA]]*0.15,0)</f>
        <v>0</v>
      </c>
      <c r="T316" s="265">
        <f>+Tabla2[[#This Row],[Saldo]]-Tabla2[[#This Row],[Rete fte]]-Tabla2[[#This Row],[rete ica]]-Tabla2[[#This Row],[Rete IVA]]</f>
        <v>0</v>
      </c>
      <c r="U31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316" s="23">
        <f>IF(Tabla2[[#This Row],[Fecha F.E.]]="","",YEAR(Tabla2[[#This Row],[Fecha F.E.]]))</f>
        <v>2023</v>
      </c>
      <c r="X316" s="23">
        <f>IF(Tabla2[[#This Row],[Fecha]]="","",YEAR(Tabla2[[#This Row],[Fecha]]))</f>
        <v>2023</v>
      </c>
    </row>
    <row r="317" spans="1:24" x14ac:dyDescent="0.25">
      <c r="A317" s="3">
        <v>317</v>
      </c>
      <c r="B317" s="77" t="s">
        <v>1404</v>
      </c>
      <c r="C317" s="360">
        <v>45177</v>
      </c>
      <c r="D317" s="76" t="s">
        <v>1405</v>
      </c>
      <c r="E317" s="360">
        <v>45177</v>
      </c>
      <c r="F317" s="78" t="s">
        <v>231</v>
      </c>
      <c r="G317" s="85">
        <v>52385710</v>
      </c>
      <c r="H317" s="177" t="str">
        <f>VLOOKUP(Tabla2[[#This Row],[NIT]],Clientes!A:C,2,0)</f>
        <v>Maria del Pilar Alvarado Joya</v>
      </c>
      <c r="I317" s="77" t="str">
        <f>VLOOKUP(Tabla2[[#This Row],[NIT]],Clientes!A:C,3,0)</f>
        <v>PN</v>
      </c>
      <c r="J317" s="73" t="s">
        <v>794</v>
      </c>
      <c r="K317" s="267">
        <f>SUMIFS(Tabla4[Sub Total],Tabla4[Codigo],Tabla2[[#This Row],[Cod]])</f>
        <v>300000</v>
      </c>
      <c r="L317" s="262">
        <f>SUMPRODUCT((Tabla4[Codigo]=Tabla2[[#This Row],[Cod]])*1,Tabla4[IVA])</f>
        <v>0</v>
      </c>
      <c r="M317" s="262">
        <f>SUMIFS(Tabla4[Total],Tabla4[Codigo],Tabla2[[#This Row],[Cod]])</f>
        <v>300000</v>
      </c>
      <c r="N317" s="278">
        <f>SUMPRODUCT((Tabla1[Codigo]=Tabla2[[#This Row],[Cod]])*1,Tabla1[Valor])</f>
        <v>300000</v>
      </c>
      <c r="O317" s="265">
        <f>IF(AND(Tabla2[[#This Row],[Estado]]="ok",LEFT(Tabla2[[#This Row],['# Factura]],3)="TIS"),Tabla2[[#This Row],[TOTAL]]-Tabla2[[#This Row],[pagado]],0)</f>
        <v>0</v>
      </c>
      <c r="P317" s="262">
        <f>Tabla2[[#This Row],[TOTAL]]-Tabla2[[#This Row],[Valor pago]]</f>
        <v>0</v>
      </c>
      <c r="Q317" s="265">
        <f>IF(Tabla2[[#This Row],[Saldo]]=0,0,IF(Tabla2[[#This Row],[Tipo cliente]]="PJ",Tabla2[[#This Row],[SUBTOTAL]]*11%,0))</f>
        <v>0</v>
      </c>
      <c r="R317" s="276">
        <f>IF(Tabla2[[#This Row],[Saldo]]=0,0,IF(Tabla2[[#This Row],[Tipo cliente]]="PJ",Tabla2[[#This Row],[SUBTOTAL]]*0.966%,0))</f>
        <v>0</v>
      </c>
      <c r="S317" s="276">
        <f>IF(Tabla2[[#This Row],[Retiene IVA]]="S",Tabla2[[#This Row],[IVA]]*0.15,0)</f>
        <v>0</v>
      </c>
      <c r="T317" s="265">
        <f>+Tabla2[[#This Row],[Saldo]]-Tabla2[[#This Row],[Rete fte]]-Tabla2[[#This Row],[rete ica]]-Tabla2[[#This Row],[Rete IVA]]</f>
        <v>0</v>
      </c>
      <c r="U31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300000</v>
      </c>
      <c r="W317" s="23">
        <f>IF(Tabla2[[#This Row],[Fecha F.E.]]="","",YEAR(Tabla2[[#This Row],[Fecha F.E.]]))</f>
        <v>2023</v>
      </c>
      <c r="X317" s="23">
        <f>IF(Tabla2[[#This Row],[Fecha]]="","",YEAR(Tabla2[[#This Row],[Fecha]]))</f>
        <v>2023</v>
      </c>
    </row>
    <row r="318" spans="1:24" x14ac:dyDescent="0.25">
      <c r="A318" s="3">
        <v>318</v>
      </c>
      <c r="B318" s="77" t="s">
        <v>1406</v>
      </c>
      <c r="C318" s="360">
        <v>45191</v>
      </c>
      <c r="D318" s="76" t="s">
        <v>1407</v>
      </c>
      <c r="E318" s="360">
        <v>45191</v>
      </c>
      <c r="F318" s="78" t="s">
        <v>231</v>
      </c>
      <c r="G318" s="85">
        <v>900444852</v>
      </c>
      <c r="H318" s="177" t="str">
        <f>VLOOKUP(Tabla2[[#This Row],[NIT]],Clientes!A:C,2,0)</f>
        <v>TRANSPORTES ESPECIALES ALIADOS S.A.S</v>
      </c>
      <c r="I318" s="77" t="str">
        <f>VLOOKUP(Tabla2[[#This Row],[NIT]],Clientes!A:C,3,0)</f>
        <v>PJ</v>
      </c>
      <c r="J318" s="73" t="s">
        <v>794</v>
      </c>
      <c r="K318" s="267">
        <f>SUMIFS(Tabla4[Sub Total],Tabla4[Codigo],Tabla2[[#This Row],[Cod]])</f>
        <v>1584000</v>
      </c>
      <c r="L318" s="262">
        <f>SUMPRODUCT((Tabla4[Codigo]=Tabla2[[#This Row],[Cod]])*1,Tabla4[IVA])</f>
        <v>300960</v>
      </c>
      <c r="M318" s="262">
        <f>SUMIFS(Tabla4[Total],Tabla4[Codigo],Tabla2[[#This Row],[Cod]])</f>
        <v>1884960</v>
      </c>
      <c r="N318" s="278">
        <f>SUMPRODUCT((Tabla1[Codigo]=Tabla2[[#This Row],[Cod]])*1,Tabla1[Valor])</f>
        <v>1806299</v>
      </c>
      <c r="O318" s="265">
        <f>IF(AND(Tabla2[[#This Row],[Estado]]="ok",LEFT(Tabla2[[#This Row],['# Factura]],3)="TIS"),Tabla2[[#This Row],[TOTAL]]-Tabla2[[#This Row],[pagado]],0)</f>
        <v>0</v>
      </c>
      <c r="P318" s="262">
        <f>Tabla2[[#This Row],[TOTAL]]-Tabla2[[#This Row],[Valor pago]]</f>
        <v>78661</v>
      </c>
      <c r="Q318" s="265">
        <f>IF(Tabla2[[#This Row],[Saldo]]=0,0,IF(Tabla2[[#This Row],[Tipo cliente]]="PJ",Tabla2[[#This Row],[SUBTOTAL]]*11%,0))</f>
        <v>174240</v>
      </c>
      <c r="R318" s="276">
        <f>IF(Tabla2[[#This Row],[Saldo]]=0,0,IF(Tabla2[[#This Row],[Tipo cliente]]="PJ",Tabla2[[#This Row],[SUBTOTAL]]*0.966%,0))</f>
        <v>15301.44</v>
      </c>
      <c r="S318" s="276">
        <f>IF(Tabla2[[#This Row],[Retiene IVA]]="S",Tabla2[[#This Row],[IVA]]*0.15,0)</f>
        <v>0</v>
      </c>
      <c r="T318" s="265">
        <f>+Tabla2[[#This Row],[Saldo]]-Tabla2[[#This Row],[Rete fte]]-Tabla2[[#This Row],[rete ica]]-Tabla2[[#This Row],[Rete IVA]]</f>
        <v>-110880.44</v>
      </c>
      <c r="U31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1884960</v>
      </c>
      <c r="W318" s="23">
        <f>IF(Tabla2[[#This Row],[Fecha F.E.]]="","",YEAR(Tabla2[[#This Row],[Fecha F.E.]]))</f>
        <v>2023</v>
      </c>
      <c r="X318" s="23">
        <f>IF(Tabla2[[#This Row],[Fecha]]="","",YEAR(Tabla2[[#This Row],[Fecha]]))</f>
        <v>2023</v>
      </c>
    </row>
    <row r="319" spans="1:24" ht="26.25" x14ac:dyDescent="0.25">
      <c r="A319" s="3">
        <v>319</v>
      </c>
      <c r="B319" s="77" t="s">
        <v>1408</v>
      </c>
      <c r="C319" s="360">
        <v>45191</v>
      </c>
      <c r="D319" s="76" t="s">
        <v>1409</v>
      </c>
      <c r="E319" s="360">
        <v>45191</v>
      </c>
      <c r="F319" s="78" t="s">
        <v>231</v>
      </c>
      <c r="G319" s="85">
        <v>900396116</v>
      </c>
      <c r="H319" s="177" t="str">
        <f>VLOOKUP(Tabla2[[#This Row],[NIT]],Clientes!A:C,2,0)</f>
        <v>PRODUCTORA INTERAMERICANA DE PLASTICOS S.A.S.</v>
      </c>
      <c r="I319" s="77" t="str">
        <f>VLOOKUP(Tabla2[[#This Row],[NIT]],Clientes!A:C,3,0)</f>
        <v>PJ</v>
      </c>
      <c r="J319" s="73" t="s">
        <v>794</v>
      </c>
      <c r="K319" s="267">
        <f>SUMIFS(Tabla4[Sub Total],Tabla4[Codigo],Tabla2[[#This Row],[Cod]])</f>
        <v>300000</v>
      </c>
      <c r="L319" s="262">
        <f>SUMPRODUCT((Tabla4[Codigo]=Tabla2[[#This Row],[Cod]])*1,Tabla4[IVA])</f>
        <v>57000</v>
      </c>
      <c r="M319" s="262">
        <f>SUMIFS(Tabla4[Total],Tabla4[Codigo],Tabla2[[#This Row],[Cod]])</f>
        <v>357000</v>
      </c>
      <c r="N319" s="278">
        <f>SUMPRODUCT((Tabla1[Codigo]=Tabla2[[#This Row],[Cod]])*1,Tabla1[Valor])</f>
        <v>321102</v>
      </c>
      <c r="O319" s="265">
        <f>IF(AND(Tabla2[[#This Row],[Estado]]="ok",LEFT(Tabla2[[#This Row],['# Factura]],3)="TIS"),Tabla2[[#This Row],[TOTAL]]-Tabla2[[#This Row],[pagado]],0)</f>
        <v>0</v>
      </c>
      <c r="P319" s="262">
        <f>Tabla2[[#This Row],[TOTAL]]-Tabla2[[#This Row],[Valor pago]]</f>
        <v>35898</v>
      </c>
      <c r="Q319" s="265">
        <f>IF(Tabla2[[#This Row],[Saldo]]=0,0,IF(Tabla2[[#This Row],[Tipo cliente]]="PJ",Tabla2[[#This Row],[SUBTOTAL]]*11%,0))</f>
        <v>33000</v>
      </c>
      <c r="R319" s="276">
        <f>IF(Tabla2[[#This Row],[Saldo]]=0,0,IF(Tabla2[[#This Row],[Tipo cliente]]="PJ",Tabla2[[#This Row],[SUBTOTAL]]*0.966%,0))</f>
        <v>2898</v>
      </c>
      <c r="S319" s="276">
        <f>IF(Tabla2[[#This Row],[Retiene IVA]]="S",Tabla2[[#This Row],[IVA]]*0.15,0)</f>
        <v>0</v>
      </c>
      <c r="T319" s="265">
        <f>+Tabla2[[#This Row],[Saldo]]-Tabla2[[#This Row],[Rete fte]]-Tabla2[[#This Row],[rete ica]]-Tabla2[[#This Row],[Rete IVA]]</f>
        <v>0</v>
      </c>
      <c r="U31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319" s="23">
        <f>IF(Tabla2[[#This Row],[Fecha F.E.]]="","",YEAR(Tabla2[[#This Row],[Fecha F.E.]]))</f>
        <v>2023</v>
      </c>
      <c r="X319" s="23">
        <f>IF(Tabla2[[#This Row],[Fecha]]="","",YEAR(Tabla2[[#This Row],[Fecha]]))</f>
        <v>2023</v>
      </c>
    </row>
    <row r="320" spans="1:24" x14ac:dyDescent="0.25">
      <c r="A320" s="3">
        <v>320</v>
      </c>
      <c r="B320" s="77" t="s">
        <v>1410</v>
      </c>
      <c r="C320" s="360">
        <v>45204</v>
      </c>
      <c r="D320" s="76" t="s">
        <v>1411</v>
      </c>
      <c r="E320" s="360">
        <v>45204</v>
      </c>
      <c r="F320" s="78" t="s">
        <v>231</v>
      </c>
      <c r="G320" s="85">
        <v>800028768</v>
      </c>
      <c r="H320" s="177" t="str">
        <f>VLOOKUP(Tabla2[[#This Row],[NIT]],Clientes!A:C,2,0)</f>
        <v>Comercializadora ERZ SAS</v>
      </c>
      <c r="I320" s="77" t="str">
        <f>VLOOKUP(Tabla2[[#This Row],[NIT]],Clientes!A:C,3,0)</f>
        <v>PJ</v>
      </c>
      <c r="J320" s="73" t="s">
        <v>794</v>
      </c>
      <c r="K320" s="267">
        <f>SUMIFS(Tabla4[Sub Total],Tabla4[Codigo],Tabla2[[#This Row],[Cod]])</f>
        <v>260000</v>
      </c>
      <c r="L320" s="262">
        <f>SUMPRODUCT((Tabla4[Codigo]=Tabla2[[#This Row],[Cod]])*1,Tabla4[IVA])</f>
        <v>49400</v>
      </c>
      <c r="M320" s="262">
        <f>SUMIFS(Tabla4[Total],Tabla4[Codigo],Tabla2[[#This Row],[Cod]])</f>
        <v>309400</v>
      </c>
      <c r="N320" s="278">
        <f>SUMPRODUCT((Tabla1[Codigo]=Tabla2[[#This Row],[Cod]])*1,Tabla1[Valor])</f>
        <v>280800</v>
      </c>
      <c r="O320" s="265">
        <f>IF(AND(Tabla2[[#This Row],[Estado]]="ok",LEFT(Tabla2[[#This Row],['# Factura]],3)="TIS"),Tabla2[[#This Row],[TOTAL]]-Tabla2[[#This Row],[pagado]],0)</f>
        <v>0</v>
      </c>
      <c r="P320" s="262">
        <f>Tabla2[[#This Row],[TOTAL]]-Tabla2[[#This Row],[Valor pago]]</f>
        <v>28600</v>
      </c>
      <c r="Q320" s="265">
        <f>IF(Tabla2[[#This Row],[Saldo]]=0,0,IF(Tabla2[[#This Row],[Tipo cliente]]="PJ",Tabla2[[#This Row],[SUBTOTAL]]*11%,0))</f>
        <v>28600</v>
      </c>
      <c r="R320" s="276">
        <f>IF(Tabla2[[#This Row],[Saldo]]=0,0,IF(Tabla2[[#This Row],[Tipo cliente]]="PJ",Tabla2[[#This Row],[SUBTOTAL]]*0.966%,0))</f>
        <v>2511.6</v>
      </c>
      <c r="S320" s="276">
        <f>IF(Tabla2[[#This Row],[Retiene IVA]]="S",Tabla2[[#This Row],[IVA]]*0.15,0)</f>
        <v>0</v>
      </c>
      <c r="T320" s="265">
        <f>+Tabla2[[#This Row],[Saldo]]-Tabla2[[#This Row],[Rete fte]]-Tabla2[[#This Row],[rete ica]]-Tabla2[[#This Row],[Rete IVA]]</f>
        <v>-2511.6</v>
      </c>
      <c r="U32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309400</v>
      </c>
      <c r="W320" s="23">
        <f>IF(Tabla2[[#This Row],[Fecha F.E.]]="","",YEAR(Tabla2[[#This Row],[Fecha F.E.]]))</f>
        <v>2023</v>
      </c>
      <c r="X320" s="23">
        <f>IF(Tabla2[[#This Row],[Fecha]]="","",YEAR(Tabla2[[#This Row],[Fecha]]))</f>
        <v>2023</v>
      </c>
    </row>
    <row r="321" spans="1:24" ht="26.25" x14ac:dyDescent="0.25">
      <c r="A321" s="3">
        <v>321</v>
      </c>
      <c r="B321" s="77" t="s">
        <v>1412</v>
      </c>
      <c r="C321" s="360">
        <v>45204</v>
      </c>
      <c r="D321" s="76" t="s">
        <v>1413</v>
      </c>
      <c r="E321" s="360">
        <v>45204</v>
      </c>
      <c r="F321" s="78" t="s">
        <v>231</v>
      </c>
      <c r="G321" s="85">
        <v>900396116</v>
      </c>
      <c r="H321" s="177" t="str">
        <f>VLOOKUP(Tabla2[[#This Row],[NIT]],Clientes!A:C,2,0)</f>
        <v>PRODUCTORA INTERAMERICANA DE PLASTICOS S.A.S.</v>
      </c>
      <c r="I321" s="77" t="str">
        <f>VLOOKUP(Tabla2[[#This Row],[NIT]],Clientes!A:C,3,0)</f>
        <v>PJ</v>
      </c>
      <c r="J321" s="73" t="s">
        <v>794</v>
      </c>
      <c r="K321" s="267">
        <f>SUMIFS(Tabla4[Sub Total],Tabla4[Codigo],Tabla2[[#This Row],[Cod]])</f>
        <v>300000</v>
      </c>
      <c r="L321" s="262">
        <f>SUMPRODUCT((Tabla4[Codigo]=Tabla2[[#This Row],[Cod]])*1,Tabla4[IVA])</f>
        <v>57000</v>
      </c>
      <c r="M321" s="262">
        <f>SUMIFS(Tabla4[Total],Tabla4[Codigo],Tabla2[[#This Row],[Cod]])</f>
        <v>357000</v>
      </c>
      <c r="N321" s="278">
        <f>SUMPRODUCT((Tabla1[Codigo]=Tabla2[[#This Row],[Cod]])*1,Tabla1[Valor])</f>
        <v>321102</v>
      </c>
      <c r="O321" s="265">
        <f>IF(AND(Tabla2[[#This Row],[Estado]]="ok",LEFT(Tabla2[[#This Row],['# Factura]],3)="TIS"),Tabla2[[#This Row],[TOTAL]]-Tabla2[[#This Row],[pagado]],0)</f>
        <v>0</v>
      </c>
      <c r="P321" s="262">
        <f>Tabla2[[#This Row],[TOTAL]]-Tabla2[[#This Row],[Valor pago]]</f>
        <v>35898</v>
      </c>
      <c r="Q321" s="265">
        <f>IF(Tabla2[[#This Row],[Saldo]]=0,0,IF(Tabla2[[#This Row],[Tipo cliente]]="PJ",Tabla2[[#This Row],[SUBTOTAL]]*11%,0))</f>
        <v>33000</v>
      </c>
      <c r="R321" s="276">
        <f>IF(Tabla2[[#This Row],[Saldo]]=0,0,IF(Tabla2[[#This Row],[Tipo cliente]]="PJ",Tabla2[[#This Row],[SUBTOTAL]]*0.966%,0))</f>
        <v>2898</v>
      </c>
      <c r="S321" s="276">
        <f>IF(Tabla2[[#This Row],[Retiene IVA]]="S",Tabla2[[#This Row],[IVA]]*0.15,0)</f>
        <v>0</v>
      </c>
      <c r="T321" s="265">
        <f>+Tabla2[[#This Row],[Saldo]]-Tabla2[[#This Row],[Rete fte]]-Tabla2[[#This Row],[rete ica]]-Tabla2[[#This Row],[Rete IVA]]</f>
        <v>0</v>
      </c>
      <c r="U32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321" s="23">
        <f>IF(Tabla2[[#This Row],[Fecha F.E.]]="","",YEAR(Tabla2[[#This Row],[Fecha F.E.]]))</f>
        <v>2023</v>
      </c>
      <c r="X321" s="23">
        <f>IF(Tabla2[[#This Row],[Fecha]]="","",YEAR(Tabla2[[#This Row],[Fecha]]))</f>
        <v>2023</v>
      </c>
    </row>
    <row r="322" spans="1:24" x14ac:dyDescent="0.25">
      <c r="A322" s="3">
        <v>322</v>
      </c>
      <c r="B322" s="77" t="s">
        <v>1414</v>
      </c>
      <c r="C322" s="360">
        <v>45204</v>
      </c>
      <c r="D322" s="76" t="s">
        <v>1415</v>
      </c>
      <c r="E322" s="360">
        <v>45204</v>
      </c>
      <c r="F322" s="78" t="s">
        <v>231</v>
      </c>
      <c r="G322" s="85">
        <v>901342609</v>
      </c>
      <c r="H322" s="177" t="str">
        <f>VLOOKUP(Tabla2[[#This Row],[NIT]],Clientes!A:C,2,0)</f>
        <v>ROYCO SOLUCIONES SAS</v>
      </c>
      <c r="I322" s="77" t="str">
        <f>VLOOKUP(Tabla2[[#This Row],[NIT]],Clientes!A:C,3,0)</f>
        <v>PJ</v>
      </c>
      <c r="J322" s="73" t="s">
        <v>794</v>
      </c>
      <c r="K322" s="267">
        <f>SUMIFS(Tabla4[Sub Total],Tabla4[Codigo],Tabla2[[#This Row],[Cod]])</f>
        <v>175000</v>
      </c>
      <c r="L322" s="262">
        <f>SUMPRODUCT((Tabla4[Codigo]=Tabla2[[#This Row],[Cod]])*1,Tabla4[IVA])</f>
        <v>33250</v>
      </c>
      <c r="M322" s="262">
        <f>SUMIFS(Tabla4[Total],Tabla4[Codigo],Tabla2[[#This Row],[Cod]])</f>
        <v>208250</v>
      </c>
      <c r="N322" s="278">
        <f>SUMPRODUCT((Tabla1[Codigo]=Tabla2[[#This Row],[Cod]])*1,Tabla1[Valor])</f>
        <v>201250</v>
      </c>
      <c r="O322" s="265">
        <f>IF(AND(Tabla2[[#This Row],[Estado]]="ok",LEFT(Tabla2[[#This Row],['# Factura]],3)="TIS"),Tabla2[[#This Row],[TOTAL]]-Tabla2[[#This Row],[pagado]],0)</f>
        <v>0</v>
      </c>
      <c r="P322" s="262">
        <f>Tabla2[[#This Row],[TOTAL]]-Tabla2[[#This Row],[Valor pago]]</f>
        <v>7000</v>
      </c>
      <c r="Q322" s="265">
        <f>IF(Tabla2[[#This Row],[Saldo]]=0,0,IF(Tabla2[[#This Row],[Tipo cliente]]="PJ",Tabla2[[#This Row],[SUBTOTAL]]*11%,0))</f>
        <v>19250</v>
      </c>
      <c r="R322" s="276">
        <f>IF(Tabla2[[#This Row],[Saldo]]=0,0,IF(Tabla2[[#This Row],[Tipo cliente]]="PJ",Tabla2[[#This Row],[SUBTOTAL]]*0.966%,0))</f>
        <v>1690.5</v>
      </c>
      <c r="S322" s="276">
        <f>IF(Tabla2[[#This Row],[Retiene IVA]]="S",Tabla2[[#This Row],[IVA]]*0.15,0)</f>
        <v>0</v>
      </c>
      <c r="T322" s="265">
        <f>+Tabla2[[#This Row],[Saldo]]-Tabla2[[#This Row],[Rete fte]]-Tabla2[[#This Row],[rete ica]]-Tabla2[[#This Row],[Rete IVA]]</f>
        <v>-13940.5</v>
      </c>
      <c r="U32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208250</v>
      </c>
      <c r="W322" s="23">
        <f>IF(Tabla2[[#This Row],[Fecha F.E.]]="","",YEAR(Tabla2[[#This Row],[Fecha F.E.]]))</f>
        <v>2023</v>
      </c>
      <c r="X322" s="23">
        <f>IF(Tabla2[[#This Row],[Fecha]]="","",YEAR(Tabla2[[#This Row],[Fecha]]))</f>
        <v>2023</v>
      </c>
    </row>
    <row r="323" spans="1:24" x14ac:dyDescent="0.25">
      <c r="A323" s="3">
        <v>323</v>
      </c>
      <c r="B323" s="77" t="s">
        <v>1416</v>
      </c>
      <c r="C323" s="360">
        <v>45204</v>
      </c>
      <c r="D323" s="76" t="s">
        <v>1417</v>
      </c>
      <c r="E323" s="360">
        <v>45204</v>
      </c>
      <c r="F323" s="78" t="s">
        <v>231</v>
      </c>
      <c r="G323" s="85">
        <v>900505660</v>
      </c>
      <c r="H323" s="177" t="str">
        <f>VLOOKUP(Tabla2[[#This Row],[NIT]],Clientes!A:C,2,0)</f>
        <v>DIGITAL MEDIA TECHNOLOGIES COLOMBIA SAS</v>
      </c>
      <c r="I323" s="77" t="str">
        <f>VLOOKUP(Tabla2[[#This Row],[NIT]],Clientes!A:C,3,0)</f>
        <v>PJ</v>
      </c>
      <c r="J323" s="73" t="s">
        <v>794</v>
      </c>
      <c r="K323" s="267">
        <f>SUMIFS(Tabla4[Sub Total],Tabla4[Codigo],Tabla2[[#This Row],[Cod]])</f>
        <v>250000</v>
      </c>
      <c r="L323" s="262">
        <f>SUMPRODUCT((Tabla4[Codigo]=Tabla2[[#This Row],[Cod]])*1,Tabla4[IVA])</f>
        <v>47500</v>
      </c>
      <c r="M323" s="262">
        <f>SUMIFS(Tabla4[Total],Tabla4[Codigo],Tabla2[[#This Row],[Cod]])</f>
        <v>297500</v>
      </c>
      <c r="N323" s="278">
        <f>SUMPRODUCT((Tabla1[Codigo]=Tabla2[[#This Row],[Cod]])*1,Tabla1[Valor])</f>
        <v>270000</v>
      </c>
      <c r="O323" s="265">
        <f>IF(AND(Tabla2[[#This Row],[Estado]]="ok",LEFT(Tabla2[[#This Row],['# Factura]],3)="TIS"),Tabla2[[#This Row],[TOTAL]]-Tabla2[[#This Row],[pagado]],0)</f>
        <v>0</v>
      </c>
      <c r="P323" s="262">
        <f>Tabla2[[#This Row],[TOTAL]]-Tabla2[[#This Row],[Valor pago]]</f>
        <v>27500</v>
      </c>
      <c r="Q323" s="265">
        <f>IF(Tabla2[[#This Row],[Saldo]]=0,0,IF(Tabla2[[#This Row],[Tipo cliente]]="PJ",Tabla2[[#This Row],[SUBTOTAL]]*11%,0))</f>
        <v>27500</v>
      </c>
      <c r="R323" s="276">
        <f>IF(Tabla2[[#This Row],[Saldo]]=0,0,IF(Tabla2[[#This Row],[Tipo cliente]]="PJ",Tabla2[[#This Row],[SUBTOTAL]]*0.966%,0))</f>
        <v>2415</v>
      </c>
      <c r="S323" s="276">
        <f>IF(Tabla2[[#This Row],[Retiene IVA]]="S",Tabla2[[#This Row],[IVA]]*0.15,0)</f>
        <v>0</v>
      </c>
      <c r="T323" s="265">
        <f>+Tabla2[[#This Row],[Saldo]]-Tabla2[[#This Row],[Rete fte]]-Tabla2[[#This Row],[rete ica]]-Tabla2[[#This Row],[Rete IVA]]</f>
        <v>-2415</v>
      </c>
      <c r="U32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297500</v>
      </c>
      <c r="W323" s="23">
        <f>IF(Tabla2[[#This Row],[Fecha F.E.]]="","",YEAR(Tabla2[[#This Row],[Fecha F.E.]]))</f>
        <v>2023</v>
      </c>
      <c r="X323" s="23">
        <f>IF(Tabla2[[#This Row],[Fecha]]="","",YEAR(Tabla2[[#This Row],[Fecha]]))</f>
        <v>2023</v>
      </c>
    </row>
    <row r="324" spans="1:24" x14ac:dyDescent="0.25">
      <c r="A324" s="3">
        <v>324</v>
      </c>
      <c r="B324" s="77" t="s">
        <v>1418</v>
      </c>
      <c r="C324" s="360">
        <v>45204</v>
      </c>
      <c r="D324" s="76" t="s">
        <v>1419</v>
      </c>
      <c r="E324" s="360">
        <v>45204</v>
      </c>
      <c r="F324" s="78" t="s">
        <v>231</v>
      </c>
      <c r="G324" s="85">
        <v>901030518</v>
      </c>
      <c r="H324" s="177" t="str">
        <f>VLOOKUP(Tabla2[[#This Row],[NIT]],Clientes!A:C,2,0)</f>
        <v>Inversiones Sajamib SAS</v>
      </c>
      <c r="I324" s="77" t="str">
        <f>VLOOKUP(Tabla2[[#This Row],[NIT]],Clientes!A:C,3,0)</f>
        <v>PJ</v>
      </c>
      <c r="J324" s="73" t="s">
        <v>794</v>
      </c>
      <c r="K324" s="267">
        <f>SUMIFS(Tabla4[Sub Total],Tabla4[Codigo],Tabla2[[#This Row],[Cod]])</f>
        <v>400000</v>
      </c>
      <c r="L324" s="262">
        <f>SUMPRODUCT((Tabla4[Codigo]=Tabla2[[#This Row],[Cod]])*1,Tabla4[IVA])</f>
        <v>0</v>
      </c>
      <c r="M324" s="262">
        <f>SUMIFS(Tabla4[Total],Tabla4[Codigo],Tabla2[[#This Row],[Cod]])</f>
        <v>400000</v>
      </c>
      <c r="N324" s="278">
        <f>SUMPRODUCT((Tabla1[Codigo]=Tabla2[[#This Row],[Cod]])*1,Tabla1[Valor])</f>
        <v>400000</v>
      </c>
      <c r="O324" s="265">
        <f>IF(AND(Tabla2[[#This Row],[Estado]]="ok",LEFT(Tabla2[[#This Row],['# Factura]],3)="TIS"),Tabla2[[#This Row],[TOTAL]]-Tabla2[[#This Row],[pagado]],0)</f>
        <v>0</v>
      </c>
      <c r="P324" s="262">
        <f>Tabla2[[#This Row],[TOTAL]]-Tabla2[[#This Row],[Valor pago]]</f>
        <v>0</v>
      </c>
      <c r="Q324" s="265">
        <f>IF(Tabla2[[#This Row],[Saldo]]=0,0,IF(Tabla2[[#This Row],[Tipo cliente]]="PJ",Tabla2[[#This Row],[SUBTOTAL]]*11%,0))</f>
        <v>0</v>
      </c>
      <c r="R324" s="276">
        <f>IF(Tabla2[[#This Row],[Saldo]]=0,0,IF(Tabla2[[#This Row],[Tipo cliente]]="PJ",Tabla2[[#This Row],[SUBTOTAL]]*0.966%,0))</f>
        <v>0</v>
      </c>
      <c r="S324" s="276">
        <f>IF(Tabla2[[#This Row],[Retiene IVA]]="S",Tabla2[[#This Row],[IVA]]*0.15,0)</f>
        <v>0</v>
      </c>
      <c r="T324" s="265">
        <f>+Tabla2[[#This Row],[Saldo]]-Tabla2[[#This Row],[Rete fte]]-Tabla2[[#This Row],[rete ica]]-Tabla2[[#This Row],[Rete IVA]]</f>
        <v>0</v>
      </c>
      <c r="U32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324" s="23">
        <f>IF(Tabla2[[#This Row],[Fecha F.E.]]="","",YEAR(Tabla2[[#This Row],[Fecha F.E.]]))</f>
        <v>2023</v>
      </c>
      <c r="X324" s="23">
        <f>IF(Tabla2[[#This Row],[Fecha]]="","",YEAR(Tabla2[[#This Row],[Fecha]]))</f>
        <v>2023</v>
      </c>
    </row>
    <row r="325" spans="1:24" x14ac:dyDescent="0.25">
      <c r="A325" s="3">
        <v>325</v>
      </c>
      <c r="B325" s="77" t="s">
        <v>1420</v>
      </c>
      <c r="C325" s="360">
        <v>45204</v>
      </c>
      <c r="D325" s="76" t="s">
        <v>1421</v>
      </c>
      <c r="E325" s="360">
        <v>45204</v>
      </c>
      <c r="F325" s="78" t="s">
        <v>231</v>
      </c>
      <c r="G325" s="85">
        <v>52385710</v>
      </c>
      <c r="H325" s="177" t="str">
        <f>VLOOKUP(Tabla2[[#This Row],[NIT]],Clientes!A:C,2,0)</f>
        <v>Maria del Pilar Alvarado Joya</v>
      </c>
      <c r="I325" s="77" t="str">
        <f>VLOOKUP(Tabla2[[#This Row],[NIT]],Clientes!A:C,3,0)</f>
        <v>PN</v>
      </c>
      <c r="J325" s="73" t="s">
        <v>794</v>
      </c>
      <c r="K325" s="267">
        <f>SUMIFS(Tabla4[Sub Total],Tabla4[Codigo],Tabla2[[#This Row],[Cod]])</f>
        <v>900000</v>
      </c>
      <c r="L325" s="262">
        <f>SUMPRODUCT((Tabla4[Codigo]=Tabla2[[#This Row],[Cod]])*1,Tabla4[IVA])</f>
        <v>0</v>
      </c>
      <c r="M325" s="262">
        <f>SUMIFS(Tabla4[Total],Tabla4[Codigo],Tabla2[[#This Row],[Cod]])</f>
        <v>900000</v>
      </c>
      <c r="N325" s="278">
        <f>SUMPRODUCT((Tabla1[Codigo]=Tabla2[[#This Row],[Cod]])*1,Tabla1[Valor])</f>
        <v>900000</v>
      </c>
      <c r="O325" s="265">
        <f>IF(AND(Tabla2[[#This Row],[Estado]]="ok",LEFT(Tabla2[[#This Row],['# Factura]],3)="TIS"),Tabla2[[#This Row],[TOTAL]]-Tabla2[[#This Row],[pagado]],0)</f>
        <v>0</v>
      </c>
      <c r="P325" s="262">
        <f>Tabla2[[#This Row],[TOTAL]]-Tabla2[[#This Row],[Valor pago]]</f>
        <v>0</v>
      </c>
      <c r="Q325" s="265">
        <f>IF(Tabla2[[#This Row],[Saldo]]=0,0,IF(Tabla2[[#This Row],[Tipo cliente]]="PJ",Tabla2[[#This Row],[SUBTOTAL]]*11%,0))</f>
        <v>0</v>
      </c>
      <c r="R325" s="276">
        <f>IF(Tabla2[[#This Row],[Saldo]]=0,0,IF(Tabla2[[#This Row],[Tipo cliente]]="PJ",Tabla2[[#This Row],[SUBTOTAL]]*0.966%,0))</f>
        <v>0</v>
      </c>
      <c r="S325" s="276">
        <f>IF(Tabla2[[#This Row],[Retiene IVA]]="S",Tabla2[[#This Row],[IVA]]*0.15,0)</f>
        <v>0</v>
      </c>
      <c r="T325" s="265">
        <f>+Tabla2[[#This Row],[Saldo]]-Tabla2[[#This Row],[Rete fte]]-Tabla2[[#This Row],[rete ica]]-Tabla2[[#This Row],[Rete IVA]]</f>
        <v>0</v>
      </c>
      <c r="U32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325" s="23">
        <f>IF(Tabla2[[#This Row],[Fecha F.E.]]="","",YEAR(Tabla2[[#This Row],[Fecha F.E.]]))</f>
        <v>2023</v>
      </c>
      <c r="X325" s="23">
        <f>IF(Tabla2[[#This Row],[Fecha]]="","",YEAR(Tabla2[[#This Row],[Fecha]]))</f>
        <v>2023</v>
      </c>
    </row>
    <row r="326" spans="1:24" x14ac:dyDescent="0.25">
      <c r="A326" s="3">
        <v>326</v>
      </c>
      <c r="B326" s="77" t="s">
        <v>1422</v>
      </c>
      <c r="C326" s="360">
        <v>45204</v>
      </c>
      <c r="D326" s="76" t="s">
        <v>1423</v>
      </c>
      <c r="E326" s="360">
        <v>45204</v>
      </c>
      <c r="F326" s="78" t="s">
        <v>231</v>
      </c>
      <c r="G326" s="85">
        <v>52385710</v>
      </c>
      <c r="H326" s="177" t="str">
        <f>VLOOKUP(Tabla2[[#This Row],[NIT]],Clientes!A:C,2,0)</f>
        <v>Maria del Pilar Alvarado Joya</v>
      </c>
      <c r="I326" s="77" t="str">
        <f>VLOOKUP(Tabla2[[#This Row],[NIT]],Clientes!A:C,3,0)</f>
        <v>PN</v>
      </c>
      <c r="J326" s="73" t="s">
        <v>794</v>
      </c>
      <c r="K326" s="267">
        <f>SUMIFS(Tabla4[Sub Total],Tabla4[Codigo],Tabla2[[#This Row],[Cod]])</f>
        <v>300000</v>
      </c>
      <c r="L326" s="262">
        <f>SUMPRODUCT((Tabla4[Codigo]=Tabla2[[#This Row],[Cod]])*1,Tabla4[IVA])</f>
        <v>0</v>
      </c>
      <c r="M326" s="262">
        <f>SUMIFS(Tabla4[Total],Tabla4[Codigo],Tabla2[[#This Row],[Cod]])</f>
        <v>300000</v>
      </c>
      <c r="N326" s="278">
        <f>SUMPRODUCT((Tabla1[Codigo]=Tabla2[[#This Row],[Cod]])*1,Tabla1[Valor])</f>
        <v>300000</v>
      </c>
      <c r="O326" s="265">
        <f>IF(AND(Tabla2[[#This Row],[Estado]]="ok",LEFT(Tabla2[[#This Row],['# Factura]],3)="TIS"),Tabla2[[#This Row],[TOTAL]]-Tabla2[[#This Row],[pagado]],0)</f>
        <v>0</v>
      </c>
      <c r="P326" s="262">
        <f>Tabla2[[#This Row],[TOTAL]]-Tabla2[[#This Row],[Valor pago]]</f>
        <v>0</v>
      </c>
      <c r="Q326" s="265">
        <f>IF(Tabla2[[#This Row],[Saldo]]=0,0,IF(Tabla2[[#This Row],[Tipo cliente]]="PJ",Tabla2[[#This Row],[SUBTOTAL]]*11%,0))</f>
        <v>0</v>
      </c>
      <c r="R326" s="276">
        <f>IF(Tabla2[[#This Row],[Saldo]]=0,0,IF(Tabla2[[#This Row],[Tipo cliente]]="PJ",Tabla2[[#This Row],[SUBTOTAL]]*0.966%,0))</f>
        <v>0</v>
      </c>
      <c r="S326" s="276">
        <f>IF(Tabla2[[#This Row],[Retiene IVA]]="S",Tabla2[[#This Row],[IVA]]*0.15,0)</f>
        <v>0</v>
      </c>
      <c r="T326" s="265">
        <f>+Tabla2[[#This Row],[Saldo]]-Tabla2[[#This Row],[Rete fte]]-Tabla2[[#This Row],[rete ica]]-Tabla2[[#This Row],[Rete IVA]]</f>
        <v>0</v>
      </c>
      <c r="U32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300000</v>
      </c>
      <c r="W326" s="23">
        <f>IF(Tabla2[[#This Row],[Fecha F.E.]]="","",YEAR(Tabla2[[#This Row],[Fecha F.E.]]))</f>
        <v>2023</v>
      </c>
      <c r="X326" s="23">
        <f>IF(Tabla2[[#This Row],[Fecha]]="","",YEAR(Tabla2[[#This Row],[Fecha]]))</f>
        <v>2023</v>
      </c>
    </row>
    <row r="327" spans="1:24" x14ac:dyDescent="0.25">
      <c r="A327" s="3">
        <v>327</v>
      </c>
      <c r="B327" s="77" t="s">
        <v>1424</v>
      </c>
      <c r="C327" s="360">
        <v>45224</v>
      </c>
      <c r="D327" s="76" t="s">
        <v>1425</v>
      </c>
      <c r="E327" s="360">
        <v>45223</v>
      </c>
      <c r="F327" s="78" t="s">
        <v>231</v>
      </c>
      <c r="G327" s="85">
        <v>900694193</v>
      </c>
      <c r="H327" s="177" t="str">
        <f>VLOOKUP(Tabla2[[#This Row],[NIT]],Clientes!A:C,2,0)</f>
        <v>ALVEAR ESCOBAR ASOCIADOS S.A.S</v>
      </c>
      <c r="I327" s="77">
        <f>VLOOKUP(Tabla2[[#This Row],[NIT]],Clientes!A:C,3,0)</f>
        <v>0</v>
      </c>
      <c r="J327" s="73" t="s">
        <v>794</v>
      </c>
      <c r="K327" s="267">
        <f>SUMIFS(Tabla4[Sub Total],Tabla4[Codigo],Tabla2[[#This Row],[Cod]])</f>
        <v>300000</v>
      </c>
      <c r="L327" s="262">
        <f>SUMPRODUCT((Tabla4[Codigo]=Tabla2[[#This Row],[Cod]])*1,Tabla4[IVA])</f>
        <v>57000</v>
      </c>
      <c r="M327" s="262">
        <f>SUMIFS(Tabla4[Total],Tabla4[Codigo],Tabla2[[#This Row],[Cod]])</f>
        <v>357000</v>
      </c>
      <c r="N327" s="278">
        <f>SUMPRODUCT((Tabla1[Codigo]=Tabla2[[#This Row],[Cod]])*1,Tabla1[Valor])</f>
        <v>345000</v>
      </c>
      <c r="O327" s="265">
        <f>IF(AND(Tabla2[[#This Row],[Estado]]="ok",LEFT(Tabla2[[#This Row],['# Factura]],3)="TIS"),Tabla2[[#This Row],[TOTAL]]-Tabla2[[#This Row],[pagado]],0)</f>
        <v>12000</v>
      </c>
      <c r="P327" s="262">
        <f>Tabla2[[#This Row],[TOTAL]]-Tabla2[[#This Row],[Valor pago]]</f>
        <v>12000</v>
      </c>
      <c r="Q327" s="265">
        <f>IF(Tabla2[[#This Row],[Saldo]]=0,0,IF(Tabla2[[#This Row],[Tipo cliente]]="PJ",Tabla2[[#This Row],[SUBTOTAL]]*11%,0))</f>
        <v>0</v>
      </c>
      <c r="R327" s="276">
        <f>IF(Tabla2[[#This Row],[Saldo]]=0,0,IF(Tabla2[[#This Row],[Tipo cliente]]="PJ",Tabla2[[#This Row],[SUBTOTAL]]*0.966%,0))</f>
        <v>0</v>
      </c>
      <c r="S327" s="276">
        <f>IF(Tabla2[[#This Row],[Retiene IVA]]="S",Tabla2[[#This Row],[IVA]]*0.15,0)</f>
        <v>0</v>
      </c>
      <c r="T327" s="265">
        <f>+Tabla2[[#This Row],[Saldo]]-Tabla2[[#This Row],[Rete fte]]-Tabla2[[#This Row],[rete ica]]-Tabla2[[#This Row],[Rete IVA]]</f>
        <v>12000</v>
      </c>
      <c r="U32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345000</v>
      </c>
      <c r="W327" s="23">
        <f>IF(Tabla2[[#This Row],[Fecha F.E.]]="","",YEAR(Tabla2[[#This Row],[Fecha F.E.]]))</f>
        <v>2023</v>
      </c>
      <c r="X327" s="23">
        <f>IF(Tabla2[[#This Row],[Fecha]]="","",YEAR(Tabla2[[#This Row],[Fecha]]))</f>
        <v>2023</v>
      </c>
    </row>
    <row r="328" spans="1:24" ht="26.25" x14ac:dyDescent="0.25">
      <c r="A328" s="3">
        <v>328</v>
      </c>
      <c r="B328" s="77" t="s">
        <v>1426</v>
      </c>
      <c r="C328" s="360">
        <v>45239</v>
      </c>
      <c r="D328" s="76" t="s">
        <v>1425</v>
      </c>
      <c r="E328" s="360">
        <v>45223</v>
      </c>
      <c r="F328" s="78" t="s">
        <v>231</v>
      </c>
      <c r="G328" s="85">
        <v>900625659</v>
      </c>
      <c r="H328" s="177" t="str">
        <f>VLOOKUP(Tabla2[[#This Row],[NIT]],Clientes!A:C,2,0)</f>
        <v>INSTRUMENTACION Y SOLUCIONES PARA LABORATORIO S A S</v>
      </c>
      <c r="I328" s="77" t="str">
        <f>VLOOKUP(Tabla2[[#This Row],[NIT]],Clientes!A:C,3,0)</f>
        <v>PJ</v>
      </c>
      <c r="J328" s="73" t="s">
        <v>794</v>
      </c>
      <c r="K328" s="267">
        <f>SUMIFS(Tabla4[Sub Total],Tabla4[Codigo],Tabla2[[#This Row],[Cod]])</f>
        <v>385000</v>
      </c>
      <c r="L328" s="262">
        <f>SUMPRODUCT((Tabla4[Codigo]=Tabla2[[#This Row],[Cod]])*1,Tabla4[IVA])</f>
        <v>73150</v>
      </c>
      <c r="M328" s="262">
        <f>SUMIFS(Tabla4[Total],Tabla4[Codigo],Tabla2[[#This Row],[Cod]])</f>
        <v>458150</v>
      </c>
      <c r="N328" s="278">
        <f>SUMPRODUCT((Tabla1[Codigo]=Tabla2[[#This Row],[Cod]])*1,Tabla1[Valor])</f>
        <v>412466</v>
      </c>
      <c r="O328" s="265">
        <f>IF(AND(Tabla2[[#This Row],[Estado]]="ok",LEFT(Tabla2[[#This Row],['# Factura]],3)="TIS"),Tabla2[[#This Row],[TOTAL]]-Tabla2[[#This Row],[pagado]],0)</f>
        <v>0</v>
      </c>
      <c r="P328" s="262">
        <f>Tabla2[[#This Row],[TOTAL]]-Tabla2[[#This Row],[Valor pago]]</f>
        <v>45684</v>
      </c>
      <c r="Q328" s="265">
        <f>IF(Tabla2[[#This Row],[Saldo]]=0,0,IF(Tabla2[[#This Row],[Tipo cliente]]="PJ",Tabla2[[#This Row],[SUBTOTAL]]*11%,0))</f>
        <v>42350</v>
      </c>
      <c r="R328" s="276">
        <f>IF(Tabla2[[#This Row],[Saldo]]=0,0,IF(Tabla2[[#This Row],[Tipo cliente]]="PJ",Tabla2[[#This Row],[SUBTOTAL]]*0.966%,0))</f>
        <v>3719.1</v>
      </c>
      <c r="S328" s="276">
        <f>IF(Tabla2[[#This Row],[Retiene IVA]]="S",Tabla2[[#This Row],[IVA]]*0.15,0)</f>
        <v>0</v>
      </c>
      <c r="T328" s="265">
        <f>+Tabla2[[#This Row],[Saldo]]-Tabla2[[#This Row],[Rete fte]]-Tabla2[[#This Row],[rete ica]]-Tabla2[[#This Row],[Rete IVA]]</f>
        <v>-385.09999999999991</v>
      </c>
      <c r="U32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458150</v>
      </c>
      <c r="W328" s="23">
        <f>IF(Tabla2[[#This Row],[Fecha F.E.]]="","",YEAR(Tabla2[[#This Row],[Fecha F.E.]]))</f>
        <v>2023</v>
      </c>
      <c r="X328" s="23">
        <f>IF(Tabla2[[#This Row],[Fecha]]="","",YEAR(Tabla2[[#This Row],[Fecha]]))</f>
        <v>2023</v>
      </c>
    </row>
    <row r="329" spans="1:24" x14ac:dyDescent="0.25">
      <c r="A329" s="3">
        <v>329</v>
      </c>
      <c r="B329" s="77" t="s">
        <v>1427</v>
      </c>
      <c r="C329" s="360">
        <v>45239</v>
      </c>
      <c r="D329" s="76" t="s">
        <v>1428</v>
      </c>
      <c r="E329" s="360">
        <v>45231</v>
      </c>
      <c r="F329" s="78" t="s">
        <v>231</v>
      </c>
      <c r="G329" s="85">
        <v>830057687</v>
      </c>
      <c r="H329" s="177" t="str">
        <f>VLOOKUP(Tabla2[[#This Row],[NIT]],Clientes!A:C,2,0)</f>
        <v>ATECNO S.A.S</v>
      </c>
      <c r="I329" s="77" t="str">
        <f>VLOOKUP(Tabla2[[#This Row],[NIT]],Clientes!A:C,3,0)</f>
        <v>PJ</v>
      </c>
      <c r="J329" s="73" t="s">
        <v>794</v>
      </c>
      <c r="K329" s="267">
        <f>SUMIFS(Tabla4[Sub Total],Tabla4[Codigo],Tabla2[[#This Row],[Cod]])</f>
        <v>34890000</v>
      </c>
      <c r="L329" s="262">
        <f>SUMPRODUCT((Tabla4[Codigo]=Tabla2[[#This Row],[Cod]])*1,Tabla4[IVA])</f>
        <v>6629100</v>
      </c>
      <c r="M329" s="262">
        <f>SUMIFS(Tabla4[Total],Tabla4[Codigo],Tabla2[[#This Row],[Cod]])</f>
        <v>41519100</v>
      </c>
      <c r="N329" s="278">
        <f>SUMPRODUCT((Tabla1[Codigo]=Tabla2[[#This Row],[Cod]])*1,Tabla1[Valor])</f>
        <v>39821353</v>
      </c>
      <c r="O329" s="265">
        <f>IF(AND(Tabla2[[#This Row],[Estado]]="ok",LEFT(Tabla2[[#This Row],['# Factura]],3)="TIS"),Tabla2[[#This Row],[TOTAL]]-Tabla2[[#This Row],[pagado]],0)</f>
        <v>0</v>
      </c>
      <c r="P329" s="262">
        <f>Tabla2[[#This Row],[TOTAL]]-Tabla2[[#This Row],[Valor pago]]</f>
        <v>1697747</v>
      </c>
      <c r="Q329" s="265">
        <f>IF(Tabla2[[#This Row],[Saldo]]=0,0,IF(Tabla2[[#This Row],[Tipo cliente]]="PJ",Tabla2[[#This Row],[SUBTOTAL]]*11%,0))</f>
        <v>3837900</v>
      </c>
      <c r="R329" s="276">
        <f>IF(Tabla2[[#This Row],[Saldo]]=0,0,IF(Tabla2[[#This Row],[Tipo cliente]]="PJ",Tabla2[[#This Row],[SUBTOTAL]]*0.966%,0))</f>
        <v>337037.4</v>
      </c>
      <c r="S329" s="276">
        <f>IF(Tabla2[[#This Row],[Retiene IVA]]="S",Tabla2[[#This Row],[IVA]]*0.15,0)</f>
        <v>0</v>
      </c>
      <c r="T329" s="265">
        <f>+Tabla2[[#This Row],[Saldo]]-Tabla2[[#This Row],[Rete fte]]-Tabla2[[#This Row],[rete ica]]-Tabla2[[#This Row],[Rete IVA]]</f>
        <v>-2477190.4</v>
      </c>
      <c r="U32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41519100</v>
      </c>
      <c r="W329" s="23">
        <f>IF(Tabla2[[#This Row],[Fecha F.E.]]="","",YEAR(Tabla2[[#This Row],[Fecha F.E.]]))</f>
        <v>2023</v>
      </c>
      <c r="X329" s="23">
        <f>IF(Tabla2[[#This Row],[Fecha]]="","",YEAR(Tabla2[[#This Row],[Fecha]]))</f>
        <v>2023</v>
      </c>
    </row>
    <row r="330" spans="1:24" x14ac:dyDescent="0.25">
      <c r="A330" s="3">
        <v>330</v>
      </c>
      <c r="B330" s="77" t="s">
        <v>1429</v>
      </c>
      <c r="C330" s="360">
        <v>45266</v>
      </c>
      <c r="D330" s="76" t="s">
        <v>1430</v>
      </c>
      <c r="E330" s="360">
        <v>45231</v>
      </c>
      <c r="F330" s="78" t="s">
        <v>231</v>
      </c>
      <c r="G330" s="85">
        <v>830064224</v>
      </c>
      <c r="H330" s="177" t="str">
        <f>VLOOKUP(Tabla2[[#This Row],[NIT]],Clientes!A:C,2,0)</f>
        <v>CONPORTUARIO LTDA</v>
      </c>
      <c r="I330" s="77" t="str">
        <f>VLOOKUP(Tabla2[[#This Row],[NIT]],Clientes!A:C,3,0)</f>
        <v>PJ</v>
      </c>
      <c r="J330" s="73" t="s">
        <v>794</v>
      </c>
      <c r="K330" s="267">
        <f>SUMIFS(Tabla4[Sub Total],Tabla4[Codigo],Tabla2[[#This Row],[Cod]])</f>
        <v>1200000</v>
      </c>
      <c r="L330" s="262">
        <f>SUMPRODUCT((Tabla4[Codigo]=Tabla2[[#This Row],[Cod]])*1,Tabla4[IVA])</f>
        <v>228000</v>
      </c>
      <c r="M330" s="262">
        <f>SUMIFS(Tabla4[Total],Tabla4[Codigo],Tabla2[[#This Row],[Cod]])</f>
        <v>1428000</v>
      </c>
      <c r="N330" s="278">
        <f>SUMPRODUCT((Tabla1[Codigo]=Tabla2[[#This Row],[Cod]])*1,Tabla1[Valor])</f>
        <v>1368408</v>
      </c>
      <c r="O330" s="265">
        <f>IF(AND(Tabla2[[#This Row],[Estado]]="ok",LEFT(Tabla2[[#This Row],['# Factura]],3)="TIS"),Tabla2[[#This Row],[TOTAL]]-Tabla2[[#This Row],[pagado]],0)</f>
        <v>0</v>
      </c>
      <c r="P330" s="262">
        <f>Tabla2[[#This Row],[TOTAL]]-Tabla2[[#This Row],[Valor pago]]</f>
        <v>59592</v>
      </c>
      <c r="Q330" s="265">
        <f>IF(Tabla2[[#This Row],[Saldo]]=0,0,IF(Tabla2[[#This Row],[Tipo cliente]]="PJ",Tabla2[[#This Row],[SUBTOTAL]]*11%,0))</f>
        <v>132000</v>
      </c>
      <c r="R330" s="276">
        <f>IF(Tabla2[[#This Row],[Saldo]]=0,0,IF(Tabla2[[#This Row],[Tipo cliente]]="PJ",Tabla2[[#This Row],[SUBTOTAL]]*0.966%,0))</f>
        <v>11592</v>
      </c>
      <c r="S330" s="276">
        <f>IF(Tabla2[[#This Row],[Retiene IVA]]="S",Tabla2[[#This Row],[IVA]]*0.15,0)</f>
        <v>0</v>
      </c>
      <c r="T330" s="265">
        <f>+Tabla2[[#This Row],[Saldo]]-Tabla2[[#This Row],[Rete fte]]-Tabla2[[#This Row],[rete ica]]-Tabla2[[#This Row],[Rete IVA]]</f>
        <v>-84000</v>
      </c>
      <c r="U33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1428000</v>
      </c>
      <c r="W330" s="23">
        <f>IF(Tabla2[[#This Row],[Fecha F.E.]]="","",YEAR(Tabla2[[#This Row],[Fecha F.E.]]))</f>
        <v>2023</v>
      </c>
      <c r="X330" s="23">
        <f>IF(Tabla2[[#This Row],[Fecha]]="","",YEAR(Tabla2[[#This Row],[Fecha]]))</f>
        <v>2023</v>
      </c>
    </row>
    <row r="331" spans="1:24" ht="26.25" x14ac:dyDescent="0.25">
      <c r="A331" s="3">
        <v>331</v>
      </c>
      <c r="B331" s="77" t="s">
        <v>1431</v>
      </c>
      <c r="C331" s="360">
        <v>45266</v>
      </c>
      <c r="D331" s="76" t="s">
        <v>1432</v>
      </c>
      <c r="E331" s="360">
        <v>45231</v>
      </c>
      <c r="F331" s="78" t="s">
        <v>231</v>
      </c>
      <c r="G331" s="85">
        <v>830098290</v>
      </c>
      <c r="H331" s="177" t="str">
        <f>VLOOKUP(Tabla2[[#This Row],[NIT]],Clientes!A:C,2,0)</f>
        <v>INDUSTRIA COLOMBIANA DE PERFILES METALICOS S.A.</v>
      </c>
      <c r="I331" s="77" t="str">
        <f>VLOOKUP(Tabla2[[#This Row],[NIT]],Clientes!A:C,3,0)</f>
        <v>PJ</v>
      </c>
      <c r="J331" s="73" t="s">
        <v>794</v>
      </c>
      <c r="K331" s="267">
        <f>SUMIFS(Tabla4[Sub Total],Tabla4[Codigo],Tabla2[[#This Row],[Cod]])</f>
        <v>3780000</v>
      </c>
      <c r="L331" s="262">
        <f>SUMPRODUCT((Tabla4[Codigo]=Tabla2[[#This Row],[Cod]])*1,Tabla4[IVA])</f>
        <v>718200</v>
      </c>
      <c r="M331" s="262">
        <f>SUMIFS(Tabla4[Total],Tabla4[Codigo],Tabla2[[#This Row],[Cod]])</f>
        <v>4498200</v>
      </c>
      <c r="N331" s="278">
        <f>SUMPRODUCT((Tabla1[Codigo]=Tabla2[[#This Row],[Cod]])*1,Tabla1[Valor])</f>
        <v>4220370</v>
      </c>
      <c r="O331" s="265">
        <f>IF(AND(Tabla2[[#This Row],[Estado]]="ok",LEFT(Tabla2[[#This Row],['# Factura]],3)="TIS"),Tabla2[[#This Row],[TOTAL]]-Tabla2[[#This Row],[pagado]],0)</f>
        <v>0</v>
      </c>
      <c r="P331" s="262">
        <f>Tabla2[[#This Row],[TOTAL]]-Tabla2[[#This Row],[Valor pago]]</f>
        <v>277830</v>
      </c>
      <c r="Q331" s="265">
        <f>IF(Tabla2[[#This Row],[Saldo]]=0,0,IF(Tabla2[[#This Row],[Tipo cliente]]="PJ",Tabla2[[#This Row],[SUBTOTAL]]*11%,0))</f>
        <v>415800</v>
      </c>
      <c r="R331" s="276">
        <f>IF(Tabla2[[#This Row],[Saldo]]=0,0,IF(Tabla2[[#This Row],[Tipo cliente]]="PJ",Tabla2[[#This Row],[SUBTOTAL]]*0.966%,0))</f>
        <v>36514.800000000003</v>
      </c>
      <c r="S331" s="276">
        <f>IF(Tabla2[[#This Row],[Retiene IVA]]="S",Tabla2[[#This Row],[IVA]]*0.15,0)</f>
        <v>0</v>
      </c>
      <c r="T331" s="265">
        <f>+Tabla2[[#This Row],[Saldo]]-Tabla2[[#This Row],[Rete fte]]-Tabla2[[#This Row],[rete ica]]-Tabla2[[#This Row],[Rete IVA]]</f>
        <v>-174484.8</v>
      </c>
      <c r="U33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4498200</v>
      </c>
      <c r="W331" s="23">
        <f>IF(Tabla2[[#This Row],[Fecha F.E.]]="","",YEAR(Tabla2[[#This Row],[Fecha F.E.]]))</f>
        <v>2023</v>
      </c>
      <c r="X331" s="23">
        <f>IF(Tabla2[[#This Row],[Fecha]]="","",YEAR(Tabla2[[#This Row],[Fecha]]))</f>
        <v>2023</v>
      </c>
    </row>
    <row r="332" spans="1:24" ht="26.25" x14ac:dyDescent="0.25">
      <c r="A332" s="3">
        <v>332</v>
      </c>
      <c r="B332" s="77" t="s">
        <v>1433</v>
      </c>
      <c r="C332" s="360">
        <v>45266</v>
      </c>
      <c r="D332" s="76" t="s">
        <v>1434</v>
      </c>
      <c r="E332" s="360">
        <v>45231</v>
      </c>
      <c r="F332" s="78" t="s">
        <v>231</v>
      </c>
      <c r="G332" s="85">
        <v>830054076</v>
      </c>
      <c r="H332" s="177" t="str">
        <f>VLOOKUP(Tabla2[[#This Row],[NIT]],Clientes!A:C,2,0)</f>
        <v>FIDEICOMISOS SOCIEDAD FIDUCIARIA DE OCCIDENTE SA</v>
      </c>
      <c r="I332" s="77" t="str">
        <f>VLOOKUP(Tabla2[[#This Row],[NIT]],Clientes!A:C,3,0)</f>
        <v>PJ</v>
      </c>
      <c r="J332" s="73" t="s">
        <v>1051</v>
      </c>
      <c r="K332" s="267">
        <f>SUMIFS(Tabla4[Sub Total],Tabla4[Codigo],Tabla2[[#This Row],[Cod]])</f>
        <v>11200000</v>
      </c>
      <c r="L332" s="262">
        <f>SUMPRODUCT((Tabla4[Codigo]=Tabla2[[#This Row],[Cod]])*1,Tabla4[IVA])</f>
        <v>2128000</v>
      </c>
      <c r="M332" s="262">
        <f>SUMIFS(Tabla4[Total],Tabla4[Codigo],Tabla2[[#This Row],[Cod]])</f>
        <v>13328000</v>
      </c>
      <c r="N332" s="278">
        <f>SUMPRODUCT((Tabla1[Codigo]=Tabla2[[#This Row],[Cod]])*1,Tabla1[Valor])</f>
        <v>11668608</v>
      </c>
      <c r="O332" s="265">
        <f>IF(AND(Tabla2[[#This Row],[Estado]]="ok",LEFT(Tabla2[[#This Row],['# Factura]],3)="TIS"),Tabla2[[#This Row],[TOTAL]]-Tabla2[[#This Row],[pagado]],0)</f>
        <v>0</v>
      </c>
      <c r="P332" s="262">
        <f>Tabla2[[#This Row],[TOTAL]]-Tabla2[[#This Row],[Valor pago]]</f>
        <v>1659392</v>
      </c>
      <c r="Q332" s="265">
        <f>IF(Tabla2[[#This Row],[Saldo]]=0,0,IF(Tabla2[[#This Row],[Tipo cliente]]="PJ",Tabla2[[#This Row],[SUBTOTAL]]*11%,0))</f>
        <v>1232000</v>
      </c>
      <c r="R332" s="276">
        <f>IF(Tabla2[[#This Row],[Saldo]]=0,0,IF(Tabla2[[#This Row],[Tipo cliente]]="PJ",Tabla2[[#This Row],[SUBTOTAL]]*0.966%,0))</f>
        <v>108192</v>
      </c>
      <c r="S332" s="276">
        <f>IF(Tabla2[[#This Row],[Retiene IVA]]="S",Tabla2[[#This Row],[IVA]]*0.15,0)</f>
        <v>319200</v>
      </c>
      <c r="T332" s="265">
        <f>+Tabla2[[#This Row],[Saldo]]-Tabla2[[#This Row],[Rete fte]]-Tabla2[[#This Row],[rete ica]]-Tabla2[[#This Row],[Rete IVA]]</f>
        <v>0</v>
      </c>
      <c r="U33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13328000</v>
      </c>
      <c r="W332" s="23">
        <f>IF(Tabla2[[#This Row],[Fecha F.E.]]="","",YEAR(Tabla2[[#This Row],[Fecha F.E.]]))</f>
        <v>2023</v>
      </c>
      <c r="X332" s="23">
        <f>IF(Tabla2[[#This Row],[Fecha]]="","",YEAR(Tabla2[[#This Row],[Fecha]]))</f>
        <v>2023</v>
      </c>
    </row>
    <row r="333" spans="1:24" x14ac:dyDescent="0.25">
      <c r="A333" s="3">
        <v>333</v>
      </c>
      <c r="B333" s="77" t="s">
        <v>1435</v>
      </c>
      <c r="C333" s="360">
        <v>45266</v>
      </c>
      <c r="D333" s="76" t="s">
        <v>1436</v>
      </c>
      <c r="E333" s="360">
        <v>45167</v>
      </c>
      <c r="F333" s="78" t="s">
        <v>231</v>
      </c>
      <c r="G333" s="85">
        <v>830033212</v>
      </c>
      <c r="H333" s="177" t="str">
        <f>VLOOKUP(Tabla2[[#This Row],[NIT]],Clientes!A:C,2,0)</f>
        <v>HUTERCOL S.A.S.</v>
      </c>
      <c r="I333" s="77" t="str">
        <f>VLOOKUP(Tabla2[[#This Row],[NIT]],Clientes!A:C,3,0)</f>
        <v>PJ</v>
      </c>
      <c r="J333" s="73" t="s">
        <v>794</v>
      </c>
      <c r="K333" s="267">
        <f>SUMIFS(Tabla4[Sub Total],Tabla4[Codigo],Tabla2[[#This Row],[Cod]])</f>
        <v>1200000</v>
      </c>
      <c r="L333" s="262">
        <f>SUMPRODUCT((Tabla4[Codigo]=Tabla2[[#This Row],[Cod]])*1,Tabla4[IVA])</f>
        <v>228000</v>
      </c>
      <c r="M333" s="262">
        <f>SUMIFS(Tabla4[Total],Tabla4[Codigo],Tabla2[[#This Row],[Cod]])</f>
        <v>1428000</v>
      </c>
      <c r="N333" s="278">
        <f>SUMPRODUCT((Tabla1[Codigo]=Tabla2[[#This Row],[Cod]])*1,Tabla1[Valor])</f>
        <v>1287600</v>
      </c>
      <c r="O333" s="265">
        <f>IF(AND(Tabla2[[#This Row],[Estado]]="ok",LEFT(Tabla2[[#This Row],['# Factura]],3)="TIS"),Tabla2[[#This Row],[TOTAL]]-Tabla2[[#This Row],[pagado]],0)</f>
        <v>0</v>
      </c>
      <c r="P333" s="262">
        <f>Tabla2[[#This Row],[TOTAL]]-Tabla2[[#This Row],[Valor pago]]</f>
        <v>140400</v>
      </c>
      <c r="Q333" s="265">
        <f>IF(Tabla2[[#This Row],[Saldo]]=0,0,IF(Tabla2[[#This Row],[Tipo cliente]]="PJ",Tabla2[[#This Row],[SUBTOTAL]]*11%,0))</f>
        <v>132000</v>
      </c>
      <c r="R333" s="276">
        <f>IF(Tabla2[[#This Row],[Saldo]]=0,0,IF(Tabla2[[#This Row],[Tipo cliente]]="PJ",Tabla2[[#This Row],[SUBTOTAL]]*0.966%,0))</f>
        <v>11592</v>
      </c>
      <c r="S333" s="276">
        <f>IF(Tabla2[[#This Row],[Retiene IVA]]="S",Tabla2[[#This Row],[IVA]]*0.15,0)</f>
        <v>0</v>
      </c>
      <c r="T333" s="265">
        <f>+Tabla2[[#This Row],[Saldo]]-Tabla2[[#This Row],[Rete fte]]-Tabla2[[#This Row],[rete ica]]-Tabla2[[#This Row],[Rete IVA]]</f>
        <v>-3192</v>
      </c>
      <c r="U33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1428000</v>
      </c>
      <c r="W333" s="23">
        <f>IF(Tabla2[[#This Row],[Fecha F.E.]]="","",YEAR(Tabla2[[#This Row],[Fecha F.E.]]))</f>
        <v>2023</v>
      </c>
      <c r="X333" s="23">
        <f>IF(Tabla2[[#This Row],[Fecha]]="","",YEAR(Tabla2[[#This Row],[Fecha]]))</f>
        <v>2023</v>
      </c>
    </row>
    <row r="334" spans="1:24" x14ac:dyDescent="0.25">
      <c r="A334" s="3">
        <v>334</v>
      </c>
      <c r="B334" s="77" t="s">
        <v>1437</v>
      </c>
      <c r="C334" s="360">
        <v>45266</v>
      </c>
      <c r="D334" s="76" t="s">
        <v>1438</v>
      </c>
      <c r="E334" s="360">
        <v>45252</v>
      </c>
      <c r="F334" s="78" t="s">
        <v>231</v>
      </c>
      <c r="G334" s="85">
        <v>860533955</v>
      </c>
      <c r="H334" s="177" t="str">
        <f>VLOOKUP(Tabla2[[#This Row],[NIT]],Clientes!A:C,2,0)</f>
        <v>TEXTRON S.A</v>
      </c>
      <c r="I334" s="77" t="str">
        <f>VLOOKUP(Tabla2[[#This Row],[NIT]],Clientes!A:C,3,0)</f>
        <v>PJ</v>
      </c>
      <c r="J334" s="73" t="s">
        <v>794</v>
      </c>
      <c r="K334" s="267">
        <f>SUMIFS(Tabla4[Sub Total],Tabla4[Codigo],Tabla2[[#This Row],[Cod]])</f>
        <v>825000</v>
      </c>
      <c r="L334" s="262">
        <f>SUMPRODUCT((Tabla4[Codigo]=Tabla2[[#This Row],[Cod]])*1,Tabla4[IVA])</f>
        <v>156750</v>
      </c>
      <c r="M334" s="262">
        <f>SUMIFS(Tabla4[Total],Tabla4[Codigo],Tabla2[[#This Row],[Cod]])</f>
        <v>981750</v>
      </c>
      <c r="N334" s="278">
        <f>SUMPRODUCT((Tabla1[Codigo]=Tabla2[[#This Row],[Cod]])*1,Tabla1[Valor])</f>
        <v>0</v>
      </c>
      <c r="O334" s="265">
        <f>IF(AND(Tabla2[[#This Row],[Estado]]="ok",LEFT(Tabla2[[#This Row],['# Factura]],3)="TIS"),Tabla2[[#This Row],[TOTAL]]-Tabla2[[#This Row],[pagado]],0)</f>
        <v>981750</v>
      </c>
      <c r="P334" s="262">
        <f>Tabla2[[#This Row],[TOTAL]]-Tabla2[[#This Row],[Valor pago]]</f>
        <v>981750</v>
      </c>
      <c r="Q334" s="265">
        <f>IF(Tabla2[[#This Row],[Saldo]]=0,0,IF(Tabla2[[#This Row],[Tipo cliente]]="PJ",Tabla2[[#This Row],[SUBTOTAL]]*11%,0))</f>
        <v>90750</v>
      </c>
      <c r="R334" s="276">
        <f>IF(Tabla2[[#This Row],[Saldo]]=0,0,IF(Tabla2[[#This Row],[Tipo cliente]]="PJ",Tabla2[[#This Row],[SUBTOTAL]]*0.966%,0))</f>
        <v>7969.5</v>
      </c>
      <c r="S334" s="276">
        <f>IF(Tabla2[[#This Row],[Retiene IVA]]="S",Tabla2[[#This Row],[IVA]]*0.15,0)</f>
        <v>0</v>
      </c>
      <c r="T334" s="265">
        <f>+Tabla2[[#This Row],[Saldo]]-Tabla2[[#This Row],[Rete fte]]-Tabla2[[#This Row],[rete ica]]-Tabla2[[#This Row],[Rete IVA]]</f>
        <v>883030.5</v>
      </c>
      <c r="U33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334" s="23">
        <f>IF(Tabla2[[#This Row],[Fecha F.E.]]="","",YEAR(Tabla2[[#This Row],[Fecha F.E.]]))</f>
        <v>2023</v>
      </c>
      <c r="X334" s="23">
        <f>IF(Tabla2[[#This Row],[Fecha]]="","",YEAR(Tabla2[[#This Row],[Fecha]]))</f>
        <v>2023</v>
      </c>
    </row>
    <row r="335" spans="1:24" x14ac:dyDescent="0.25">
      <c r="A335" s="3">
        <v>335</v>
      </c>
      <c r="B335" s="77" t="s">
        <v>1439</v>
      </c>
      <c r="C335" s="360">
        <v>45266</v>
      </c>
      <c r="D335" s="76" t="s">
        <v>1440</v>
      </c>
      <c r="E335" s="360">
        <v>45252</v>
      </c>
      <c r="F335" s="78" t="s">
        <v>231</v>
      </c>
      <c r="G335" s="85">
        <v>901588265</v>
      </c>
      <c r="H335" s="177" t="str">
        <f>VLOOKUP(Tabla2[[#This Row],[NIT]],Clientes!A:C,2,0)</f>
        <v>GENUINE TECH SAS</v>
      </c>
      <c r="I335" s="77" t="str">
        <f>VLOOKUP(Tabla2[[#This Row],[NIT]],Clientes!A:C,3,0)</f>
        <v>PJ</v>
      </c>
      <c r="J335" s="73" t="s">
        <v>794</v>
      </c>
      <c r="K335" s="267">
        <f>SUMIFS(Tabla4[Sub Total],Tabla4[Codigo],Tabla2[[#This Row],[Cod]])</f>
        <v>2000000</v>
      </c>
      <c r="L335" s="262">
        <f>SUMPRODUCT((Tabla4[Codigo]=Tabla2[[#This Row],[Cod]])*1,Tabla4[IVA])</f>
        <v>380000</v>
      </c>
      <c r="M335" s="262">
        <f>SUMIFS(Tabla4[Total],Tabla4[Codigo],Tabla2[[#This Row],[Cod]])</f>
        <v>2380000</v>
      </c>
      <c r="N335" s="278">
        <f>SUMPRODUCT((Tabla1[Codigo]=Tabla2[[#This Row],[Cod]])*1,Tabla1[Valor])</f>
        <v>2160680</v>
      </c>
      <c r="O335" s="265">
        <f>IF(AND(Tabla2[[#This Row],[Estado]]="ok",LEFT(Tabla2[[#This Row],['# Factura]],3)="TIS"),Tabla2[[#This Row],[TOTAL]]-Tabla2[[#This Row],[pagado]],0)</f>
        <v>0</v>
      </c>
      <c r="P335" s="262">
        <f>Tabla2[[#This Row],[TOTAL]]-Tabla2[[#This Row],[Valor pago]]</f>
        <v>219320</v>
      </c>
      <c r="Q335" s="265">
        <f>IF(Tabla2[[#This Row],[Saldo]]=0,0,IF(Tabla2[[#This Row],[Tipo cliente]]="PJ",Tabla2[[#This Row],[SUBTOTAL]]*11%,0))</f>
        <v>220000</v>
      </c>
      <c r="R335" s="276">
        <f>IF(Tabla2[[#This Row],[Saldo]]=0,0,IF(Tabla2[[#This Row],[Tipo cliente]]="PJ",Tabla2[[#This Row],[SUBTOTAL]]*0.966%,0))</f>
        <v>19320</v>
      </c>
      <c r="S335" s="276">
        <f>IF(Tabla2[[#This Row],[Retiene IVA]]="S",Tabla2[[#This Row],[IVA]]*0.15,0)</f>
        <v>0</v>
      </c>
      <c r="T335" s="265">
        <f>+Tabla2[[#This Row],[Saldo]]-Tabla2[[#This Row],[Rete fte]]-Tabla2[[#This Row],[rete ica]]-Tabla2[[#This Row],[Rete IVA]]</f>
        <v>-20000</v>
      </c>
      <c r="U33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2380000</v>
      </c>
      <c r="W335" s="23">
        <f>IF(Tabla2[[#This Row],[Fecha F.E.]]="","",YEAR(Tabla2[[#This Row],[Fecha F.E.]]))</f>
        <v>2023</v>
      </c>
      <c r="X335" s="23">
        <f>IF(Tabla2[[#This Row],[Fecha]]="","",YEAR(Tabla2[[#This Row],[Fecha]]))</f>
        <v>2023</v>
      </c>
    </row>
    <row r="336" spans="1:24" x14ac:dyDescent="0.25">
      <c r="A336" s="3">
        <v>336</v>
      </c>
      <c r="B336" s="77" t="s">
        <v>1441</v>
      </c>
      <c r="C336" s="360">
        <v>45266</v>
      </c>
      <c r="D336" s="76" t="s">
        <v>1442</v>
      </c>
      <c r="E336" s="360">
        <v>45252</v>
      </c>
      <c r="F336" s="78" t="s">
        <v>231</v>
      </c>
      <c r="G336" s="85">
        <v>800028768</v>
      </c>
      <c r="H336" s="177" t="str">
        <f>VLOOKUP(Tabla2[[#This Row],[NIT]],Clientes!A:C,2,0)</f>
        <v>Comercializadora ERZ SAS</v>
      </c>
      <c r="I336" s="77" t="str">
        <f>VLOOKUP(Tabla2[[#This Row],[NIT]],Clientes!A:C,3,0)</f>
        <v>PJ</v>
      </c>
      <c r="J336" s="73" t="s">
        <v>794</v>
      </c>
      <c r="K336" s="267">
        <f>SUMIFS(Tabla4[Sub Total],Tabla4[Codigo],Tabla2[[#This Row],[Cod]])</f>
        <v>260000</v>
      </c>
      <c r="L336" s="262">
        <f>SUMPRODUCT((Tabla4[Codigo]=Tabla2[[#This Row],[Cod]])*1,Tabla4[IVA])</f>
        <v>49400</v>
      </c>
      <c r="M336" s="262">
        <f>SUMIFS(Tabla4[Total],Tabla4[Codigo],Tabla2[[#This Row],[Cod]])</f>
        <v>309400</v>
      </c>
      <c r="N336" s="278">
        <f>SUMPRODUCT((Tabla1[Codigo]=Tabla2[[#This Row],[Cod]])*1,Tabla1[Valor])</f>
        <v>280800</v>
      </c>
      <c r="O336" s="265">
        <f>IF(AND(Tabla2[[#This Row],[Estado]]="ok",LEFT(Tabla2[[#This Row],['# Factura]],3)="TIS"),Tabla2[[#This Row],[TOTAL]]-Tabla2[[#This Row],[pagado]],0)</f>
        <v>0</v>
      </c>
      <c r="P336" s="262">
        <f>Tabla2[[#This Row],[TOTAL]]-Tabla2[[#This Row],[Valor pago]]</f>
        <v>28600</v>
      </c>
      <c r="Q336" s="265">
        <f>IF(Tabla2[[#This Row],[Saldo]]=0,0,IF(Tabla2[[#This Row],[Tipo cliente]]="PJ",Tabla2[[#This Row],[SUBTOTAL]]*11%,0))</f>
        <v>28600</v>
      </c>
      <c r="R336" s="276">
        <f>IF(Tabla2[[#This Row],[Saldo]]=0,0,IF(Tabla2[[#This Row],[Tipo cliente]]="PJ",Tabla2[[#This Row],[SUBTOTAL]]*0.966%,0))</f>
        <v>2511.6</v>
      </c>
      <c r="S336" s="276">
        <f>IF(Tabla2[[#This Row],[Retiene IVA]]="S",Tabla2[[#This Row],[IVA]]*0.15,0)</f>
        <v>0</v>
      </c>
      <c r="T336" s="265">
        <f>+Tabla2[[#This Row],[Saldo]]-Tabla2[[#This Row],[Rete fte]]-Tabla2[[#This Row],[rete ica]]-Tabla2[[#This Row],[Rete IVA]]</f>
        <v>-2511.6</v>
      </c>
      <c r="U33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309400</v>
      </c>
      <c r="W336" s="23">
        <f>IF(Tabla2[[#This Row],[Fecha F.E.]]="","",YEAR(Tabla2[[#This Row],[Fecha F.E.]]))</f>
        <v>2023</v>
      </c>
      <c r="X336" s="23">
        <f>IF(Tabla2[[#This Row],[Fecha]]="","",YEAR(Tabla2[[#This Row],[Fecha]]))</f>
        <v>2023</v>
      </c>
    </row>
    <row r="337" spans="1:24" ht="26.25" x14ac:dyDescent="0.25">
      <c r="A337" s="3">
        <v>337</v>
      </c>
      <c r="B337" s="77" t="s">
        <v>1443</v>
      </c>
      <c r="C337" s="360">
        <v>45266</v>
      </c>
      <c r="D337" s="76" t="s">
        <v>1444</v>
      </c>
      <c r="E337" s="360">
        <v>45252</v>
      </c>
      <c r="F337" s="78" t="s">
        <v>231</v>
      </c>
      <c r="G337" s="85">
        <v>900396116</v>
      </c>
      <c r="H337" s="177" t="str">
        <f>VLOOKUP(Tabla2[[#This Row],[NIT]],Clientes!A:C,2,0)</f>
        <v>PRODUCTORA INTERAMERICANA DE PLASTICOS S.A.S.</v>
      </c>
      <c r="I337" s="77" t="str">
        <f>VLOOKUP(Tabla2[[#This Row],[NIT]],Clientes!A:C,3,0)</f>
        <v>PJ</v>
      </c>
      <c r="J337" s="73" t="s">
        <v>794</v>
      </c>
      <c r="K337" s="267">
        <f>SUMIFS(Tabla4[Sub Total],Tabla4[Codigo],Tabla2[[#This Row],[Cod]])</f>
        <v>300000</v>
      </c>
      <c r="L337" s="262">
        <f>SUMPRODUCT((Tabla4[Codigo]=Tabla2[[#This Row],[Cod]])*1,Tabla4[IVA])</f>
        <v>57000</v>
      </c>
      <c r="M337" s="262">
        <f>SUMIFS(Tabla4[Total],Tabla4[Codigo],Tabla2[[#This Row],[Cod]])</f>
        <v>357000</v>
      </c>
      <c r="N337" s="278">
        <f>SUMPRODUCT((Tabla1[Codigo]=Tabla2[[#This Row],[Cod]])*1,Tabla1[Valor])</f>
        <v>321102</v>
      </c>
      <c r="O337" s="265">
        <f>IF(AND(Tabla2[[#This Row],[Estado]]="ok",LEFT(Tabla2[[#This Row],['# Factura]],3)="TIS"),Tabla2[[#This Row],[TOTAL]]-Tabla2[[#This Row],[pagado]],0)</f>
        <v>0</v>
      </c>
      <c r="P337" s="262">
        <f>Tabla2[[#This Row],[TOTAL]]-Tabla2[[#This Row],[Valor pago]]</f>
        <v>35898</v>
      </c>
      <c r="Q337" s="265">
        <f>IF(Tabla2[[#This Row],[Saldo]]=0,0,IF(Tabla2[[#This Row],[Tipo cliente]]="PJ",Tabla2[[#This Row],[SUBTOTAL]]*11%,0))</f>
        <v>33000</v>
      </c>
      <c r="R337" s="276">
        <f>IF(Tabla2[[#This Row],[Saldo]]=0,0,IF(Tabla2[[#This Row],[Tipo cliente]]="PJ",Tabla2[[#This Row],[SUBTOTAL]]*0.966%,0))</f>
        <v>2898</v>
      </c>
      <c r="S337" s="276">
        <f>IF(Tabla2[[#This Row],[Retiene IVA]]="S",Tabla2[[#This Row],[IVA]]*0.15,0)</f>
        <v>0</v>
      </c>
      <c r="T337" s="265">
        <f>+Tabla2[[#This Row],[Saldo]]-Tabla2[[#This Row],[Rete fte]]-Tabla2[[#This Row],[rete ica]]-Tabla2[[#This Row],[Rete IVA]]</f>
        <v>0</v>
      </c>
      <c r="U33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337" s="23">
        <f>IF(Tabla2[[#This Row],[Fecha F.E.]]="","",YEAR(Tabla2[[#This Row],[Fecha F.E.]]))</f>
        <v>2023</v>
      </c>
      <c r="X337" s="23">
        <f>IF(Tabla2[[#This Row],[Fecha]]="","",YEAR(Tabla2[[#This Row],[Fecha]]))</f>
        <v>2023</v>
      </c>
    </row>
    <row r="338" spans="1:24" x14ac:dyDescent="0.25">
      <c r="A338" s="3">
        <v>338</v>
      </c>
      <c r="B338" s="77" t="s">
        <v>1445</v>
      </c>
      <c r="C338" s="360">
        <v>45266</v>
      </c>
      <c r="D338" s="76" t="s">
        <v>1446</v>
      </c>
      <c r="E338" s="360">
        <v>45252</v>
      </c>
      <c r="F338" s="78" t="s">
        <v>231</v>
      </c>
      <c r="G338" s="85">
        <v>901342609</v>
      </c>
      <c r="H338" s="177" t="str">
        <f>VLOOKUP(Tabla2[[#This Row],[NIT]],Clientes!A:C,2,0)</f>
        <v>ROYCO SOLUCIONES SAS</v>
      </c>
      <c r="I338" s="77" t="str">
        <f>VLOOKUP(Tabla2[[#This Row],[NIT]],Clientes!A:C,3,0)</f>
        <v>PJ</v>
      </c>
      <c r="J338" s="73" t="s">
        <v>794</v>
      </c>
      <c r="K338" s="267">
        <f>SUMIFS(Tabla4[Sub Total],Tabla4[Codigo],Tabla2[[#This Row],[Cod]])</f>
        <v>175000</v>
      </c>
      <c r="L338" s="262">
        <f>SUMPRODUCT((Tabla4[Codigo]=Tabla2[[#This Row],[Cod]])*1,Tabla4[IVA])</f>
        <v>33250</v>
      </c>
      <c r="M338" s="262">
        <f>SUMIFS(Tabla4[Total],Tabla4[Codigo],Tabla2[[#This Row],[Cod]])</f>
        <v>208250</v>
      </c>
      <c r="N338" s="278">
        <f>SUMPRODUCT((Tabla1[Codigo]=Tabla2[[#This Row],[Cod]])*1,Tabla1[Valor])</f>
        <v>201250</v>
      </c>
      <c r="O338" s="265">
        <f>IF(AND(Tabla2[[#This Row],[Estado]]="ok",LEFT(Tabla2[[#This Row],['# Factura]],3)="TIS"),Tabla2[[#This Row],[TOTAL]]-Tabla2[[#This Row],[pagado]],0)</f>
        <v>0</v>
      </c>
      <c r="P338" s="262">
        <f>Tabla2[[#This Row],[TOTAL]]-Tabla2[[#This Row],[Valor pago]]</f>
        <v>7000</v>
      </c>
      <c r="Q338" s="265">
        <f>IF(Tabla2[[#This Row],[Saldo]]=0,0,IF(Tabla2[[#This Row],[Tipo cliente]]="PJ",Tabla2[[#This Row],[SUBTOTAL]]*11%,0))</f>
        <v>19250</v>
      </c>
      <c r="R338" s="276">
        <f>IF(Tabla2[[#This Row],[Saldo]]=0,0,IF(Tabla2[[#This Row],[Tipo cliente]]="PJ",Tabla2[[#This Row],[SUBTOTAL]]*0.966%,0))</f>
        <v>1690.5</v>
      </c>
      <c r="S338" s="276">
        <f>IF(Tabla2[[#This Row],[Retiene IVA]]="S",Tabla2[[#This Row],[IVA]]*0.15,0)</f>
        <v>0</v>
      </c>
      <c r="T338" s="265">
        <f>+Tabla2[[#This Row],[Saldo]]-Tabla2[[#This Row],[Rete fte]]-Tabla2[[#This Row],[rete ica]]-Tabla2[[#This Row],[Rete IVA]]</f>
        <v>-13940.5</v>
      </c>
      <c r="U33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208250</v>
      </c>
      <c r="W338" s="23">
        <f>IF(Tabla2[[#This Row],[Fecha F.E.]]="","",YEAR(Tabla2[[#This Row],[Fecha F.E.]]))</f>
        <v>2023</v>
      </c>
      <c r="X338" s="23">
        <f>IF(Tabla2[[#This Row],[Fecha]]="","",YEAR(Tabla2[[#This Row],[Fecha]]))</f>
        <v>2023</v>
      </c>
    </row>
    <row r="339" spans="1:24" x14ac:dyDescent="0.25">
      <c r="A339" s="3">
        <v>339</v>
      </c>
      <c r="B339" s="77" t="s">
        <v>1447</v>
      </c>
      <c r="C339" s="360">
        <v>45266</v>
      </c>
      <c r="D339" s="76" t="s">
        <v>1448</v>
      </c>
      <c r="E339" s="360">
        <v>45252</v>
      </c>
      <c r="F339" s="78" t="s">
        <v>231</v>
      </c>
      <c r="G339" s="85">
        <v>901030518</v>
      </c>
      <c r="H339" s="177" t="str">
        <f>VLOOKUP(Tabla2[[#This Row],[NIT]],Clientes!A:C,2,0)</f>
        <v>Inversiones Sajamib SAS</v>
      </c>
      <c r="I339" s="77" t="str">
        <f>VLOOKUP(Tabla2[[#This Row],[NIT]],Clientes!A:C,3,0)</f>
        <v>PJ</v>
      </c>
      <c r="J339" s="73" t="s">
        <v>794</v>
      </c>
      <c r="K339" s="267">
        <f>SUMIFS(Tabla4[Sub Total],Tabla4[Codigo],Tabla2[[#This Row],[Cod]])</f>
        <v>400000</v>
      </c>
      <c r="L339" s="262">
        <f>SUMPRODUCT((Tabla4[Codigo]=Tabla2[[#This Row],[Cod]])*1,Tabla4[IVA])</f>
        <v>0</v>
      </c>
      <c r="M339" s="262">
        <f>SUMIFS(Tabla4[Total],Tabla4[Codigo],Tabla2[[#This Row],[Cod]])</f>
        <v>400000</v>
      </c>
      <c r="N339" s="278">
        <f>SUMPRODUCT((Tabla1[Codigo]=Tabla2[[#This Row],[Cod]])*1,Tabla1[Valor])</f>
        <v>400000</v>
      </c>
      <c r="O339" s="265">
        <f>IF(AND(Tabla2[[#This Row],[Estado]]="ok",LEFT(Tabla2[[#This Row],['# Factura]],3)="TIS"),Tabla2[[#This Row],[TOTAL]]-Tabla2[[#This Row],[pagado]],0)</f>
        <v>0</v>
      </c>
      <c r="P339" s="262">
        <f>Tabla2[[#This Row],[TOTAL]]-Tabla2[[#This Row],[Valor pago]]</f>
        <v>0</v>
      </c>
      <c r="Q339" s="265">
        <f>IF(Tabla2[[#This Row],[Saldo]]=0,0,IF(Tabla2[[#This Row],[Tipo cliente]]="PJ",Tabla2[[#This Row],[SUBTOTAL]]*11%,0))</f>
        <v>0</v>
      </c>
      <c r="R339" s="276">
        <f>IF(Tabla2[[#This Row],[Saldo]]=0,0,IF(Tabla2[[#This Row],[Tipo cliente]]="PJ",Tabla2[[#This Row],[SUBTOTAL]]*0.966%,0))</f>
        <v>0</v>
      </c>
      <c r="S339" s="276">
        <f>IF(Tabla2[[#This Row],[Retiene IVA]]="S",Tabla2[[#This Row],[IVA]]*0.15,0)</f>
        <v>0</v>
      </c>
      <c r="T339" s="265">
        <f>+Tabla2[[#This Row],[Saldo]]-Tabla2[[#This Row],[Rete fte]]-Tabla2[[#This Row],[rete ica]]-Tabla2[[#This Row],[Rete IVA]]</f>
        <v>0</v>
      </c>
      <c r="U33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339" s="23">
        <f>IF(Tabla2[[#This Row],[Fecha F.E.]]="","",YEAR(Tabla2[[#This Row],[Fecha F.E.]]))</f>
        <v>2023</v>
      </c>
      <c r="X339" s="23">
        <f>IF(Tabla2[[#This Row],[Fecha]]="","",YEAR(Tabla2[[#This Row],[Fecha]]))</f>
        <v>2023</v>
      </c>
    </row>
    <row r="340" spans="1:24" x14ac:dyDescent="0.25">
      <c r="A340" s="3">
        <v>340</v>
      </c>
      <c r="B340" s="77" t="s">
        <v>1449</v>
      </c>
      <c r="C340" s="360">
        <v>45266</v>
      </c>
      <c r="D340" s="76" t="s">
        <v>1450</v>
      </c>
      <c r="E340" s="360">
        <v>45252</v>
      </c>
      <c r="F340" s="78" t="s">
        <v>231</v>
      </c>
      <c r="G340" s="85">
        <v>52385710</v>
      </c>
      <c r="H340" s="177" t="str">
        <f>VLOOKUP(Tabla2[[#This Row],[NIT]],Clientes!A:C,2,0)</f>
        <v>Maria del Pilar Alvarado Joya</v>
      </c>
      <c r="I340" s="77" t="str">
        <f>VLOOKUP(Tabla2[[#This Row],[NIT]],Clientes!A:C,3,0)</f>
        <v>PN</v>
      </c>
      <c r="J340" s="73" t="s">
        <v>794</v>
      </c>
      <c r="K340" s="267">
        <f>SUMIFS(Tabla4[Sub Total],Tabla4[Codigo],Tabla2[[#This Row],[Cod]])</f>
        <v>300000</v>
      </c>
      <c r="L340" s="262">
        <f>SUMPRODUCT((Tabla4[Codigo]=Tabla2[[#This Row],[Cod]])*1,Tabla4[IVA])</f>
        <v>0</v>
      </c>
      <c r="M340" s="262">
        <f>SUMIFS(Tabla4[Total],Tabla4[Codigo],Tabla2[[#This Row],[Cod]])</f>
        <v>300000</v>
      </c>
      <c r="N340" s="278">
        <f>SUMPRODUCT((Tabla1[Codigo]=Tabla2[[#This Row],[Cod]])*1,Tabla1[Valor])</f>
        <v>300000</v>
      </c>
      <c r="O340" s="265">
        <f>IF(AND(Tabla2[[#This Row],[Estado]]="ok",LEFT(Tabla2[[#This Row],['# Factura]],3)="TIS"),Tabla2[[#This Row],[TOTAL]]-Tabla2[[#This Row],[pagado]],0)</f>
        <v>0</v>
      </c>
      <c r="P340" s="262">
        <f>Tabla2[[#This Row],[TOTAL]]-Tabla2[[#This Row],[Valor pago]]</f>
        <v>0</v>
      </c>
      <c r="Q340" s="265">
        <f>IF(Tabla2[[#This Row],[Saldo]]=0,0,IF(Tabla2[[#This Row],[Tipo cliente]]="PJ",Tabla2[[#This Row],[SUBTOTAL]]*11%,0))</f>
        <v>0</v>
      </c>
      <c r="R340" s="276">
        <f>IF(Tabla2[[#This Row],[Saldo]]=0,0,IF(Tabla2[[#This Row],[Tipo cliente]]="PJ",Tabla2[[#This Row],[SUBTOTAL]]*0.966%,0))</f>
        <v>0</v>
      </c>
      <c r="S340" s="276">
        <f>IF(Tabla2[[#This Row],[Retiene IVA]]="S",Tabla2[[#This Row],[IVA]]*0.15,0)</f>
        <v>0</v>
      </c>
      <c r="T340" s="265">
        <f>+Tabla2[[#This Row],[Saldo]]-Tabla2[[#This Row],[Rete fte]]-Tabla2[[#This Row],[rete ica]]-Tabla2[[#This Row],[Rete IVA]]</f>
        <v>0</v>
      </c>
      <c r="U34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300000</v>
      </c>
      <c r="W340" s="23">
        <f>IF(Tabla2[[#This Row],[Fecha F.E.]]="","",YEAR(Tabla2[[#This Row],[Fecha F.E.]]))</f>
        <v>2023</v>
      </c>
      <c r="X340" s="23">
        <f>IF(Tabla2[[#This Row],[Fecha]]="","",YEAR(Tabla2[[#This Row],[Fecha]]))</f>
        <v>2023</v>
      </c>
    </row>
    <row r="341" spans="1:24" x14ac:dyDescent="0.25">
      <c r="A341" s="3">
        <v>341</v>
      </c>
      <c r="B341" s="77" t="s">
        <v>1451</v>
      </c>
      <c r="C341" s="360">
        <v>45266</v>
      </c>
      <c r="D341" s="76" t="s">
        <v>1452</v>
      </c>
      <c r="E341" s="360">
        <v>45252</v>
      </c>
      <c r="F341" s="78" t="s">
        <v>231</v>
      </c>
      <c r="G341" s="85">
        <v>900505660</v>
      </c>
      <c r="H341" s="177" t="str">
        <f>VLOOKUP(Tabla2[[#This Row],[NIT]],Clientes!A:C,2,0)</f>
        <v>DIGITAL MEDIA TECHNOLOGIES COLOMBIA SAS</v>
      </c>
      <c r="I341" s="77" t="str">
        <f>VLOOKUP(Tabla2[[#This Row],[NIT]],Clientes!A:C,3,0)</f>
        <v>PJ</v>
      </c>
      <c r="J341" s="73" t="s">
        <v>794</v>
      </c>
      <c r="K341" s="267">
        <f>SUMIFS(Tabla4[Sub Total],Tabla4[Codigo],Tabla2[[#This Row],[Cod]])</f>
        <v>250000</v>
      </c>
      <c r="L341" s="262">
        <f>SUMPRODUCT((Tabla4[Codigo]=Tabla2[[#This Row],[Cod]])*1,Tabla4[IVA])</f>
        <v>47500</v>
      </c>
      <c r="M341" s="262">
        <f>SUMIFS(Tabla4[Total],Tabla4[Codigo],Tabla2[[#This Row],[Cod]])</f>
        <v>297500</v>
      </c>
      <c r="N341" s="278">
        <f>SUMPRODUCT((Tabla1[Codigo]=Tabla2[[#This Row],[Cod]])*1,Tabla1[Valor])</f>
        <v>270000</v>
      </c>
      <c r="O341" s="265">
        <f>IF(AND(Tabla2[[#This Row],[Estado]]="ok",LEFT(Tabla2[[#This Row],['# Factura]],3)="TIS"),Tabla2[[#This Row],[TOTAL]]-Tabla2[[#This Row],[pagado]],0)</f>
        <v>0</v>
      </c>
      <c r="P341" s="262">
        <f>Tabla2[[#This Row],[TOTAL]]-Tabla2[[#This Row],[Valor pago]]</f>
        <v>27500</v>
      </c>
      <c r="Q341" s="265">
        <f>IF(Tabla2[[#This Row],[Saldo]]=0,0,IF(Tabla2[[#This Row],[Tipo cliente]]="PJ",Tabla2[[#This Row],[SUBTOTAL]]*11%,0))</f>
        <v>27500</v>
      </c>
      <c r="R341" s="276">
        <f>IF(Tabla2[[#This Row],[Saldo]]=0,0,IF(Tabla2[[#This Row],[Tipo cliente]]="PJ",Tabla2[[#This Row],[SUBTOTAL]]*0.966%,0))</f>
        <v>2415</v>
      </c>
      <c r="S341" s="276">
        <f>IF(Tabla2[[#This Row],[Retiene IVA]]="S",Tabla2[[#This Row],[IVA]]*0.15,0)</f>
        <v>0</v>
      </c>
      <c r="T341" s="265">
        <f>+Tabla2[[#This Row],[Saldo]]-Tabla2[[#This Row],[Rete fte]]-Tabla2[[#This Row],[rete ica]]-Tabla2[[#This Row],[Rete IVA]]</f>
        <v>-2415</v>
      </c>
      <c r="U34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297500</v>
      </c>
      <c r="W341" s="23">
        <f>IF(Tabla2[[#This Row],[Fecha F.E.]]="","",YEAR(Tabla2[[#This Row],[Fecha F.E.]]))</f>
        <v>2023</v>
      </c>
      <c r="X341" s="23">
        <f>IF(Tabla2[[#This Row],[Fecha]]="","",YEAR(Tabla2[[#This Row],[Fecha]]))</f>
        <v>2023</v>
      </c>
    </row>
    <row r="342" spans="1:24" x14ac:dyDescent="0.25">
      <c r="A342" s="3">
        <v>342</v>
      </c>
      <c r="B342" s="77" t="s">
        <v>1453</v>
      </c>
      <c r="C342" s="360">
        <v>45266</v>
      </c>
      <c r="D342" s="76" t="s">
        <v>1454</v>
      </c>
      <c r="E342" s="360">
        <v>45252</v>
      </c>
      <c r="F342" s="78" t="s">
        <v>231</v>
      </c>
      <c r="G342" s="85">
        <v>900300965</v>
      </c>
      <c r="H342" s="177" t="str">
        <f>VLOOKUP(Tabla2[[#This Row],[NIT]],Clientes!A:C,2,0)</f>
        <v>LOGROS FACTORY COLOMBIA S.A</v>
      </c>
      <c r="I342" s="77" t="str">
        <f>VLOOKUP(Tabla2[[#This Row],[NIT]],Clientes!A:C,3,0)</f>
        <v>PJ</v>
      </c>
      <c r="J342" s="73" t="s">
        <v>794</v>
      </c>
      <c r="K342" s="267">
        <f>SUMIFS(Tabla4[Sub Total],Tabla4[Codigo],Tabla2[[#This Row],[Cod]])</f>
        <v>1150000</v>
      </c>
      <c r="L342" s="262">
        <f>SUMPRODUCT((Tabla4[Codigo]=Tabla2[[#This Row],[Cod]])*1,Tabla4[IVA])</f>
        <v>218500</v>
      </c>
      <c r="M342" s="262">
        <f>SUMIFS(Tabla4[Total],Tabla4[Codigo],Tabla2[[#This Row],[Cod]])</f>
        <v>1368500</v>
      </c>
      <c r="N342" s="278">
        <f>SUMPRODUCT((Tabla1[Codigo]=Tabla2[[#This Row],[Cod]])*1,Tabla1[Valor])</f>
        <v>1322500</v>
      </c>
      <c r="O342" s="265">
        <f>IF(AND(Tabla2[[#This Row],[Estado]]="ok",LEFT(Tabla2[[#This Row],['# Factura]],3)="TIS"),Tabla2[[#This Row],[TOTAL]]-Tabla2[[#This Row],[pagado]],0)</f>
        <v>0</v>
      </c>
      <c r="P342" s="262">
        <f>Tabla2[[#This Row],[TOTAL]]-Tabla2[[#This Row],[Valor pago]]</f>
        <v>46000</v>
      </c>
      <c r="Q342" s="265">
        <f>IF(Tabla2[[#This Row],[Saldo]]=0,0,IF(Tabla2[[#This Row],[Tipo cliente]]="PJ",Tabla2[[#This Row],[SUBTOTAL]]*11%,0))</f>
        <v>126500</v>
      </c>
      <c r="R342" s="276">
        <f>IF(Tabla2[[#This Row],[Saldo]]=0,0,IF(Tabla2[[#This Row],[Tipo cliente]]="PJ",Tabla2[[#This Row],[SUBTOTAL]]*0.966%,0))</f>
        <v>11109</v>
      </c>
      <c r="S342" s="276">
        <f>IF(Tabla2[[#This Row],[Retiene IVA]]="S",Tabla2[[#This Row],[IVA]]*0.15,0)</f>
        <v>0</v>
      </c>
      <c r="T342" s="265">
        <f>+Tabla2[[#This Row],[Saldo]]-Tabla2[[#This Row],[Rete fte]]-Tabla2[[#This Row],[rete ica]]-Tabla2[[#This Row],[Rete IVA]]</f>
        <v>-91609</v>
      </c>
      <c r="U34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1368500</v>
      </c>
      <c r="W342" s="23">
        <f>IF(Tabla2[[#This Row],[Fecha F.E.]]="","",YEAR(Tabla2[[#This Row],[Fecha F.E.]]))</f>
        <v>2023</v>
      </c>
      <c r="X342" s="23">
        <f>IF(Tabla2[[#This Row],[Fecha]]="","",YEAR(Tabla2[[#This Row],[Fecha]]))</f>
        <v>2023</v>
      </c>
    </row>
    <row r="343" spans="1:24" x14ac:dyDescent="0.25">
      <c r="A343" s="3">
        <v>343</v>
      </c>
      <c r="B343" s="77" t="s">
        <v>1455</v>
      </c>
      <c r="C343" s="360">
        <v>45266</v>
      </c>
      <c r="D343" s="76" t="s">
        <v>1456</v>
      </c>
      <c r="E343" s="360">
        <v>45252</v>
      </c>
      <c r="F343" s="78" t="s">
        <v>231</v>
      </c>
      <c r="G343" s="85">
        <v>900599432</v>
      </c>
      <c r="H343" s="177" t="str">
        <f>VLOOKUP(Tabla2[[#This Row],[NIT]],Clientes!A:C,2,0)</f>
        <v xml:space="preserve">BP CAPITAL SAS </v>
      </c>
      <c r="I343" s="77" t="str">
        <f>VLOOKUP(Tabla2[[#This Row],[NIT]],Clientes!A:C,3,0)</f>
        <v>PJ</v>
      </c>
      <c r="J343" s="73" t="s">
        <v>794</v>
      </c>
      <c r="K343" s="267">
        <f>SUMIFS(Tabla4[Sub Total],Tabla4[Codigo],Tabla2[[#This Row],[Cod]])</f>
        <v>900000</v>
      </c>
      <c r="L343" s="262">
        <f>SUMPRODUCT((Tabla4[Codigo]=Tabla2[[#This Row],[Cod]])*1,Tabla4[IVA])</f>
        <v>171000</v>
      </c>
      <c r="M343" s="262">
        <f>SUMIFS(Tabla4[Total],Tabla4[Codigo],Tabla2[[#This Row],[Cod]])</f>
        <v>1071000</v>
      </c>
      <c r="N343" s="278">
        <f>SUMPRODUCT((Tabla1[Codigo]=Tabla2[[#This Row],[Cod]])*1,Tabla1[Valor])</f>
        <v>1027206</v>
      </c>
      <c r="O343" s="265">
        <f>IF(AND(Tabla2[[#This Row],[Estado]]="ok",LEFT(Tabla2[[#This Row],['# Factura]],3)="TIS"),Tabla2[[#This Row],[TOTAL]]-Tabla2[[#This Row],[pagado]],0)</f>
        <v>0</v>
      </c>
      <c r="P343" s="262">
        <f>Tabla2[[#This Row],[TOTAL]]-Tabla2[[#This Row],[Valor pago]]</f>
        <v>43794</v>
      </c>
      <c r="Q343" s="265">
        <f>IF(Tabla2[[#This Row],[Saldo]]=0,0,IF(Tabla2[[#This Row],[Tipo cliente]]="PJ",Tabla2[[#This Row],[SUBTOTAL]]*11%,0))</f>
        <v>99000</v>
      </c>
      <c r="R343" s="276">
        <f>IF(Tabla2[[#This Row],[Saldo]]=0,0,IF(Tabla2[[#This Row],[Tipo cliente]]="PJ",Tabla2[[#This Row],[SUBTOTAL]]*0.966%,0))</f>
        <v>8694</v>
      </c>
      <c r="S343" s="276">
        <f>IF(Tabla2[[#This Row],[Retiene IVA]]="S",Tabla2[[#This Row],[IVA]]*0.15,0)</f>
        <v>0</v>
      </c>
      <c r="T343" s="265">
        <f>+Tabla2[[#This Row],[Saldo]]-Tabla2[[#This Row],[Rete fte]]-Tabla2[[#This Row],[rete ica]]-Tabla2[[#This Row],[Rete IVA]]</f>
        <v>-63900</v>
      </c>
      <c r="U34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1071000</v>
      </c>
      <c r="W343" s="23">
        <f>IF(Tabla2[[#This Row],[Fecha F.E.]]="","",YEAR(Tabla2[[#This Row],[Fecha F.E.]]))</f>
        <v>2023</v>
      </c>
      <c r="X343" s="23">
        <f>IF(Tabla2[[#This Row],[Fecha]]="","",YEAR(Tabla2[[#This Row],[Fecha]]))</f>
        <v>2023</v>
      </c>
    </row>
    <row r="344" spans="1:24" ht="26.25" x14ac:dyDescent="0.25">
      <c r="A344" s="3">
        <v>344</v>
      </c>
      <c r="B344" s="77" t="s">
        <v>1457</v>
      </c>
      <c r="C344" s="360">
        <v>45266</v>
      </c>
      <c r="D344" s="76" t="s">
        <v>1458</v>
      </c>
      <c r="E344" s="360">
        <v>45252</v>
      </c>
      <c r="F344" s="78" t="s">
        <v>716</v>
      </c>
      <c r="G344" s="85">
        <v>830026741</v>
      </c>
      <c r="H344" s="177" t="str">
        <f>VLOOKUP(Tabla2[[#This Row],[NIT]],Clientes!A:C,2,0)</f>
        <v>CONCESIONARIA DEL DESARROLLO VIAL DE LA SABANA</v>
      </c>
      <c r="I344" s="77" t="str">
        <f>VLOOKUP(Tabla2[[#This Row],[NIT]],Clientes!A:C,3,0)</f>
        <v>PJ</v>
      </c>
      <c r="J344" s="73" t="s">
        <v>794</v>
      </c>
      <c r="K344" s="267">
        <f>SUMIFS(Tabla4[Sub Total],Tabla4[Codigo],Tabla2[[#This Row],[Cod]])</f>
        <v>9660000</v>
      </c>
      <c r="L344" s="262">
        <f>SUMPRODUCT((Tabla4[Codigo]=Tabla2[[#This Row],[Cod]])*1,Tabla4[IVA])</f>
        <v>1835400</v>
      </c>
      <c r="M344" s="262">
        <f>SUMIFS(Tabla4[Total],Tabla4[Codigo],Tabla2[[#This Row],[Cod]])</f>
        <v>11495400</v>
      </c>
      <c r="N344" s="278">
        <f>SUMPRODUCT((Tabla1[Codigo]=Tabla2[[#This Row],[Cod]])*1,Tabla1[Valor])</f>
        <v>0</v>
      </c>
      <c r="O344" s="265">
        <f>IF(AND(Tabla2[[#This Row],[Estado]]="ok",LEFT(Tabla2[[#This Row],['# Factura]],3)="TIS"),Tabla2[[#This Row],[TOTAL]]-Tabla2[[#This Row],[pagado]],0)</f>
        <v>0</v>
      </c>
      <c r="P344" s="262">
        <f>Tabla2[[#This Row],[TOTAL]]-Tabla2[[#This Row],[Valor pago]]</f>
        <v>11495400</v>
      </c>
      <c r="Q344" s="265">
        <f>IF(Tabla2[[#This Row],[Saldo]]=0,0,IF(Tabla2[[#This Row],[Tipo cliente]]="PJ",Tabla2[[#This Row],[SUBTOTAL]]*11%,0))</f>
        <v>1062600</v>
      </c>
      <c r="R344" s="276">
        <f>IF(Tabla2[[#This Row],[Saldo]]=0,0,IF(Tabla2[[#This Row],[Tipo cliente]]="PJ",Tabla2[[#This Row],[SUBTOTAL]]*0.966%,0))</f>
        <v>93315.6</v>
      </c>
      <c r="S344" s="276">
        <f>IF(Tabla2[[#This Row],[Retiene IVA]]="S",Tabla2[[#This Row],[IVA]]*0.15,0)</f>
        <v>0</v>
      </c>
      <c r="T344" s="265">
        <f>+Tabla2[[#This Row],[Saldo]]-Tabla2[[#This Row],[Rete fte]]-Tabla2[[#This Row],[rete ica]]-Tabla2[[#This Row],[Rete IVA]]</f>
        <v>10339484.4</v>
      </c>
      <c r="U34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344" s="23">
        <f>IF(Tabla2[[#This Row],[Fecha F.E.]]="","",YEAR(Tabla2[[#This Row],[Fecha F.E.]]))</f>
        <v>2023</v>
      </c>
      <c r="X344" s="23">
        <f>IF(Tabla2[[#This Row],[Fecha]]="","",YEAR(Tabla2[[#This Row],[Fecha]]))</f>
        <v>2023</v>
      </c>
    </row>
    <row r="345" spans="1:24" x14ac:dyDescent="0.25">
      <c r="A345" s="3">
        <v>345</v>
      </c>
      <c r="B345" s="77" t="s">
        <v>1459</v>
      </c>
      <c r="C345" s="360">
        <v>45266</v>
      </c>
      <c r="D345" s="76" t="s">
        <v>1460</v>
      </c>
      <c r="E345" s="360">
        <v>45264</v>
      </c>
      <c r="F345" s="78" t="s">
        <v>231</v>
      </c>
      <c r="G345" s="85">
        <v>800028768</v>
      </c>
      <c r="H345" s="177" t="str">
        <f>VLOOKUP(Tabla2[[#This Row],[NIT]],Clientes!A:C,2,0)</f>
        <v>Comercializadora ERZ SAS</v>
      </c>
      <c r="I345" s="77" t="str">
        <f>VLOOKUP(Tabla2[[#This Row],[NIT]],Clientes!A:C,3,0)</f>
        <v>PJ</v>
      </c>
      <c r="J345" s="73" t="s">
        <v>794</v>
      </c>
      <c r="K345" s="267">
        <f>SUMIFS(Tabla4[Sub Total],Tabla4[Codigo],Tabla2[[#This Row],[Cod]])</f>
        <v>260000</v>
      </c>
      <c r="L345" s="262">
        <f>SUMPRODUCT((Tabla4[Codigo]=Tabla2[[#This Row],[Cod]])*1,Tabla4[IVA])</f>
        <v>49400</v>
      </c>
      <c r="M345" s="262">
        <f>SUMIFS(Tabla4[Total],Tabla4[Codigo],Tabla2[[#This Row],[Cod]])</f>
        <v>309400</v>
      </c>
      <c r="N345" s="278">
        <f>SUMPRODUCT((Tabla1[Codigo]=Tabla2[[#This Row],[Cod]])*1,Tabla1[Valor])</f>
        <v>280800</v>
      </c>
      <c r="O345" s="265">
        <f>IF(AND(Tabla2[[#This Row],[Estado]]="ok",LEFT(Tabla2[[#This Row],['# Factura]],3)="TIS"),Tabla2[[#This Row],[TOTAL]]-Tabla2[[#This Row],[pagado]],0)</f>
        <v>0</v>
      </c>
      <c r="P345" s="262">
        <f>Tabla2[[#This Row],[TOTAL]]-Tabla2[[#This Row],[Valor pago]]</f>
        <v>28600</v>
      </c>
      <c r="Q345" s="265">
        <f>IF(Tabla2[[#This Row],[Saldo]]=0,0,IF(Tabla2[[#This Row],[Tipo cliente]]="PJ",Tabla2[[#This Row],[SUBTOTAL]]*11%,0))</f>
        <v>28600</v>
      </c>
      <c r="R345" s="276">
        <f>IF(Tabla2[[#This Row],[Saldo]]=0,0,IF(Tabla2[[#This Row],[Tipo cliente]]="PJ",Tabla2[[#This Row],[SUBTOTAL]]*0.966%,0))</f>
        <v>2511.6</v>
      </c>
      <c r="S345" s="276">
        <f>IF(Tabla2[[#This Row],[Retiene IVA]]="S",Tabla2[[#This Row],[IVA]]*0.15,0)</f>
        <v>0</v>
      </c>
      <c r="T345" s="265">
        <f>+Tabla2[[#This Row],[Saldo]]-Tabla2[[#This Row],[Rete fte]]-Tabla2[[#This Row],[rete ica]]-Tabla2[[#This Row],[Rete IVA]]</f>
        <v>-2511.6</v>
      </c>
      <c r="U34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309400</v>
      </c>
      <c r="W345" s="23">
        <f>IF(Tabla2[[#This Row],[Fecha F.E.]]="","",YEAR(Tabla2[[#This Row],[Fecha F.E.]]))</f>
        <v>2023</v>
      </c>
      <c r="X345" s="23">
        <f>IF(Tabla2[[#This Row],[Fecha]]="","",YEAR(Tabla2[[#This Row],[Fecha]]))</f>
        <v>2023</v>
      </c>
    </row>
    <row r="346" spans="1:24" ht="26.25" x14ac:dyDescent="0.25">
      <c r="A346" s="3">
        <v>346</v>
      </c>
      <c r="B346" s="77" t="s">
        <v>1461</v>
      </c>
      <c r="C346" s="360">
        <v>45266</v>
      </c>
      <c r="D346" s="76" t="s">
        <v>1462</v>
      </c>
      <c r="E346" s="360">
        <v>45264</v>
      </c>
      <c r="F346" s="78" t="s">
        <v>231</v>
      </c>
      <c r="G346" s="85">
        <v>900396116</v>
      </c>
      <c r="H346" s="177" t="str">
        <f>VLOOKUP(Tabla2[[#This Row],[NIT]],Clientes!A:C,2,0)</f>
        <v>PRODUCTORA INTERAMERICANA DE PLASTICOS S.A.S.</v>
      </c>
      <c r="I346" s="77" t="str">
        <f>VLOOKUP(Tabla2[[#This Row],[NIT]],Clientes!A:C,3,0)</f>
        <v>PJ</v>
      </c>
      <c r="J346" s="73" t="s">
        <v>794</v>
      </c>
      <c r="K346" s="267">
        <f>SUMIFS(Tabla4[Sub Total],Tabla4[Codigo],Tabla2[[#This Row],[Cod]])</f>
        <v>300000</v>
      </c>
      <c r="L346" s="262">
        <f>SUMPRODUCT((Tabla4[Codigo]=Tabla2[[#This Row],[Cod]])*1,Tabla4[IVA])</f>
        <v>57000</v>
      </c>
      <c r="M346" s="262">
        <f>SUMIFS(Tabla4[Total],Tabla4[Codigo],Tabla2[[#This Row],[Cod]])</f>
        <v>357000</v>
      </c>
      <c r="N346" s="278">
        <f>SUMPRODUCT((Tabla1[Codigo]=Tabla2[[#This Row],[Cod]])*1,Tabla1[Valor])</f>
        <v>321102</v>
      </c>
      <c r="O346" s="265">
        <f>IF(AND(Tabla2[[#This Row],[Estado]]="ok",LEFT(Tabla2[[#This Row],['# Factura]],3)="TIS"),Tabla2[[#This Row],[TOTAL]]-Tabla2[[#This Row],[pagado]],0)</f>
        <v>0</v>
      </c>
      <c r="P346" s="262">
        <f>Tabla2[[#This Row],[TOTAL]]-Tabla2[[#This Row],[Valor pago]]</f>
        <v>35898</v>
      </c>
      <c r="Q346" s="265">
        <f>IF(Tabla2[[#This Row],[Saldo]]=0,0,IF(Tabla2[[#This Row],[Tipo cliente]]="PJ",Tabla2[[#This Row],[SUBTOTAL]]*11%,0))</f>
        <v>33000</v>
      </c>
      <c r="R346" s="276">
        <f>IF(Tabla2[[#This Row],[Saldo]]=0,0,IF(Tabla2[[#This Row],[Tipo cliente]]="PJ",Tabla2[[#This Row],[SUBTOTAL]]*0.966%,0))</f>
        <v>2898</v>
      </c>
      <c r="S346" s="276">
        <f>IF(Tabla2[[#This Row],[Retiene IVA]]="S",Tabla2[[#This Row],[IVA]]*0.15,0)</f>
        <v>0</v>
      </c>
      <c r="T346" s="265">
        <f>+Tabla2[[#This Row],[Saldo]]-Tabla2[[#This Row],[Rete fte]]-Tabla2[[#This Row],[rete ica]]-Tabla2[[#This Row],[Rete IVA]]</f>
        <v>0</v>
      </c>
      <c r="U34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346" s="23">
        <f>IF(Tabla2[[#This Row],[Fecha F.E.]]="","",YEAR(Tabla2[[#This Row],[Fecha F.E.]]))</f>
        <v>2023</v>
      </c>
      <c r="X346" s="23">
        <f>IF(Tabla2[[#This Row],[Fecha]]="","",YEAR(Tabla2[[#This Row],[Fecha]]))</f>
        <v>2023</v>
      </c>
    </row>
    <row r="347" spans="1:24" x14ac:dyDescent="0.25">
      <c r="A347" s="3">
        <v>347</v>
      </c>
      <c r="B347" s="77" t="s">
        <v>1463</v>
      </c>
      <c r="C347" s="360">
        <v>45266</v>
      </c>
      <c r="D347" s="76" t="s">
        <v>1464</v>
      </c>
      <c r="E347" s="360">
        <v>45264</v>
      </c>
      <c r="F347" s="78" t="s">
        <v>231</v>
      </c>
      <c r="G347" s="85">
        <v>901342609</v>
      </c>
      <c r="H347" s="177" t="str">
        <f>VLOOKUP(Tabla2[[#This Row],[NIT]],Clientes!A:C,2,0)</f>
        <v>ROYCO SOLUCIONES SAS</v>
      </c>
      <c r="I347" s="77" t="str">
        <f>VLOOKUP(Tabla2[[#This Row],[NIT]],Clientes!A:C,3,0)</f>
        <v>PJ</v>
      </c>
      <c r="J347" s="73" t="s">
        <v>794</v>
      </c>
      <c r="K347" s="267">
        <f>SUMIFS(Tabla4[Sub Total],Tabla4[Codigo],Tabla2[[#This Row],[Cod]])</f>
        <v>175000</v>
      </c>
      <c r="L347" s="262">
        <f>SUMPRODUCT((Tabla4[Codigo]=Tabla2[[#This Row],[Cod]])*1,Tabla4[IVA])</f>
        <v>33250</v>
      </c>
      <c r="M347" s="262">
        <f>SUMIFS(Tabla4[Total],Tabla4[Codigo],Tabla2[[#This Row],[Cod]])</f>
        <v>208250</v>
      </c>
      <c r="N347" s="278">
        <f>SUMPRODUCT((Tabla1[Codigo]=Tabla2[[#This Row],[Cod]])*1,Tabla1[Valor])</f>
        <v>201250</v>
      </c>
      <c r="O347" s="265">
        <f>IF(AND(Tabla2[[#This Row],[Estado]]="ok",LEFT(Tabla2[[#This Row],['# Factura]],3)="TIS"),Tabla2[[#This Row],[TOTAL]]-Tabla2[[#This Row],[pagado]],0)</f>
        <v>0</v>
      </c>
      <c r="P347" s="262">
        <f>Tabla2[[#This Row],[TOTAL]]-Tabla2[[#This Row],[Valor pago]]</f>
        <v>7000</v>
      </c>
      <c r="Q347" s="265">
        <f>IF(Tabla2[[#This Row],[Saldo]]=0,0,IF(Tabla2[[#This Row],[Tipo cliente]]="PJ",Tabla2[[#This Row],[SUBTOTAL]]*11%,0))</f>
        <v>19250</v>
      </c>
      <c r="R347" s="276">
        <f>IF(Tabla2[[#This Row],[Saldo]]=0,0,IF(Tabla2[[#This Row],[Tipo cliente]]="PJ",Tabla2[[#This Row],[SUBTOTAL]]*0.966%,0))</f>
        <v>1690.5</v>
      </c>
      <c r="S347" s="276">
        <f>IF(Tabla2[[#This Row],[Retiene IVA]]="S",Tabla2[[#This Row],[IVA]]*0.15,0)</f>
        <v>0</v>
      </c>
      <c r="T347" s="265">
        <f>+Tabla2[[#This Row],[Saldo]]-Tabla2[[#This Row],[Rete fte]]-Tabla2[[#This Row],[rete ica]]-Tabla2[[#This Row],[Rete IVA]]</f>
        <v>-13940.5</v>
      </c>
      <c r="U34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208250</v>
      </c>
      <c r="W347" s="23">
        <f>IF(Tabla2[[#This Row],[Fecha F.E.]]="","",YEAR(Tabla2[[#This Row],[Fecha F.E.]]))</f>
        <v>2023</v>
      </c>
      <c r="X347" s="23">
        <f>IF(Tabla2[[#This Row],[Fecha]]="","",YEAR(Tabla2[[#This Row],[Fecha]]))</f>
        <v>2023</v>
      </c>
    </row>
    <row r="348" spans="1:24" x14ac:dyDescent="0.25">
      <c r="A348" s="3">
        <v>348</v>
      </c>
      <c r="B348" s="77" t="s">
        <v>1465</v>
      </c>
      <c r="C348" s="360">
        <v>45266</v>
      </c>
      <c r="D348" s="76" t="s">
        <v>1466</v>
      </c>
      <c r="E348" s="360">
        <v>45264</v>
      </c>
      <c r="F348" s="78" t="s">
        <v>231</v>
      </c>
      <c r="G348" s="85">
        <v>900505660</v>
      </c>
      <c r="H348" s="177" t="str">
        <f>VLOOKUP(Tabla2[[#This Row],[NIT]],Clientes!A:C,2,0)</f>
        <v>DIGITAL MEDIA TECHNOLOGIES COLOMBIA SAS</v>
      </c>
      <c r="I348" s="77" t="str">
        <f>VLOOKUP(Tabla2[[#This Row],[NIT]],Clientes!A:C,3,0)</f>
        <v>PJ</v>
      </c>
      <c r="J348" s="73" t="s">
        <v>794</v>
      </c>
      <c r="K348" s="267">
        <f>SUMIFS(Tabla4[Sub Total],Tabla4[Codigo],Tabla2[[#This Row],[Cod]])</f>
        <v>250000</v>
      </c>
      <c r="L348" s="262">
        <f>SUMPRODUCT((Tabla4[Codigo]=Tabla2[[#This Row],[Cod]])*1,Tabla4[IVA])</f>
        <v>47500</v>
      </c>
      <c r="M348" s="262">
        <f>SUMIFS(Tabla4[Total],Tabla4[Codigo],Tabla2[[#This Row],[Cod]])</f>
        <v>297500</v>
      </c>
      <c r="N348" s="278">
        <f>SUMPRODUCT((Tabla1[Codigo]=Tabla2[[#This Row],[Cod]])*1,Tabla1[Valor])</f>
        <v>270000</v>
      </c>
      <c r="O348" s="265">
        <f>IF(AND(Tabla2[[#This Row],[Estado]]="ok",LEFT(Tabla2[[#This Row],['# Factura]],3)="TIS"),Tabla2[[#This Row],[TOTAL]]-Tabla2[[#This Row],[pagado]],0)</f>
        <v>0</v>
      </c>
      <c r="P348" s="262">
        <f>Tabla2[[#This Row],[TOTAL]]-Tabla2[[#This Row],[Valor pago]]</f>
        <v>27500</v>
      </c>
      <c r="Q348" s="265">
        <f>IF(Tabla2[[#This Row],[Saldo]]=0,0,IF(Tabla2[[#This Row],[Tipo cliente]]="PJ",Tabla2[[#This Row],[SUBTOTAL]]*11%,0))</f>
        <v>27500</v>
      </c>
      <c r="R348" s="276">
        <f>IF(Tabla2[[#This Row],[Saldo]]=0,0,IF(Tabla2[[#This Row],[Tipo cliente]]="PJ",Tabla2[[#This Row],[SUBTOTAL]]*0.966%,0))</f>
        <v>2415</v>
      </c>
      <c r="S348" s="276">
        <f>IF(Tabla2[[#This Row],[Retiene IVA]]="S",Tabla2[[#This Row],[IVA]]*0.15,0)</f>
        <v>0</v>
      </c>
      <c r="T348" s="265">
        <f>+Tabla2[[#This Row],[Saldo]]-Tabla2[[#This Row],[Rete fte]]-Tabla2[[#This Row],[rete ica]]-Tabla2[[#This Row],[Rete IVA]]</f>
        <v>-2415</v>
      </c>
      <c r="U34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297500</v>
      </c>
      <c r="W348" s="23">
        <f>IF(Tabla2[[#This Row],[Fecha F.E.]]="","",YEAR(Tabla2[[#This Row],[Fecha F.E.]]))</f>
        <v>2023</v>
      </c>
      <c r="X348" s="23">
        <f>IF(Tabla2[[#This Row],[Fecha]]="","",YEAR(Tabla2[[#This Row],[Fecha]]))</f>
        <v>2023</v>
      </c>
    </row>
    <row r="349" spans="1:24" x14ac:dyDescent="0.25">
      <c r="A349" s="3">
        <v>349</v>
      </c>
      <c r="B349" s="77" t="s">
        <v>1467</v>
      </c>
      <c r="C349" s="360">
        <v>45266</v>
      </c>
      <c r="D349" s="76" t="s">
        <v>1468</v>
      </c>
      <c r="E349" s="360">
        <v>45264</v>
      </c>
      <c r="F349" s="78" t="s">
        <v>231</v>
      </c>
      <c r="G349" s="85">
        <v>900355950</v>
      </c>
      <c r="H349" s="177" t="str">
        <f>VLOOKUP(Tabla2[[#This Row],[NIT]],Clientes!A:C,2,0)</f>
        <v>TECNOLOGIA DE OFICINA S.A.S.</v>
      </c>
      <c r="I349" s="77" t="str">
        <f>VLOOKUP(Tabla2[[#This Row],[NIT]],Clientes!A:C,3,0)</f>
        <v>PJ</v>
      </c>
      <c r="J349" s="73" t="s">
        <v>794</v>
      </c>
      <c r="K349" s="267">
        <f>SUMIFS(Tabla4[Sub Total],Tabla4[Codigo],Tabla2[[#This Row],[Cod]])</f>
        <v>378000</v>
      </c>
      <c r="L349" s="262">
        <f>SUMPRODUCT((Tabla4[Codigo]=Tabla2[[#This Row],[Cod]])*1,Tabla4[IVA])</f>
        <v>71820</v>
      </c>
      <c r="M349" s="262">
        <f>SUMIFS(Tabla4[Total],Tabla4[Codigo],Tabla2[[#This Row],[Cod]])</f>
        <v>449820</v>
      </c>
      <c r="N349" s="278">
        <f>SUMPRODUCT((Tabla1[Codigo]=Tabla2[[#This Row],[Cod]])*1,Tabla1[Valor])</f>
        <v>449820</v>
      </c>
      <c r="O349" s="265">
        <f>IF(AND(Tabla2[[#This Row],[Estado]]="ok",LEFT(Tabla2[[#This Row],['# Factura]],3)="TIS"),Tabla2[[#This Row],[TOTAL]]-Tabla2[[#This Row],[pagado]],0)</f>
        <v>0</v>
      </c>
      <c r="P349" s="262">
        <f>Tabla2[[#This Row],[TOTAL]]-Tabla2[[#This Row],[Valor pago]]</f>
        <v>0</v>
      </c>
      <c r="Q349" s="265">
        <f>IF(Tabla2[[#This Row],[Saldo]]=0,0,IF(Tabla2[[#This Row],[Tipo cliente]]="PJ",Tabla2[[#This Row],[SUBTOTAL]]*11%,0))</f>
        <v>0</v>
      </c>
      <c r="R349" s="276">
        <f>IF(Tabla2[[#This Row],[Saldo]]=0,0,IF(Tabla2[[#This Row],[Tipo cliente]]="PJ",Tabla2[[#This Row],[SUBTOTAL]]*0.966%,0))</f>
        <v>0</v>
      </c>
      <c r="S349" s="276">
        <f>IF(Tabla2[[#This Row],[Retiene IVA]]="S",Tabla2[[#This Row],[IVA]]*0.15,0)</f>
        <v>0</v>
      </c>
      <c r="T349" s="265">
        <f>+Tabla2[[#This Row],[Saldo]]-Tabla2[[#This Row],[Rete fte]]-Tabla2[[#This Row],[rete ica]]-Tabla2[[#This Row],[Rete IVA]]</f>
        <v>0</v>
      </c>
      <c r="U34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449820</v>
      </c>
      <c r="W349" s="23">
        <f>IF(Tabla2[[#This Row],[Fecha F.E.]]="","",YEAR(Tabla2[[#This Row],[Fecha F.E.]]))</f>
        <v>2023</v>
      </c>
      <c r="X349" s="23">
        <f>IF(Tabla2[[#This Row],[Fecha]]="","",YEAR(Tabla2[[#This Row],[Fecha]]))</f>
        <v>2023</v>
      </c>
    </row>
    <row r="350" spans="1:24" x14ac:dyDescent="0.25">
      <c r="A350" s="3">
        <v>350</v>
      </c>
      <c r="B350" s="77" t="s">
        <v>1469</v>
      </c>
      <c r="C350" s="360">
        <v>45266</v>
      </c>
      <c r="D350" s="76" t="s">
        <v>1470</v>
      </c>
      <c r="E350" s="360">
        <v>45264</v>
      </c>
      <c r="F350" s="78" t="s">
        <v>231</v>
      </c>
      <c r="G350" s="85">
        <v>900694193</v>
      </c>
      <c r="H350" s="177" t="str">
        <f>VLOOKUP(Tabla2[[#This Row],[NIT]],Clientes!A:C,2,0)</f>
        <v>ALVEAR ESCOBAR ASOCIADOS S.A.S</v>
      </c>
      <c r="I350" s="77">
        <f>VLOOKUP(Tabla2[[#This Row],[NIT]],Clientes!A:C,3,0)</f>
        <v>0</v>
      </c>
      <c r="J350" s="73" t="s">
        <v>794</v>
      </c>
      <c r="K350" s="267">
        <f>SUMIFS(Tabla4[Sub Total],Tabla4[Codigo],Tabla2[[#This Row],[Cod]])</f>
        <v>187500</v>
      </c>
      <c r="L350" s="262">
        <f>SUMPRODUCT((Tabla4[Codigo]=Tabla2[[#This Row],[Cod]])*1,Tabla4[IVA])</f>
        <v>35625</v>
      </c>
      <c r="M350" s="262">
        <f>SUMIFS(Tabla4[Total],Tabla4[Codigo],Tabla2[[#This Row],[Cod]])</f>
        <v>223125</v>
      </c>
      <c r="N350" s="278">
        <f>SUMPRODUCT((Tabla1[Codigo]=Tabla2[[#This Row],[Cod]])*1,Tabla1[Valor])</f>
        <v>215625</v>
      </c>
      <c r="O350" s="265">
        <f>IF(AND(Tabla2[[#This Row],[Estado]]="ok",LEFT(Tabla2[[#This Row],['# Factura]],3)="TIS"),Tabla2[[#This Row],[TOTAL]]-Tabla2[[#This Row],[pagado]],0)</f>
        <v>7500</v>
      </c>
      <c r="P350" s="262">
        <f>Tabla2[[#This Row],[TOTAL]]-Tabla2[[#This Row],[Valor pago]]</f>
        <v>7500</v>
      </c>
      <c r="Q350" s="265">
        <f>IF(Tabla2[[#This Row],[Saldo]]=0,0,IF(Tabla2[[#This Row],[Tipo cliente]]="PJ",Tabla2[[#This Row],[SUBTOTAL]]*11%,0))</f>
        <v>0</v>
      </c>
      <c r="R350" s="276">
        <f>IF(Tabla2[[#This Row],[Saldo]]=0,0,IF(Tabla2[[#This Row],[Tipo cliente]]="PJ",Tabla2[[#This Row],[SUBTOTAL]]*0.966%,0))</f>
        <v>0</v>
      </c>
      <c r="S350" s="276">
        <f>IF(Tabla2[[#This Row],[Retiene IVA]]="S",Tabla2[[#This Row],[IVA]]*0.15,0)</f>
        <v>0</v>
      </c>
      <c r="T350" s="265">
        <f>+Tabla2[[#This Row],[Saldo]]-Tabla2[[#This Row],[Rete fte]]-Tabla2[[#This Row],[rete ica]]-Tabla2[[#This Row],[Rete IVA]]</f>
        <v>7500</v>
      </c>
      <c r="U35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215625</v>
      </c>
      <c r="W350" s="23">
        <f>IF(Tabla2[[#This Row],[Fecha F.E.]]="","",YEAR(Tabla2[[#This Row],[Fecha F.E.]]))</f>
        <v>2023</v>
      </c>
      <c r="X350" s="23">
        <f>IF(Tabla2[[#This Row],[Fecha]]="","",YEAR(Tabla2[[#This Row],[Fecha]]))</f>
        <v>2023</v>
      </c>
    </row>
    <row r="351" spans="1:24" x14ac:dyDescent="0.25">
      <c r="A351" s="3">
        <v>351</v>
      </c>
      <c r="B351" s="77" t="s">
        <v>1471</v>
      </c>
      <c r="C351" s="360">
        <v>45266</v>
      </c>
      <c r="D351" s="76" t="s">
        <v>1472</v>
      </c>
      <c r="E351" s="360">
        <v>45264</v>
      </c>
      <c r="F351" s="78" t="s">
        <v>231</v>
      </c>
      <c r="G351" s="85">
        <v>901030518</v>
      </c>
      <c r="H351" s="177" t="str">
        <f>VLOOKUP(Tabla2[[#This Row],[NIT]],Clientes!A:C,2,0)</f>
        <v>Inversiones Sajamib SAS</v>
      </c>
      <c r="I351" s="77" t="str">
        <f>VLOOKUP(Tabla2[[#This Row],[NIT]],Clientes!A:C,3,0)</f>
        <v>PJ</v>
      </c>
      <c r="J351" s="73" t="s">
        <v>794</v>
      </c>
      <c r="K351" s="267">
        <f>SUMIFS(Tabla4[Sub Total],Tabla4[Codigo],Tabla2[[#This Row],[Cod]])</f>
        <v>400000</v>
      </c>
      <c r="L351" s="262">
        <f>SUMPRODUCT((Tabla4[Codigo]=Tabla2[[#This Row],[Cod]])*1,Tabla4[IVA])</f>
        <v>0</v>
      </c>
      <c r="M351" s="262">
        <f>SUMIFS(Tabla4[Total],Tabla4[Codigo],Tabla2[[#This Row],[Cod]])</f>
        <v>400000</v>
      </c>
      <c r="N351" s="278">
        <f>SUMPRODUCT((Tabla1[Codigo]=Tabla2[[#This Row],[Cod]])*1,Tabla1[Valor])</f>
        <v>400000</v>
      </c>
      <c r="O351" s="265">
        <f>IF(AND(Tabla2[[#This Row],[Estado]]="ok",LEFT(Tabla2[[#This Row],['# Factura]],3)="TIS"),Tabla2[[#This Row],[TOTAL]]-Tabla2[[#This Row],[pagado]],0)</f>
        <v>0</v>
      </c>
      <c r="P351" s="262">
        <f>Tabla2[[#This Row],[TOTAL]]-Tabla2[[#This Row],[Valor pago]]</f>
        <v>0</v>
      </c>
      <c r="Q351" s="265">
        <f>IF(Tabla2[[#This Row],[Saldo]]=0,0,IF(Tabla2[[#This Row],[Tipo cliente]]="PJ",Tabla2[[#This Row],[SUBTOTAL]]*11%,0))</f>
        <v>0</v>
      </c>
      <c r="R351" s="276">
        <f>IF(Tabla2[[#This Row],[Saldo]]=0,0,IF(Tabla2[[#This Row],[Tipo cliente]]="PJ",Tabla2[[#This Row],[SUBTOTAL]]*0.966%,0))</f>
        <v>0</v>
      </c>
      <c r="S351" s="276">
        <f>IF(Tabla2[[#This Row],[Retiene IVA]]="S",Tabla2[[#This Row],[IVA]]*0.15,0)</f>
        <v>0</v>
      </c>
      <c r="T351" s="265">
        <f>+Tabla2[[#This Row],[Saldo]]-Tabla2[[#This Row],[Rete fte]]-Tabla2[[#This Row],[rete ica]]-Tabla2[[#This Row],[Rete IVA]]</f>
        <v>0</v>
      </c>
      <c r="U35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351" s="23">
        <f>IF(Tabla2[[#This Row],[Fecha F.E.]]="","",YEAR(Tabla2[[#This Row],[Fecha F.E.]]))</f>
        <v>2023</v>
      </c>
      <c r="X351" s="23">
        <f>IF(Tabla2[[#This Row],[Fecha]]="","",YEAR(Tabla2[[#This Row],[Fecha]]))</f>
        <v>2023</v>
      </c>
    </row>
    <row r="352" spans="1:24" x14ac:dyDescent="0.25">
      <c r="A352" s="3">
        <v>352</v>
      </c>
      <c r="B352" s="77" t="s">
        <v>1473</v>
      </c>
      <c r="C352" s="360">
        <v>45266</v>
      </c>
      <c r="D352" s="76" t="s">
        <v>1474</v>
      </c>
      <c r="E352" s="360">
        <v>45264</v>
      </c>
      <c r="F352" s="78" t="s">
        <v>231</v>
      </c>
      <c r="G352" s="85">
        <v>52385710</v>
      </c>
      <c r="H352" s="177" t="str">
        <f>VLOOKUP(Tabla2[[#This Row],[NIT]],Clientes!A:C,2,0)</f>
        <v>Maria del Pilar Alvarado Joya</v>
      </c>
      <c r="I352" s="77" t="str">
        <f>VLOOKUP(Tabla2[[#This Row],[NIT]],Clientes!A:C,3,0)</f>
        <v>PN</v>
      </c>
      <c r="J352" s="73" t="s">
        <v>794</v>
      </c>
      <c r="K352" s="267">
        <f>SUMIFS(Tabla4[Sub Total],Tabla4[Codigo],Tabla2[[#This Row],[Cod]])</f>
        <v>300000</v>
      </c>
      <c r="L352" s="262">
        <f>SUMPRODUCT((Tabla4[Codigo]=Tabla2[[#This Row],[Cod]])*1,Tabla4[IVA])</f>
        <v>0</v>
      </c>
      <c r="M352" s="262">
        <f>SUMIFS(Tabla4[Total],Tabla4[Codigo],Tabla2[[#This Row],[Cod]])</f>
        <v>300000</v>
      </c>
      <c r="N352" s="278">
        <f>SUMPRODUCT((Tabla1[Codigo]=Tabla2[[#This Row],[Cod]])*1,Tabla1[Valor])</f>
        <v>300000</v>
      </c>
      <c r="O352" s="265">
        <f>IF(AND(Tabla2[[#This Row],[Estado]]="ok",LEFT(Tabla2[[#This Row],['# Factura]],3)="TIS"),Tabla2[[#This Row],[TOTAL]]-Tabla2[[#This Row],[pagado]],0)</f>
        <v>0</v>
      </c>
      <c r="P352" s="262">
        <f>Tabla2[[#This Row],[TOTAL]]-Tabla2[[#This Row],[Valor pago]]</f>
        <v>0</v>
      </c>
      <c r="Q352" s="265">
        <f>IF(Tabla2[[#This Row],[Saldo]]=0,0,IF(Tabla2[[#This Row],[Tipo cliente]]="PJ",Tabla2[[#This Row],[SUBTOTAL]]*11%,0))</f>
        <v>0</v>
      </c>
      <c r="R352" s="276">
        <f>IF(Tabla2[[#This Row],[Saldo]]=0,0,IF(Tabla2[[#This Row],[Tipo cliente]]="PJ",Tabla2[[#This Row],[SUBTOTAL]]*0.966%,0))</f>
        <v>0</v>
      </c>
      <c r="S352" s="276">
        <f>IF(Tabla2[[#This Row],[Retiene IVA]]="S",Tabla2[[#This Row],[IVA]]*0.15,0)</f>
        <v>0</v>
      </c>
      <c r="T352" s="265">
        <f>+Tabla2[[#This Row],[Saldo]]-Tabla2[[#This Row],[Rete fte]]-Tabla2[[#This Row],[rete ica]]-Tabla2[[#This Row],[Rete IVA]]</f>
        <v>0</v>
      </c>
      <c r="U35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300000</v>
      </c>
      <c r="W352" s="23">
        <f>IF(Tabla2[[#This Row],[Fecha F.E.]]="","",YEAR(Tabla2[[#This Row],[Fecha F.E.]]))</f>
        <v>2023</v>
      </c>
      <c r="X352" s="23">
        <f>IF(Tabla2[[#This Row],[Fecha]]="","",YEAR(Tabla2[[#This Row],[Fecha]]))</f>
        <v>2023</v>
      </c>
    </row>
    <row r="353" spans="1:24" x14ac:dyDescent="0.25">
      <c r="A353" s="3">
        <v>353</v>
      </c>
      <c r="B353" s="77" t="s">
        <v>1475</v>
      </c>
      <c r="C353" s="360">
        <v>45266</v>
      </c>
      <c r="D353" s="76" t="s">
        <v>1476</v>
      </c>
      <c r="E353" s="360">
        <v>45264</v>
      </c>
      <c r="F353" s="78" t="s">
        <v>231</v>
      </c>
      <c r="G353" s="85">
        <v>900133423</v>
      </c>
      <c r="H353" s="177" t="str">
        <f>VLOOKUP(Tabla2[[#This Row],[NIT]],Clientes!A:C,2,0)</f>
        <v>PURICOL LTDA</v>
      </c>
      <c r="I353" s="77" t="str">
        <f>VLOOKUP(Tabla2[[#This Row],[NIT]],Clientes!A:C,3,0)</f>
        <v>PJ</v>
      </c>
      <c r="J353" s="73" t="s">
        <v>794</v>
      </c>
      <c r="K353" s="267">
        <f>SUMIFS(Tabla4[Sub Total],Tabla4[Codigo],Tabla2[[#This Row],[Cod]])</f>
        <v>900000</v>
      </c>
      <c r="L353" s="262">
        <f>SUMPRODUCT((Tabla4[Codigo]=Tabla2[[#This Row],[Cod]])*1,Tabla4[IVA])</f>
        <v>171000</v>
      </c>
      <c r="M353" s="262">
        <f>SUMIFS(Tabla4[Total],Tabla4[Codigo],Tabla2[[#This Row],[Cod]])</f>
        <v>1071000</v>
      </c>
      <c r="N353" s="278">
        <f>SUMPRODUCT((Tabla1[Codigo]=Tabla2[[#This Row],[Cod]])*1,Tabla1[Valor])</f>
        <v>1071000</v>
      </c>
      <c r="O353" s="265">
        <f>IF(AND(Tabla2[[#This Row],[Estado]]="ok",LEFT(Tabla2[[#This Row],['# Factura]],3)="TIS"),Tabla2[[#This Row],[TOTAL]]-Tabla2[[#This Row],[pagado]],0)</f>
        <v>0</v>
      </c>
      <c r="P353" s="262">
        <f>Tabla2[[#This Row],[TOTAL]]-Tabla2[[#This Row],[Valor pago]]</f>
        <v>0</v>
      </c>
      <c r="Q353" s="265">
        <f>IF(Tabla2[[#This Row],[Saldo]]=0,0,IF(Tabla2[[#This Row],[Tipo cliente]]="PJ",Tabla2[[#This Row],[SUBTOTAL]]*11%,0))</f>
        <v>0</v>
      </c>
      <c r="R353" s="276">
        <f>IF(Tabla2[[#This Row],[Saldo]]=0,0,IF(Tabla2[[#This Row],[Tipo cliente]]="PJ",Tabla2[[#This Row],[SUBTOTAL]]*0.966%,0))</f>
        <v>0</v>
      </c>
      <c r="S353" s="276">
        <f>IF(Tabla2[[#This Row],[Retiene IVA]]="S",Tabla2[[#This Row],[IVA]]*0.15,0)</f>
        <v>0</v>
      </c>
      <c r="T353" s="265">
        <f>+Tabla2[[#This Row],[Saldo]]-Tabla2[[#This Row],[Rete fte]]-Tabla2[[#This Row],[rete ica]]-Tabla2[[#This Row],[Rete IVA]]</f>
        <v>0</v>
      </c>
      <c r="U35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1071000</v>
      </c>
      <c r="W353" s="23">
        <f>IF(Tabla2[[#This Row],[Fecha F.E.]]="","",YEAR(Tabla2[[#This Row],[Fecha F.E.]]))</f>
        <v>2023</v>
      </c>
      <c r="X353" s="23">
        <f>IF(Tabla2[[#This Row],[Fecha]]="","",YEAR(Tabla2[[#This Row],[Fecha]]))</f>
        <v>2023</v>
      </c>
    </row>
    <row r="354" spans="1:24" x14ac:dyDescent="0.25">
      <c r="A354" s="3">
        <v>354</v>
      </c>
      <c r="B354" s="77" t="s">
        <v>1477</v>
      </c>
      <c r="C354" s="360">
        <v>45294</v>
      </c>
      <c r="D354" s="76" t="s">
        <v>1478</v>
      </c>
      <c r="E354" s="360">
        <v>45275</v>
      </c>
      <c r="F354" s="78" t="s">
        <v>231</v>
      </c>
      <c r="G354" s="85">
        <v>901209021</v>
      </c>
      <c r="H354" s="177" t="str">
        <f>VLOOKUP(Tabla2[[#This Row],[NIT]],Clientes!A:C,2,0)</f>
        <v xml:space="preserve">DEVISAB SAS </v>
      </c>
      <c r="I354" s="77" t="str">
        <f>VLOOKUP(Tabla2[[#This Row],[NIT]],Clientes!A:C,3,0)</f>
        <v>PJ</v>
      </c>
      <c r="J354" s="77"/>
      <c r="K354" s="267">
        <f>SUMIFS(Tabla4[Sub Total],Tabla4[Codigo],Tabla2[[#This Row],[Cod]])</f>
        <v>9660000</v>
      </c>
      <c r="L354" s="262">
        <f>SUMPRODUCT((Tabla4[Codigo]=Tabla2[[#This Row],[Cod]])*1,Tabla4[IVA])</f>
        <v>1835400</v>
      </c>
      <c r="M354" s="262">
        <f>SUMIFS(Tabla4[Total],Tabla4[Codigo],Tabla2[[#This Row],[Cod]])</f>
        <v>11495400</v>
      </c>
      <c r="N354" s="278">
        <f>SUMPRODUCT((Tabla1[Codigo]=Tabla2[[#This Row],[Cod]])*1,Tabla1[Valor])</f>
        <v>11051040</v>
      </c>
      <c r="O354" s="265">
        <f>IF(AND(Tabla2[[#This Row],[Estado]]="ok",LEFT(Tabla2[[#This Row],['# Factura]],3)="TIS"),Tabla2[[#This Row],[TOTAL]]-Tabla2[[#This Row],[pagado]],0)</f>
        <v>0</v>
      </c>
      <c r="P354" s="262">
        <f>Tabla2[[#This Row],[TOTAL]]-Tabla2[[#This Row],[Valor pago]]</f>
        <v>444360</v>
      </c>
      <c r="Q354" s="265">
        <f>IF(Tabla2[[#This Row],[Saldo]]=0,0,IF(Tabla2[[#This Row],[Tipo cliente]]="PJ",Tabla2[[#This Row],[SUBTOTAL]]*11%,0))</f>
        <v>1062600</v>
      </c>
      <c r="R354" s="276">
        <f>IF(Tabla2[[#This Row],[Saldo]]=0,0,IF(Tabla2[[#This Row],[Tipo cliente]]="PJ",Tabla2[[#This Row],[SUBTOTAL]]*0.966%,0))</f>
        <v>93315.6</v>
      </c>
      <c r="S354" s="276">
        <f>IF(Tabla2[[#This Row],[Retiene IVA]]="S",Tabla2[[#This Row],[IVA]]*0.15,0)</f>
        <v>0</v>
      </c>
      <c r="T354" s="265">
        <f>+Tabla2[[#This Row],[Saldo]]-Tabla2[[#This Row],[Rete fte]]-Tabla2[[#This Row],[rete ica]]-Tabla2[[#This Row],[Rete IVA]]</f>
        <v>-711555.6</v>
      </c>
      <c r="U35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11495400</v>
      </c>
      <c r="W354" s="23">
        <f>IF(Tabla2[[#This Row],[Fecha F.E.]]="","",YEAR(Tabla2[[#This Row],[Fecha F.E.]]))</f>
        <v>2023</v>
      </c>
      <c r="X354" s="23">
        <f>IF(Tabla2[[#This Row],[Fecha]]="","",YEAR(Tabla2[[#This Row],[Fecha]]))</f>
        <v>2024</v>
      </c>
    </row>
    <row r="355" spans="1:24" x14ac:dyDescent="0.25">
      <c r="A355" s="3">
        <v>355</v>
      </c>
      <c r="B355" s="77" t="s">
        <v>1479</v>
      </c>
      <c r="C355" s="360">
        <v>45294</v>
      </c>
      <c r="D355" s="76" t="s">
        <v>1480</v>
      </c>
      <c r="E355" s="360">
        <v>45278</v>
      </c>
      <c r="F355" s="78" t="s">
        <v>231</v>
      </c>
      <c r="G355" s="85">
        <v>800028768</v>
      </c>
      <c r="H355" s="177" t="str">
        <f>VLOOKUP(Tabla2[[#This Row],[NIT]],Clientes!A:C,2,0)</f>
        <v>Comercializadora ERZ SAS</v>
      </c>
      <c r="I355" s="77" t="str">
        <f>VLOOKUP(Tabla2[[#This Row],[NIT]],Clientes!A:C,3,0)</f>
        <v>PJ</v>
      </c>
      <c r="J355" s="77"/>
      <c r="K355" s="267">
        <f>SUMIFS(Tabla4[Sub Total],Tabla4[Codigo],Tabla2[[#This Row],[Cod]])</f>
        <v>260000</v>
      </c>
      <c r="L355" s="262">
        <f>SUMPRODUCT((Tabla4[Codigo]=Tabla2[[#This Row],[Cod]])*1,Tabla4[IVA])</f>
        <v>49400</v>
      </c>
      <c r="M355" s="262">
        <f>SUMIFS(Tabla4[Total],Tabla4[Codigo],Tabla2[[#This Row],[Cod]])</f>
        <v>309400</v>
      </c>
      <c r="N355" s="278">
        <f>SUMPRODUCT((Tabla1[Codigo]=Tabla2[[#This Row],[Cod]])*1,Tabla1[Valor])</f>
        <v>280800</v>
      </c>
      <c r="O355" s="265">
        <f>IF(AND(Tabla2[[#This Row],[Estado]]="ok",LEFT(Tabla2[[#This Row],['# Factura]],3)="TIS"),Tabla2[[#This Row],[TOTAL]]-Tabla2[[#This Row],[pagado]],0)</f>
        <v>0</v>
      </c>
      <c r="P355" s="262">
        <f>Tabla2[[#This Row],[TOTAL]]-Tabla2[[#This Row],[Valor pago]]</f>
        <v>28600</v>
      </c>
      <c r="Q355" s="265">
        <f>IF(Tabla2[[#This Row],[Saldo]]=0,0,IF(Tabla2[[#This Row],[Tipo cliente]]="PJ",Tabla2[[#This Row],[SUBTOTAL]]*11%,0))</f>
        <v>28600</v>
      </c>
      <c r="R355" s="276">
        <f>IF(Tabla2[[#This Row],[Saldo]]=0,0,IF(Tabla2[[#This Row],[Tipo cliente]]="PJ",Tabla2[[#This Row],[SUBTOTAL]]*0.966%,0))</f>
        <v>2511.6</v>
      </c>
      <c r="S355" s="276">
        <f>IF(Tabla2[[#This Row],[Retiene IVA]]="S",Tabla2[[#This Row],[IVA]]*0.15,0)</f>
        <v>0</v>
      </c>
      <c r="T355" s="265">
        <f>+Tabla2[[#This Row],[Saldo]]-Tabla2[[#This Row],[Rete fte]]-Tabla2[[#This Row],[rete ica]]-Tabla2[[#This Row],[Rete IVA]]</f>
        <v>-2511.6</v>
      </c>
      <c r="U35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309400</v>
      </c>
      <c r="W355" s="23">
        <f>IF(Tabla2[[#This Row],[Fecha F.E.]]="","",YEAR(Tabla2[[#This Row],[Fecha F.E.]]))</f>
        <v>2023</v>
      </c>
      <c r="X355" s="23">
        <f>IF(Tabla2[[#This Row],[Fecha]]="","",YEAR(Tabla2[[#This Row],[Fecha]]))</f>
        <v>2024</v>
      </c>
    </row>
    <row r="356" spans="1:24" ht="26.25" x14ac:dyDescent="0.25">
      <c r="A356" s="3">
        <v>356</v>
      </c>
      <c r="B356" s="77" t="s">
        <v>1481</v>
      </c>
      <c r="C356" s="360">
        <v>45294</v>
      </c>
      <c r="D356" s="76" t="s">
        <v>1482</v>
      </c>
      <c r="E356" s="360">
        <v>45278</v>
      </c>
      <c r="F356" s="78" t="s">
        <v>231</v>
      </c>
      <c r="G356" s="85">
        <v>900396116</v>
      </c>
      <c r="H356" s="177" t="str">
        <f>VLOOKUP(Tabla2[[#This Row],[NIT]],Clientes!A:C,2,0)</f>
        <v>PRODUCTORA INTERAMERICANA DE PLASTICOS S.A.S.</v>
      </c>
      <c r="I356" s="77" t="str">
        <f>VLOOKUP(Tabla2[[#This Row],[NIT]],Clientes!A:C,3,0)</f>
        <v>PJ</v>
      </c>
      <c r="J356" s="77"/>
      <c r="K356" s="267">
        <f>SUMIFS(Tabla4[Sub Total],Tabla4[Codigo],Tabla2[[#This Row],[Cod]])</f>
        <v>300000</v>
      </c>
      <c r="L356" s="262">
        <f>SUMPRODUCT((Tabla4[Codigo]=Tabla2[[#This Row],[Cod]])*1,Tabla4[IVA])</f>
        <v>57000</v>
      </c>
      <c r="M356" s="262">
        <f>SUMIFS(Tabla4[Total],Tabla4[Codigo],Tabla2[[#This Row],[Cod]])</f>
        <v>357000</v>
      </c>
      <c r="N356" s="278">
        <f>SUMPRODUCT((Tabla1[Codigo]=Tabla2[[#This Row],[Cod]])*1,Tabla1[Valor])</f>
        <v>321102</v>
      </c>
      <c r="O356" s="265">
        <f>IF(AND(Tabla2[[#This Row],[Estado]]="ok",LEFT(Tabla2[[#This Row],['# Factura]],3)="TIS"),Tabla2[[#This Row],[TOTAL]]-Tabla2[[#This Row],[pagado]],0)</f>
        <v>0</v>
      </c>
      <c r="P356" s="262">
        <f>Tabla2[[#This Row],[TOTAL]]-Tabla2[[#This Row],[Valor pago]]</f>
        <v>35898</v>
      </c>
      <c r="Q356" s="265">
        <f>IF(Tabla2[[#This Row],[Saldo]]=0,0,IF(Tabla2[[#This Row],[Tipo cliente]]="PJ",Tabla2[[#This Row],[SUBTOTAL]]*11%,0))</f>
        <v>33000</v>
      </c>
      <c r="R356" s="276">
        <f>IF(Tabla2[[#This Row],[Saldo]]=0,0,IF(Tabla2[[#This Row],[Tipo cliente]]="PJ",Tabla2[[#This Row],[SUBTOTAL]]*0.966%,0))</f>
        <v>2898</v>
      </c>
      <c r="S356" s="276">
        <f>IF(Tabla2[[#This Row],[Retiene IVA]]="S",Tabla2[[#This Row],[IVA]]*0.15,0)</f>
        <v>0</v>
      </c>
      <c r="T356" s="265">
        <f>+Tabla2[[#This Row],[Saldo]]-Tabla2[[#This Row],[Rete fte]]-Tabla2[[#This Row],[rete ica]]-Tabla2[[#This Row],[Rete IVA]]</f>
        <v>0</v>
      </c>
      <c r="U35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356" s="23">
        <f>IF(Tabla2[[#This Row],[Fecha F.E.]]="","",YEAR(Tabla2[[#This Row],[Fecha F.E.]]))</f>
        <v>2023</v>
      </c>
      <c r="X356" s="23">
        <f>IF(Tabla2[[#This Row],[Fecha]]="","",YEAR(Tabla2[[#This Row],[Fecha]]))</f>
        <v>2024</v>
      </c>
    </row>
    <row r="357" spans="1:24" x14ac:dyDescent="0.25">
      <c r="A357" s="3">
        <v>357</v>
      </c>
      <c r="B357" s="77" t="s">
        <v>1483</v>
      </c>
      <c r="C357" s="360">
        <v>45294</v>
      </c>
      <c r="D357" s="76" t="s">
        <v>1484</v>
      </c>
      <c r="E357" s="360">
        <v>45278</v>
      </c>
      <c r="F357" s="78" t="s">
        <v>231</v>
      </c>
      <c r="G357" s="85">
        <v>901342609</v>
      </c>
      <c r="H357" s="177" t="str">
        <f>VLOOKUP(Tabla2[[#This Row],[NIT]],Clientes!A:C,2,0)</f>
        <v>ROYCO SOLUCIONES SAS</v>
      </c>
      <c r="I357" s="77" t="str">
        <f>VLOOKUP(Tabla2[[#This Row],[NIT]],Clientes!A:C,3,0)</f>
        <v>PJ</v>
      </c>
      <c r="J357" s="77"/>
      <c r="K357" s="267">
        <f>SUMIFS(Tabla4[Sub Total],Tabla4[Codigo],Tabla2[[#This Row],[Cod]])</f>
        <v>175000</v>
      </c>
      <c r="L357" s="262">
        <f>SUMPRODUCT((Tabla4[Codigo]=Tabla2[[#This Row],[Cod]])*1,Tabla4[IVA])</f>
        <v>33250</v>
      </c>
      <c r="M357" s="262">
        <f>SUMIFS(Tabla4[Total],Tabla4[Codigo],Tabla2[[#This Row],[Cod]])</f>
        <v>208250</v>
      </c>
      <c r="N357" s="278">
        <f>SUMPRODUCT((Tabla1[Codigo]=Tabla2[[#This Row],[Cod]])*1,Tabla1[Valor])</f>
        <v>201250</v>
      </c>
      <c r="O357" s="265">
        <f>IF(AND(Tabla2[[#This Row],[Estado]]="ok",LEFT(Tabla2[[#This Row],['# Factura]],3)="TIS"),Tabla2[[#This Row],[TOTAL]]-Tabla2[[#This Row],[pagado]],0)</f>
        <v>0</v>
      </c>
      <c r="P357" s="262">
        <f>Tabla2[[#This Row],[TOTAL]]-Tabla2[[#This Row],[Valor pago]]</f>
        <v>7000</v>
      </c>
      <c r="Q357" s="265">
        <f>IF(Tabla2[[#This Row],[Saldo]]=0,0,IF(Tabla2[[#This Row],[Tipo cliente]]="PJ",Tabla2[[#This Row],[SUBTOTAL]]*11%,0))</f>
        <v>19250</v>
      </c>
      <c r="R357" s="276">
        <f>IF(Tabla2[[#This Row],[Saldo]]=0,0,IF(Tabla2[[#This Row],[Tipo cliente]]="PJ",Tabla2[[#This Row],[SUBTOTAL]]*0.966%,0))</f>
        <v>1690.5</v>
      </c>
      <c r="S357" s="276">
        <f>IF(Tabla2[[#This Row],[Retiene IVA]]="S",Tabla2[[#This Row],[IVA]]*0.15,0)</f>
        <v>0</v>
      </c>
      <c r="T357" s="265">
        <f>+Tabla2[[#This Row],[Saldo]]-Tabla2[[#This Row],[Rete fte]]-Tabla2[[#This Row],[rete ica]]-Tabla2[[#This Row],[Rete IVA]]</f>
        <v>-13940.5</v>
      </c>
      <c r="U35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208250</v>
      </c>
      <c r="W357" s="23">
        <f>IF(Tabla2[[#This Row],[Fecha F.E.]]="","",YEAR(Tabla2[[#This Row],[Fecha F.E.]]))</f>
        <v>2023</v>
      </c>
      <c r="X357" s="23">
        <f>IF(Tabla2[[#This Row],[Fecha]]="","",YEAR(Tabla2[[#This Row],[Fecha]]))</f>
        <v>2024</v>
      </c>
    </row>
    <row r="358" spans="1:24" x14ac:dyDescent="0.25">
      <c r="A358" s="3">
        <v>358</v>
      </c>
      <c r="B358" s="77" t="s">
        <v>1485</v>
      </c>
      <c r="C358" s="360">
        <v>45294</v>
      </c>
      <c r="D358" s="76" t="s">
        <v>1486</v>
      </c>
      <c r="E358" s="360">
        <v>45278</v>
      </c>
      <c r="F358" s="78" t="s">
        <v>231</v>
      </c>
      <c r="G358" s="85">
        <v>900505660</v>
      </c>
      <c r="H358" s="177" t="str">
        <f>VLOOKUP(Tabla2[[#This Row],[NIT]],Clientes!A:C,2,0)</f>
        <v>DIGITAL MEDIA TECHNOLOGIES COLOMBIA SAS</v>
      </c>
      <c r="I358" s="77" t="str">
        <f>VLOOKUP(Tabla2[[#This Row],[NIT]],Clientes!A:C,3,0)</f>
        <v>PJ</v>
      </c>
      <c r="J358" s="77"/>
      <c r="K358" s="267">
        <f>SUMIFS(Tabla4[Sub Total],Tabla4[Codigo],Tabla2[[#This Row],[Cod]])</f>
        <v>250000</v>
      </c>
      <c r="L358" s="262">
        <f>SUMPRODUCT((Tabla4[Codigo]=Tabla2[[#This Row],[Cod]])*1,Tabla4[IVA])</f>
        <v>47500</v>
      </c>
      <c r="M358" s="262">
        <f>SUMIFS(Tabla4[Total],Tabla4[Codigo],Tabla2[[#This Row],[Cod]])</f>
        <v>297500</v>
      </c>
      <c r="N358" s="278">
        <f>SUMPRODUCT((Tabla1[Codigo]=Tabla2[[#This Row],[Cod]])*1,Tabla1[Valor])</f>
        <v>270000</v>
      </c>
      <c r="O358" s="265">
        <f>IF(AND(Tabla2[[#This Row],[Estado]]="ok",LEFT(Tabla2[[#This Row],['# Factura]],3)="TIS"),Tabla2[[#This Row],[TOTAL]]-Tabla2[[#This Row],[pagado]],0)</f>
        <v>0</v>
      </c>
      <c r="P358" s="262">
        <f>Tabla2[[#This Row],[TOTAL]]-Tabla2[[#This Row],[Valor pago]]</f>
        <v>27500</v>
      </c>
      <c r="Q358" s="265">
        <f>IF(Tabla2[[#This Row],[Saldo]]=0,0,IF(Tabla2[[#This Row],[Tipo cliente]]="PJ",Tabla2[[#This Row],[SUBTOTAL]]*11%,0))</f>
        <v>27500</v>
      </c>
      <c r="R358" s="276">
        <f>IF(Tabla2[[#This Row],[Saldo]]=0,0,IF(Tabla2[[#This Row],[Tipo cliente]]="PJ",Tabla2[[#This Row],[SUBTOTAL]]*0.966%,0))</f>
        <v>2415</v>
      </c>
      <c r="S358" s="276">
        <f>IF(Tabla2[[#This Row],[Retiene IVA]]="S",Tabla2[[#This Row],[IVA]]*0.15,0)</f>
        <v>0</v>
      </c>
      <c r="T358" s="265">
        <f>+Tabla2[[#This Row],[Saldo]]-Tabla2[[#This Row],[Rete fte]]-Tabla2[[#This Row],[rete ica]]-Tabla2[[#This Row],[Rete IVA]]</f>
        <v>-2415</v>
      </c>
      <c r="U35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297500</v>
      </c>
      <c r="W358" s="23">
        <f>IF(Tabla2[[#This Row],[Fecha F.E.]]="","",YEAR(Tabla2[[#This Row],[Fecha F.E.]]))</f>
        <v>2023</v>
      </c>
      <c r="X358" s="23">
        <f>IF(Tabla2[[#This Row],[Fecha]]="","",YEAR(Tabla2[[#This Row],[Fecha]]))</f>
        <v>2024</v>
      </c>
    </row>
    <row r="359" spans="1:24" x14ac:dyDescent="0.25">
      <c r="A359" s="3">
        <v>359</v>
      </c>
      <c r="B359" s="77" t="s">
        <v>1487</v>
      </c>
      <c r="C359" s="360">
        <v>45294</v>
      </c>
      <c r="D359" s="76" t="s">
        <v>1488</v>
      </c>
      <c r="E359" s="360">
        <v>45278</v>
      </c>
      <c r="F359" s="78" t="s">
        <v>231</v>
      </c>
      <c r="G359" s="85">
        <v>901030518</v>
      </c>
      <c r="H359" s="177" t="str">
        <f>VLOOKUP(Tabla2[[#This Row],[NIT]],Clientes!A:C,2,0)</f>
        <v>Inversiones Sajamib SAS</v>
      </c>
      <c r="I359" s="77" t="str">
        <f>VLOOKUP(Tabla2[[#This Row],[NIT]],Clientes!A:C,3,0)</f>
        <v>PJ</v>
      </c>
      <c r="J359" s="77"/>
      <c r="K359" s="267">
        <f>SUMIFS(Tabla4[Sub Total],Tabla4[Codigo],Tabla2[[#This Row],[Cod]])</f>
        <v>400000</v>
      </c>
      <c r="L359" s="262">
        <f>SUMPRODUCT((Tabla4[Codigo]=Tabla2[[#This Row],[Cod]])*1,Tabla4[IVA])</f>
        <v>0</v>
      </c>
      <c r="M359" s="262">
        <f>SUMIFS(Tabla4[Total],Tabla4[Codigo],Tabla2[[#This Row],[Cod]])</f>
        <v>400000</v>
      </c>
      <c r="N359" s="278">
        <f>SUMPRODUCT((Tabla1[Codigo]=Tabla2[[#This Row],[Cod]])*1,Tabla1[Valor])</f>
        <v>400000</v>
      </c>
      <c r="O359" s="265">
        <f>IF(AND(Tabla2[[#This Row],[Estado]]="ok",LEFT(Tabla2[[#This Row],['# Factura]],3)="TIS"),Tabla2[[#This Row],[TOTAL]]-Tabla2[[#This Row],[pagado]],0)</f>
        <v>0</v>
      </c>
      <c r="P359" s="262">
        <f>Tabla2[[#This Row],[TOTAL]]-Tabla2[[#This Row],[Valor pago]]</f>
        <v>0</v>
      </c>
      <c r="Q359" s="265">
        <f>IF(Tabla2[[#This Row],[Saldo]]=0,0,IF(Tabla2[[#This Row],[Tipo cliente]]="PJ",Tabla2[[#This Row],[SUBTOTAL]]*11%,0))</f>
        <v>0</v>
      </c>
      <c r="R359" s="276">
        <f>IF(Tabla2[[#This Row],[Saldo]]=0,0,IF(Tabla2[[#This Row],[Tipo cliente]]="PJ",Tabla2[[#This Row],[SUBTOTAL]]*0.966%,0))</f>
        <v>0</v>
      </c>
      <c r="S359" s="276">
        <f>IF(Tabla2[[#This Row],[Retiene IVA]]="S",Tabla2[[#This Row],[IVA]]*0.15,0)</f>
        <v>0</v>
      </c>
      <c r="T359" s="265">
        <f>+Tabla2[[#This Row],[Saldo]]-Tabla2[[#This Row],[Rete fte]]-Tabla2[[#This Row],[rete ica]]-Tabla2[[#This Row],[Rete IVA]]</f>
        <v>0</v>
      </c>
      <c r="U35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359" s="23">
        <f>IF(Tabla2[[#This Row],[Fecha F.E.]]="","",YEAR(Tabla2[[#This Row],[Fecha F.E.]]))</f>
        <v>2023</v>
      </c>
      <c r="X359" s="23">
        <f>IF(Tabla2[[#This Row],[Fecha]]="","",YEAR(Tabla2[[#This Row],[Fecha]]))</f>
        <v>2024</v>
      </c>
    </row>
    <row r="360" spans="1:24" x14ac:dyDescent="0.25">
      <c r="A360" s="3">
        <v>360</v>
      </c>
      <c r="B360" s="77" t="s">
        <v>1489</v>
      </c>
      <c r="C360" s="360">
        <v>45294</v>
      </c>
      <c r="D360" s="76" t="s">
        <v>1490</v>
      </c>
      <c r="E360" s="360">
        <v>45278</v>
      </c>
      <c r="F360" s="78" t="s">
        <v>231</v>
      </c>
      <c r="G360" s="85">
        <v>52385710</v>
      </c>
      <c r="H360" s="177" t="str">
        <f>VLOOKUP(Tabla2[[#This Row],[NIT]],Clientes!A:C,2,0)</f>
        <v>Maria del Pilar Alvarado Joya</v>
      </c>
      <c r="I360" s="77" t="str">
        <f>VLOOKUP(Tabla2[[#This Row],[NIT]],Clientes!A:C,3,0)</f>
        <v>PN</v>
      </c>
      <c r="J360" s="77" t="s">
        <v>794</v>
      </c>
      <c r="K360" s="267">
        <f>SUMIFS(Tabla4[Sub Total],Tabla4[Codigo],Tabla2[[#This Row],[Cod]])</f>
        <v>900000</v>
      </c>
      <c r="L360" s="262">
        <f>SUMPRODUCT((Tabla4[Codigo]=Tabla2[[#This Row],[Cod]])*1,Tabla4[IVA])</f>
        <v>0</v>
      </c>
      <c r="M360" s="262">
        <f>SUMIFS(Tabla4[Total],Tabla4[Codigo],Tabla2[[#This Row],[Cod]])</f>
        <v>900000</v>
      </c>
      <c r="N360" s="278">
        <f>SUMPRODUCT((Tabla1[Codigo]=Tabla2[[#This Row],[Cod]])*1,Tabla1[Valor])</f>
        <v>900000</v>
      </c>
      <c r="O360" s="265">
        <f>IF(AND(Tabla2[[#This Row],[Estado]]="ok",LEFT(Tabla2[[#This Row],['# Factura]],3)="TIS"),Tabla2[[#This Row],[TOTAL]]-Tabla2[[#This Row],[pagado]],0)</f>
        <v>0</v>
      </c>
      <c r="P360" s="262">
        <f>Tabla2[[#This Row],[TOTAL]]-Tabla2[[#This Row],[Valor pago]]</f>
        <v>0</v>
      </c>
      <c r="Q360" s="265">
        <f>IF(Tabla2[[#This Row],[Saldo]]=0,0,IF(Tabla2[[#This Row],[Tipo cliente]]="PJ",Tabla2[[#This Row],[SUBTOTAL]]*11%,0))</f>
        <v>0</v>
      </c>
      <c r="R360" s="276">
        <f>IF(Tabla2[[#This Row],[Saldo]]=0,0,IF(Tabla2[[#This Row],[Tipo cliente]]="PJ",Tabla2[[#This Row],[SUBTOTAL]]*0.966%,0))</f>
        <v>0</v>
      </c>
      <c r="S360" s="276">
        <f>IF(Tabla2[[#This Row],[Retiene IVA]]="S",Tabla2[[#This Row],[IVA]]*0.15,0)</f>
        <v>0</v>
      </c>
      <c r="T360" s="265">
        <f>+Tabla2[[#This Row],[Saldo]]-Tabla2[[#This Row],[Rete fte]]-Tabla2[[#This Row],[rete ica]]-Tabla2[[#This Row],[Rete IVA]]</f>
        <v>0</v>
      </c>
      <c r="U36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900000</v>
      </c>
      <c r="W360" s="23">
        <f>IF(Tabla2[[#This Row],[Fecha F.E.]]="","",YEAR(Tabla2[[#This Row],[Fecha F.E.]]))</f>
        <v>2023</v>
      </c>
      <c r="X360" s="23">
        <f>IF(Tabla2[[#This Row],[Fecha]]="","",YEAR(Tabla2[[#This Row],[Fecha]]))</f>
        <v>2024</v>
      </c>
    </row>
    <row r="361" spans="1:24" x14ac:dyDescent="0.25">
      <c r="A361" s="3">
        <v>361</v>
      </c>
      <c r="B361" s="77" t="s">
        <v>1491</v>
      </c>
      <c r="C361" s="360">
        <v>45294</v>
      </c>
      <c r="D361" s="76" t="s">
        <v>1492</v>
      </c>
      <c r="E361" s="360">
        <v>45278</v>
      </c>
      <c r="F361" s="78" t="s">
        <v>231</v>
      </c>
      <c r="G361" s="85">
        <v>52385710</v>
      </c>
      <c r="H361" s="177" t="str">
        <f>VLOOKUP(Tabla2[[#This Row],[NIT]],Clientes!A:C,2,0)</f>
        <v>Maria del Pilar Alvarado Joya</v>
      </c>
      <c r="I361" s="77" t="str">
        <f>VLOOKUP(Tabla2[[#This Row],[NIT]],Clientes!A:C,3,0)</f>
        <v>PN</v>
      </c>
      <c r="J361" s="77" t="s">
        <v>794</v>
      </c>
      <c r="K361" s="267">
        <f>SUMIFS(Tabla4[Sub Total],Tabla4[Codigo],Tabla2[[#This Row],[Cod]])</f>
        <v>300000</v>
      </c>
      <c r="L361" s="262">
        <f>SUMPRODUCT((Tabla4[Codigo]=Tabla2[[#This Row],[Cod]])*1,Tabla4[IVA])</f>
        <v>0</v>
      </c>
      <c r="M361" s="262">
        <f>SUMIFS(Tabla4[Total],Tabla4[Codigo],Tabla2[[#This Row],[Cod]])</f>
        <v>300000</v>
      </c>
      <c r="N361" s="278">
        <f>SUMPRODUCT((Tabla1[Codigo]=Tabla2[[#This Row],[Cod]])*1,Tabla1[Valor])</f>
        <v>300000</v>
      </c>
      <c r="O361" s="265">
        <f>IF(AND(Tabla2[[#This Row],[Estado]]="ok",LEFT(Tabla2[[#This Row],['# Factura]],3)="TIS"),Tabla2[[#This Row],[TOTAL]]-Tabla2[[#This Row],[pagado]],0)</f>
        <v>0</v>
      </c>
      <c r="P361" s="262">
        <f>Tabla2[[#This Row],[TOTAL]]-Tabla2[[#This Row],[Valor pago]]</f>
        <v>0</v>
      </c>
      <c r="Q361" s="265">
        <f>IF(Tabla2[[#This Row],[Saldo]]=0,0,IF(Tabla2[[#This Row],[Tipo cliente]]="PJ",Tabla2[[#This Row],[SUBTOTAL]]*11%,0))</f>
        <v>0</v>
      </c>
      <c r="R361" s="276">
        <f>IF(Tabla2[[#This Row],[Saldo]]=0,0,IF(Tabla2[[#This Row],[Tipo cliente]]="PJ",Tabla2[[#This Row],[SUBTOTAL]]*0.966%,0))</f>
        <v>0</v>
      </c>
      <c r="S361" s="276">
        <f>IF(Tabla2[[#This Row],[Retiene IVA]]="S",Tabla2[[#This Row],[IVA]]*0.15,0)</f>
        <v>0</v>
      </c>
      <c r="T361" s="265">
        <f>+Tabla2[[#This Row],[Saldo]]-Tabla2[[#This Row],[Rete fte]]-Tabla2[[#This Row],[rete ica]]-Tabla2[[#This Row],[Rete IVA]]</f>
        <v>0</v>
      </c>
      <c r="U36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300000</v>
      </c>
      <c r="W361" s="23">
        <f>IF(Tabla2[[#This Row],[Fecha F.E.]]="","",YEAR(Tabla2[[#This Row],[Fecha F.E.]]))</f>
        <v>2023</v>
      </c>
      <c r="X361" s="23">
        <f>IF(Tabla2[[#This Row],[Fecha]]="","",YEAR(Tabla2[[#This Row],[Fecha]]))</f>
        <v>2024</v>
      </c>
    </row>
    <row r="362" spans="1:24" ht="26.25" x14ac:dyDescent="0.25">
      <c r="A362" s="3">
        <v>362</v>
      </c>
      <c r="B362" s="77" t="s">
        <v>1493</v>
      </c>
      <c r="C362" s="360">
        <v>45736</v>
      </c>
      <c r="D362" s="76" t="s">
        <v>1494</v>
      </c>
      <c r="E362" s="360"/>
      <c r="F362" s="78" t="s">
        <v>231</v>
      </c>
      <c r="G362" s="85">
        <v>901034790</v>
      </c>
      <c r="H362" s="177" t="str">
        <f>VLOOKUP(Tabla2[[#This Row],[NIT]],Clientes!A:C,2,0)</f>
        <v>INSTITUTO DISTRITAL DE CIENCIA, BIOTECNOLOGIA E INNOVACION EN SALUD</v>
      </c>
      <c r="I362" s="77" t="str">
        <f>VLOOKUP(Tabla2[[#This Row],[NIT]],Clientes!A:C,3,0)</f>
        <v>PJ</v>
      </c>
      <c r="J362" s="77"/>
      <c r="K362" s="267">
        <f>SUMIFS(Tabla4[Sub Total],Tabla4[Codigo],Tabla2[[#This Row],[Cod]])</f>
        <v>-7590000</v>
      </c>
      <c r="L362" s="262">
        <f>SUMPRODUCT((Tabla4[Codigo]=Tabla2[[#This Row],[Cod]])*1,Tabla4[IVA])</f>
        <v>-1442100</v>
      </c>
      <c r="M362" s="262">
        <f>SUMIFS(Tabla4[Total],Tabla4[Codigo],Tabla2[[#This Row],[Cod]])</f>
        <v>-9032100</v>
      </c>
      <c r="N362" s="278">
        <f>SUMPRODUCT((Tabla1[Codigo]=Tabla2[[#This Row],[Cod]])*1,Tabla1[Valor])</f>
        <v>0</v>
      </c>
      <c r="O362" s="265">
        <f>IF(AND(Tabla2[[#This Row],[Estado]]="ok",LEFT(Tabla2[[#This Row],['# Factura]],3)="TIS"),Tabla2[[#This Row],[TOTAL]]-Tabla2[[#This Row],[pagado]],0)</f>
        <v>0</v>
      </c>
      <c r="P362" s="262">
        <f>Tabla2[[#This Row],[TOTAL]]-Tabla2[[#This Row],[Valor pago]]</f>
        <v>-9032100</v>
      </c>
      <c r="Q362" s="265">
        <f>IF(Tabla2[[#This Row],[Saldo]]=0,0,IF(Tabla2[[#This Row],[Tipo cliente]]="PJ",Tabla2[[#This Row],[SUBTOTAL]]*11%,0))</f>
        <v>-834900</v>
      </c>
      <c r="R362" s="276">
        <f>IF(Tabla2[[#This Row],[Saldo]]=0,0,IF(Tabla2[[#This Row],[Tipo cliente]]="PJ",Tabla2[[#This Row],[SUBTOTAL]]*0.966%,0))</f>
        <v>-73319.399999999994</v>
      </c>
      <c r="S362" s="276">
        <f>IF(Tabla2[[#This Row],[Retiene IVA]]="S",Tabla2[[#This Row],[IVA]]*0.15,0)</f>
        <v>0</v>
      </c>
      <c r="T362" s="265"/>
      <c r="U36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V362" s="23" t="s">
        <v>1495</v>
      </c>
      <c r="W362" s="23" t="str">
        <f>IF(Tabla2[[#This Row],[Fecha F.E.]]="","",YEAR(Tabla2[[#This Row],[Fecha F.E.]]))</f>
        <v/>
      </c>
      <c r="X362" s="23">
        <f>IF(Tabla2[[#This Row],[Fecha]]="","",YEAR(Tabla2[[#This Row],[Fecha]]))</f>
        <v>2025</v>
      </c>
    </row>
    <row r="363" spans="1:24" x14ac:dyDescent="0.25">
      <c r="A363" s="3">
        <v>363</v>
      </c>
      <c r="B363" s="77" t="s">
        <v>1496</v>
      </c>
      <c r="C363" s="360">
        <v>45558</v>
      </c>
      <c r="D363" s="76" t="s">
        <v>1497</v>
      </c>
      <c r="E363" s="360">
        <v>45558</v>
      </c>
      <c r="F363" s="78" t="s">
        <v>231</v>
      </c>
      <c r="G363" s="85">
        <v>901233425</v>
      </c>
      <c r="H363" s="177" t="str">
        <f>VLOOKUP(Tabla2[[#This Row],[NIT]],Clientes!A:C,2,0)</f>
        <v>EVAL.COM CONSULTING SAS</v>
      </c>
      <c r="I363" s="77" t="str">
        <f>VLOOKUP(Tabla2[[#This Row],[NIT]],Clientes!A:C,3,0)</f>
        <v>PJ</v>
      </c>
      <c r="J363" s="77"/>
      <c r="K363" s="267">
        <f>SUMIFS(Tabla4[Sub Total],Tabla4[Codigo],Tabla2[[#This Row],[Cod]])</f>
        <v>-1080000</v>
      </c>
      <c r="L363" s="262">
        <f>SUMPRODUCT((Tabla4[Codigo]=Tabla2[[#This Row],[Cod]])*1,Tabla4[IVA])</f>
        <v>-205200</v>
      </c>
      <c r="M363" s="262">
        <f>SUMIFS(Tabla4[Total],Tabla4[Codigo],Tabla2[[#This Row],[Cod]])</f>
        <v>-1285200</v>
      </c>
      <c r="N363" s="278">
        <f>SUMPRODUCT((Tabla1[Codigo]=Tabla2[[#This Row],[Cod]])*1,Tabla1[Valor])</f>
        <v>0</v>
      </c>
      <c r="O363" s="265">
        <f>IF(AND(Tabla2[[#This Row],[Estado]]="ok",LEFT(Tabla2[[#This Row],['# Factura]],3)="TIS"),Tabla2[[#This Row],[TOTAL]]-Tabla2[[#This Row],[pagado]],0)</f>
        <v>0</v>
      </c>
      <c r="P363" s="262">
        <f>Tabla2[[#This Row],[TOTAL]]-Tabla2[[#This Row],[Valor pago]]</f>
        <v>-1285200</v>
      </c>
      <c r="Q363" s="265">
        <f>IF(Tabla2[[#This Row],[Saldo]]=0,0,IF(Tabla2[[#This Row],[Tipo cliente]]="PJ",Tabla2[[#This Row],[SUBTOTAL]]*11%,0))</f>
        <v>-118800</v>
      </c>
      <c r="R363" s="276">
        <f>IF(Tabla2[[#This Row],[Saldo]]=0,0,IF(Tabla2[[#This Row],[Tipo cliente]]="PJ",Tabla2[[#This Row],[SUBTOTAL]]*0.966%,0))</f>
        <v>-10432.800000000001</v>
      </c>
      <c r="S363" s="276">
        <f>IF(Tabla2[[#This Row],[Retiene IVA]]="S",Tabla2[[#This Row],[IVA]]*0.15,0)</f>
        <v>0</v>
      </c>
      <c r="T363" s="265">
        <f>+Tabla2[[#This Row],[Saldo]]-Tabla2[[#This Row],[Rete fte]]-Tabla2[[#This Row],[rete ica]]-Tabla2[[#This Row],[Rete IVA]]</f>
        <v>-1155967.2</v>
      </c>
      <c r="U36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V363" s="23" t="s">
        <v>1498</v>
      </c>
      <c r="W363" s="23">
        <f>IF(Tabla2[[#This Row],[Fecha F.E.]]="","",YEAR(Tabla2[[#This Row],[Fecha F.E.]]))</f>
        <v>2024</v>
      </c>
      <c r="X363" s="23">
        <f>IF(Tabla2[[#This Row],[Fecha]]="","",YEAR(Tabla2[[#This Row],[Fecha]]))</f>
        <v>2024</v>
      </c>
    </row>
    <row r="364" spans="1:24" x14ac:dyDescent="0.25">
      <c r="A364" s="3">
        <v>364</v>
      </c>
      <c r="B364" s="77" t="s">
        <v>1499</v>
      </c>
      <c r="C364" s="360">
        <v>45309</v>
      </c>
      <c r="D364" s="76" t="s">
        <v>1500</v>
      </c>
      <c r="E364" s="360">
        <v>45309</v>
      </c>
      <c r="F364" s="78" t="s">
        <v>231</v>
      </c>
      <c r="G364" s="85">
        <v>901034854</v>
      </c>
      <c r="H364" s="177" t="str">
        <f>VLOOKUP(Tabla2[[#This Row],[NIT]],Clientes!A:C,2,0)</f>
        <v>TBTB GLOBAL LAB SAS</v>
      </c>
      <c r="I364" s="77" t="str">
        <f>VLOOKUP(Tabla2[[#This Row],[NIT]],Clientes!A:C,3,0)</f>
        <v>PJ</v>
      </c>
      <c r="J364" s="77"/>
      <c r="K364" s="267">
        <f>SUMIFS(Tabla4[Sub Total],Tabla4[Codigo],Tabla2[[#This Row],[Cod]])</f>
        <v>850000</v>
      </c>
      <c r="L364" s="262">
        <f>SUMPRODUCT((Tabla4[Codigo]=Tabla2[[#This Row],[Cod]])*1,Tabla4[IVA])</f>
        <v>161500</v>
      </c>
      <c r="M364" s="262">
        <f>SUMIFS(Tabla4[Total],Tabla4[Codigo],Tabla2[[#This Row],[Cod]])</f>
        <v>1011500</v>
      </c>
      <c r="N364" s="278">
        <f>SUMPRODUCT((Tabla1[Codigo]=Tabla2[[#This Row],[Cod]])*1,Tabla1[Valor])</f>
        <v>927078</v>
      </c>
      <c r="O364" s="265">
        <f>IF(AND(Tabla2[[#This Row],[Estado]]="ok",LEFT(Tabla2[[#This Row],['# Factura]],3)="TIS"),Tabla2[[#This Row],[TOTAL]]-Tabla2[[#This Row],[pagado]],0)</f>
        <v>-17289</v>
      </c>
      <c r="P364" s="262">
        <f>Tabla2[[#This Row],[TOTAL]]-Tabla2[[#This Row],[Valor pago]]</f>
        <v>84422</v>
      </c>
      <c r="Q364" s="265">
        <f>IF(Tabla2[[#This Row],[Saldo]]=0,0,IF(Tabla2[[#This Row],[Tipo cliente]]="PJ",Tabla2[[#This Row],[SUBTOTAL]]*11%,0))</f>
        <v>93500</v>
      </c>
      <c r="R364" s="276">
        <f>IF(Tabla2[[#This Row],[Saldo]]=0,0,IF(Tabla2[[#This Row],[Tipo cliente]]="PJ",Tabla2[[#This Row],[SUBTOTAL]]*0.966%,0))</f>
        <v>8211</v>
      </c>
      <c r="S364" s="276">
        <f>IF(Tabla2[[#This Row],[Retiene IVA]]="S",Tabla2[[#This Row],[IVA]]*0.15,0)</f>
        <v>0</v>
      </c>
      <c r="T364" s="265"/>
      <c r="U36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1028789</v>
      </c>
      <c r="W364" s="23">
        <f>IF(Tabla2[[#This Row],[Fecha F.E.]]="","",YEAR(Tabla2[[#This Row],[Fecha F.E.]]))</f>
        <v>2024</v>
      </c>
      <c r="X364" s="23">
        <f>IF(Tabla2[[#This Row],[Fecha]]="","",YEAR(Tabla2[[#This Row],[Fecha]]))</f>
        <v>2024</v>
      </c>
    </row>
    <row r="365" spans="1:24" x14ac:dyDescent="0.25">
      <c r="A365" s="3">
        <v>365</v>
      </c>
      <c r="B365" s="77" t="s">
        <v>1501</v>
      </c>
      <c r="C365" s="360">
        <f>+E365</f>
        <v>45330</v>
      </c>
      <c r="D365" s="76" t="s">
        <v>1502</v>
      </c>
      <c r="E365" s="360">
        <v>45330</v>
      </c>
      <c r="F365" s="78" t="s">
        <v>231</v>
      </c>
      <c r="G365" s="85">
        <v>800028768</v>
      </c>
      <c r="H365" s="177" t="str">
        <f>VLOOKUP(Tabla2[[#This Row],[NIT]],Clientes!A:C,2,0)</f>
        <v>Comercializadora ERZ SAS</v>
      </c>
      <c r="I365" s="77" t="str">
        <f>VLOOKUP(Tabla2[[#This Row],[NIT]],Clientes!A:C,3,0)</f>
        <v>PJ</v>
      </c>
      <c r="J365" s="77"/>
      <c r="K365" s="267">
        <f>SUMIFS(Tabla4[Sub Total],Tabla4[Codigo],Tabla2[[#This Row],[Cod]])</f>
        <v>260000</v>
      </c>
      <c r="L365" s="262">
        <f>SUMPRODUCT((Tabla4[Codigo]=Tabla2[[#This Row],[Cod]])*1,Tabla4[IVA])</f>
        <v>49400</v>
      </c>
      <c r="M365" s="262">
        <f>SUMIFS(Tabla4[Total],Tabla4[Codigo],Tabla2[[#This Row],[Cod]])</f>
        <v>309400</v>
      </c>
      <c r="N365" s="278">
        <f>SUMPRODUCT((Tabla1[Codigo]=Tabla2[[#This Row],[Cod]])*1,Tabla1[Valor])</f>
        <v>561600</v>
      </c>
      <c r="O365" s="265">
        <f>IF(AND(Tabla2[[#This Row],[Estado]]="ok",LEFT(Tabla2[[#This Row],['# Factura]],3)="TIS"),Tabla2[[#This Row],[TOTAL]]-Tabla2[[#This Row],[pagado]],0)</f>
        <v>-283311.59999999998</v>
      </c>
      <c r="P365" s="262">
        <f>Tabla2[[#This Row],[TOTAL]]-Tabla2[[#This Row],[Valor pago]]</f>
        <v>-252200</v>
      </c>
      <c r="Q365" s="265">
        <f>IF(Tabla2[[#This Row],[Saldo]]=0,0,IF(Tabla2[[#This Row],[Tipo cliente]]="PJ",Tabla2[[#This Row],[SUBTOTAL]]*11%,0))</f>
        <v>28600</v>
      </c>
      <c r="R365" s="276">
        <f>IF(Tabla2[[#This Row],[Saldo]]=0,0,IF(Tabla2[[#This Row],[Tipo cliente]]="PJ",Tabla2[[#This Row],[SUBTOTAL]]*0.966%,0))</f>
        <v>2511.6</v>
      </c>
      <c r="S365" s="276">
        <f>IF(Tabla2[[#This Row],[Retiene IVA]]="S",Tabla2[[#This Row],[IVA]]*0.15,0)</f>
        <v>0</v>
      </c>
      <c r="T365" s="265"/>
      <c r="U36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592711.6</v>
      </c>
      <c r="W365" s="23">
        <f>IF(Tabla2[[#This Row],[Fecha F.E.]]="","",YEAR(Tabla2[[#This Row],[Fecha F.E.]]))</f>
        <v>2024</v>
      </c>
      <c r="X365" s="23">
        <f>IF(Tabla2[[#This Row],[Fecha]]="","",YEAR(Tabla2[[#This Row],[Fecha]]))</f>
        <v>2024</v>
      </c>
    </row>
    <row r="366" spans="1:24" ht="26.25" x14ac:dyDescent="0.25">
      <c r="A366" s="3">
        <v>366</v>
      </c>
      <c r="B366" s="77" t="s">
        <v>1503</v>
      </c>
      <c r="C366" s="360">
        <v>45330</v>
      </c>
      <c r="D366" s="76" t="s">
        <v>1504</v>
      </c>
      <c r="E366" s="360">
        <v>45330</v>
      </c>
      <c r="F366" s="78" t="s">
        <v>231</v>
      </c>
      <c r="G366" s="85">
        <v>900396116</v>
      </c>
      <c r="H366" s="177" t="str">
        <f>VLOOKUP(Tabla2[[#This Row],[NIT]],Clientes!A:C,2,0)</f>
        <v>PRODUCTORA INTERAMERICANA DE PLASTICOS S.A.S.</v>
      </c>
      <c r="I366" s="77" t="str">
        <f>VLOOKUP(Tabla2[[#This Row],[NIT]],Clientes!A:C,3,0)</f>
        <v>PJ</v>
      </c>
      <c r="J366" s="77"/>
      <c r="K366" s="267">
        <f>SUMIFS(Tabla4[Sub Total],Tabla4[Codigo],Tabla2[[#This Row],[Cod]])</f>
        <v>300000</v>
      </c>
      <c r="L366" s="262">
        <f>SUMPRODUCT((Tabla4[Codigo]=Tabla2[[#This Row],[Cod]])*1,Tabla4[IVA])</f>
        <v>57000</v>
      </c>
      <c r="M366" s="262">
        <f>SUMIFS(Tabla4[Total],Tabla4[Codigo],Tabla2[[#This Row],[Cod]])</f>
        <v>357000</v>
      </c>
      <c r="N366" s="278">
        <f>SUMPRODUCT((Tabla1[Codigo]=Tabla2[[#This Row],[Cod]])*1,Tabla1[Valor])</f>
        <v>321102</v>
      </c>
      <c r="O366" s="265">
        <f>IF(AND(Tabla2[[#This Row],[Estado]]="ok",LEFT(Tabla2[[#This Row],['# Factura]],3)="TIS"),Tabla2[[#This Row],[TOTAL]]-Tabla2[[#This Row],[pagado]],0)</f>
        <v>0</v>
      </c>
      <c r="P366" s="262">
        <f>Tabla2[[#This Row],[TOTAL]]-Tabla2[[#This Row],[Valor pago]]</f>
        <v>35898</v>
      </c>
      <c r="Q366" s="265">
        <f>IF(Tabla2[[#This Row],[Saldo]]=0,0,IF(Tabla2[[#This Row],[Tipo cliente]]="PJ",Tabla2[[#This Row],[SUBTOTAL]]*11%,0))</f>
        <v>33000</v>
      </c>
      <c r="R366" s="276">
        <f>IF(Tabla2[[#This Row],[Saldo]]=0,0,IF(Tabla2[[#This Row],[Tipo cliente]]="PJ",Tabla2[[#This Row],[SUBTOTAL]]*0.966%,0))</f>
        <v>2898</v>
      </c>
      <c r="S366" s="276">
        <f>IF(Tabla2[[#This Row],[Retiene IVA]]="S",Tabla2[[#This Row],[IVA]]*0.15,0)</f>
        <v>0</v>
      </c>
      <c r="T366" s="265"/>
      <c r="U36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366" s="23">
        <f>IF(Tabla2[[#This Row],[Fecha F.E.]]="","",YEAR(Tabla2[[#This Row],[Fecha F.E.]]))</f>
        <v>2024</v>
      </c>
      <c r="X366" s="23">
        <f>IF(Tabla2[[#This Row],[Fecha]]="","",YEAR(Tabla2[[#This Row],[Fecha]]))</f>
        <v>2024</v>
      </c>
    </row>
    <row r="367" spans="1:24" x14ac:dyDescent="0.25">
      <c r="A367" s="3">
        <v>367</v>
      </c>
      <c r="B367" s="77" t="s">
        <v>1505</v>
      </c>
      <c r="C367" s="360">
        <v>45330</v>
      </c>
      <c r="D367" s="76" t="s">
        <v>1506</v>
      </c>
      <c r="E367" s="360">
        <v>45330</v>
      </c>
      <c r="F367" s="78" t="s">
        <v>231</v>
      </c>
      <c r="G367" s="85">
        <v>901587426</v>
      </c>
      <c r="H367" s="177" t="str">
        <f>VLOOKUP(Tabla2[[#This Row],[NIT]],Clientes!A:C,2,0)</f>
        <v>STAFF SEGUROS AGENCIA LTDA</v>
      </c>
      <c r="I367" s="77" t="str">
        <f>VLOOKUP(Tabla2[[#This Row],[NIT]],Clientes!A:C,3,0)</f>
        <v>PJ</v>
      </c>
      <c r="J367" s="77"/>
      <c r="K367" s="267">
        <f>SUMIFS(Tabla4[Sub Total],Tabla4[Codigo],Tabla2[[#This Row],[Cod]])</f>
        <v>300000</v>
      </c>
      <c r="L367" s="262">
        <f>SUMPRODUCT((Tabla4[Codigo]=Tabla2[[#This Row],[Cod]])*1,Tabla4[IVA])</f>
        <v>57000</v>
      </c>
      <c r="M367" s="262">
        <f>SUMIFS(Tabla4[Total],Tabla4[Codigo],Tabla2[[#This Row],[Cod]])</f>
        <v>357000</v>
      </c>
      <c r="N367" s="278">
        <f>SUMPRODUCT((Tabla1[Codigo]=Tabla2[[#This Row],[Cod]])*1,Tabla1[Valor])</f>
        <v>300000</v>
      </c>
      <c r="O367" s="265">
        <f>IF(AND(Tabla2[[#This Row],[Estado]]="ok",LEFT(Tabla2[[#This Row],['# Factura]],3)="TIS"),Tabla2[[#This Row],[TOTAL]]-Tabla2[[#This Row],[pagado]],0)</f>
        <v>21102</v>
      </c>
      <c r="P367" s="262">
        <f>Tabla2[[#This Row],[TOTAL]]-Tabla2[[#This Row],[Valor pago]]</f>
        <v>57000</v>
      </c>
      <c r="Q367" s="265">
        <f>IF(Tabla2[[#This Row],[Saldo]]=0,0,IF(Tabla2[[#This Row],[Tipo cliente]]="PJ",Tabla2[[#This Row],[SUBTOTAL]]*11%,0))</f>
        <v>33000</v>
      </c>
      <c r="R367" s="276">
        <f>IF(Tabla2[[#This Row],[Saldo]]=0,0,IF(Tabla2[[#This Row],[Tipo cliente]]="PJ",Tabla2[[#This Row],[SUBTOTAL]]*0.966%,0))</f>
        <v>2898</v>
      </c>
      <c r="S367" s="276">
        <f>IF(Tabla2[[#This Row],[Retiene IVA]]="S",Tabla2[[#This Row],[IVA]]*0.15,0)</f>
        <v>0</v>
      </c>
      <c r="T367" s="265"/>
      <c r="U36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335898</v>
      </c>
      <c r="W367" s="23">
        <f>IF(Tabla2[[#This Row],[Fecha F.E.]]="","",YEAR(Tabla2[[#This Row],[Fecha F.E.]]))</f>
        <v>2024</v>
      </c>
      <c r="X367" s="23">
        <f>IF(Tabla2[[#This Row],[Fecha]]="","",YEAR(Tabla2[[#This Row],[Fecha]]))</f>
        <v>2024</v>
      </c>
    </row>
    <row r="368" spans="1:24" x14ac:dyDescent="0.25">
      <c r="A368" s="3">
        <v>368</v>
      </c>
      <c r="B368" s="77" t="s">
        <v>1507</v>
      </c>
      <c r="C368" s="360">
        <v>45330</v>
      </c>
      <c r="D368" s="76" t="s">
        <v>1508</v>
      </c>
      <c r="E368" s="360">
        <v>45330</v>
      </c>
      <c r="F368" s="78" t="s">
        <v>231</v>
      </c>
      <c r="G368" s="85">
        <v>900505660</v>
      </c>
      <c r="H368" s="177" t="str">
        <f>VLOOKUP(Tabla2[[#This Row],[NIT]],Clientes!A:C,2,0)</f>
        <v>DIGITAL MEDIA TECHNOLOGIES COLOMBIA SAS</v>
      </c>
      <c r="I368" s="77" t="str">
        <f>VLOOKUP(Tabla2[[#This Row],[NIT]],Clientes!A:C,3,0)</f>
        <v>PJ</v>
      </c>
      <c r="J368" s="77"/>
      <c r="K368" s="267">
        <f>SUMIFS(Tabla4[Sub Total],Tabla4[Codigo],Tabla2[[#This Row],[Cod]])</f>
        <v>250000</v>
      </c>
      <c r="L368" s="262">
        <f>SUMPRODUCT((Tabla4[Codigo]=Tabla2[[#This Row],[Cod]])*1,Tabla4[IVA])</f>
        <v>47500</v>
      </c>
      <c r="M368" s="262">
        <f>SUMIFS(Tabla4[Total],Tabla4[Codigo],Tabla2[[#This Row],[Cod]])</f>
        <v>297500</v>
      </c>
      <c r="N368" s="278">
        <f>SUMPRODUCT((Tabla1[Codigo]=Tabla2[[#This Row],[Cod]])*1,Tabla1[Valor])</f>
        <v>270000</v>
      </c>
      <c r="O368" s="265">
        <f>IF(AND(Tabla2[[#This Row],[Estado]]="ok",LEFT(Tabla2[[#This Row],['# Factura]],3)="TIS"),Tabla2[[#This Row],[TOTAL]]-Tabla2[[#This Row],[pagado]],0)</f>
        <v>-2415</v>
      </c>
      <c r="P368" s="262">
        <f>Tabla2[[#This Row],[TOTAL]]-Tabla2[[#This Row],[Valor pago]]</f>
        <v>27500</v>
      </c>
      <c r="Q368" s="265">
        <f>IF(Tabla2[[#This Row],[Saldo]]=0,0,IF(Tabla2[[#This Row],[Tipo cliente]]="PJ",Tabla2[[#This Row],[SUBTOTAL]]*11%,0))</f>
        <v>27500</v>
      </c>
      <c r="R368" s="276">
        <f>IF(Tabla2[[#This Row],[Saldo]]=0,0,IF(Tabla2[[#This Row],[Tipo cliente]]="PJ",Tabla2[[#This Row],[SUBTOTAL]]*0.966%,0))</f>
        <v>2415</v>
      </c>
      <c r="S368" s="276">
        <f>IF(Tabla2[[#This Row],[Retiene IVA]]="S",Tabla2[[#This Row],[IVA]]*0.15,0)</f>
        <v>0</v>
      </c>
      <c r="T368" s="265"/>
      <c r="U36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299915</v>
      </c>
      <c r="W368" s="23">
        <f>IF(Tabla2[[#This Row],[Fecha F.E.]]="","",YEAR(Tabla2[[#This Row],[Fecha F.E.]]))</f>
        <v>2024</v>
      </c>
      <c r="X368" s="23">
        <f>IF(Tabla2[[#This Row],[Fecha]]="","",YEAR(Tabla2[[#This Row],[Fecha]]))</f>
        <v>2024</v>
      </c>
    </row>
    <row r="369" spans="1:24" x14ac:dyDescent="0.25">
      <c r="A369" s="3">
        <v>369</v>
      </c>
      <c r="B369" s="77" t="s">
        <v>1509</v>
      </c>
      <c r="C369" s="360">
        <v>45330</v>
      </c>
      <c r="D369" s="76" t="s">
        <v>1510</v>
      </c>
      <c r="E369" s="360">
        <v>45330</v>
      </c>
      <c r="F369" s="78" t="s">
        <v>231</v>
      </c>
      <c r="G369" s="85">
        <v>901588265</v>
      </c>
      <c r="H369" s="177" t="str">
        <f>VLOOKUP(Tabla2[[#This Row],[NIT]],Clientes!A:C,2,0)</f>
        <v>GENUINE TECH SAS</v>
      </c>
      <c r="I369" s="77" t="str">
        <f>VLOOKUP(Tabla2[[#This Row],[NIT]],Clientes!A:C,3,0)</f>
        <v>PJ</v>
      </c>
      <c r="J369" s="77"/>
      <c r="K369" s="267">
        <f>SUMIFS(Tabla4[Sub Total],Tabla4[Codigo],Tabla2[[#This Row],[Cod]])</f>
        <v>545454</v>
      </c>
      <c r="L369" s="262">
        <f>SUMPRODUCT((Tabla4[Codigo]=Tabla2[[#This Row],[Cod]])*1,Tabla4[IVA])</f>
        <v>103636.26</v>
      </c>
      <c r="M369" s="262">
        <f>SUMIFS(Tabla4[Total],Tabla4[Codigo],Tabla2[[#This Row],[Cod]])</f>
        <v>649090.26</v>
      </c>
      <c r="N369" s="278">
        <f>SUMPRODUCT((Tabla1[Codigo]=Tabla2[[#This Row],[Cod]])*1,Tabla1[Valor])</f>
        <v>622003</v>
      </c>
      <c r="O369" s="265">
        <f>IF(AND(Tabla2[[#This Row],[Estado]]="ok",LEFT(Tabla2[[#This Row],['# Factura]],3)="TIS"),Tabla2[[#This Row],[TOTAL]]-Tabla2[[#This Row],[pagado]],0)</f>
        <v>-38181.765639999881</v>
      </c>
      <c r="P369" s="262">
        <f>Tabla2[[#This Row],[TOTAL]]-Tabla2[[#This Row],[Valor pago]]</f>
        <v>27087.260000000009</v>
      </c>
      <c r="Q369" s="265">
        <f>IF(Tabla2[[#This Row],[Saldo]]=0,0,IF(Tabla2[[#This Row],[Tipo cliente]]="PJ",Tabla2[[#This Row],[SUBTOTAL]]*11%,0))</f>
        <v>59999.94</v>
      </c>
      <c r="R369" s="276">
        <f>IF(Tabla2[[#This Row],[Saldo]]=0,0,IF(Tabla2[[#This Row],[Tipo cliente]]="PJ",Tabla2[[#This Row],[SUBTOTAL]]*0.966%,0))</f>
        <v>5269.0856400000002</v>
      </c>
      <c r="S369" s="276">
        <f>IF(Tabla2[[#This Row],[Retiene IVA]]="S",Tabla2[[#This Row],[IVA]]*0.15,0)</f>
        <v>0</v>
      </c>
      <c r="T369" s="265"/>
      <c r="U36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687272.02563999989</v>
      </c>
      <c r="W369" s="23">
        <f>IF(Tabla2[[#This Row],[Fecha F.E.]]="","",YEAR(Tabla2[[#This Row],[Fecha F.E.]]))</f>
        <v>2024</v>
      </c>
      <c r="X369" s="23">
        <f>IF(Tabla2[[#This Row],[Fecha]]="","",YEAR(Tabla2[[#This Row],[Fecha]]))</f>
        <v>2024</v>
      </c>
    </row>
    <row r="370" spans="1:24" x14ac:dyDescent="0.25">
      <c r="A370" s="3">
        <v>370</v>
      </c>
      <c r="B370" s="77" t="s">
        <v>1511</v>
      </c>
      <c r="C370" s="360">
        <v>45330</v>
      </c>
      <c r="D370" s="76" t="s">
        <v>1512</v>
      </c>
      <c r="E370" s="360">
        <v>45330</v>
      </c>
      <c r="F370" s="78" t="s">
        <v>231</v>
      </c>
      <c r="G370" s="85">
        <v>901342609</v>
      </c>
      <c r="H370" s="177" t="str">
        <f>VLOOKUP(Tabla2[[#This Row],[NIT]],Clientes!A:C,2,0)</f>
        <v>ROYCO SOLUCIONES SAS</v>
      </c>
      <c r="I370" s="77" t="str">
        <f>VLOOKUP(Tabla2[[#This Row],[NIT]],Clientes!A:C,3,0)</f>
        <v>PJ</v>
      </c>
      <c r="J370" s="77"/>
      <c r="K370" s="267">
        <f>SUMIFS(Tabla4[Sub Total],Tabla4[Codigo],Tabla2[[#This Row],[Cod]])</f>
        <v>175000</v>
      </c>
      <c r="L370" s="262">
        <f>SUMPRODUCT((Tabla4[Codigo]=Tabla2[[#This Row],[Cod]])*1,Tabla4[IVA])</f>
        <v>33250</v>
      </c>
      <c r="M370" s="262">
        <f>SUMIFS(Tabla4[Total],Tabla4[Codigo],Tabla2[[#This Row],[Cod]])</f>
        <v>208250</v>
      </c>
      <c r="N370" s="278">
        <f>SUMPRODUCT((Tabla1[Codigo]=Tabla2[[#This Row],[Cod]])*1,Tabla1[Valor])</f>
        <v>201250</v>
      </c>
      <c r="O370" s="265">
        <f>IF(AND(Tabla2[[#This Row],[Estado]]="ok",LEFT(Tabla2[[#This Row],['# Factura]],3)="TIS"),Tabla2[[#This Row],[TOTAL]]-Tabla2[[#This Row],[pagado]],0)</f>
        <v>-13940.5</v>
      </c>
      <c r="P370" s="262">
        <f>Tabla2[[#This Row],[TOTAL]]-Tabla2[[#This Row],[Valor pago]]</f>
        <v>7000</v>
      </c>
      <c r="Q370" s="265">
        <f>IF(Tabla2[[#This Row],[Saldo]]=0,0,IF(Tabla2[[#This Row],[Tipo cliente]]="PJ",Tabla2[[#This Row],[SUBTOTAL]]*11%,0))</f>
        <v>19250</v>
      </c>
      <c r="R370" s="276">
        <f>IF(Tabla2[[#This Row],[Saldo]]=0,0,IF(Tabla2[[#This Row],[Tipo cliente]]="PJ",Tabla2[[#This Row],[SUBTOTAL]]*0.966%,0))</f>
        <v>1690.5</v>
      </c>
      <c r="S370" s="276">
        <f>IF(Tabla2[[#This Row],[Retiene IVA]]="S",Tabla2[[#This Row],[IVA]]*0.15,0)</f>
        <v>0</v>
      </c>
      <c r="T370" s="265"/>
      <c r="U37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222190.5</v>
      </c>
      <c r="W370" s="23">
        <f>IF(Tabla2[[#This Row],[Fecha F.E.]]="","",YEAR(Tabla2[[#This Row],[Fecha F.E.]]))</f>
        <v>2024</v>
      </c>
      <c r="X370" s="23">
        <f>IF(Tabla2[[#This Row],[Fecha]]="","",YEAR(Tabla2[[#This Row],[Fecha]]))</f>
        <v>2024</v>
      </c>
    </row>
    <row r="371" spans="1:24" x14ac:dyDescent="0.25">
      <c r="A371" s="3">
        <v>371</v>
      </c>
      <c r="B371" s="77" t="s">
        <v>1513</v>
      </c>
      <c r="C371" s="360">
        <v>45330</v>
      </c>
      <c r="D371" s="76" t="s">
        <v>1514</v>
      </c>
      <c r="E371" s="360">
        <v>45330</v>
      </c>
      <c r="F371" s="78" t="s">
        <v>231</v>
      </c>
      <c r="G371" s="85">
        <v>901030518</v>
      </c>
      <c r="H371" s="177" t="str">
        <f>VLOOKUP(Tabla2[[#This Row],[NIT]],Clientes!A:C,2,0)</f>
        <v>Inversiones Sajamib SAS</v>
      </c>
      <c r="I371" s="77" t="str">
        <f>VLOOKUP(Tabla2[[#This Row],[NIT]],Clientes!A:C,3,0)</f>
        <v>PJ</v>
      </c>
      <c r="J371" s="77"/>
      <c r="K371" s="267">
        <f>SUMIFS(Tabla4[Sub Total],Tabla4[Codigo],Tabla2[[#This Row],[Cod]])</f>
        <v>400000</v>
      </c>
      <c r="L371" s="262">
        <f>SUMPRODUCT((Tabla4[Codigo]=Tabla2[[#This Row],[Cod]])*1,Tabla4[IVA])</f>
        <v>0</v>
      </c>
      <c r="M371" s="262">
        <f>SUMIFS(Tabla4[Total],Tabla4[Codigo],Tabla2[[#This Row],[Cod]])</f>
        <v>400000</v>
      </c>
      <c r="N371" s="278">
        <f>SUMPRODUCT((Tabla1[Codigo]=Tabla2[[#This Row],[Cod]])*1,Tabla1[Valor])</f>
        <v>400000</v>
      </c>
      <c r="O371" s="265">
        <f>IF(AND(Tabla2[[#This Row],[Estado]]="ok",LEFT(Tabla2[[#This Row],['# Factura]],3)="TIS"),Tabla2[[#This Row],[TOTAL]]-Tabla2[[#This Row],[pagado]],0)</f>
        <v>0</v>
      </c>
      <c r="P371" s="262">
        <f>Tabla2[[#This Row],[TOTAL]]-Tabla2[[#This Row],[Valor pago]]</f>
        <v>0</v>
      </c>
      <c r="Q371" s="265">
        <f>IF(Tabla2[[#This Row],[Saldo]]=0,0,IF(Tabla2[[#This Row],[Tipo cliente]]="PJ",Tabla2[[#This Row],[SUBTOTAL]]*11%,0))</f>
        <v>0</v>
      </c>
      <c r="R371" s="276">
        <f>IF(Tabla2[[#This Row],[Saldo]]=0,0,IF(Tabla2[[#This Row],[Tipo cliente]]="PJ",Tabla2[[#This Row],[SUBTOTAL]]*0.966%,0))</f>
        <v>0</v>
      </c>
      <c r="S371" s="276">
        <f>IF(Tabla2[[#This Row],[Retiene IVA]]="S",Tabla2[[#This Row],[IVA]]*0.15,0)</f>
        <v>0</v>
      </c>
      <c r="T371" s="265"/>
      <c r="U37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371" s="23">
        <f>IF(Tabla2[[#This Row],[Fecha F.E.]]="","",YEAR(Tabla2[[#This Row],[Fecha F.E.]]))</f>
        <v>2024</v>
      </c>
      <c r="X371" s="23">
        <f>IF(Tabla2[[#This Row],[Fecha]]="","",YEAR(Tabla2[[#This Row],[Fecha]]))</f>
        <v>2024</v>
      </c>
    </row>
    <row r="372" spans="1:24" ht="26.25" x14ac:dyDescent="0.25">
      <c r="A372" s="3">
        <v>372</v>
      </c>
      <c r="B372" s="77" t="s">
        <v>1515</v>
      </c>
      <c r="C372" s="360">
        <v>45338</v>
      </c>
      <c r="D372" s="76" t="s">
        <v>1516</v>
      </c>
      <c r="E372" s="360">
        <v>45338</v>
      </c>
      <c r="F372" s="78" t="s">
        <v>231</v>
      </c>
      <c r="G372" s="85">
        <v>860009161</v>
      </c>
      <c r="H372" s="177" t="str">
        <f>VLOOKUP(Tabla2[[#This Row],[NIT]],Clientes!A:C,2,0)</f>
        <v>FEDERACION NACIONAL DE COMERCIANTES FENALCO SECCIONAL BOGOTA CUNDINAMARCA</v>
      </c>
      <c r="I372" s="77" t="str">
        <f>VLOOKUP(Tabla2[[#This Row],[NIT]],Clientes!A:C,3,0)</f>
        <v>PJ</v>
      </c>
      <c r="J372" s="77"/>
      <c r="K372" s="267">
        <f>SUMIFS(Tabla4[Sub Total],Tabla4[Codigo],Tabla2[[#This Row],[Cod]])</f>
        <v>1620000</v>
      </c>
      <c r="L372" s="262">
        <f>SUMPRODUCT((Tabla4[Codigo]=Tabla2[[#This Row],[Cod]])*1,Tabla4[IVA])</f>
        <v>307800</v>
      </c>
      <c r="M372" s="262">
        <f>SUMIFS(Tabla4[Total],Tabla4[Codigo],Tabla2[[#This Row],[Cod]])</f>
        <v>1927800</v>
      </c>
      <c r="N372" s="278">
        <f>SUMPRODUCT((Tabla1[Codigo]=Tabla2[[#This Row],[Cod]])*1,Tabla1[Valor])</f>
        <v>1735571</v>
      </c>
      <c r="O372" s="265">
        <f>IF(AND(Tabla2[[#This Row],[Estado]]="ok",LEFT(Tabla2[[#This Row],['# Factura]],3)="TIS"),Tabla2[[#This Row],[TOTAL]]-Tabla2[[#This Row],[pagado]],0)</f>
        <v>-1620.1999999999534</v>
      </c>
      <c r="P372" s="262">
        <f>Tabla2[[#This Row],[TOTAL]]-Tabla2[[#This Row],[Valor pago]]</f>
        <v>192229</v>
      </c>
      <c r="Q372" s="265">
        <f>IF(Tabla2[[#This Row],[Saldo]]=0,0,IF(Tabla2[[#This Row],[Tipo cliente]]="PJ",Tabla2[[#This Row],[SUBTOTAL]]*11%,0))</f>
        <v>178200</v>
      </c>
      <c r="R372" s="276">
        <f>IF(Tabla2[[#This Row],[Saldo]]=0,0,IF(Tabla2[[#This Row],[Tipo cliente]]="PJ",Tabla2[[#This Row],[SUBTOTAL]]*0.966%,0))</f>
        <v>15649.2</v>
      </c>
      <c r="S372" s="276">
        <f>IF(Tabla2[[#This Row],[Retiene IVA]]="S",Tabla2[[#This Row],[IVA]]*0.15,0)</f>
        <v>0</v>
      </c>
      <c r="T372" s="265"/>
      <c r="U37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1929420.2</v>
      </c>
      <c r="W372" s="23">
        <f>IF(Tabla2[[#This Row],[Fecha F.E.]]="","",YEAR(Tabla2[[#This Row],[Fecha F.E.]]))</f>
        <v>2024</v>
      </c>
      <c r="X372" s="23">
        <f>IF(Tabla2[[#This Row],[Fecha]]="","",YEAR(Tabla2[[#This Row],[Fecha]]))</f>
        <v>2024</v>
      </c>
    </row>
    <row r="373" spans="1:24" x14ac:dyDescent="0.25">
      <c r="A373" s="3">
        <v>373</v>
      </c>
      <c r="B373" s="77" t="s">
        <v>1517</v>
      </c>
      <c r="C373" s="360">
        <v>45345</v>
      </c>
      <c r="D373" s="76" t="s">
        <v>1518</v>
      </c>
      <c r="E373" s="360">
        <v>45345</v>
      </c>
      <c r="F373" s="78" t="s">
        <v>231</v>
      </c>
      <c r="G373" s="85">
        <v>900249638</v>
      </c>
      <c r="H373" s="177" t="str">
        <f>VLOOKUP(Tabla2[[#This Row],[NIT]],Clientes!A:C,2,0)</f>
        <v>Soluciones Avanzadas de Ingeniería SAS</v>
      </c>
      <c r="I373" s="77" t="str">
        <f>VLOOKUP(Tabla2[[#This Row],[NIT]],Clientes!A:C,3,0)</f>
        <v>PJ</v>
      </c>
      <c r="J373" s="77"/>
      <c r="K373" s="267">
        <f>SUMIFS(Tabla4[Sub Total],Tabla4[Codigo],Tabla2[[#This Row],[Cod]])</f>
        <v>304000</v>
      </c>
      <c r="L373" s="262">
        <f>SUMPRODUCT((Tabla4[Codigo]=Tabla2[[#This Row],[Cod]])*1,Tabla4[IVA])</f>
        <v>115520</v>
      </c>
      <c r="M373" s="262">
        <f>SUMIFS(Tabla4[Total],Tabla4[Codigo],Tabla2[[#This Row],[Cod]])</f>
        <v>419520</v>
      </c>
      <c r="N373" s="278">
        <f>SUMPRODUCT((Tabla1[Codigo]=Tabla2[[#This Row],[Cod]])*1,Tabla1[Valor])</f>
        <v>693935</v>
      </c>
      <c r="O373" s="265">
        <f>IF(AND(Tabla2[[#This Row],[Estado]]="ok",LEFT(Tabla2[[#This Row],['# Factura]],3)="TIS"),Tabla2[[#This Row],[TOTAL]]-Tabla2[[#This Row],[pagado]],0)</f>
        <v>-310791.64</v>
      </c>
      <c r="P373" s="262">
        <f>Tabla2[[#This Row],[TOTAL]]-Tabla2[[#This Row],[Valor pago]]</f>
        <v>-274415</v>
      </c>
      <c r="Q373" s="265">
        <f>IF(Tabla2[[#This Row],[Saldo]]=0,0,IF(Tabla2[[#This Row],[Tipo cliente]]="PJ",Tabla2[[#This Row],[SUBTOTAL]]*11%,0))</f>
        <v>33440</v>
      </c>
      <c r="R373" s="276">
        <f>IF(Tabla2[[#This Row],[Saldo]]=0,0,IF(Tabla2[[#This Row],[Tipo cliente]]="PJ",Tabla2[[#This Row],[SUBTOTAL]]*0.966%,0))</f>
        <v>2936.64</v>
      </c>
      <c r="S373" s="276">
        <f>IF(Tabla2[[#This Row],[Retiene IVA]]="S",Tabla2[[#This Row],[IVA]]*0.15,0)</f>
        <v>0</v>
      </c>
      <c r="T373" s="265"/>
      <c r="U37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730311.64</v>
      </c>
      <c r="W373" s="23">
        <f>IF(Tabla2[[#This Row],[Fecha F.E.]]="","",YEAR(Tabla2[[#This Row],[Fecha F.E.]]))</f>
        <v>2024</v>
      </c>
      <c r="X373" s="23">
        <f>IF(Tabla2[[#This Row],[Fecha]]="","",YEAR(Tabla2[[#This Row],[Fecha]]))</f>
        <v>2024</v>
      </c>
    </row>
    <row r="374" spans="1:24" x14ac:dyDescent="0.25">
      <c r="A374" s="3">
        <v>374</v>
      </c>
      <c r="B374" s="77" t="s">
        <v>1519</v>
      </c>
      <c r="C374" s="360">
        <v>45350</v>
      </c>
      <c r="D374" s="76" t="s">
        <v>1520</v>
      </c>
      <c r="E374" s="360">
        <v>45350</v>
      </c>
      <c r="F374" s="78" t="s">
        <v>231</v>
      </c>
      <c r="G374" s="85">
        <v>830031255</v>
      </c>
      <c r="H374" s="177" t="str">
        <f>VLOOKUP(Tabla2[[#This Row],[NIT]],Clientes!A:C,2,0)</f>
        <v>GB BARRETO Y CIA LTDA - ASESORES DE SEGUROS</v>
      </c>
      <c r="I374" s="77" t="str">
        <f>VLOOKUP(Tabla2[[#This Row],[NIT]],Clientes!A:C,3,0)</f>
        <v>PJ</v>
      </c>
      <c r="J374" s="77"/>
      <c r="K374" s="267">
        <f>SUMIFS(Tabla4[Sub Total],Tabla4[Codigo],Tabla2[[#This Row],[Cod]])</f>
        <v>600000</v>
      </c>
      <c r="L374" s="262">
        <f>SUMPRODUCT((Tabla4[Codigo]=Tabla2[[#This Row],[Cod]])*1,Tabla4[IVA])</f>
        <v>114000</v>
      </c>
      <c r="M374" s="262">
        <f>SUMIFS(Tabla4[Total],Tabla4[Codigo],Tabla2[[#This Row],[Cod]])</f>
        <v>714000</v>
      </c>
      <c r="N374" s="278">
        <f>SUMPRODUCT((Tabla1[Codigo]=Tabla2[[#This Row],[Cod]])*1,Tabla1[Valor])</f>
        <v>714000</v>
      </c>
      <c r="O374" s="265">
        <f>IF(AND(Tabla2[[#This Row],[Estado]]="ok",LEFT(Tabla2[[#This Row],['# Factura]],3)="TIS"),Tabla2[[#This Row],[TOTAL]]-Tabla2[[#This Row],[pagado]],0)</f>
        <v>0</v>
      </c>
      <c r="P374" s="262">
        <f>Tabla2[[#This Row],[TOTAL]]-Tabla2[[#This Row],[Valor pago]]</f>
        <v>0</v>
      </c>
      <c r="Q374" s="265">
        <f>IF(Tabla2[[#This Row],[Saldo]]=0,0,IF(Tabla2[[#This Row],[Tipo cliente]]="PJ",Tabla2[[#This Row],[SUBTOTAL]]*11%,0))</f>
        <v>0</v>
      </c>
      <c r="R374" s="276">
        <f>IF(Tabla2[[#This Row],[Saldo]]=0,0,IF(Tabla2[[#This Row],[Tipo cliente]]="PJ",Tabla2[[#This Row],[SUBTOTAL]]*0.966%,0))</f>
        <v>0</v>
      </c>
      <c r="S374" s="276">
        <f>IF(Tabla2[[#This Row],[Retiene IVA]]="S",Tabla2[[#This Row],[IVA]]*0.15,0)</f>
        <v>0</v>
      </c>
      <c r="T374" s="265"/>
      <c r="U37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714000</v>
      </c>
      <c r="W374" s="23">
        <f>IF(Tabla2[[#This Row],[Fecha F.E.]]="","",YEAR(Tabla2[[#This Row],[Fecha F.E.]]))</f>
        <v>2024</v>
      </c>
      <c r="X374" s="23">
        <f>IF(Tabla2[[#This Row],[Fecha]]="","",YEAR(Tabla2[[#This Row],[Fecha]]))</f>
        <v>2024</v>
      </c>
    </row>
    <row r="375" spans="1:24" x14ac:dyDescent="0.25">
      <c r="A375" s="3">
        <v>375</v>
      </c>
      <c r="B375" s="77" t="s">
        <v>1521</v>
      </c>
      <c r="C375" s="360">
        <v>45355</v>
      </c>
      <c r="D375" s="76" t="s">
        <v>1522</v>
      </c>
      <c r="E375" s="360">
        <v>45355</v>
      </c>
      <c r="F375" s="78" t="s">
        <v>231</v>
      </c>
      <c r="G375" s="85">
        <v>900607758</v>
      </c>
      <c r="H375" s="177" t="str">
        <f>VLOOKUP(Tabla2[[#This Row],[NIT]],Clientes!A:C,2,0)</f>
        <v>FRIGOTAURUS SAS</v>
      </c>
      <c r="I375" s="77" t="str">
        <f>VLOOKUP(Tabla2[[#This Row],[NIT]],Clientes!A:C,3,0)</f>
        <v>PJ</v>
      </c>
      <c r="J375" s="77"/>
      <c r="K375" s="267">
        <f>SUMIFS(Tabla4[Sub Total],Tabla4[Codigo],Tabla2[[#This Row],[Cod]])</f>
        <v>1750000</v>
      </c>
      <c r="L375" s="262">
        <f>SUMPRODUCT((Tabla4[Codigo]=Tabla2[[#This Row],[Cod]])*1,Tabla4[IVA])</f>
        <v>332500</v>
      </c>
      <c r="M375" s="262">
        <f>SUMIFS(Tabla4[Total],Tabla4[Codigo],Tabla2[[#This Row],[Cod]])</f>
        <v>2082500</v>
      </c>
      <c r="N375" s="278">
        <f>SUMPRODUCT((Tabla1[Codigo]=Tabla2[[#This Row],[Cod]])*1,Tabla1[Valor])</f>
        <v>2012500</v>
      </c>
      <c r="O375" s="265">
        <f>IF(AND(Tabla2[[#This Row],[Estado]]="ok",LEFT(Tabla2[[#This Row],['# Factura]],3)="TIS"),Tabla2[[#This Row],[TOTAL]]-Tabla2[[#This Row],[pagado]],0)</f>
        <v>-139405</v>
      </c>
      <c r="P375" s="262">
        <f>Tabla2[[#This Row],[TOTAL]]-Tabla2[[#This Row],[Valor pago]]</f>
        <v>70000</v>
      </c>
      <c r="Q375" s="265">
        <f>IF(Tabla2[[#This Row],[Saldo]]=0,0,IF(Tabla2[[#This Row],[Tipo cliente]]="PJ",Tabla2[[#This Row],[SUBTOTAL]]*11%,0))</f>
        <v>192500</v>
      </c>
      <c r="R375" s="276">
        <f>IF(Tabla2[[#This Row],[Saldo]]=0,0,IF(Tabla2[[#This Row],[Tipo cliente]]="PJ",Tabla2[[#This Row],[SUBTOTAL]]*0.966%,0))</f>
        <v>16905</v>
      </c>
      <c r="S375" s="276">
        <f>IF(Tabla2[[#This Row],[Retiene IVA]]="S",Tabla2[[#This Row],[IVA]]*0.15,0)</f>
        <v>0</v>
      </c>
      <c r="T375" s="265"/>
      <c r="U37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2221905</v>
      </c>
      <c r="W375" s="23">
        <f>IF(Tabla2[[#This Row],[Fecha F.E.]]="","",YEAR(Tabla2[[#This Row],[Fecha F.E.]]))</f>
        <v>2024</v>
      </c>
      <c r="X375" s="23">
        <f>IF(Tabla2[[#This Row],[Fecha]]="","",YEAR(Tabla2[[#This Row],[Fecha]]))</f>
        <v>2024</v>
      </c>
    </row>
    <row r="376" spans="1:24" x14ac:dyDescent="0.25">
      <c r="A376" s="3">
        <v>376</v>
      </c>
      <c r="B376" s="77" t="s">
        <v>1523</v>
      </c>
      <c r="C376" s="360">
        <v>45362</v>
      </c>
      <c r="D376" s="76" t="s">
        <v>1524</v>
      </c>
      <c r="E376" s="360">
        <v>45362</v>
      </c>
      <c r="F376" s="78" t="s">
        <v>231</v>
      </c>
      <c r="G376" s="85">
        <v>830033212</v>
      </c>
      <c r="H376" s="177" t="str">
        <f>VLOOKUP(Tabla2[[#This Row],[NIT]],Clientes!A:C,2,0)</f>
        <v>HUTERCOL S.A.S.</v>
      </c>
      <c r="I376" s="77" t="str">
        <f>VLOOKUP(Tabla2[[#This Row],[NIT]],Clientes!A:C,3,0)</f>
        <v>PJ</v>
      </c>
      <c r="J376" s="77"/>
      <c r="K376" s="267">
        <f>SUMIFS(Tabla4[Sub Total],Tabla4[Codigo],Tabla2[[#This Row],[Cod]])</f>
        <v>1350000</v>
      </c>
      <c r="L376" s="262">
        <f>SUMPRODUCT((Tabla4[Codigo]=Tabla2[[#This Row],[Cod]])*1,Tabla4[IVA])</f>
        <v>256500</v>
      </c>
      <c r="M376" s="262">
        <f>SUMIFS(Tabla4[Total],Tabla4[Codigo],Tabla2[[#This Row],[Cod]])</f>
        <v>1606500</v>
      </c>
      <c r="N376" s="278">
        <f>SUMPRODUCT((Tabla1[Codigo]=Tabla2[[#This Row],[Cod]])*1,Tabla1[Valor])</f>
        <v>1448550</v>
      </c>
      <c r="O376" s="265">
        <f>IF(AND(Tabla2[[#This Row],[Estado]]="ok",LEFT(Tabla2[[#This Row],['# Factura]],3)="TIS"),Tabla2[[#This Row],[TOTAL]]-Tabla2[[#This Row],[pagado]],0)</f>
        <v>-3591</v>
      </c>
      <c r="P376" s="262">
        <f>Tabla2[[#This Row],[TOTAL]]-Tabla2[[#This Row],[Valor pago]]</f>
        <v>157950</v>
      </c>
      <c r="Q376" s="265">
        <f>IF(Tabla2[[#This Row],[Saldo]]=0,0,IF(Tabla2[[#This Row],[Tipo cliente]]="PJ",Tabla2[[#This Row],[SUBTOTAL]]*11%,0))</f>
        <v>148500</v>
      </c>
      <c r="R376" s="276">
        <f>IF(Tabla2[[#This Row],[Saldo]]=0,0,IF(Tabla2[[#This Row],[Tipo cliente]]="PJ",Tabla2[[#This Row],[SUBTOTAL]]*0.966%,0))</f>
        <v>13041</v>
      </c>
      <c r="S376" s="276">
        <f>IF(Tabla2[[#This Row],[Retiene IVA]]="S",Tabla2[[#This Row],[IVA]]*0.15,0)</f>
        <v>0</v>
      </c>
      <c r="T376" s="265"/>
      <c r="U37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1610091</v>
      </c>
      <c r="W376" s="23">
        <f>IF(Tabla2[[#This Row],[Fecha F.E.]]="","",YEAR(Tabla2[[#This Row],[Fecha F.E.]]))</f>
        <v>2024</v>
      </c>
      <c r="X376" s="23">
        <f>IF(Tabla2[[#This Row],[Fecha]]="","",YEAR(Tabla2[[#This Row],[Fecha]]))</f>
        <v>2024</v>
      </c>
    </row>
    <row r="377" spans="1:24" x14ac:dyDescent="0.25">
      <c r="A377" s="3">
        <v>377</v>
      </c>
      <c r="B377" s="77" t="s">
        <v>1525</v>
      </c>
      <c r="C377" s="360">
        <f>+E377</f>
        <v>45363</v>
      </c>
      <c r="D377" s="76" t="s">
        <v>1526</v>
      </c>
      <c r="E377" s="360">
        <v>45363</v>
      </c>
      <c r="F377" s="78" t="s">
        <v>231</v>
      </c>
      <c r="G377" s="85">
        <v>830110907</v>
      </c>
      <c r="H377" s="177" t="str">
        <f>VLOOKUP(Tabla2[[#This Row],[NIT]],Clientes!A:C,2,0)</f>
        <v>ANTIADHERENTES Y MAQUINADOS ARIZAS SAS</v>
      </c>
      <c r="I377" s="77" t="str">
        <f>VLOOKUP(Tabla2[[#This Row],[NIT]],Clientes!A:C,3,0)</f>
        <v>PJ</v>
      </c>
      <c r="J377" s="77"/>
      <c r="K377" s="267">
        <f>SUMIFS(Tabla4[Sub Total],Tabla4[Codigo],Tabla2[[#This Row],[Cod]])</f>
        <v>2700000</v>
      </c>
      <c r="L377" s="262">
        <f>SUMPRODUCT((Tabla4[Codigo]=Tabla2[[#This Row],[Cod]])*1,Tabla4[IVA])</f>
        <v>513000</v>
      </c>
      <c r="M377" s="262">
        <f>SUMIFS(Tabla4[Total],Tabla4[Codigo],Tabla2[[#This Row],[Cod]])</f>
        <v>3213000</v>
      </c>
      <c r="N377" s="278">
        <f>SUMPRODUCT((Tabla1[Codigo]=Tabla2[[#This Row],[Cod]])*1,Tabla1[Valor])</f>
        <v>3213000</v>
      </c>
      <c r="O377" s="265">
        <f>IF(AND(Tabla2[[#This Row],[Estado]]="ok",LEFT(Tabla2[[#This Row],['# Factura]],3)="TIS"),Tabla2[[#This Row],[TOTAL]]-Tabla2[[#This Row],[pagado]],0)</f>
        <v>0</v>
      </c>
      <c r="P377" s="262">
        <f>Tabla2[[#This Row],[TOTAL]]-Tabla2[[#This Row],[Valor pago]]</f>
        <v>0</v>
      </c>
      <c r="Q377" s="265">
        <f>IF(Tabla2[[#This Row],[Saldo]]=0,0,IF(Tabla2[[#This Row],[Tipo cliente]]="PJ",Tabla2[[#This Row],[SUBTOTAL]]*11%,0))</f>
        <v>0</v>
      </c>
      <c r="R377" s="276">
        <f>IF(Tabla2[[#This Row],[Saldo]]=0,0,IF(Tabla2[[#This Row],[Tipo cliente]]="PJ",Tabla2[[#This Row],[SUBTOTAL]]*0.966%,0))</f>
        <v>0</v>
      </c>
      <c r="S377" s="276">
        <f>IF(Tabla2[[#This Row],[Retiene IVA]]="S",Tabla2[[#This Row],[IVA]]*0.15,0)</f>
        <v>0</v>
      </c>
      <c r="T377" s="265"/>
      <c r="U37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3213000</v>
      </c>
      <c r="W377" s="23">
        <f>IF(Tabla2[[#This Row],[Fecha F.E.]]="","",YEAR(Tabla2[[#This Row],[Fecha F.E.]]))</f>
        <v>2024</v>
      </c>
      <c r="X377" s="23">
        <f>IF(Tabla2[[#This Row],[Fecha]]="","",YEAR(Tabla2[[#This Row],[Fecha]]))</f>
        <v>2024</v>
      </c>
    </row>
    <row r="378" spans="1:24" x14ac:dyDescent="0.25">
      <c r="A378" s="3">
        <v>378</v>
      </c>
      <c r="B378" s="77" t="s">
        <v>1527</v>
      </c>
      <c r="C378" s="360">
        <v>45358</v>
      </c>
      <c r="D378" s="76" t="s">
        <v>1528</v>
      </c>
      <c r="E378" s="360">
        <v>45358</v>
      </c>
      <c r="F378" s="78" t="s">
        <v>231</v>
      </c>
      <c r="G378" s="85">
        <v>901030518</v>
      </c>
      <c r="H378" s="177" t="str">
        <f>VLOOKUP(Tabla2[[#This Row],[NIT]],Clientes!A:C,2,0)</f>
        <v>Inversiones Sajamib SAS</v>
      </c>
      <c r="I378" s="77" t="str">
        <f>VLOOKUP(Tabla2[[#This Row],[NIT]],Clientes!A:C,3,0)</f>
        <v>PJ</v>
      </c>
      <c r="J378" s="77"/>
      <c r="K378" s="267">
        <f>SUMIFS(Tabla4[Sub Total],Tabla4[Codigo],Tabla2[[#This Row],[Cod]])</f>
        <v>400000</v>
      </c>
      <c r="L378" s="262">
        <f>SUMPRODUCT((Tabla4[Codigo]=Tabla2[[#This Row],[Cod]])*1,Tabla4[IVA])</f>
        <v>0</v>
      </c>
      <c r="M378" s="262">
        <f>SUMIFS(Tabla4[Total],Tabla4[Codigo],Tabla2[[#This Row],[Cod]])</f>
        <v>400000</v>
      </c>
      <c r="N378" s="278">
        <f>SUMPRODUCT((Tabla1[Codigo]=Tabla2[[#This Row],[Cod]])*1,Tabla1[Valor])</f>
        <v>400000</v>
      </c>
      <c r="O378" s="265">
        <f>IF(AND(Tabla2[[#This Row],[Estado]]="ok",LEFT(Tabla2[[#This Row],['# Factura]],3)="TIS"),Tabla2[[#This Row],[TOTAL]]-Tabla2[[#This Row],[pagado]],0)</f>
        <v>0</v>
      </c>
      <c r="P378" s="262">
        <f>Tabla2[[#This Row],[TOTAL]]-Tabla2[[#This Row],[Valor pago]]</f>
        <v>0</v>
      </c>
      <c r="Q378" s="265">
        <f>IF(Tabla2[[#This Row],[Saldo]]=0,0,IF(Tabla2[[#This Row],[Tipo cliente]]="PJ",Tabla2[[#This Row],[SUBTOTAL]]*11%,0))</f>
        <v>0</v>
      </c>
      <c r="R378" s="276">
        <f>IF(Tabla2[[#This Row],[Saldo]]=0,0,IF(Tabla2[[#This Row],[Tipo cliente]]="PJ",Tabla2[[#This Row],[SUBTOTAL]]*0.966%,0))</f>
        <v>0</v>
      </c>
      <c r="S378" s="276">
        <f>IF(Tabla2[[#This Row],[Retiene IVA]]="S",Tabla2[[#This Row],[IVA]]*0.15,0)</f>
        <v>0</v>
      </c>
      <c r="T378" s="265"/>
      <c r="U37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378" s="23">
        <f>IF(Tabla2[[#This Row],[Fecha F.E.]]="","",YEAR(Tabla2[[#This Row],[Fecha F.E.]]))</f>
        <v>2024</v>
      </c>
      <c r="X378" s="23">
        <f>IF(Tabla2[[#This Row],[Fecha]]="","",YEAR(Tabla2[[#This Row],[Fecha]]))</f>
        <v>2024</v>
      </c>
    </row>
    <row r="379" spans="1:24" x14ac:dyDescent="0.25">
      <c r="A379" s="3">
        <v>379</v>
      </c>
      <c r="B379" s="77" t="s">
        <v>1529</v>
      </c>
      <c r="C379" s="360">
        <f>+E379</f>
        <v>45358</v>
      </c>
      <c r="D379" s="76" t="s">
        <v>1530</v>
      </c>
      <c r="E379" s="360">
        <v>45358</v>
      </c>
      <c r="F379" s="78" t="s">
        <v>231</v>
      </c>
      <c r="G379" s="85">
        <v>800028768</v>
      </c>
      <c r="H379" s="177" t="str">
        <f>VLOOKUP(Tabla2[[#This Row],[NIT]],Clientes!A:C,2,0)</f>
        <v>Comercializadora ERZ SAS</v>
      </c>
      <c r="I379" s="77" t="str">
        <f>VLOOKUP(Tabla2[[#This Row],[NIT]],Clientes!A:C,3,0)</f>
        <v>PJ</v>
      </c>
      <c r="J379" s="77"/>
      <c r="K379" s="267">
        <f>SUMIFS(Tabla4[Sub Total],Tabla4[Codigo],Tabla2[[#This Row],[Cod]])</f>
        <v>260000</v>
      </c>
      <c r="L379" s="262">
        <f>SUMPRODUCT((Tabla4[Codigo]=Tabla2[[#This Row],[Cod]])*1,Tabla4[IVA])</f>
        <v>49400</v>
      </c>
      <c r="M379" s="262">
        <f>SUMIFS(Tabla4[Total],Tabla4[Codigo],Tabla2[[#This Row],[Cod]])</f>
        <v>309400</v>
      </c>
      <c r="N379" s="278">
        <f>SUMPRODUCT((Tabla1[Codigo]=Tabla2[[#This Row],[Cod]])*1,Tabla1[Valor])</f>
        <v>280800</v>
      </c>
      <c r="O379" s="265">
        <f>IF(AND(Tabla2[[#This Row],[Estado]]="ok",LEFT(Tabla2[[#This Row],['# Factura]],3)="TIS"),Tabla2[[#This Row],[TOTAL]]-Tabla2[[#This Row],[pagado]],0)</f>
        <v>-2511.5999999999767</v>
      </c>
      <c r="P379" s="262">
        <f>Tabla2[[#This Row],[TOTAL]]-Tabla2[[#This Row],[Valor pago]]</f>
        <v>28600</v>
      </c>
      <c r="Q379" s="265">
        <f>IF(Tabla2[[#This Row],[Saldo]]=0,0,IF(Tabla2[[#This Row],[Tipo cliente]]="PJ",Tabla2[[#This Row],[SUBTOTAL]]*11%,0))</f>
        <v>28600</v>
      </c>
      <c r="R379" s="276">
        <f>IF(Tabla2[[#This Row],[Saldo]]=0,0,IF(Tabla2[[#This Row],[Tipo cliente]]="PJ",Tabla2[[#This Row],[SUBTOTAL]]*0.966%,0))</f>
        <v>2511.6</v>
      </c>
      <c r="S379" s="276">
        <f>IF(Tabla2[[#This Row],[Retiene IVA]]="S",Tabla2[[#This Row],[IVA]]*0.15,0)</f>
        <v>0</v>
      </c>
      <c r="T379" s="265"/>
      <c r="U37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311911.59999999998</v>
      </c>
      <c r="W379" s="23">
        <f>IF(Tabla2[[#This Row],[Fecha F.E.]]="","",YEAR(Tabla2[[#This Row],[Fecha F.E.]]))</f>
        <v>2024</v>
      </c>
      <c r="X379" s="23">
        <f>IF(Tabla2[[#This Row],[Fecha]]="","",YEAR(Tabla2[[#This Row],[Fecha]]))</f>
        <v>2024</v>
      </c>
    </row>
    <row r="380" spans="1:24" x14ac:dyDescent="0.25">
      <c r="A380" s="3">
        <v>380</v>
      </c>
      <c r="B380" s="77" t="s">
        <v>1531</v>
      </c>
      <c r="C380" s="360">
        <v>45358</v>
      </c>
      <c r="D380" s="76" t="s">
        <v>1532</v>
      </c>
      <c r="E380" s="360">
        <v>45358</v>
      </c>
      <c r="F380" s="78" t="s">
        <v>231</v>
      </c>
      <c r="G380" s="85">
        <v>901342609</v>
      </c>
      <c r="H380" s="177" t="str">
        <f>VLOOKUP(Tabla2[[#This Row],[NIT]],Clientes!A:C,2,0)</f>
        <v>ROYCO SOLUCIONES SAS</v>
      </c>
      <c r="I380" s="77" t="str">
        <f>VLOOKUP(Tabla2[[#This Row],[NIT]],Clientes!A:C,3,0)</f>
        <v>PJ</v>
      </c>
      <c r="J380" s="77"/>
      <c r="K380" s="267">
        <f>SUMIFS(Tabla4[Sub Total],Tabla4[Codigo],Tabla2[[#This Row],[Cod]])</f>
        <v>175000</v>
      </c>
      <c r="L380" s="262">
        <f>SUMPRODUCT((Tabla4[Codigo]=Tabla2[[#This Row],[Cod]])*1,Tabla4[IVA])</f>
        <v>33250</v>
      </c>
      <c r="M380" s="262">
        <f>SUMIFS(Tabla4[Total],Tabla4[Codigo],Tabla2[[#This Row],[Cod]])</f>
        <v>208250</v>
      </c>
      <c r="N380" s="278">
        <f>SUMPRODUCT((Tabla1[Codigo]=Tabla2[[#This Row],[Cod]])*1,Tabla1[Valor])</f>
        <v>201250</v>
      </c>
      <c r="O380" s="265">
        <f>IF(AND(Tabla2[[#This Row],[Estado]]="ok",LEFT(Tabla2[[#This Row],['# Factura]],3)="TIS"),Tabla2[[#This Row],[TOTAL]]-Tabla2[[#This Row],[pagado]],0)</f>
        <v>-13940.5</v>
      </c>
      <c r="P380" s="262">
        <f>Tabla2[[#This Row],[TOTAL]]-Tabla2[[#This Row],[Valor pago]]</f>
        <v>7000</v>
      </c>
      <c r="Q380" s="265">
        <f>IF(Tabla2[[#This Row],[Saldo]]=0,0,IF(Tabla2[[#This Row],[Tipo cliente]]="PJ",Tabla2[[#This Row],[SUBTOTAL]]*11%,0))</f>
        <v>19250</v>
      </c>
      <c r="R380" s="276">
        <f>IF(Tabla2[[#This Row],[Saldo]]=0,0,IF(Tabla2[[#This Row],[Tipo cliente]]="PJ",Tabla2[[#This Row],[SUBTOTAL]]*0.966%,0))</f>
        <v>1690.5</v>
      </c>
      <c r="S380" s="276">
        <f>IF(Tabla2[[#This Row],[Retiene IVA]]="S",Tabla2[[#This Row],[IVA]]*0.15,0)</f>
        <v>0</v>
      </c>
      <c r="T380" s="265"/>
      <c r="U38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222190.5</v>
      </c>
      <c r="W380" s="23">
        <f>IF(Tabla2[[#This Row],[Fecha F.E.]]="","",YEAR(Tabla2[[#This Row],[Fecha F.E.]]))</f>
        <v>2024</v>
      </c>
      <c r="X380" s="23">
        <f>IF(Tabla2[[#This Row],[Fecha]]="","",YEAR(Tabla2[[#This Row],[Fecha]]))</f>
        <v>2024</v>
      </c>
    </row>
    <row r="381" spans="1:24" x14ac:dyDescent="0.25">
      <c r="A381" s="3">
        <v>381</v>
      </c>
      <c r="B381" s="77" t="s">
        <v>1533</v>
      </c>
      <c r="C381" s="360">
        <v>45358</v>
      </c>
      <c r="D381" s="76" t="s">
        <v>1534</v>
      </c>
      <c r="E381" s="360">
        <v>45358</v>
      </c>
      <c r="F381" s="78" t="s">
        <v>231</v>
      </c>
      <c r="G381" s="85">
        <v>901587426</v>
      </c>
      <c r="H381" s="177" t="str">
        <f>VLOOKUP(Tabla2[[#This Row],[NIT]],Clientes!A:C,2,0)</f>
        <v>STAFF SEGUROS AGENCIA LTDA</v>
      </c>
      <c r="I381" s="77" t="str">
        <f>VLOOKUP(Tabla2[[#This Row],[NIT]],Clientes!A:C,3,0)</f>
        <v>PJ</v>
      </c>
      <c r="J381" s="77"/>
      <c r="K381" s="267">
        <f>SUMIFS(Tabla4[Sub Total],Tabla4[Codigo],Tabla2[[#This Row],[Cod]])</f>
        <v>300000</v>
      </c>
      <c r="L381" s="262">
        <f>SUMPRODUCT((Tabla4[Codigo]=Tabla2[[#This Row],[Cod]])*1,Tabla4[IVA])</f>
        <v>57000</v>
      </c>
      <c r="M381" s="262">
        <f>SUMIFS(Tabla4[Total],Tabla4[Codigo],Tabla2[[#This Row],[Cod]])</f>
        <v>357000</v>
      </c>
      <c r="N381" s="278">
        <f>SUMPRODUCT((Tabla1[Codigo]=Tabla2[[#This Row],[Cod]])*1,Tabla1[Valor])</f>
        <v>357000</v>
      </c>
      <c r="O381" s="265">
        <f>IF(AND(Tabla2[[#This Row],[Estado]]="ok",LEFT(Tabla2[[#This Row],['# Factura]],3)="TIS"),Tabla2[[#This Row],[TOTAL]]-Tabla2[[#This Row],[pagado]],0)</f>
        <v>0</v>
      </c>
      <c r="P381" s="262">
        <f>Tabla2[[#This Row],[TOTAL]]-Tabla2[[#This Row],[Valor pago]]</f>
        <v>0</v>
      </c>
      <c r="Q381" s="265">
        <f>IF(Tabla2[[#This Row],[Saldo]]=0,0,IF(Tabla2[[#This Row],[Tipo cliente]]="PJ",Tabla2[[#This Row],[SUBTOTAL]]*11%,0))</f>
        <v>0</v>
      </c>
      <c r="R381" s="276">
        <f>IF(Tabla2[[#This Row],[Saldo]]=0,0,IF(Tabla2[[#This Row],[Tipo cliente]]="PJ",Tabla2[[#This Row],[SUBTOTAL]]*0.966%,0))</f>
        <v>0</v>
      </c>
      <c r="S381" s="276">
        <f>IF(Tabla2[[#This Row],[Retiene IVA]]="S",Tabla2[[#This Row],[IVA]]*0.15,0)</f>
        <v>0</v>
      </c>
      <c r="T381" s="265"/>
      <c r="U38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381" s="23">
        <f>IF(Tabla2[[#This Row],[Fecha F.E.]]="","",YEAR(Tabla2[[#This Row],[Fecha F.E.]]))</f>
        <v>2024</v>
      </c>
      <c r="X381" s="23">
        <f>IF(Tabla2[[#This Row],[Fecha]]="","",YEAR(Tabla2[[#This Row],[Fecha]]))</f>
        <v>2024</v>
      </c>
    </row>
    <row r="382" spans="1:24" x14ac:dyDescent="0.25">
      <c r="A382" s="3">
        <v>382</v>
      </c>
      <c r="B382" s="77" t="s">
        <v>1535</v>
      </c>
      <c r="C382" s="360">
        <v>45358</v>
      </c>
      <c r="D382" s="76" t="s">
        <v>1536</v>
      </c>
      <c r="E382" s="360">
        <v>45358</v>
      </c>
      <c r="F382" s="78" t="s">
        <v>231</v>
      </c>
      <c r="G382" s="85">
        <v>900505660</v>
      </c>
      <c r="H382" s="177" t="str">
        <f>VLOOKUP(Tabla2[[#This Row],[NIT]],Clientes!A:C,2,0)</f>
        <v>DIGITAL MEDIA TECHNOLOGIES COLOMBIA SAS</v>
      </c>
      <c r="I382" s="77" t="str">
        <f>VLOOKUP(Tabla2[[#This Row],[NIT]],Clientes!A:C,3,0)</f>
        <v>PJ</v>
      </c>
      <c r="J382" s="77"/>
      <c r="K382" s="267">
        <f>SUMIFS(Tabla4[Sub Total],Tabla4[Codigo],Tabla2[[#This Row],[Cod]])</f>
        <v>250000</v>
      </c>
      <c r="L382" s="262">
        <f>SUMPRODUCT((Tabla4[Codigo]=Tabla2[[#This Row],[Cod]])*1,Tabla4[IVA])</f>
        <v>47500</v>
      </c>
      <c r="M382" s="262">
        <f>SUMIFS(Tabla4[Total],Tabla4[Codigo],Tabla2[[#This Row],[Cod]])</f>
        <v>297500</v>
      </c>
      <c r="N382" s="278">
        <f>SUMPRODUCT((Tabla1[Codigo]=Tabla2[[#This Row],[Cod]])*1,Tabla1[Valor])</f>
        <v>270000</v>
      </c>
      <c r="O382" s="265">
        <f>IF(AND(Tabla2[[#This Row],[Estado]]="ok",LEFT(Tabla2[[#This Row],['# Factura]],3)="TIS"),Tabla2[[#This Row],[TOTAL]]-Tabla2[[#This Row],[pagado]],0)</f>
        <v>-2415</v>
      </c>
      <c r="P382" s="262">
        <f>Tabla2[[#This Row],[TOTAL]]-Tabla2[[#This Row],[Valor pago]]</f>
        <v>27500</v>
      </c>
      <c r="Q382" s="265">
        <f>IF(Tabla2[[#This Row],[Saldo]]=0,0,IF(Tabla2[[#This Row],[Tipo cliente]]="PJ",Tabla2[[#This Row],[SUBTOTAL]]*11%,0))</f>
        <v>27500</v>
      </c>
      <c r="R382" s="276">
        <f>IF(Tabla2[[#This Row],[Saldo]]=0,0,IF(Tabla2[[#This Row],[Tipo cliente]]="PJ",Tabla2[[#This Row],[SUBTOTAL]]*0.966%,0))</f>
        <v>2415</v>
      </c>
      <c r="S382" s="276">
        <f>IF(Tabla2[[#This Row],[Retiene IVA]]="S",Tabla2[[#This Row],[IVA]]*0.15,0)</f>
        <v>0</v>
      </c>
      <c r="T382" s="265"/>
      <c r="U38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299915</v>
      </c>
      <c r="W382" s="23">
        <f>IF(Tabla2[[#This Row],[Fecha F.E.]]="","",YEAR(Tabla2[[#This Row],[Fecha F.E.]]))</f>
        <v>2024</v>
      </c>
      <c r="X382" s="23">
        <f>IF(Tabla2[[#This Row],[Fecha]]="","",YEAR(Tabla2[[#This Row],[Fecha]]))</f>
        <v>2024</v>
      </c>
    </row>
    <row r="383" spans="1:24" x14ac:dyDescent="0.25">
      <c r="A383" s="3">
        <v>383</v>
      </c>
      <c r="B383" s="77" t="s">
        <v>1537</v>
      </c>
      <c r="C383" s="360">
        <v>45358</v>
      </c>
      <c r="D383" s="76" t="s">
        <v>1538</v>
      </c>
      <c r="E383" s="360">
        <v>45358</v>
      </c>
      <c r="F383" s="78" t="s">
        <v>231</v>
      </c>
      <c r="G383" s="85">
        <v>901588265</v>
      </c>
      <c r="H383" s="177" t="str">
        <f>VLOOKUP(Tabla2[[#This Row],[NIT]],Clientes!A:C,2,0)</f>
        <v>GENUINE TECH SAS</v>
      </c>
      <c r="I383" s="77" t="str">
        <f>VLOOKUP(Tabla2[[#This Row],[NIT]],Clientes!A:C,3,0)</f>
        <v>PJ</v>
      </c>
      <c r="J383" s="77"/>
      <c r="K383" s="267">
        <f>SUMIFS(Tabla4[Sub Total],Tabla4[Codigo],Tabla2[[#This Row],[Cod]])</f>
        <v>545454</v>
      </c>
      <c r="L383" s="262">
        <f>SUMPRODUCT((Tabla4[Codigo]=Tabla2[[#This Row],[Cod]])*1,Tabla4[IVA])</f>
        <v>103636.26</v>
      </c>
      <c r="M383" s="262">
        <f>SUMIFS(Tabla4[Total],Tabla4[Codigo],Tabla2[[#This Row],[Cod]])</f>
        <v>649090.26</v>
      </c>
      <c r="N383" s="278">
        <f>SUMPRODUCT((Tabla1[Codigo]=Tabla2[[#This Row],[Cod]])*1,Tabla1[Valor])</f>
        <v>622003</v>
      </c>
      <c r="O383" s="265">
        <f>IF(AND(Tabla2[[#This Row],[Estado]]="ok",LEFT(Tabla2[[#This Row],['# Factura]],3)="TIS"),Tabla2[[#This Row],[TOTAL]]-Tabla2[[#This Row],[pagado]],0)</f>
        <v>-38181.765639999881</v>
      </c>
      <c r="P383" s="262">
        <f>Tabla2[[#This Row],[TOTAL]]-Tabla2[[#This Row],[Valor pago]]</f>
        <v>27087.260000000009</v>
      </c>
      <c r="Q383" s="265">
        <f>IF(Tabla2[[#This Row],[Saldo]]=0,0,IF(Tabla2[[#This Row],[Tipo cliente]]="PJ",Tabla2[[#This Row],[SUBTOTAL]]*11%,0))</f>
        <v>59999.94</v>
      </c>
      <c r="R383" s="276">
        <f>IF(Tabla2[[#This Row],[Saldo]]=0,0,IF(Tabla2[[#This Row],[Tipo cliente]]="PJ",Tabla2[[#This Row],[SUBTOTAL]]*0.966%,0))</f>
        <v>5269.0856400000002</v>
      </c>
      <c r="S383" s="276">
        <f>IF(Tabla2[[#This Row],[Retiene IVA]]="S",Tabla2[[#This Row],[IVA]]*0.15,0)</f>
        <v>0</v>
      </c>
      <c r="T383" s="265"/>
      <c r="U38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687272.02563999989</v>
      </c>
      <c r="W383" s="23">
        <f>IF(Tabla2[[#This Row],[Fecha F.E.]]="","",YEAR(Tabla2[[#This Row],[Fecha F.E.]]))</f>
        <v>2024</v>
      </c>
      <c r="X383" s="23">
        <f>IF(Tabla2[[#This Row],[Fecha]]="","",YEAR(Tabla2[[#This Row],[Fecha]]))</f>
        <v>2024</v>
      </c>
    </row>
    <row r="384" spans="1:24" x14ac:dyDescent="0.25">
      <c r="A384" s="3">
        <v>384</v>
      </c>
      <c r="B384" s="77" t="s">
        <v>1539</v>
      </c>
      <c r="C384" s="360">
        <v>45376</v>
      </c>
      <c r="D384" s="76" t="s">
        <v>1540</v>
      </c>
      <c r="E384" s="360">
        <v>45358</v>
      </c>
      <c r="F384" s="78" t="s">
        <v>231</v>
      </c>
      <c r="G384" s="85">
        <v>900693605</v>
      </c>
      <c r="H384" s="177" t="str">
        <f>VLOOKUP(Tabla2[[#This Row],[NIT]],Clientes!A:C,2,0)</f>
        <v>CONSTRUCCIONES CIVILES JMR S.A.S</v>
      </c>
      <c r="I384" s="77" t="str">
        <f>VLOOKUP(Tabla2[[#This Row],[NIT]],Clientes!A:C,3,0)</f>
        <v>PJ</v>
      </c>
      <c r="J384" s="77"/>
      <c r="K384" s="267">
        <f>SUMIFS(Tabla4[Sub Total],Tabla4[Codigo],Tabla2[[#This Row],[Cod]])</f>
        <v>1200000</v>
      </c>
      <c r="L384" s="262">
        <f>SUMPRODUCT((Tabla4[Codigo]=Tabla2[[#This Row],[Cod]])*1,Tabla4[IVA])</f>
        <v>228000</v>
      </c>
      <c r="M384" s="262">
        <f>SUMIFS(Tabla4[Total],Tabla4[Codigo],Tabla2[[#This Row],[Cod]])</f>
        <v>1428000</v>
      </c>
      <c r="N384" s="278">
        <f>SUMPRODUCT((Tabla1[Codigo]=Tabla2[[#This Row],[Cod]])*1,Tabla1[Valor])</f>
        <v>1380000</v>
      </c>
      <c r="O384" s="265">
        <f>IF(AND(Tabla2[[#This Row],[Estado]]="ok",LEFT(Tabla2[[#This Row],['# Factura]],3)="TIS"),Tabla2[[#This Row],[TOTAL]]-Tabla2[[#This Row],[pagado]],0)</f>
        <v>-95592</v>
      </c>
      <c r="P384" s="262">
        <f>Tabla2[[#This Row],[TOTAL]]-Tabla2[[#This Row],[Valor pago]]</f>
        <v>48000</v>
      </c>
      <c r="Q384" s="265">
        <f>IF(Tabla2[[#This Row],[Saldo]]=0,0,IF(Tabla2[[#This Row],[Tipo cliente]]="PJ",Tabla2[[#This Row],[SUBTOTAL]]*11%,0))</f>
        <v>132000</v>
      </c>
      <c r="R384" s="276">
        <f>IF(Tabla2[[#This Row],[Saldo]]=0,0,IF(Tabla2[[#This Row],[Tipo cliente]]="PJ",Tabla2[[#This Row],[SUBTOTAL]]*0.966%,0))</f>
        <v>11592</v>
      </c>
      <c r="S384" s="276">
        <f>IF(Tabla2[[#This Row],[Retiene IVA]]="S",Tabla2[[#This Row],[IVA]]*0.15,0)</f>
        <v>0</v>
      </c>
      <c r="T384" s="265"/>
      <c r="U38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1523592</v>
      </c>
      <c r="W384" s="23">
        <f>IF(Tabla2[[#This Row],[Fecha F.E.]]="","",YEAR(Tabla2[[#This Row],[Fecha F.E.]]))</f>
        <v>2024</v>
      </c>
      <c r="X384" s="23">
        <f>IF(Tabla2[[#This Row],[Fecha]]="","",YEAR(Tabla2[[#This Row],[Fecha]]))</f>
        <v>2024</v>
      </c>
    </row>
    <row r="385" spans="1:24" x14ac:dyDescent="0.25">
      <c r="A385" s="3">
        <v>385</v>
      </c>
      <c r="B385" s="77" t="s">
        <v>1541</v>
      </c>
      <c r="C385" s="360">
        <v>45358</v>
      </c>
      <c r="D385" s="76" t="s">
        <v>1542</v>
      </c>
      <c r="E385" s="360">
        <v>45358</v>
      </c>
      <c r="F385" s="78" t="s">
        <v>231</v>
      </c>
      <c r="G385" s="85">
        <v>4446779</v>
      </c>
      <c r="H385" s="177" t="str">
        <f>VLOOKUP(Tabla2[[#This Row],[NIT]],Clientes!A:C,2,0)</f>
        <v>ELKIN EDUARDO ORTIZ ORTIZ</v>
      </c>
      <c r="I385" s="77" t="str">
        <f>VLOOKUP(Tabla2[[#This Row],[NIT]],Clientes!A:C,3,0)</f>
        <v>PN</v>
      </c>
      <c r="J385" s="77"/>
      <c r="K385" s="267">
        <f>SUMIFS(Tabla4[Sub Total],Tabla4[Codigo],Tabla2[[#This Row],[Cod]])</f>
        <v>4950000</v>
      </c>
      <c r="L385" s="262">
        <f>SUMPRODUCT((Tabla4[Codigo]=Tabla2[[#This Row],[Cod]])*1,Tabla4[IVA])</f>
        <v>940500</v>
      </c>
      <c r="M385" s="262">
        <f>SUMIFS(Tabla4[Total],Tabla4[Codigo],Tabla2[[#This Row],[Cod]])</f>
        <v>5890500</v>
      </c>
      <c r="N385" s="278">
        <f>SUMPRODUCT((Tabla1[Codigo]=Tabla2[[#This Row],[Cod]])*1,Tabla1[Valor])</f>
        <v>5890500</v>
      </c>
      <c r="O385" s="265">
        <f>IF(AND(Tabla2[[#This Row],[Estado]]="ok",LEFT(Tabla2[[#This Row],['# Factura]],3)="TIS"),Tabla2[[#This Row],[TOTAL]]-Tabla2[[#This Row],[pagado]],0)</f>
        <v>0</v>
      </c>
      <c r="P385" s="262">
        <f>Tabla2[[#This Row],[TOTAL]]-Tabla2[[#This Row],[Valor pago]]</f>
        <v>0</v>
      </c>
      <c r="Q385" s="265">
        <f>IF(Tabla2[[#This Row],[Saldo]]=0,0,IF(Tabla2[[#This Row],[Tipo cliente]]="PJ",Tabla2[[#This Row],[SUBTOTAL]]*11%,0))</f>
        <v>0</v>
      </c>
      <c r="R385" s="276">
        <f>IF(Tabla2[[#This Row],[Saldo]]=0,0,IF(Tabla2[[#This Row],[Tipo cliente]]="PJ",Tabla2[[#This Row],[SUBTOTAL]]*0.966%,0))</f>
        <v>0</v>
      </c>
      <c r="S385" s="276">
        <f>IF(Tabla2[[#This Row],[Retiene IVA]]="S",Tabla2[[#This Row],[IVA]]*0.15,0)</f>
        <v>0</v>
      </c>
      <c r="T385" s="265"/>
      <c r="U38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5890500</v>
      </c>
      <c r="W385" s="23">
        <f>IF(Tabla2[[#This Row],[Fecha F.E.]]="","",YEAR(Tabla2[[#This Row],[Fecha F.E.]]))</f>
        <v>2024</v>
      </c>
      <c r="X385" s="23">
        <f>IF(Tabla2[[#This Row],[Fecha]]="","",YEAR(Tabla2[[#This Row],[Fecha]]))</f>
        <v>2024</v>
      </c>
    </row>
    <row r="386" spans="1:24" x14ac:dyDescent="0.25">
      <c r="A386" s="3">
        <v>386</v>
      </c>
      <c r="B386" s="77" t="s">
        <v>1543</v>
      </c>
      <c r="C386" s="360">
        <v>45386</v>
      </c>
      <c r="D386" s="76" t="s">
        <v>1544</v>
      </c>
      <c r="E386" s="360">
        <v>45386</v>
      </c>
      <c r="F386" s="78" t="s">
        <v>231</v>
      </c>
      <c r="G386" s="85">
        <v>901030518</v>
      </c>
      <c r="H386" s="177" t="str">
        <f>VLOOKUP(Tabla2[[#This Row],[NIT]],Clientes!A:C,2,0)</f>
        <v>Inversiones Sajamib SAS</v>
      </c>
      <c r="I386" s="77" t="str">
        <f>VLOOKUP(Tabla2[[#This Row],[NIT]],Clientes!A:C,3,0)</f>
        <v>PJ</v>
      </c>
      <c r="J386" s="77"/>
      <c r="K386" s="267">
        <f>SUMIFS(Tabla4[Sub Total],Tabla4[Codigo],Tabla2[[#This Row],[Cod]])</f>
        <v>400000</v>
      </c>
      <c r="L386" s="262">
        <f>SUMPRODUCT((Tabla4[Codigo]=Tabla2[[#This Row],[Cod]])*1,Tabla4[IVA])</f>
        <v>0</v>
      </c>
      <c r="M386" s="262">
        <f>SUMIFS(Tabla4[Total],Tabla4[Codigo],Tabla2[[#This Row],[Cod]])</f>
        <v>400000</v>
      </c>
      <c r="N386" s="278">
        <f>SUMPRODUCT((Tabla1[Codigo]=Tabla2[[#This Row],[Cod]])*1,Tabla1[Valor])</f>
        <v>400000</v>
      </c>
      <c r="O386" s="265">
        <f>IF(AND(Tabla2[[#This Row],[Estado]]="ok",LEFT(Tabla2[[#This Row],['# Factura]],3)="TIS"),Tabla2[[#This Row],[TOTAL]]-Tabla2[[#This Row],[pagado]],0)</f>
        <v>0</v>
      </c>
      <c r="P386" s="262">
        <f>Tabla2[[#This Row],[TOTAL]]-Tabla2[[#This Row],[Valor pago]]</f>
        <v>0</v>
      </c>
      <c r="Q386" s="265">
        <f>IF(Tabla2[[#This Row],[Saldo]]=0,0,IF(Tabla2[[#This Row],[Tipo cliente]]="PJ",Tabla2[[#This Row],[SUBTOTAL]]*11%,0))</f>
        <v>0</v>
      </c>
      <c r="R386" s="276">
        <f>IF(Tabla2[[#This Row],[Saldo]]=0,0,IF(Tabla2[[#This Row],[Tipo cliente]]="PJ",Tabla2[[#This Row],[SUBTOTAL]]*0.966%,0))</f>
        <v>0</v>
      </c>
      <c r="S386" s="276">
        <f>IF(Tabla2[[#This Row],[Retiene IVA]]="S",Tabla2[[#This Row],[IVA]]*0.15,0)</f>
        <v>0</v>
      </c>
      <c r="T386" s="265"/>
      <c r="U38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386" s="23">
        <f>IF(Tabla2[[#This Row],[Fecha F.E.]]="","",YEAR(Tabla2[[#This Row],[Fecha F.E.]]))</f>
        <v>2024</v>
      </c>
      <c r="X386" s="23">
        <f>IF(Tabla2[[#This Row],[Fecha]]="","",YEAR(Tabla2[[#This Row],[Fecha]]))</f>
        <v>2024</v>
      </c>
    </row>
    <row r="387" spans="1:24" ht="26.25" x14ac:dyDescent="0.25">
      <c r="A387" s="3">
        <v>387</v>
      </c>
      <c r="B387" s="77" t="s">
        <v>1545</v>
      </c>
      <c r="C387" s="360">
        <v>45398</v>
      </c>
      <c r="D387" s="76" t="s">
        <v>1546</v>
      </c>
      <c r="E387" s="360">
        <v>45398</v>
      </c>
      <c r="F387" s="78" t="s">
        <v>231</v>
      </c>
      <c r="G387" s="85">
        <v>900444251</v>
      </c>
      <c r="H387" s="177" t="str">
        <f>VLOOKUP(Tabla2[[#This Row],[NIT]],Clientes!A:C,2,0)</f>
        <v>MASTERLINE COLOMBIA SOCIEDAD POR ACCIONES SIMPLIFICADA</v>
      </c>
      <c r="I387" s="77" t="str">
        <f>VLOOKUP(Tabla2[[#This Row],[NIT]],Clientes!A:C,3,0)</f>
        <v>PJ</v>
      </c>
      <c r="J387" s="77"/>
      <c r="K387" s="267">
        <f>SUMIFS(Tabla4[Sub Total],Tabla4[Codigo],Tabla2[[#This Row],[Cod]])</f>
        <v>2340000</v>
      </c>
      <c r="L387" s="262">
        <f>SUMPRODUCT((Tabla4[Codigo]=Tabla2[[#This Row],[Cod]])*1,Tabla4[IVA])</f>
        <v>444600</v>
      </c>
      <c r="M387" s="262">
        <f>SUMIFS(Tabla4[Total],Tabla4[Codigo],Tabla2[[#This Row],[Cod]])</f>
        <v>2784600</v>
      </c>
      <c r="N387" s="278">
        <f>SUMPRODUCT((Tabla1[Codigo]=Tabla2[[#This Row],[Cod]])*1,Tabla1[Valor])</f>
        <v>2668396</v>
      </c>
      <c r="O387" s="265">
        <f>IF(AND(Tabla2[[#This Row],[Estado]]="ok",LEFT(Tabla2[[#This Row],['# Factura]],3)="TIS"),Tabla2[[#This Row],[TOTAL]]-Tabla2[[#This Row],[pagado]],0)</f>
        <v>-163800.39999999991</v>
      </c>
      <c r="P387" s="262">
        <f>Tabla2[[#This Row],[TOTAL]]-Tabla2[[#This Row],[Valor pago]]</f>
        <v>116204</v>
      </c>
      <c r="Q387" s="265">
        <f>IF(Tabla2[[#This Row],[Saldo]]=0,0,IF(Tabla2[[#This Row],[Tipo cliente]]="PJ",Tabla2[[#This Row],[SUBTOTAL]]*11%,0))</f>
        <v>257400</v>
      </c>
      <c r="R387" s="276">
        <f>IF(Tabla2[[#This Row],[Saldo]]=0,0,IF(Tabla2[[#This Row],[Tipo cliente]]="PJ",Tabla2[[#This Row],[SUBTOTAL]]*0.966%,0))</f>
        <v>22604.400000000001</v>
      </c>
      <c r="S387" s="276">
        <f>IF(Tabla2[[#This Row],[Retiene IVA]]="S",Tabla2[[#This Row],[IVA]]*0.15,0)</f>
        <v>0</v>
      </c>
      <c r="T387" s="265"/>
      <c r="U38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2948400.4</v>
      </c>
      <c r="W387" s="23">
        <f>IF(Tabla2[[#This Row],[Fecha F.E.]]="","",YEAR(Tabla2[[#This Row],[Fecha F.E.]]))</f>
        <v>2024</v>
      </c>
      <c r="X387" s="23">
        <f>IF(Tabla2[[#This Row],[Fecha]]="","",YEAR(Tabla2[[#This Row],[Fecha]]))</f>
        <v>2024</v>
      </c>
    </row>
    <row r="388" spans="1:24" ht="26.25" x14ac:dyDescent="0.25">
      <c r="A388" s="3">
        <v>388</v>
      </c>
      <c r="B388" s="77" t="s">
        <v>1547</v>
      </c>
      <c r="C388" s="360">
        <v>45420</v>
      </c>
      <c r="D388" s="76" t="s">
        <v>1548</v>
      </c>
      <c r="E388" s="360">
        <v>45420</v>
      </c>
      <c r="F388" s="78" t="s">
        <v>716</v>
      </c>
      <c r="G388" s="85">
        <v>901034790</v>
      </c>
      <c r="H388" s="177" t="str">
        <f>VLOOKUP(Tabla2[[#This Row],[NIT]],Clientes!A:C,2,0)</f>
        <v>INSTITUTO DISTRITAL DE CIENCIA, BIOTECNOLOGIA E INNOVACION EN SALUD</v>
      </c>
      <c r="I388" s="77" t="str">
        <f>VLOOKUP(Tabla2[[#This Row],[NIT]],Clientes!A:C,3,0)</f>
        <v>PJ</v>
      </c>
      <c r="J388" s="77"/>
      <c r="K388" s="267">
        <f>SUMIFS(Tabla4[Sub Total],Tabla4[Codigo],Tabla2[[#This Row],[Cod]])</f>
        <v>7590000</v>
      </c>
      <c r="L388" s="262">
        <f>SUMPRODUCT((Tabla4[Codigo]=Tabla2[[#This Row],[Cod]])*1,Tabla4[IVA])</f>
        <v>1442100</v>
      </c>
      <c r="M388" s="262">
        <f>SUMIFS(Tabla4[Total],Tabla4[Codigo],Tabla2[[#This Row],[Cod]])</f>
        <v>9032100</v>
      </c>
      <c r="N388" s="278">
        <f>SUMPRODUCT((Tabla1[Codigo]=Tabla2[[#This Row],[Cod]])*1,Tabla1[Valor])</f>
        <v>0</v>
      </c>
      <c r="O388" s="265">
        <f>IF(AND(Tabla2[[#This Row],[Estado]]="ok",LEFT(Tabla2[[#This Row],['# Factura]],3)="TIS"),Tabla2[[#This Row],[TOTAL]]-Tabla2[[#This Row],[pagado]],0)</f>
        <v>0</v>
      </c>
      <c r="P388" s="262">
        <f>Tabla2[[#This Row],[TOTAL]]-Tabla2[[#This Row],[Valor pago]]</f>
        <v>9032100</v>
      </c>
      <c r="Q388" s="265">
        <f>IF(Tabla2[[#This Row],[Saldo]]=0,0,IF(Tabla2[[#This Row],[Tipo cliente]]="PJ",Tabla2[[#This Row],[SUBTOTAL]]*11%,0))</f>
        <v>834900</v>
      </c>
      <c r="R388" s="276">
        <f>IF(Tabla2[[#This Row],[Saldo]]=0,0,IF(Tabla2[[#This Row],[Tipo cliente]]="PJ",Tabla2[[#This Row],[SUBTOTAL]]*0.966%,0))</f>
        <v>73319.399999999994</v>
      </c>
      <c r="S388" s="276">
        <f>IF(Tabla2[[#This Row],[Retiene IVA]]="S",Tabla2[[#This Row],[IVA]]*0.15,0)</f>
        <v>0</v>
      </c>
      <c r="T388" s="265"/>
      <c r="U38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388" s="23">
        <f>IF(Tabla2[[#This Row],[Fecha F.E.]]="","",YEAR(Tabla2[[#This Row],[Fecha F.E.]]))</f>
        <v>2024</v>
      </c>
      <c r="X388" s="23">
        <f>IF(Tabla2[[#This Row],[Fecha]]="","",YEAR(Tabla2[[#This Row],[Fecha]]))</f>
        <v>2024</v>
      </c>
    </row>
    <row r="389" spans="1:24" x14ac:dyDescent="0.25">
      <c r="A389" s="3">
        <v>389</v>
      </c>
      <c r="B389" s="77" t="s">
        <v>1549</v>
      </c>
      <c r="C389" s="360">
        <f>+E389</f>
        <v>45420</v>
      </c>
      <c r="D389" s="76" t="s">
        <v>1550</v>
      </c>
      <c r="E389" s="360">
        <v>45420</v>
      </c>
      <c r="F389" s="78" t="s">
        <v>231</v>
      </c>
      <c r="G389" s="85">
        <v>800028768</v>
      </c>
      <c r="H389" s="177" t="str">
        <f>VLOOKUP(Tabla2[[#This Row],[NIT]],Clientes!A:C,2,0)</f>
        <v>Comercializadora ERZ SAS</v>
      </c>
      <c r="I389" s="77" t="str">
        <f>VLOOKUP(Tabla2[[#This Row],[NIT]],Clientes!A:C,3,0)</f>
        <v>PJ</v>
      </c>
      <c r="J389" s="77"/>
      <c r="K389" s="267">
        <f>SUMIFS(Tabla4[Sub Total],Tabla4[Codigo],Tabla2[[#This Row],[Cod]])</f>
        <v>260000</v>
      </c>
      <c r="L389" s="262">
        <f>SUMPRODUCT((Tabla4[Codigo]=Tabla2[[#This Row],[Cod]])*1,Tabla4[IVA])</f>
        <v>49400</v>
      </c>
      <c r="M389" s="262">
        <f>SUMIFS(Tabla4[Total],Tabla4[Codigo],Tabla2[[#This Row],[Cod]])</f>
        <v>309400</v>
      </c>
      <c r="N389" s="278">
        <f>SUMPRODUCT((Tabla1[Codigo]=Tabla2[[#This Row],[Cod]])*1,Tabla1[Valor])</f>
        <v>291550</v>
      </c>
      <c r="O389" s="265">
        <f>IF(AND(Tabla2[[#This Row],[Estado]]="ok",LEFT(Tabla2[[#This Row],['# Factura]],3)="TIS"),Tabla2[[#This Row],[TOTAL]]-Tabla2[[#This Row],[pagado]],0)</f>
        <v>-13261.599999999977</v>
      </c>
      <c r="P389" s="262">
        <f>Tabla2[[#This Row],[TOTAL]]-Tabla2[[#This Row],[Valor pago]]</f>
        <v>17850</v>
      </c>
      <c r="Q389" s="265">
        <f>IF(Tabla2[[#This Row],[Saldo]]=0,0,IF(Tabla2[[#This Row],[Tipo cliente]]="PJ",Tabla2[[#This Row],[SUBTOTAL]]*11%,0))</f>
        <v>28600</v>
      </c>
      <c r="R389" s="276">
        <f>IF(Tabla2[[#This Row],[Saldo]]=0,0,IF(Tabla2[[#This Row],[Tipo cliente]]="PJ",Tabla2[[#This Row],[SUBTOTAL]]*0.966%,0))</f>
        <v>2511.6</v>
      </c>
      <c r="S389" s="276">
        <f>IF(Tabla2[[#This Row],[Retiene IVA]]="S",Tabla2[[#This Row],[IVA]]*0.15,0)</f>
        <v>0</v>
      </c>
      <c r="T389" s="265"/>
      <c r="U38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322661.59999999998</v>
      </c>
      <c r="W389" s="23">
        <f>IF(Tabla2[[#This Row],[Fecha F.E.]]="","",YEAR(Tabla2[[#This Row],[Fecha F.E.]]))</f>
        <v>2024</v>
      </c>
      <c r="X389" s="23">
        <f>IF(Tabla2[[#This Row],[Fecha]]="","",YEAR(Tabla2[[#This Row],[Fecha]]))</f>
        <v>2024</v>
      </c>
    </row>
    <row r="390" spans="1:24" x14ac:dyDescent="0.25">
      <c r="A390" s="3">
        <v>390</v>
      </c>
      <c r="B390" s="77" t="s">
        <v>1551</v>
      </c>
      <c r="C390" s="360">
        <v>45420</v>
      </c>
      <c r="D390" s="76" t="s">
        <v>1552</v>
      </c>
      <c r="E390" s="360">
        <v>45420</v>
      </c>
      <c r="F390" s="78" t="s">
        <v>231</v>
      </c>
      <c r="G390" s="85">
        <v>901342609</v>
      </c>
      <c r="H390" s="177" t="str">
        <f>VLOOKUP(Tabla2[[#This Row],[NIT]],Clientes!A:C,2,0)</f>
        <v>ROYCO SOLUCIONES SAS</v>
      </c>
      <c r="I390" s="77" t="str">
        <f>VLOOKUP(Tabla2[[#This Row],[NIT]],Clientes!A:C,3,0)</f>
        <v>PJ</v>
      </c>
      <c r="J390" s="77"/>
      <c r="K390" s="267">
        <f>SUMIFS(Tabla4[Sub Total],Tabla4[Codigo],Tabla2[[#This Row],[Cod]])</f>
        <v>175000</v>
      </c>
      <c r="L390" s="262">
        <f>SUMPRODUCT((Tabla4[Codigo]=Tabla2[[#This Row],[Cod]])*1,Tabla4[IVA])</f>
        <v>33250</v>
      </c>
      <c r="M390" s="262">
        <f>SUMIFS(Tabla4[Total],Tabla4[Codigo],Tabla2[[#This Row],[Cod]])</f>
        <v>208250</v>
      </c>
      <c r="N390" s="278">
        <f>SUMPRODUCT((Tabla1[Codigo]=Tabla2[[#This Row],[Cod]])*1,Tabla1[Valor])</f>
        <v>201250</v>
      </c>
      <c r="O390" s="265">
        <f>IF(AND(Tabla2[[#This Row],[Estado]]="ok",LEFT(Tabla2[[#This Row],['# Factura]],3)="TIS"),Tabla2[[#This Row],[TOTAL]]-Tabla2[[#This Row],[pagado]],0)</f>
        <v>-13940.5</v>
      </c>
      <c r="P390" s="262">
        <f>Tabla2[[#This Row],[TOTAL]]-Tabla2[[#This Row],[Valor pago]]</f>
        <v>7000</v>
      </c>
      <c r="Q390" s="265">
        <f>IF(Tabla2[[#This Row],[Saldo]]=0,0,IF(Tabla2[[#This Row],[Tipo cliente]]="PJ",Tabla2[[#This Row],[SUBTOTAL]]*11%,0))</f>
        <v>19250</v>
      </c>
      <c r="R390" s="276">
        <f>IF(Tabla2[[#This Row],[Saldo]]=0,0,IF(Tabla2[[#This Row],[Tipo cliente]]="PJ",Tabla2[[#This Row],[SUBTOTAL]]*0.966%,0))</f>
        <v>1690.5</v>
      </c>
      <c r="S390" s="276">
        <f>IF(Tabla2[[#This Row],[Retiene IVA]]="S",Tabla2[[#This Row],[IVA]]*0.15,0)</f>
        <v>0</v>
      </c>
      <c r="T390" s="265"/>
      <c r="U39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222190.5</v>
      </c>
      <c r="W390" s="23">
        <f>IF(Tabla2[[#This Row],[Fecha F.E.]]="","",YEAR(Tabla2[[#This Row],[Fecha F.E.]]))</f>
        <v>2024</v>
      </c>
      <c r="X390" s="23">
        <f>IF(Tabla2[[#This Row],[Fecha]]="","",YEAR(Tabla2[[#This Row],[Fecha]]))</f>
        <v>2024</v>
      </c>
    </row>
    <row r="391" spans="1:24" x14ac:dyDescent="0.25">
      <c r="A391" s="3">
        <v>391</v>
      </c>
      <c r="B391" s="77" t="s">
        <v>1553</v>
      </c>
      <c r="C391" s="360">
        <v>45420</v>
      </c>
      <c r="D391" s="76" t="s">
        <v>1554</v>
      </c>
      <c r="E391" s="360">
        <v>45420</v>
      </c>
      <c r="F391" s="78" t="s">
        <v>231</v>
      </c>
      <c r="G391" s="85">
        <v>901587426</v>
      </c>
      <c r="H391" s="177" t="str">
        <f>VLOOKUP(Tabla2[[#This Row],[NIT]],Clientes!A:C,2,0)</f>
        <v>STAFF SEGUROS AGENCIA LTDA</v>
      </c>
      <c r="I391" s="77" t="str">
        <f>VLOOKUP(Tabla2[[#This Row],[NIT]],Clientes!A:C,3,0)</f>
        <v>PJ</v>
      </c>
      <c r="J391" s="77"/>
      <c r="K391" s="267">
        <f>SUMIFS(Tabla4[Sub Total],Tabla4[Codigo],Tabla2[[#This Row],[Cod]])</f>
        <v>300000</v>
      </c>
      <c r="L391" s="262">
        <f>SUMPRODUCT((Tabla4[Codigo]=Tabla2[[#This Row],[Cod]])*1,Tabla4[IVA])</f>
        <v>57000</v>
      </c>
      <c r="M391" s="262">
        <f>SUMIFS(Tabla4[Total],Tabla4[Codigo],Tabla2[[#This Row],[Cod]])</f>
        <v>357000</v>
      </c>
      <c r="N391" s="278">
        <f>SUMPRODUCT((Tabla1[Codigo]=Tabla2[[#This Row],[Cod]])*1,Tabla1[Valor])</f>
        <v>357000</v>
      </c>
      <c r="O391" s="265">
        <f>IF(AND(Tabla2[[#This Row],[Estado]]="ok",LEFT(Tabla2[[#This Row],['# Factura]],3)="TIS"),Tabla2[[#This Row],[TOTAL]]-Tabla2[[#This Row],[pagado]],0)</f>
        <v>0</v>
      </c>
      <c r="P391" s="262">
        <f>Tabla2[[#This Row],[TOTAL]]-Tabla2[[#This Row],[Valor pago]]</f>
        <v>0</v>
      </c>
      <c r="Q391" s="265">
        <f>IF(Tabla2[[#This Row],[Saldo]]=0,0,IF(Tabla2[[#This Row],[Tipo cliente]]="PJ",Tabla2[[#This Row],[SUBTOTAL]]*11%,0))</f>
        <v>0</v>
      </c>
      <c r="R391" s="276">
        <f>IF(Tabla2[[#This Row],[Saldo]]=0,0,IF(Tabla2[[#This Row],[Tipo cliente]]="PJ",Tabla2[[#This Row],[SUBTOTAL]]*0.966%,0))</f>
        <v>0</v>
      </c>
      <c r="S391" s="276">
        <f>IF(Tabla2[[#This Row],[Retiene IVA]]="S",Tabla2[[#This Row],[IVA]]*0.15,0)</f>
        <v>0</v>
      </c>
      <c r="T391" s="265"/>
      <c r="U39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391" s="23">
        <f>IF(Tabla2[[#This Row],[Fecha F.E.]]="","",YEAR(Tabla2[[#This Row],[Fecha F.E.]]))</f>
        <v>2024</v>
      </c>
      <c r="X391" s="23">
        <f>IF(Tabla2[[#This Row],[Fecha]]="","",YEAR(Tabla2[[#This Row],[Fecha]]))</f>
        <v>2024</v>
      </c>
    </row>
    <row r="392" spans="1:24" x14ac:dyDescent="0.25">
      <c r="A392" s="3">
        <v>392</v>
      </c>
      <c r="B392" s="77" t="s">
        <v>1555</v>
      </c>
      <c r="C392" s="360">
        <v>45420</v>
      </c>
      <c r="D392" s="76" t="s">
        <v>1556</v>
      </c>
      <c r="E392" s="360">
        <v>45420</v>
      </c>
      <c r="F392" s="78" t="s">
        <v>231</v>
      </c>
      <c r="G392" s="85">
        <v>900505660</v>
      </c>
      <c r="H392" s="177" t="str">
        <f>VLOOKUP(Tabla2[[#This Row],[NIT]],Clientes!A:C,2,0)</f>
        <v>DIGITAL MEDIA TECHNOLOGIES COLOMBIA SAS</v>
      </c>
      <c r="I392" s="77" t="str">
        <f>VLOOKUP(Tabla2[[#This Row],[NIT]],Clientes!A:C,3,0)</f>
        <v>PJ</v>
      </c>
      <c r="J392" s="77"/>
      <c r="K392" s="267">
        <f>SUMIFS(Tabla4[Sub Total],Tabla4[Codigo],Tabla2[[#This Row],[Cod]])</f>
        <v>250000</v>
      </c>
      <c r="L392" s="262">
        <f>SUMPRODUCT((Tabla4[Codigo]=Tabla2[[#This Row],[Cod]])*1,Tabla4[IVA])</f>
        <v>47500</v>
      </c>
      <c r="M392" s="262">
        <f>SUMIFS(Tabla4[Total],Tabla4[Codigo],Tabla2[[#This Row],[Cod]])</f>
        <v>297500</v>
      </c>
      <c r="N392" s="278">
        <f>SUMPRODUCT((Tabla1[Codigo]=Tabla2[[#This Row],[Cod]])*1,Tabla1[Valor])</f>
        <v>270000</v>
      </c>
      <c r="O392" s="265">
        <f>IF(AND(Tabla2[[#This Row],[Estado]]="ok",LEFT(Tabla2[[#This Row],['# Factura]],3)="TIS"),Tabla2[[#This Row],[TOTAL]]-Tabla2[[#This Row],[pagado]],0)</f>
        <v>-2415</v>
      </c>
      <c r="P392" s="262">
        <f>Tabla2[[#This Row],[TOTAL]]-Tabla2[[#This Row],[Valor pago]]</f>
        <v>27500</v>
      </c>
      <c r="Q392" s="265">
        <f>IF(Tabla2[[#This Row],[Saldo]]=0,0,IF(Tabla2[[#This Row],[Tipo cliente]]="PJ",Tabla2[[#This Row],[SUBTOTAL]]*11%,0))</f>
        <v>27500</v>
      </c>
      <c r="R392" s="276">
        <f>IF(Tabla2[[#This Row],[Saldo]]=0,0,IF(Tabla2[[#This Row],[Tipo cliente]]="PJ",Tabla2[[#This Row],[SUBTOTAL]]*0.966%,0))</f>
        <v>2415</v>
      </c>
      <c r="S392" s="276">
        <f>IF(Tabla2[[#This Row],[Retiene IVA]]="S",Tabla2[[#This Row],[IVA]]*0.15,0)</f>
        <v>0</v>
      </c>
      <c r="T392" s="265"/>
      <c r="U39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299915</v>
      </c>
      <c r="W392" s="23">
        <f>IF(Tabla2[[#This Row],[Fecha F.E.]]="","",YEAR(Tabla2[[#This Row],[Fecha F.E.]]))</f>
        <v>2024</v>
      </c>
      <c r="X392" s="23">
        <f>IF(Tabla2[[#This Row],[Fecha]]="","",YEAR(Tabla2[[#This Row],[Fecha]]))</f>
        <v>2024</v>
      </c>
    </row>
    <row r="393" spans="1:24" x14ac:dyDescent="0.25">
      <c r="A393" s="3">
        <v>393</v>
      </c>
      <c r="B393" s="77" t="s">
        <v>1557</v>
      </c>
      <c r="C393" s="360">
        <v>45420</v>
      </c>
      <c r="D393" s="76" t="s">
        <v>1558</v>
      </c>
      <c r="E393" s="360">
        <v>45420</v>
      </c>
      <c r="F393" s="78" t="s">
        <v>231</v>
      </c>
      <c r="G393" s="85">
        <v>901030518</v>
      </c>
      <c r="H393" s="177" t="str">
        <f>VLOOKUP(Tabla2[[#This Row],[NIT]],Clientes!A:C,2,0)</f>
        <v>Inversiones Sajamib SAS</v>
      </c>
      <c r="I393" s="77" t="str">
        <f>VLOOKUP(Tabla2[[#This Row],[NIT]],Clientes!A:C,3,0)</f>
        <v>PJ</v>
      </c>
      <c r="J393" s="77"/>
      <c r="K393" s="267">
        <f>SUMIFS(Tabla4[Sub Total],Tabla4[Codigo],Tabla2[[#This Row],[Cod]])</f>
        <v>400000</v>
      </c>
      <c r="L393" s="262">
        <f>SUMPRODUCT((Tabla4[Codigo]=Tabla2[[#This Row],[Cod]])*1,Tabla4[IVA])</f>
        <v>0</v>
      </c>
      <c r="M393" s="262">
        <f>SUMIFS(Tabla4[Total],Tabla4[Codigo],Tabla2[[#This Row],[Cod]])</f>
        <v>400000</v>
      </c>
      <c r="N393" s="278">
        <f>SUMPRODUCT((Tabla1[Codigo]=Tabla2[[#This Row],[Cod]])*1,Tabla1[Valor])</f>
        <v>400000</v>
      </c>
      <c r="O393" s="265">
        <f>IF(AND(Tabla2[[#This Row],[Estado]]="ok",LEFT(Tabla2[[#This Row],['# Factura]],3)="TIS"),Tabla2[[#This Row],[TOTAL]]-Tabla2[[#This Row],[pagado]],0)</f>
        <v>0</v>
      </c>
      <c r="P393" s="262">
        <f>Tabla2[[#This Row],[TOTAL]]-Tabla2[[#This Row],[Valor pago]]</f>
        <v>0</v>
      </c>
      <c r="Q393" s="265">
        <f>IF(Tabla2[[#This Row],[Saldo]]=0,0,IF(Tabla2[[#This Row],[Tipo cliente]]="PJ",Tabla2[[#This Row],[SUBTOTAL]]*11%,0))</f>
        <v>0</v>
      </c>
      <c r="R393" s="276">
        <f>IF(Tabla2[[#This Row],[Saldo]]=0,0,IF(Tabla2[[#This Row],[Tipo cliente]]="PJ",Tabla2[[#This Row],[SUBTOTAL]]*0.966%,0))</f>
        <v>0</v>
      </c>
      <c r="S393" s="276">
        <f>IF(Tabla2[[#This Row],[Retiene IVA]]="S",Tabla2[[#This Row],[IVA]]*0.15,0)</f>
        <v>0</v>
      </c>
      <c r="T393" s="265"/>
      <c r="U39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400000</v>
      </c>
      <c r="W393" s="23">
        <f>IF(Tabla2[[#This Row],[Fecha F.E.]]="","",YEAR(Tabla2[[#This Row],[Fecha F.E.]]))</f>
        <v>2024</v>
      </c>
      <c r="X393" s="23">
        <f>IF(Tabla2[[#This Row],[Fecha]]="","",YEAR(Tabla2[[#This Row],[Fecha]]))</f>
        <v>2024</v>
      </c>
    </row>
    <row r="394" spans="1:24" x14ac:dyDescent="0.25">
      <c r="A394" s="3">
        <v>394</v>
      </c>
      <c r="B394" s="77" t="s">
        <v>1559</v>
      </c>
      <c r="C394" s="360">
        <v>45420</v>
      </c>
      <c r="D394" s="76" t="s">
        <v>1560</v>
      </c>
      <c r="E394" s="360">
        <v>45420</v>
      </c>
      <c r="F394" s="78" t="s">
        <v>231</v>
      </c>
      <c r="G394" s="85">
        <v>901588265</v>
      </c>
      <c r="H394" s="177" t="str">
        <f>VLOOKUP(Tabla2[[#This Row],[NIT]],Clientes!A:C,2,0)</f>
        <v>GENUINE TECH SAS</v>
      </c>
      <c r="I394" s="77" t="str">
        <f>VLOOKUP(Tabla2[[#This Row],[NIT]],Clientes!A:C,3,0)</f>
        <v>PJ</v>
      </c>
      <c r="J394" s="77"/>
      <c r="K394" s="267">
        <f>SUMIFS(Tabla4[Sub Total],Tabla4[Codigo],Tabla2[[#This Row],[Cod]])</f>
        <v>545454</v>
      </c>
      <c r="L394" s="262">
        <f>SUMPRODUCT((Tabla4[Codigo]=Tabla2[[#This Row],[Cod]])*1,Tabla4[IVA])</f>
        <v>103636.26</v>
      </c>
      <c r="M394" s="262">
        <f>SUMIFS(Tabla4[Total],Tabla4[Codigo],Tabla2[[#This Row],[Cod]])</f>
        <v>649090.26</v>
      </c>
      <c r="N394" s="278">
        <f>SUMPRODUCT((Tabla1[Codigo]=Tabla2[[#This Row],[Cod]])*1,Tabla1[Valor])</f>
        <v>622003</v>
      </c>
      <c r="O394" s="265">
        <f>IF(AND(Tabla2[[#This Row],[Estado]]="ok",LEFT(Tabla2[[#This Row],['# Factura]],3)="TIS"),Tabla2[[#This Row],[TOTAL]]-Tabla2[[#This Row],[pagado]],0)</f>
        <v>-38181.765639999881</v>
      </c>
      <c r="P394" s="262">
        <f>Tabla2[[#This Row],[TOTAL]]-Tabla2[[#This Row],[Valor pago]]</f>
        <v>27087.260000000009</v>
      </c>
      <c r="Q394" s="265">
        <f>IF(Tabla2[[#This Row],[Saldo]]=0,0,IF(Tabla2[[#This Row],[Tipo cliente]]="PJ",Tabla2[[#This Row],[SUBTOTAL]]*11%,0))</f>
        <v>59999.94</v>
      </c>
      <c r="R394" s="276">
        <f>IF(Tabla2[[#This Row],[Saldo]]=0,0,IF(Tabla2[[#This Row],[Tipo cliente]]="PJ",Tabla2[[#This Row],[SUBTOTAL]]*0.966%,0))</f>
        <v>5269.0856400000002</v>
      </c>
      <c r="S394" s="276">
        <f>IF(Tabla2[[#This Row],[Retiene IVA]]="S",Tabla2[[#This Row],[IVA]]*0.15,0)</f>
        <v>0</v>
      </c>
      <c r="T394" s="265"/>
      <c r="U39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687272.02563999989</v>
      </c>
      <c r="W394" s="23">
        <f>IF(Tabla2[[#This Row],[Fecha F.E.]]="","",YEAR(Tabla2[[#This Row],[Fecha F.E.]]))</f>
        <v>2024</v>
      </c>
      <c r="X394" s="23">
        <f>IF(Tabla2[[#This Row],[Fecha]]="","",YEAR(Tabla2[[#This Row],[Fecha]]))</f>
        <v>2024</v>
      </c>
    </row>
    <row r="395" spans="1:24" x14ac:dyDescent="0.25">
      <c r="A395" s="3">
        <v>395</v>
      </c>
      <c r="B395" s="77" t="s">
        <v>1561</v>
      </c>
      <c r="C395" s="360">
        <f>+E395</f>
        <v>45420</v>
      </c>
      <c r="D395" s="76" t="s">
        <v>1562</v>
      </c>
      <c r="E395" s="360">
        <v>45420</v>
      </c>
      <c r="F395" s="78" t="s">
        <v>231</v>
      </c>
      <c r="G395" s="85">
        <v>900694193</v>
      </c>
      <c r="H395" s="177" t="str">
        <f>VLOOKUP(Tabla2[[#This Row],[NIT]],Clientes!A:C,2,0)</f>
        <v>ALVEAR ESCOBAR ASOCIADOS S.A.S</v>
      </c>
      <c r="I395" s="77">
        <f>VLOOKUP(Tabla2[[#This Row],[NIT]],Clientes!A:C,3,0)</f>
        <v>0</v>
      </c>
      <c r="J395" s="73" t="s">
        <v>794</v>
      </c>
      <c r="K395" s="267">
        <f>SUMIFS(Tabla4[Sub Total],Tabla4[Codigo],Tabla2[[#This Row],[Cod]])</f>
        <v>5700</v>
      </c>
      <c r="L395" s="262">
        <f>SUMPRODUCT((Tabla4[Codigo]=Tabla2[[#This Row],[Cod]])*1,Tabla4[IVA])</f>
        <v>1083</v>
      </c>
      <c r="M395" s="262">
        <f>SUMIFS(Tabla4[Total],Tabla4[Codigo],Tabla2[[#This Row],[Cod]])</f>
        <v>6783</v>
      </c>
      <c r="N395" s="278">
        <f>SUMPRODUCT((Tabla1[Codigo]=Tabla2[[#This Row],[Cod]])*1,Tabla1[Valor])</f>
        <v>0</v>
      </c>
      <c r="O395" s="265">
        <f>IF(AND(Tabla2[[#This Row],[Estado]]="ok",LEFT(Tabla2[[#This Row],['# Factura]],3)="TIS"),Tabla2[[#This Row],[TOTAL]]-Tabla2[[#This Row],[pagado]],0)</f>
        <v>6783</v>
      </c>
      <c r="P395" s="262">
        <f>Tabla2[[#This Row],[TOTAL]]-Tabla2[[#This Row],[Valor pago]]</f>
        <v>6783</v>
      </c>
      <c r="Q395" s="265">
        <f>IF(Tabla2[[#This Row],[Saldo]]=0,0,IF(Tabla2[[#This Row],[Tipo cliente]]="PJ",Tabla2[[#This Row],[SUBTOTAL]]*11%,0))</f>
        <v>0</v>
      </c>
      <c r="R395" s="276">
        <f>IF(Tabla2[[#This Row],[Saldo]]=0,0,IF(Tabla2[[#This Row],[Tipo cliente]]="PJ",Tabla2[[#This Row],[SUBTOTAL]]*0.966%,0))</f>
        <v>0</v>
      </c>
      <c r="S395" s="276">
        <f>IF(Tabla2[[#This Row],[Retiene IVA]]="S",Tabla2[[#This Row],[IVA]]*0.15,0)</f>
        <v>0</v>
      </c>
      <c r="T395" s="265"/>
      <c r="U39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395" s="23">
        <f>IF(Tabla2[[#This Row],[Fecha F.E.]]="","",YEAR(Tabla2[[#This Row],[Fecha F.E.]]))</f>
        <v>2024</v>
      </c>
      <c r="X395" s="23">
        <f>IF(Tabla2[[#This Row],[Fecha]]="","",YEAR(Tabla2[[#This Row],[Fecha]]))</f>
        <v>2024</v>
      </c>
    </row>
    <row r="396" spans="1:24" x14ac:dyDescent="0.25">
      <c r="A396" s="3">
        <v>396</v>
      </c>
      <c r="B396" s="77" t="s">
        <v>1563</v>
      </c>
      <c r="C396" s="360">
        <f>+E396</f>
        <v>45420</v>
      </c>
      <c r="D396" s="76" t="s">
        <v>1564</v>
      </c>
      <c r="E396" s="360">
        <v>45420</v>
      </c>
      <c r="F396" s="78" t="s">
        <v>231</v>
      </c>
      <c r="G396" s="85">
        <v>900694193</v>
      </c>
      <c r="H396" s="177" t="str">
        <f>VLOOKUP(Tabla2[[#This Row],[NIT]],Clientes!A:C,2,0)</f>
        <v>ALVEAR ESCOBAR ASOCIADOS S.A.S</v>
      </c>
      <c r="I396" s="77">
        <f>VLOOKUP(Tabla2[[#This Row],[NIT]],Clientes!A:C,3,0)</f>
        <v>0</v>
      </c>
      <c r="J396" s="73" t="s">
        <v>794</v>
      </c>
      <c r="K396" s="267">
        <f>SUMIFS(Tabla4[Sub Total],Tabla4[Codigo],Tabla2[[#This Row],[Cod]])</f>
        <v>190350</v>
      </c>
      <c r="L396" s="262">
        <f>SUMPRODUCT((Tabla4[Codigo]=Tabla2[[#This Row],[Cod]])*1,Tabla4[IVA])</f>
        <v>36166.5</v>
      </c>
      <c r="M396" s="262">
        <f>SUMIFS(Tabla4[Total],Tabla4[Codigo],Tabla2[[#This Row],[Cod]])</f>
        <v>226516.5</v>
      </c>
      <c r="N396" s="278">
        <f>SUMPRODUCT((Tabla1[Codigo]=Tabla2[[#This Row],[Cod]])*1,Tabla1[Valor])</f>
        <v>222180</v>
      </c>
      <c r="O396" s="265">
        <f>IF(AND(Tabla2[[#This Row],[Estado]]="ok",LEFT(Tabla2[[#This Row],['# Factura]],3)="TIS"),Tabla2[[#This Row],[TOTAL]]-Tabla2[[#This Row],[pagado]],0)</f>
        <v>4336.5</v>
      </c>
      <c r="P396" s="262">
        <f>Tabla2[[#This Row],[TOTAL]]-Tabla2[[#This Row],[Valor pago]]</f>
        <v>4336.5</v>
      </c>
      <c r="Q396" s="265">
        <f>IF(Tabla2[[#This Row],[Saldo]]=0,0,IF(Tabla2[[#This Row],[Tipo cliente]]="PJ",Tabla2[[#This Row],[SUBTOTAL]]*11%,0))</f>
        <v>0</v>
      </c>
      <c r="R396" s="276">
        <f>IF(Tabla2[[#This Row],[Saldo]]=0,0,IF(Tabla2[[#This Row],[Tipo cliente]]="PJ",Tabla2[[#This Row],[SUBTOTAL]]*0.966%,0))</f>
        <v>0</v>
      </c>
      <c r="S396" s="276">
        <f>IF(Tabla2[[#This Row],[Retiene IVA]]="S",Tabla2[[#This Row],[IVA]]*0.15,0)</f>
        <v>0</v>
      </c>
      <c r="T396" s="265"/>
      <c r="U39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222180</v>
      </c>
      <c r="W396" s="23">
        <f>IF(Tabla2[[#This Row],[Fecha F.E.]]="","",YEAR(Tabla2[[#This Row],[Fecha F.E.]]))</f>
        <v>2024</v>
      </c>
      <c r="X396" s="23">
        <f>IF(Tabla2[[#This Row],[Fecha]]="","",YEAR(Tabla2[[#This Row],[Fecha]]))</f>
        <v>2024</v>
      </c>
    </row>
    <row r="397" spans="1:24" x14ac:dyDescent="0.25">
      <c r="A397" s="3">
        <v>397</v>
      </c>
      <c r="B397" s="77" t="s">
        <v>1565</v>
      </c>
      <c r="C397" s="360">
        <v>45420</v>
      </c>
      <c r="D397" s="76" t="s">
        <v>1566</v>
      </c>
      <c r="E397" s="360">
        <v>45420</v>
      </c>
      <c r="F397" s="78" t="s">
        <v>231</v>
      </c>
      <c r="G397" s="85">
        <v>830031255</v>
      </c>
      <c r="H397" s="177" t="str">
        <f>VLOOKUP(Tabla2[[#This Row],[NIT]],Clientes!A:C,2,0)</f>
        <v>GB BARRETO Y CIA LTDA - ASESORES DE SEGUROS</v>
      </c>
      <c r="I397" s="77" t="str">
        <f>VLOOKUP(Tabla2[[#This Row],[NIT]],Clientes!A:C,3,0)</f>
        <v>PJ</v>
      </c>
      <c r="J397" s="77"/>
      <c r="K397" s="267">
        <f>SUMIFS(Tabla4[Sub Total],Tabla4[Codigo],Tabla2[[#This Row],[Cod]])</f>
        <v>600000</v>
      </c>
      <c r="L397" s="262">
        <f>SUMPRODUCT((Tabla4[Codigo]=Tabla2[[#This Row],[Cod]])*1,Tabla4[IVA])</f>
        <v>114000</v>
      </c>
      <c r="M397" s="262">
        <f>SUMIFS(Tabla4[Total],Tabla4[Codigo],Tabla2[[#This Row],[Cod]])</f>
        <v>714000</v>
      </c>
      <c r="N397" s="278">
        <f>SUMPRODUCT((Tabla1[Codigo]=Tabla2[[#This Row],[Cod]])*1,Tabla1[Valor])</f>
        <v>714000</v>
      </c>
      <c r="O397" s="265">
        <f>IF(AND(Tabla2[[#This Row],[Estado]]="ok",LEFT(Tabla2[[#This Row],['# Factura]],3)="TIS"),Tabla2[[#This Row],[TOTAL]]-Tabla2[[#This Row],[pagado]],0)</f>
        <v>0</v>
      </c>
      <c r="P397" s="262">
        <f>Tabla2[[#This Row],[TOTAL]]-Tabla2[[#This Row],[Valor pago]]</f>
        <v>0</v>
      </c>
      <c r="Q397" s="265">
        <f>IF(Tabla2[[#This Row],[Saldo]]=0,0,IF(Tabla2[[#This Row],[Tipo cliente]]="PJ",Tabla2[[#This Row],[SUBTOTAL]]*11%,0))</f>
        <v>0</v>
      </c>
      <c r="R397" s="276">
        <f>IF(Tabla2[[#This Row],[Saldo]]=0,0,IF(Tabla2[[#This Row],[Tipo cliente]]="PJ",Tabla2[[#This Row],[SUBTOTAL]]*0.966%,0))</f>
        <v>0</v>
      </c>
      <c r="S397" s="276">
        <f>IF(Tabla2[[#This Row],[Retiene IVA]]="S",Tabla2[[#This Row],[IVA]]*0.15,0)</f>
        <v>0</v>
      </c>
      <c r="T397" s="265"/>
      <c r="U39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714000</v>
      </c>
      <c r="W397" s="23">
        <f>IF(Tabla2[[#This Row],[Fecha F.E.]]="","",YEAR(Tabla2[[#This Row],[Fecha F.E.]]))</f>
        <v>2024</v>
      </c>
      <c r="X397" s="23">
        <f>IF(Tabla2[[#This Row],[Fecha]]="","",YEAR(Tabla2[[#This Row],[Fecha]]))</f>
        <v>2024</v>
      </c>
    </row>
    <row r="398" spans="1:24" ht="26.25" x14ac:dyDescent="0.25">
      <c r="A398" s="3">
        <v>399</v>
      </c>
      <c r="B398" s="77" t="s">
        <v>1567</v>
      </c>
      <c r="C398" s="360">
        <v>45420</v>
      </c>
      <c r="D398" s="76" t="s">
        <v>1568</v>
      </c>
      <c r="E398" s="360">
        <v>45420</v>
      </c>
      <c r="F398" s="78" t="s">
        <v>231</v>
      </c>
      <c r="G398" s="85">
        <v>901034790</v>
      </c>
      <c r="H398" s="177" t="str">
        <f>VLOOKUP(Tabla2[[#This Row],[NIT]],Clientes!A:C,2,0)</f>
        <v>INSTITUTO DISTRITAL DE CIENCIA, BIOTECNOLOGIA E INNOVACION EN SALUD</v>
      </c>
      <c r="I398" s="77" t="str">
        <f>VLOOKUP(Tabla2[[#This Row],[NIT]],Clientes!A:C,3,0)</f>
        <v>PJ</v>
      </c>
      <c r="J398" s="77"/>
      <c r="K398" s="267">
        <f>SUMIFS(Tabla4[Sub Total],Tabla4[Codigo],Tabla2[[#This Row],[Cod]])</f>
        <v>6690000</v>
      </c>
      <c r="L398" s="262">
        <f>SUMPRODUCT((Tabla4[Codigo]=Tabla2[[#This Row],[Cod]])*1,Tabla4[IVA])</f>
        <v>1271100</v>
      </c>
      <c r="M398" s="262">
        <f>SUMIFS(Tabla4[Total],Tabla4[Codigo],Tabla2[[#This Row],[Cod]])</f>
        <v>7961100</v>
      </c>
      <c r="N398" s="278">
        <f>SUMPRODUCT((Tabla1[Codigo]=Tabla2[[#This Row],[Cod]])*1,Tabla1[Valor])</f>
        <v>7451590</v>
      </c>
      <c r="O398" s="265">
        <f>IF(AND(Tabla2[[#This Row],[Estado]]="ok",LEFT(Tabla2[[#This Row],['# Factura]],3)="TIS"),Tabla2[[#This Row],[TOTAL]]-Tabla2[[#This Row],[pagado]],0)</f>
        <v>-291015.40000000037</v>
      </c>
      <c r="P398" s="262">
        <f>Tabla2[[#This Row],[TOTAL]]-Tabla2[[#This Row],[Valor pago]]</f>
        <v>509510</v>
      </c>
      <c r="Q398" s="265">
        <f>IF(Tabla2[[#This Row],[Saldo]]=0,0,IF(Tabla2[[#This Row],[Tipo cliente]]="PJ",Tabla2[[#This Row],[SUBTOTAL]]*11%,0))</f>
        <v>735900</v>
      </c>
      <c r="R398" s="276">
        <f>IF(Tabla2[[#This Row],[Saldo]]=0,0,IF(Tabla2[[#This Row],[Tipo cliente]]="PJ",Tabla2[[#This Row],[SUBTOTAL]]*0.966%,0))</f>
        <v>64625.4</v>
      </c>
      <c r="S398" s="276">
        <f>IF(Tabla2[[#This Row],[Retiene IVA]]="S",Tabla2[[#This Row],[IVA]]*0.15,0)</f>
        <v>0</v>
      </c>
      <c r="T398" s="265"/>
      <c r="U39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8252115.4000000004</v>
      </c>
      <c r="W398" s="23">
        <f>IF(Tabla2[[#This Row],[Fecha F.E.]]="","",YEAR(Tabla2[[#This Row],[Fecha F.E.]]))</f>
        <v>2024</v>
      </c>
      <c r="X398" s="23">
        <f>IF(Tabla2[[#This Row],[Fecha]]="","",YEAR(Tabla2[[#This Row],[Fecha]]))</f>
        <v>2024</v>
      </c>
    </row>
    <row r="399" spans="1:24" x14ac:dyDescent="0.25">
      <c r="A399" s="3">
        <v>400</v>
      </c>
      <c r="B399" s="77" t="s">
        <v>1569</v>
      </c>
      <c r="C399" s="360">
        <f>+E399</f>
        <v>45449</v>
      </c>
      <c r="D399" s="76" t="s">
        <v>1570</v>
      </c>
      <c r="E399" s="360">
        <v>45449</v>
      </c>
      <c r="F399" s="78" t="s">
        <v>231</v>
      </c>
      <c r="G399" s="85">
        <v>800028768</v>
      </c>
      <c r="H399" s="177" t="str">
        <f>VLOOKUP(Tabla2[[#This Row],[NIT]],Clientes!A:C,2,0)</f>
        <v>Comercializadora ERZ SAS</v>
      </c>
      <c r="I399" s="77" t="str">
        <f>VLOOKUP(Tabla2[[#This Row],[NIT]],Clientes!A:C,3,0)</f>
        <v>PJ</v>
      </c>
      <c r="J399" s="77"/>
      <c r="K399" s="267">
        <f>SUMIFS(Tabla4[Sub Total],Tabla4[Codigo],Tabla2[[#This Row],[Cod]])</f>
        <v>260000</v>
      </c>
      <c r="L399" s="262">
        <f>SUMPRODUCT((Tabla4[Codigo]=Tabla2[[#This Row],[Cod]])*1,Tabla4[IVA])</f>
        <v>49400</v>
      </c>
      <c r="M399" s="262">
        <f>SUMIFS(Tabla4[Total],Tabla4[Codigo],Tabla2[[#This Row],[Cod]])</f>
        <v>309400</v>
      </c>
      <c r="N399" s="278">
        <f>SUMPRODUCT((Tabla1[Codigo]=Tabla2[[#This Row],[Cod]])*1,Tabla1[Valor])</f>
        <v>291550</v>
      </c>
      <c r="O399" s="265">
        <f>IF(AND(Tabla2[[#This Row],[Estado]]="ok",LEFT(Tabla2[[#This Row],['# Factura]],3)="TIS"),Tabla2[[#This Row],[TOTAL]]-Tabla2[[#This Row],[pagado]],0)</f>
        <v>-13261.599999999977</v>
      </c>
      <c r="P399" s="262">
        <f>Tabla2[[#This Row],[TOTAL]]-Tabla2[[#This Row],[Valor pago]]</f>
        <v>17850</v>
      </c>
      <c r="Q399" s="265">
        <f>IF(Tabla2[[#This Row],[Saldo]]=0,0,IF(Tabla2[[#This Row],[Tipo cliente]]="PJ",Tabla2[[#This Row],[SUBTOTAL]]*11%,0))</f>
        <v>28600</v>
      </c>
      <c r="R399" s="276">
        <f>IF(Tabla2[[#This Row],[Saldo]]=0,0,IF(Tabla2[[#This Row],[Tipo cliente]]="PJ",Tabla2[[#This Row],[SUBTOTAL]]*0.966%,0))</f>
        <v>2511.6</v>
      </c>
      <c r="S399" s="276">
        <f>IF(Tabla2[[#This Row],[Retiene IVA]]="S",Tabla2[[#This Row],[IVA]]*0.15,0)</f>
        <v>0</v>
      </c>
      <c r="T399" s="265"/>
      <c r="U39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322661.59999999998</v>
      </c>
      <c r="W399" s="23">
        <f>IF(Tabla2[[#This Row],[Fecha F.E.]]="","",YEAR(Tabla2[[#This Row],[Fecha F.E.]]))</f>
        <v>2024</v>
      </c>
      <c r="X399" s="23">
        <f>IF(Tabla2[[#This Row],[Fecha]]="","",YEAR(Tabla2[[#This Row],[Fecha]]))</f>
        <v>2024</v>
      </c>
    </row>
    <row r="400" spans="1:24" x14ac:dyDescent="0.25">
      <c r="A400" s="325">
        <v>401</v>
      </c>
      <c r="B400" s="77" t="s">
        <v>1571</v>
      </c>
      <c r="C400" s="360">
        <v>45449</v>
      </c>
      <c r="D400" s="76" t="s">
        <v>1572</v>
      </c>
      <c r="E400" s="360">
        <v>45449</v>
      </c>
      <c r="F400" s="78" t="s">
        <v>231</v>
      </c>
      <c r="G400" s="85">
        <v>901342609</v>
      </c>
      <c r="H400" s="177" t="str">
        <f>VLOOKUP(Tabla2[[#This Row],[NIT]],Clientes!A:C,2,0)</f>
        <v>ROYCO SOLUCIONES SAS</v>
      </c>
      <c r="I400" s="77" t="str">
        <f>VLOOKUP(Tabla2[[#This Row],[NIT]],Clientes!A:C,3,0)</f>
        <v>PJ</v>
      </c>
      <c r="J400" s="77"/>
      <c r="K400" s="267">
        <f>SUMIFS(Tabla4[Sub Total],Tabla4[Codigo],Tabla2[[#This Row],[Cod]])</f>
        <v>175000</v>
      </c>
      <c r="L400" s="262">
        <f>SUMPRODUCT((Tabla4[Codigo]=Tabla2[[#This Row],[Cod]])*1,Tabla4[IVA])</f>
        <v>33250</v>
      </c>
      <c r="M400" s="262">
        <f>SUMIFS(Tabla4[Total],Tabla4[Codigo],Tabla2[[#This Row],[Cod]])</f>
        <v>208250</v>
      </c>
      <c r="N400" s="372">
        <f>SUMPRODUCT((Tabla1[Codigo]=Tabla2[[#This Row],[Cod]])*1,Tabla1[Valor])</f>
        <v>201250</v>
      </c>
      <c r="O400" s="265">
        <f>IF(AND(Tabla2[[#This Row],[Estado]]="ok",LEFT(Tabla2[[#This Row],['# Factura]],3)="TIS"),Tabla2[[#This Row],[TOTAL]]-Tabla2[[#This Row],[pagado]],0)</f>
        <v>-13940.5</v>
      </c>
      <c r="P400" s="262">
        <f>Tabla2[[#This Row],[TOTAL]]-Tabla2[[#This Row],[Valor pago]]</f>
        <v>7000</v>
      </c>
      <c r="Q400" s="265">
        <f>IF(Tabla2[[#This Row],[Saldo]]=0,0,IF(Tabla2[[#This Row],[Tipo cliente]]="PJ",Tabla2[[#This Row],[SUBTOTAL]]*11%,0))</f>
        <v>19250</v>
      </c>
      <c r="R400" s="276">
        <f>IF(Tabla2[[#This Row],[Saldo]]=0,0,IF(Tabla2[[#This Row],[Tipo cliente]]="PJ",Tabla2[[#This Row],[SUBTOTAL]]*0.966%,0))</f>
        <v>1690.5</v>
      </c>
      <c r="S400" s="276">
        <f>IF(Tabla2[[#This Row],[Retiene IVA]]="S",Tabla2[[#This Row],[IVA]]*0.15,0)</f>
        <v>0</v>
      </c>
      <c r="T400" s="265"/>
      <c r="U40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222190.5</v>
      </c>
      <c r="W400" s="23">
        <f>IF(Tabla2[[#This Row],[Fecha F.E.]]="","",YEAR(Tabla2[[#This Row],[Fecha F.E.]]))</f>
        <v>2024</v>
      </c>
      <c r="X400" s="23">
        <f>IF(Tabla2[[#This Row],[Fecha]]="","",YEAR(Tabla2[[#This Row],[Fecha]]))</f>
        <v>2024</v>
      </c>
    </row>
    <row r="401" spans="1:24" x14ac:dyDescent="0.25">
      <c r="A401" s="3">
        <v>402</v>
      </c>
      <c r="B401" s="77" t="s">
        <v>1573</v>
      </c>
      <c r="C401" s="360">
        <v>45449</v>
      </c>
      <c r="D401" s="76" t="s">
        <v>1574</v>
      </c>
      <c r="E401" s="360">
        <v>45449</v>
      </c>
      <c r="F401" s="78" t="s">
        <v>231</v>
      </c>
      <c r="G401" s="85">
        <v>900505660</v>
      </c>
      <c r="H401" s="177" t="str">
        <f>VLOOKUP(Tabla2[[#This Row],[NIT]],Clientes!A:C,2,0)</f>
        <v>DIGITAL MEDIA TECHNOLOGIES COLOMBIA SAS</v>
      </c>
      <c r="I401" s="77" t="str">
        <f>VLOOKUP(Tabla2[[#This Row],[NIT]],Clientes!A:C,3,0)</f>
        <v>PJ</v>
      </c>
      <c r="J401" s="77"/>
      <c r="K401" s="267">
        <f>SUMIFS(Tabla4[Sub Total],Tabla4[Codigo],Tabla2[[#This Row],[Cod]])</f>
        <v>300000</v>
      </c>
      <c r="L401" s="262">
        <f>SUMPRODUCT((Tabla4[Codigo]=Tabla2[[#This Row],[Cod]])*1,Tabla4[IVA])</f>
        <v>57000</v>
      </c>
      <c r="M401" s="262">
        <f>SUMIFS(Tabla4[Total],Tabla4[Codigo],Tabla2[[#This Row],[Cod]])</f>
        <v>357000</v>
      </c>
      <c r="N401" s="278">
        <f>SUMPRODUCT((Tabla1[Codigo]=Tabla2[[#This Row],[Cod]])*1,Tabla1[Valor])</f>
        <v>357000</v>
      </c>
      <c r="O401" s="265">
        <f>IF(AND(Tabla2[[#This Row],[Estado]]="ok",LEFT(Tabla2[[#This Row],['# Factura]],3)="TIS"),Tabla2[[#This Row],[TOTAL]]-Tabla2[[#This Row],[pagado]],0)</f>
        <v>0</v>
      </c>
      <c r="P401" s="262">
        <f>Tabla2[[#This Row],[TOTAL]]-Tabla2[[#This Row],[Valor pago]]</f>
        <v>0</v>
      </c>
      <c r="Q401" s="265">
        <f>IF(Tabla2[[#This Row],[Saldo]]=0,0,IF(Tabla2[[#This Row],[Tipo cliente]]="PJ",Tabla2[[#This Row],[SUBTOTAL]]*11%,0))</f>
        <v>0</v>
      </c>
      <c r="R401" s="276">
        <f>IF(Tabla2[[#This Row],[Saldo]]=0,0,IF(Tabla2[[#This Row],[Tipo cliente]]="PJ",Tabla2[[#This Row],[SUBTOTAL]]*0.966%,0))</f>
        <v>0</v>
      </c>
      <c r="S401" s="276">
        <f>IF(Tabla2[[#This Row],[Retiene IVA]]="S",Tabla2[[#This Row],[IVA]]*0.15,0)</f>
        <v>0</v>
      </c>
      <c r="T401" s="265"/>
      <c r="U40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401" s="23">
        <f>IF(Tabla2[[#This Row],[Fecha F.E.]]="","",YEAR(Tabla2[[#This Row],[Fecha F.E.]]))</f>
        <v>2024</v>
      </c>
      <c r="X401" s="23">
        <f>IF(Tabla2[[#This Row],[Fecha]]="","",YEAR(Tabla2[[#This Row],[Fecha]]))</f>
        <v>2024</v>
      </c>
    </row>
    <row r="402" spans="1:24" x14ac:dyDescent="0.25">
      <c r="A402" s="3">
        <v>403</v>
      </c>
      <c r="B402" s="77" t="s">
        <v>1575</v>
      </c>
      <c r="C402" s="360">
        <v>45449</v>
      </c>
      <c r="D402" s="76" t="s">
        <v>1576</v>
      </c>
      <c r="E402" s="360">
        <v>45449</v>
      </c>
      <c r="F402" s="78" t="s">
        <v>231</v>
      </c>
      <c r="G402" s="85">
        <v>901588265</v>
      </c>
      <c r="H402" s="177" t="str">
        <f>VLOOKUP(Tabla2[[#This Row],[NIT]],Clientes!A:C,2,0)</f>
        <v>GENUINE TECH SAS</v>
      </c>
      <c r="I402" s="77" t="str">
        <f>VLOOKUP(Tabla2[[#This Row],[NIT]],Clientes!A:C,3,0)</f>
        <v>PJ</v>
      </c>
      <c r="J402" s="77"/>
      <c r="K402" s="267">
        <f>SUMIFS(Tabla4[Sub Total],Tabla4[Codigo],Tabla2[[#This Row],[Cod]])</f>
        <v>545454</v>
      </c>
      <c r="L402" s="262">
        <f>SUMPRODUCT((Tabla4[Codigo]=Tabla2[[#This Row],[Cod]])*1,Tabla4[IVA])</f>
        <v>103636.26</v>
      </c>
      <c r="M402" s="262">
        <f>SUMIFS(Tabla4[Total],Tabla4[Codigo],Tabla2[[#This Row],[Cod]])</f>
        <v>649090.26</v>
      </c>
      <c r="N402" s="278">
        <f>SUMPRODUCT((Tabla1[Codigo]=Tabla2[[#This Row],[Cod]])*1,Tabla1[Valor])</f>
        <v>622003</v>
      </c>
      <c r="O402" s="265">
        <f>IF(AND(Tabla2[[#This Row],[Estado]]="ok",LEFT(Tabla2[[#This Row],['# Factura]],3)="TIS"),Tabla2[[#This Row],[TOTAL]]-Tabla2[[#This Row],[pagado]],0)</f>
        <v>-38181.765639999881</v>
      </c>
      <c r="P402" s="262">
        <f>Tabla2[[#This Row],[TOTAL]]-Tabla2[[#This Row],[Valor pago]]</f>
        <v>27087.260000000009</v>
      </c>
      <c r="Q402" s="265">
        <f>IF(Tabla2[[#This Row],[Saldo]]=0,0,IF(Tabla2[[#This Row],[Tipo cliente]]="PJ",Tabla2[[#This Row],[SUBTOTAL]]*11%,0))</f>
        <v>59999.94</v>
      </c>
      <c r="R402" s="276">
        <f>IF(Tabla2[[#This Row],[Saldo]]=0,0,IF(Tabla2[[#This Row],[Tipo cliente]]="PJ",Tabla2[[#This Row],[SUBTOTAL]]*0.966%,0))</f>
        <v>5269.0856400000002</v>
      </c>
      <c r="S402" s="276">
        <f>IF(Tabla2[[#This Row],[Retiene IVA]]="S",Tabla2[[#This Row],[IVA]]*0.15,0)</f>
        <v>0</v>
      </c>
      <c r="T402" s="265"/>
      <c r="U40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687272.02563999989</v>
      </c>
      <c r="W402" s="23">
        <f>IF(Tabla2[[#This Row],[Fecha F.E.]]="","",YEAR(Tabla2[[#This Row],[Fecha F.E.]]))</f>
        <v>2024</v>
      </c>
      <c r="X402" s="23">
        <f>IF(Tabla2[[#This Row],[Fecha]]="","",YEAR(Tabla2[[#This Row],[Fecha]]))</f>
        <v>2024</v>
      </c>
    </row>
    <row r="403" spans="1:24" x14ac:dyDescent="0.25">
      <c r="A403" s="325">
        <v>404</v>
      </c>
      <c r="B403" s="226" t="s">
        <v>1577</v>
      </c>
      <c r="C403" s="327">
        <f>+E403</f>
        <v>45449</v>
      </c>
      <c r="D403" s="170" t="s">
        <v>1578</v>
      </c>
      <c r="E403" s="327">
        <v>45449</v>
      </c>
      <c r="F403" s="241" t="s">
        <v>231</v>
      </c>
      <c r="G403" s="329">
        <v>860090915</v>
      </c>
      <c r="H403" s="226" t="str">
        <f>VLOOKUP(Tabla2[[#This Row],[NIT]],Clientes!A:C,2,0)</f>
        <v>ACTIVOS SAS</v>
      </c>
      <c r="I403" s="226" t="str">
        <f>VLOOKUP(Tabla2[[#This Row],[NIT]],Clientes!A:C,3,0)</f>
        <v>PJ</v>
      </c>
      <c r="J403" s="226"/>
      <c r="K403" s="330">
        <f>SUMIFS(Tabla4[Sub Total],Tabla4[Codigo],Tabla2[[#This Row],[Cod]])</f>
        <v>5040000</v>
      </c>
      <c r="L403" s="280">
        <f>SUMPRODUCT((Tabla4[Codigo]=Tabla2[[#This Row],[Cod]])*1,Tabla4[IVA])</f>
        <v>957600</v>
      </c>
      <c r="M403" s="280">
        <f>SUMIFS(Tabla4[Total],Tabla4[Codigo],Tabla2[[#This Row],[Cod]])</f>
        <v>5997600</v>
      </c>
      <c r="N403" s="331">
        <f>SUMPRODUCT((Tabla1[Codigo]=Tabla2[[#This Row],[Cod]])*1,Tabla1[Valor])</f>
        <v>5608714</v>
      </c>
      <c r="O403" s="332">
        <f>IF(AND(Tabla2[[#This Row],[Estado]]="ok",LEFT(Tabla2[[#This Row],['# Factura]],3)="TIS"),Tabla2[[#This Row],[TOTAL]]-Tabla2[[#This Row],[pagado]],0)</f>
        <v>-214200.40000000037</v>
      </c>
      <c r="P403" s="262">
        <f>Tabla2[[#This Row],[TOTAL]]-Tabla2[[#This Row],[Valor pago]]</f>
        <v>388886</v>
      </c>
      <c r="Q403" s="265">
        <f>IF(Tabla2[[#This Row],[Saldo]]=0,0,IF(Tabla2[[#This Row],[Tipo cliente]]="PJ",Tabla2[[#This Row],[SUBTOTAL]]*11%,0))</f>
        <v>554400</v>
      </c>
      <c r="R403" s="276">
        <f>IF(Tabla2[[#This Row],[Saldo]]=0,0,IF(Tabla2[[#This Row],[Tipo cliente]]="PJ",Tabla2[[#This Row],[SUBTOTAL]]*0.966%,0))</f>
        <v>48686.400000000001</v>
      </c>
      <c r="S403" s="276">
        <f>IF(Tabla2[[#This Row],[Retiene IVA]]="S",Tabla2[[#This Row],[IVA]]*0.15,0)</f>
        <v>0</v>
      </c>
      <c r="T403" s="265"/>
      <c r="U40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6211800.4000000004</v>
      </c>
      <c r="W403" s="23">
        <f>IF(Tabla2[[#This Row],[Fecha F.E.]]="","",YEAR(Tabla2[[#This Row],[Fecha F.E.]]))</f>
        <v>2024</v>
      </c>
      <c r="X403" s="23">
        <f>IF(Tabla2[[#This Row],[Fecha]]="","",YEAR(Tabla2[[#This Row],[Fecha]]))</f>
        <v>2024</v>
      </c>
    </row>
    <row r="404" spans="1:24" ht="26.25" x14ac:dyDescent="0.25">
      <c r="A404" s="3">
        <v>405</v>
      </c>
      <c r="B404" s="77" t="s">
        <v>1579</v>
      </c>
      <c r="C404" s="360">
        <v>45449</v>
      </c>
      <c r="D404" s="76" t="s">
        <v>1580</v>
      </c>
      <c r="E404" s="360">
        <v>45449</v>
      </c>
      <c r="F404" s="78" t="s">
        <v>231</v>
      </c>
      <c r="G404" s="85">
        <v>900704478</v>
      </c>
      <c r="H404" s="177" t="str">
        <f>VLOOKUP(Tabla2[[#This Row],[NIT]],Clientes!A:C,2,0)</f>
        <v>INDUSTRIAS Y SOLUCIONES METALMECANICAS COLOMBIA SAS</v>
      </c>
      <c r="I404" s="77" t="str">
        <f>VLOOKUP(Tabla2[[#This Row],[NIT]],Clientes!A:C,3,0)</f>
        <v>PJ</v>
      </c>
      <c r="J404" s="77"/>
      <c r="K404" s="267">
        <f>SUMIFS(Tabla4[Sub Total],Tabla4[Codigo],Tabla2[[#This Row],[Cod]])</f>
        <v>2000000</v>
      </c>
      <c r="L404" s="262">
        <f>SUMPRODUCT((Tabla4[Codigo]=Tabla2[[#This Row],[Cod]])*1,Tabla4[IVA])</f>
        <v>380000</v>
      </c>
      <c r="M404" s="262">
        <f>SUMIFS(Tabla4[Total],Tabla4[Codigo],Tabla2[[#This Row],[Cod]])</f>
        <v>2380000</v>
      </c>
      <c r="N404" s="278">
        <f>SUMPRODUCT((Tabla1[Codigo]=Tabla2[[#This Row],[Cod]])*1,Tabla1[Valor])</f>
        <v>2380000</v>
      </c>
      <c r="O404" s="265">
        <f>IF(AND(Tabla2[[#This Row],[Estado]]="ok",LEFT(Tabla2[[#This Row],['# Factura]],3)="TIS"),Tabla2[[#This Row],[TOTAL]]-Tabla2[[#This Row],[pagado]],0)</f>
        <v>0</v>
      </c>
      <c r="P404" s="262">
        <f>Tabla2[[#This Row],[TOTAL]]-Tabla2[[#This Row],[Valor pago]]</f>
        <v>0</v>
      </c>
      <c r="Q404" s="265">
        <f>IF(Tabla2[[#This Row],[Saldo]]=0,0,IF(Tabla2[[#This Row],[Tipo cliente]]="PJ",Tabla2[[#This Row],[SUBTOTAL]]*11%,0))</f>
        <v>0</v>
      </c>
      <c r="R404" s="276">
        <f>IF(Tabla2[[#This Row],[Saldo]]=0,0,IF(Tabla2[[#This Row],[Tipo cliente]]="PJ",Tabla2[[#This Row],[SUBTOTAL]]*0.966%,0))</f>
        <v>0</v>
      </c>
      <c r="S404" s="276">
        <f>IF(Tabla2[[#This Row],[Retiene IVA]]="S",Tabla2[[#This Row],[IVA]]*0.15,0)</f>
        <v>0</v>
      </c>
      <c r="T404" s="265"/>
      <c r="U40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2380000</v>
      </c>
      <c r="W404" s="23">
        <f>IF(Tabla2[[#This Row],[Fecha F.E.]]="","",YEAR(Tabla2[[#This Row],[Fecha F.E.]]))</f>
        <v>2024</v>
      </c>
      <c r="X404" s="23">
        <f>IF(Tabla2[[#This Row],[Fecha]]="","",YEAR(Tabla2[[#This Row],[Fecha]]))</f>
        <v>2024</v>
      </c>
    </row>
    <row r="405" spans="1:24" ht="26.25" x14ac:dyDescent="0.25">
      <c r="A405" s="3">
        <v>406</v>
      </c>
      <c r="B405" s="77" t="s">
        <v>1581</v>
      </c>
      <c r="C405" s="360">
        <v>45460</v>
      </c>
      <c r="D405" s="76" t="s">
        <v>1582</v>
      </c>
      <c r="E405" s="360">
        <v>45460</v>
      </c>
      <c r="F405" s="78" t="s">
        <v>231</v>
      </c>
      <c r="G405" s="85">
        <v>830054076</v>
      </c>
      <c r="H405" s="177" t="str">
        <f>VLOOKUP(Tabla2[[#This Row],[NIT]],Clientes!A:C,2,0)</f>
        <v>FIDEICOMISOS SOCIEDAD FIDUCIARIA DE OCCIDENTE SA</v>
      </c>
      <c r="I405" s="77" t="str">
        <f>VLOOKUP(Tabla2[[#This Row],[NIT]],Clientes!A:C,3,0)</f>
        <v>PJ</v>
      </c>
      <c r="J405" s="77"/>
      <c r="K405" s="267">
        <f>SUMIFS(Tabla4[Sub Total],Tabla4[Codigo],Tabla2[[#This Row],[Cod]])</f>
        <v>7950000</v>
      </c>
      <c r="L405" s="262">
        <f>SUMPRODUCT((Tabla4[Codigo]=Tabla2[[#This Row],[Cod]])*1,Tabla4[IVA])</f>
        <v>1510500</v>
      </c>
      <c r="M405" s="262">
        <f>SUMIFS(Tabla4[Total],Tabla4[Codigo],Tabla2[[#This Row],[Cod]])</f>
        <v>9460500</v>
      </c>
      <c r="N405" s="278">
        <f>SUMPRODUCT((Tabla1[Codigo]=Tabla2[[#This Row],[Cod]])*1,Tabla1[Valor])</f>
        <v>8282628</v>
      </c>
      <c r="O405" s="265">
        <f>IF(AND(Tabla2[[#This Row],[Estado]]="ok",LEFT(Tabla2[[#This Row],['# Factura]],3)="TIS"),Tabla2[[#This Row],[TOTAL]]-Tabla2[[#This Row],[pagado]],0)</f>
        <v>226575</v>
      </c>
      <c r="P405" s="262">
        <f>Tabla2[[#This Row],[TOTAL]]-Tabla2[[#This Row],[Valor pago]]</f>
        <v>1177872</v>
      </c>
      <c r="Q405" s="265">
        <f>IF(Tabla2[[#This Row],[Saldo]]=0,0,IF(Tabla2[[#This Row],[Tipo cliente]]="PJ",Tabla2[[#This Row],[SUBTOTAL]]*11%,0))</f>
        <v>874500</v>
      </c>
      <c r="R405" s="276">
        <f>IF(Tabla2[[#This Row],[Saldo]]=0,0,IF(Tabla2[[#This Row],[Tipo cliente]]="PJ",Tabla2[[#This Row],[SUBTOTAL]]*0.966%,0))</f>
        <v>76797</v>
      </c>
      <c r="S405" s="276">
        <f>IF(Tabla2[[#This Row],[Retiene IVA]]="S",Tabla2[[#This Row],[IVA]]*0.15,0)</f>
        <v>0</v>
      </c>
      <c r="T405" s="265"/>
      <c r="U40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9233925</v>
      </c>
      <c r="W405" s="23">
        <f>IF(Tabla2[[#This Row],[Fecha F.E.]]="","",YEAR(Tabla2[[#This Row],[Fecha F.E.]]))</f>
        <v>2024</v>
      </c>
      <c r="X405" s="23">
        <f>IF(Tabla2[[#This Row],[Fecha]]="","",YEAR(Tabla2[[#This Row],[Fecha]]))</f>
        <v>2024</v>
      </c>
    </row>
    <row r="406" spans="1:24" x14ac:dyDescent="0.25">
      <c r="A406" s="3">
        <v>407</v>
      </c>
      <c r="B406" s="77" t="s">
        <v>1583</v>
      </c>
      <c r="C406" s="360">
        <v>45470</v>
      </c>
      <c r="D406" s="76" t="s">
        <v>1584</v>
      </c>
      <c r="E406" s="360">
        <v>45470</v>
      </c>
      <c r="F406" s="78" t="s">
        <v>231</v>
      </c>
      <c r="G406" s="85">
        <v>900136900</v>
      </c>
      <c r="H406" s="177" t="str">
        <f>VLOOKUP(Tabla2[[#This Row],[NIT]],Clientes!A:C,2,0)</f>
        <v>MARCEGAGLIA COLOMBIA SAS</v>
      </c>
      <c r="I406" s="77" t="str">
        <f>VLOOKUP(Tabla2[[#This Row],[NIT]],Clientes!A:C,3,0)</f>
        <v>PJ</v>
      </c>
      <c r="J406" s="77"/>
      <c r="K406" s="267">
        <f>SUMIFS(Tabla4[Sub Total],Tabla4[Codigo],Tabla2[[#This Row],[Cod]])</f>
        <v>500000</v>
      </c>
      <c r="L406" s="262">
        <f>SUMPRODUCT((Tabla4[Codigo]=Tabla2[[#This Row],[Cod]])*1,Tabla4[IVA])</f>
        <v>95000</v>
      </c>
      <c r="M406" s="262">
        <f>SUMIFS(Tabla4[Total],Tabla4[Codigo],Tabla2[[#This Row],[Cod]])</f>
        <v>595000</v>
      </c>
      <c r="N406" s="278">
        <f>SUMPRODUCT((Tabla1[Codigo]=Tabla2[[#This Row],[Cod]])*1,Tabla1[Valor])</f>
        <v>557750</v>
      </c>
      <c r="O406" s="265">
        <f>IF(AND(Tabla2[[#This Row],[Estado]]="ok",LEFT(Tabla2[[#This Row],['# Factura]],3)="TIS"),Tabla2[[#This Row],[TOTAL]]-Tabla2[[#This Row],[pagado]],0)</f>
        <v>-22580</v>
      </c>
      <c r="P406" s="262">
        <f>Tabla2[[#This Row],[TOTAL]]-Tabla2[[#This Row],[Valor pago]]</f>
        <v>37250</v>
      </c>
      <c r="Q406" s="265">
        <f>IF(Tabla2[[#This Row],[Saldo]]=0,0,IF(Tabla2[[#This Row],[Tipo cliente]]="PJ",Tabla2[[#This Row],[SUBTOTAL]]*11%,0))</f>
        <v>55000</v>
      </c>
      <c r="R406" s="276">
        <f>IF(Tabla2[[#This Row],[Saldo]]=0,0,IF(Tabla2[[#This Row],[Tipo cliente]]="PJ",Tabla2[[#This Row],[SUBTOTAL]]*0.966%,0))</f>
        <v>4830</v>
      </c>
      <c r="S406" s="276">
        <f>IF(Tabla2[[#This Row],[Retiene IVA]]="S",Tabla2[[#This Row],[IVA]]*0.15,0)</f>
        <v>0</v>
      </c>
      <c r="T406" s="265"/>
      <c r="U40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617580</v>
      </c>
      <c r="W406" s="23">
        <f>IF(Tabla2[[#This Row],[Fecha F.E.]]="","",YEAR(Tabla2[[#This Row],[Fecha F.E.]]))</f>
        <v>2024</v>
      </c>
      <c r="X406" s="23">
        <f>IF(Tabla2[[#This Row],[Fecha]]="","",YEAR(Tabla2[[#This Row],[Fecha]]))</f>
        <v>2024</v>
      </c>
    </row>
    <row r="407" spans="1:24" ht="26.25" x14ac:dyDescent="0.25">
      <c r="A407" s="3">
        <v>408</v>
      </c>
      <c r="B407" s="77" t="s">
        <v>1585</v>
      </c>
      <c r="C407" s="360">
        <v>45477</v>
      </c>
      <c r="D407" s="76" t="s">
        <v>1586</v>
      </c>
      <c r="E407" s="360">
        <v>45477</v>
      </c>
      <c r="F407" s="78" t="s">
        <v>231</v>
      </c>
      <c r="G407" s="85">
        <v>860524219</v>
      </c>
      <c r="H407" s="177" t="str">
        <f>VLOOKUP(Tabla2[[#This Row],[NIT]],Clientes!A:C,2,0)</f>
        <v>FUNDACION DE EDUCACION SUPERIOR SAN JOSE FESSANJOSE</v>
      </c>
      <c r="I407" s="77" t="str">
        <f>VLOOKUP(Tabla2[[#This Row],[NIT]],Clientes!A:C,3,0)</f>
        <v>PJ</v>
      </c>
      <c r="J407" s="77"/>
      <c r="K407" s="267">
        <f>SUMIFS(Tabla4[Sub Total],Tabla4[Codigo],Tabla2[[#This Row],[Cod]])</f>
        <v>1000000</v>
      </c>
      <c r="L407" s="262">
        <f>SUMPRODUCT((Tabla4[Codigo]=Tabla2[[#This Row],[Cod]])*1,Tabla4[IVA])</f>
        <v>190000</v>
      </c>
      <c r="M407" s="262">
        <f>SUMIFS(Tabla4[Total],Tabla4[Codigo],Tabla2[[#This Row],[Cod]])</f>
        <v>1190000</v>
      </c>
      <c r="N407" s="278">
        <f>SUMPRODUCT((Tabla1[Codigo]=Tabla2[[#This Row],[Cod]])*1,Tabla1[Valor])</f>
        <v>1071340</v>
      </c>
      <c r="O407" s="265">
        <f>IF(AND(Tabla2[[#This Row],[Estado]]="ok",LEFT(Tabla2[[#This Row],['# Factura]],3)="TIS"),Tabla2[[#This Row],[TOTAL]]-Tabla2[[#This Row],[pagado]],0)</f>
        <v>-1000</v>
      </c>
      <c r="P407" s="262">
        <f>Tabla2[[#This Row],[TOTAL]]-Tabla2[[#This Row],[Valor pago]]</f>
        <v>118660</v>
      </c>
      <c r="Q407" s="265">
        <f>IF(Tabla2[[#This Row],[Saldo]]=0,0,IF(Tabla2[[#This Row],[Tipo cliente]]="PJ",Tabla2[[#This Row],[SUBTOTAL]]*11%,0))</f>
        <v>110000</v>
      </c>
      <c r="R407" s="276">
        <f>IF(Tabla2[[#This Row],[Saldo]]=0,0,IF(Tabla2[[#This Row],[Tipo cliente]]="PJ",Tabla2[[#This Row],[SUBTOTAL]]*0.966%,0))</f>
        <v>9660</v>
      </c>
      <c r="S407" s="276">
        <f>IF(Tabla2[[#This Row],[Retiene IVA]]="S",Tabla2[[#This Row],[IVA]]*0.15,0)</f>
        <v>0</v>
      </c>
      <c r="T407" s="265"/>
      <c r="U40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1191000</v>
      </c>
      <c r="W407" s="23">
        <f>IF(Tabla2[[#This Row],[Fecha F.E.]]="","",YEAR(Tabla2[[#This Row],[Fecha F.E.]]))</f>
        <v>2024</v>
      </c>
      <c r="X407" s="23">
        <f>IF(Tabla2[[#This Row],[Fecha]]="","",YEAR(Tabla2[[#This Row],[Fecha]]))</f>
        <v>2024</v>
      </c>
    </row>
    <row r="408" spans="1:24" x14ac:dyDescent="0.25">
      <c r="A408" s="3">
        <v>409</v>
      </c>
      <c r="B408" s="77" t="s">
        <v>1587</v>
      </c>
      <c r="C408" s="360">
        <f>+E408</f>
        <v>45481</v>
      </c>
      <c r="D408" s="76" t="s">
        <v>1588</v>
      </c>
      <c r="E408" s="360">
        <v>45481</v>
      </c>
      <c r="F408" s="78" t="s">
        <v>231</v>
      </c>
      <c r="G408" s="85">
        <v>800028768</v>
      </c>
      <c r="H408" s="177" t="str">
        <f>VLOOKUP(Tabla2[[#This Row],[NIT]],Clientes!A:C,2,0)</f>
        <v>Comercializadora ERZ SAS</v>
      </c>
      <c r="I408" s="77" t="str">
        <f>VLOOKUP(Tabla2[[#This Row],[NIT]],Clientes!A:C,3,0)</f>
        <v>PJ</v>
      </c>
      <c r="J408" s="77"/>
      <c r="K408" s="267">
        <f>SUMIFS(Tabla4[Sub Total],Tabla4[Codigo],Tabla2[[#This Row],[Cod]])</f>
        <v>260000</v>
      </c>
      <c r="L408" s="262">
        <f>SUMPRODUCT((Tabla4[Codigo]=Tabla2[[#This Row],[Cod]])*1,Tabla4[IVA])</f>
        <v>49400</v>
      </c>
      <c r="M408" s="262">
        <f>SUMIFS(Tabla4[Total],Tabla4[Codigo],Tabla2[[#This Row],[Cod]])</f>
        <v>309400</v>
      </c>
      <c r="N408" s="278">
        <f>SUMPRODUCT((Tabla1[Codigo]=Tabla2[[#This Row],[Cod]])*1,Tabla1[Valor])</f>
        <v>280800</v>
      </c>
      <c r="O408" s="265">
        <f>IF(AND(Tabla2[[#This Row],[Estado]]="ok",LEFT(Tabla2[[#This Row],['# Factura]],3)="TIS"),Tabla2[[#This Row],[TOTAL]]-Tabla2[[#This Row],[pagado]],0)</f>
        <v>-2511.5999999999767</v>
      </c>
      <c r="P408" s="262">
        <f>Tabla2[[#This Row],[TOTAL]]-Tabla2[[#This Row],[Valor pago]]</f>
        <v>28600</v>
      </c>
      <c r="Q408" s="265">
        <f>IF(Tabla2[[#This Row],[Saldo]]=0,0,IF(Tabla2[[#This Row],[Tipo cliente]]="PJ",Tabla2[[#This Row],[SUBTOTAL]]*11%,0))</f>
        <v>28600</v>
      </c>
      <c r="R408" s="276">
        <f>IF(Tabla2[[#This Row],[Saldo]]=0,0,IF(Tabla2[[#This Row],[Tipo cliente]]="PJ",Tabla2[[#This Row],[SUBTOTAL]]*0.966%,0))</f>
        <v>2511.6</v>
      </c>
      <c r="S408" s="276">
        <f>IF(Tabla2[[#This Row],[Retiene IVA]]="S",Tabla2[[#This Row],[IVA]]*0.15,0)</f>
        <v>0</v>
      </c>
      <c r="T408" s="265"/>
      <c r="U40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311911.59999999998</v>
      </c>
      <c r="W408" s="23">
        <f>IF(Tabla2[[#This Row],[Fecha F.E.]]="","",YEAR(Tabla2[[#This Row],[Fecha F.E.]]))</f>
        <v>2024</v>
      </c>
      <c r="X408" s="23">
        <f>IF(Tabla2[[#This Row],[Fecha]]="","",YEAR(Tabla2[[#This Row],[Fecha]]))</f>
        <v>2024</v>
      </c>
    </row>
    <row r="409" spans="1:24" x14ac:dyDescent="0.25">
      <c r="A409" s="3">
        <v>410</v>
      </c>
      <c r="B409" s="77" t="s">
        <v>1589</v>
      </c>
      <c r="C409" s="360">
        <v>45481</v>
      </c>
      <c r="D409" s="76" t="s">
        <v>1590</v>
      </c>
      <c r="E409" s="360">
        <v>45481</v>
      </c>
      <c r="F409" s="78" t="s">
        <v>231</v>
      </c>
      <c r="G409" s="85">
        <v>901342609</v>
      </c>
      <c r="H409" s="177" t="str">
        <f>VLOOKUP(Tabla2[[#This Row],[NIT]],Clientes!A:C,2,0)</f>
        <v>ROYCO SOLUCIONES SAS</v>
      </c>
      <c r="I409" s="77" t="str">
        <f>VLOOKUP(Tabla2[[#This Row],[NIT]],Clientes!A:C,3,0)</f>
        <v>PJ</v>
      </c>
      <c r="J409" s="77"/>
      <c r="K409" s="267">
        <f>SUMIFS(Tabla4[Sub Total],Tabla4[Codigo],Tabla2[[#This Row],[Cod]])</f>
        <v>175000</v>
      </c>
      <c r="L409" s="262">
        <f>SUMPRODUCT((Tabla4[Codigo]=Tabla2[[#This Row],[Cod]])*1,Tabla4[IVA])</f>
        <v>33250</v>
      </c>
      <c r="M409" s="262">
        <f>SUMIFS(Tabla4[Total],Tabla4[Codigo],Tabla2[[#This Row],[Cod]])</f>
        <v>208250</v>
      </c>
      <c r="N409" s="278">
        <f>SUMPRODUCT((Tabla1[Codigo]=Tabla2[[#This Row],[Cod]])*1,Tabla1[Valor])</f>
        <v>201250</v>
      </c>
      <c r="O409" s="265">
        <f>IF(AND(Tabla2[[#This Row],[Estado]]="ok",LEFT(Tabla2[[#This Row],['# Factura]],3)="TIS"),Tabla2[[#This Row],[TOTAL]]-Tabla2[[#This Row],[pagado]],0)</f>
        <v>-13940.5</v>
      </c>
      <c r="P409" s="262">
        <f>Tabla2[[#This Row],[TOTAL]]-Tabla2[[#This Row],[Valor pago]]</f>
        <v>7000</v>
      </c>
      <c r="Q409" s="265">
        <f>IF(Tabla2[[#This Row],[Saldo]]=0,0,IF(Tabla2[[#This Row],[Tipo cliente]]="PJ",Tabla2[[#This Row],[SUBTOTAL]]*11%,0))</f>
        <v>19250</v>
      </c>
      <c r="R409" s="276">
        <f>IF(Tabla2[[#This Row],[Saldo]]=0,0,IF(Tabla2[[#This Row],[Tipo cliente]]="PJ",Tabla2[[#This Row],[SUBTOTAL]]*0.966%,0))</f>
        <v>1690.5</v>
      </c>
      <c r="S409" s="276">
        <f>IF(Tabla2[[#This Row],[Retiene IVA]]="S",Tabla2[[#This Row],[IVA]]*0.15,0)</f>
        <v>0</v>
      </c>
      <c r="T409" s="265"/>
      <c r="U40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222190.5</v>
      </c>
      <c r="W409" s="23">
        <f>IF(Tabla2[[#This Row],[Fecha F.E.]]="","",YEAR(Tabla2[[#This Row],[Fecha F.E.]]))</f>
        <v>2024</v>
      </c>
      <c r="X409" s="23">
        <f>IF(Tabla2[[#This Row],[Fecha]]="","",YEAR(Tabla2[[#This Row],[Fecha]]))</f>
        <v>2024</v>
      </c>
    </row>
    <row r="410" spans="1:24" x14ac:dyDescent="0.25">
      <c r="A410" s="3">
        <v>411</v>
      </c>
      <c r="B410" s="77" t="s">
        <v>1591</v>
      </c>
      <c r="C410" s="360">
        <v>45481</v>
      </c>
      <c r="D410" s="76" t="s">
        <v>1592</v>
      </c>
      <c r="E410" s="360">
        <v>45481</v>
      </c>
      <c r="F410" s="78" t="s">
        <v>231</v>
      </c>
      <c r="G410" s="85">
        <v>901587426</v>
      </c>
      <c r="H410" s="177" t="str">
        <f>VLOOKUP(Tabla2[[#This Row],[NIT]],Clientes!A:C,2,0)</f>
        <v>STAFF SEGUROS AGENCIA LTDA</v>
      </c>
      <c r="I410" s="77" t="str">
        <f>VLOOKUP(Tabla2[[#This Row],[NIT]],Clientes!A:C,3,0)</f>
        <v>PJ</v>
      </c>
      <c r="J410" s="77"/>
      <c r="K410" s="267">
        <f>SUMIFS(Tabla4[Sub Total],Tabla4[Codigo],Tabla2[[#This Row],[Cod]])</f>
        <v>300000</v>
      </c>
      <c r="L410" s="262">
        <f>SUMPRODUCT((Tabla4[Codigo]=Tabla2[[#This Row],[Cod]])*1,Tabla4[IVA])</f>
        <v>57000</v>
      </c>
      <c r="M410" s="262">
        <f>SUMIFS(Tabla4[Total],Tabla4[Codigo],Tabla2[[#This Row],[Cod]])</f>
        <v>357000</v>
      </c>
      <c r="N410" s="278">
        <f>SUMPRODUCT((Tabla1[Codigo]=Tabla2[[#This Row],[Cod]])*1,Tabla1[Valor])</f>
        <v>357000</v>
      </c>
      <c r="O410" s="265">
        <f>IF(AND(Tabla2[[#This Row],[Estado]]="ok",LEFT(Tabla2[[#This Row],['# Factura]],3)="TIS"),Tabla2[[#This Row],[TOTAL]]-Tabla2[[#This Row],[pagado]],0)</f>
        <v>0</v>
      </c>
      <c r="P410" s="262">
        <f>Tabla2[[#This Row],[TOTAL]]-Tabla2[[#This Row],[Valor pago]]</f>
        <v>0</v>
      </c>
      <c r="Q410" s="265">
        <f>IF(Tabla2[[#This Row],[Saldo]]=0,0,IF(Tabla2[[#This Row],[Tipo cliente]]="PJ",Tabla2[[#This Row],[SUBTOTAL]]*11%,0))</f>
        <v>0</v>
      </c>
      <c r="R410" s="276">
        <f>IF(Tabla2[[#This Row],[Saldo]]=0,0,IF(Tabla2[[#This Row],[Tipo cliente]]="PJ",Tabla2[[#This Row],[SUBTOTAL]]*0.966%,0))</f>
        <v>0</v>
      </c>
      <c r="S410" s="276">
        <f>IF(Tabla2[[#This Row],[Retiene IVA]]="S",Tabla2[[#This Row],[IVA]]*0.15,0)</f>
        <v>0</v>
      </c>
      <c r="T410" s="265"/>
      <c r="U41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410" s="23">
        <f>IF(Tabla2[[#This Row],[Fecha F.E.]]="","",YEAR(Tabla2[[#This Row],[Fecha F.E.]]))</f>
        <v>2024</v>
      </c>
      <c r="X410" s="23">
        <f>IF(Tabla2[[#This Row],[Fecha]]="","",YEAR(Tabla2[[#This Row],[Fecha]]))</f>
        <v>2024</v>
      </c>
    </row>
    <row r="411" spans="1:24" x14ac:dyDescent="0.25">
      <c r="A411" s="3">
        <v>412</v>
      </c>
      <c r="B411" s="77" t="s">
        <v>1593</v>
      </c>
      <c r="C411" s="360">
        <v>45481</v>
      </c>
      <c r="D411" s="76" t="s">
        <v>1594</v>
      </c>
      <c r="E411" s="360">
        <v>45481</v>
      </c>
      <c r="F411" s="78" t="s">
        <v>231</v>
      </c>
      <c r="G411" s="85">
        <v>901587426</v>
      </c>
      <c r="H411" s="177" t="str">
        <f>VLOOKUP(Tabla2[[#This Row],[NIT]],Clientes!A:C,2,0)</f>
        <v>STAFF SEGUROS AGENCIA LTDA</v>
      </c>
      <c r="I411" s="77" t="str">
        <f>VLOOKUP(Tabla2[[#This Row],[NIT]],Clientes!A:C,3,0)</f>
        <v>PJ</v>
      </c>
      <c r="J411" s="77"/>
      <c r="K411" s="267">
        <f>SUMIFS(Tabla4[Sub Total],Tabla4[Codigo],Tabla2[[#This Row],[Cod]])</f>
        <v>900000</v>
      </c>
      <c r="L411" s="262">
        <f>SUMPRODUCT((Tabla4[Codigo]=Tabla2[[#This Row],[Cod]])*1,Tabla4[IVA])</f>
        <v>171000</v>
      </c>
      <c r="M411" s="262">
        <f>SUMIFS(Tabla4[Total],Tabla4[Codigo],Tabla2[[#This Row],[Cod]])</f>
        <v>1071000</v>
      </c>
      <c r="N411" s="278">
        <f>SUMPRODUCT((Tabla1[Codigo]=Tabla2[[#This Row],[Cod]])*1,Tabla1[Valor])</f>
        <v>1071000</v>
      </c>
      <c r="O411" s="265">
        <f>IF(AND(Tabla2[[#This Row],[Estado]]="ok",LEFT(Tabla2[[#This Row],['# Factura]],3)="TIS"),Tabla2[[#This Row],[TOTAL]]-Tabla2[[#This Row],[pagado]],0)</f>
        <v>0</v>
      </c>
      <c r="P411" s="262">
        <f>Tabla2[[#This Row],[TOTAL]]-Tabla2[[#This Row],[Valor pago]]</f>
        <v>0</v>
      </c>
      <c r="Q411" s="265">
        <f>IF(Tabla2[[#This Row],[Saldo]]=0,0,IF(Tabla2[[#This Row],[Tipo cliente]]="PJ",Tabla2[[#This Row],[SUBTOTAL]]*11%,0))</f>
        <v>0</v>
      </c>
      <c r="R411" s="276">
        <f>IF(Tabla2[[#This Row],[Saldo]]=0,0,IF(Tabla2[[#This Row],[Tipo cliente]]="PJ",Tabla2[[#This Row],[SUBTOTAL]]*0.966%,0))</f>
        <v>0</v>
      </c>
      <c r="S411" s="276">
        <f>IF(Tabla2[[#This Row],[Retiene IVA]]="S",Tabla2[[#This Row],[IVA]]*0.15,0)</f>
        <v>0</v>
      </c>
      <c r="T411" s="265"/>
      <c r="U41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1071000</v>
      </c>
      <c r="W411" s="23">
        <f>IF(Tabla2[[#This Row],[Fecha F.E.]]="","",YEAR(Tabla2[[#This Row],[Fecha F.E.]]))</f>
        <v>2024</v>
      </c>
      <c r="X411" s="23">
        <f>IF(Tabla2[[#This Row],[Fecha]]="","",YEAR(Tabla2[[#This Row],[Fecha]]))</f>
        <v>2024</v>
      </c>
    </row>
    <row r="412" spans="1:24" x14ac:dyDescent="0.25">
      <c r="A412" s="3">
        <v>413</v>
      </c>
      <c r="B412" s="77" t="s">
        <v>1595</v>
      </c>
      <c r="C412" s="360">
        <v>45481</v>
      </c>
      <c r="D412" s="76" t="s">
        <v>1596</v>
      </c>
      <c r="E412" s="360">
        <v>45481</v>
      </c>
      <c r="F412" s="78" t="s">
        <v>231</v>
      </c>
      <c r="G412" s="85">
        <v>900505660</v>
      </c>
      <c r="H412" s="177" t="str">
        <f>VLOOKUP(Tabla2[[#This Row],[NIT]],Clientes!A:C,2,0)</f>
        <v>DIGITAL MEDIA TECHNOLOGIES COLOMBIA SAS</v>
      </c>
      <c r="I412" s="77" t="str">
        <f>VLOOKUP(Tabla2[[#This Row],[NIT]],Clientes!A:C,3,0)</f>
        <v>PJ</v>
      </c>
      <c r="J412" s="77"/>
      <c r="K412" s="267">
        <f>SUMIFS(Tabla4[Sub Total],Tabla4[Codigo],Tabla2[[#This Row],[Cod]])</f>
        <v>300000</v>
      </c>
      <c r="L412" s="262">
        <f>SUMPRODUCT((Tabla4[Codigo]=Tabla2[[#This Row],[Cod]])*1,Tabla4[IVA])</f>
        <v>57000</v>
      </c>
      <c r="M412" s="262">
        <f>SUMIFS(Tabla4[Total],Tabla4[Codigo],Tabla2[[#This Row],[Cod]])</f>
        <v>357000</v>
      </c>
      <c r="N412" s="278">
        <f>SUMPRODUCT((Tabla1[Codigo]=Tabla2[[#This Row],[Cod]])*1,Tabla1[Valor])</f>
        <v>324000</v>
      </c>
      <c r="O412" s="265">
        <f>IF(AND(Tabla2[[#This Row],[Estado]]="ok",LEFT(Tabla2[[#This Row],['# Factura]],3)="TIS"),Tabla2[[#This Row],[TOTAL]]-Tabla2[[#This Row],[pagado]],0)</f>
        <v>-2898</v>
      </c>
      <c r="P412" s="262">
        <f>Tabla2[[#This Row],[TOTAL]]-Tabla2[[#This Row],[Valor pago]]</f>
        <v>33000</v>
      </c>
      <c r="Q412" s="265">
        <f>IF(Tabla2[[#This Row],[Saldo]]=0,0,IF(Tabla2[[#This Row],[Tipo cliente]]="PJ",Tabla2[[#This Row],[SUBTOTAL]]*11%,0))</f>
        <v>33000</v>
      </c>
      <c r="R412" s="276">
        <f>IF(Tabla2[[#This Row],[Saldo]]=0,0,IF(Tabla2[[#This Row],[Tipo cliente]]="PJ",Tabla2[[#This Row],[SUBTOTAL]]*0.966%,0))</f>
        <v>2898</v>
      </c>
      <c r="S412" s="276">
        <f>IF(Tabla2[[#This Row],[Retiene IVA]]="S",Tabla2[[#This Row],[IVA]]*0.15,0)</f>
        <v>0</v>
      </c>
      <c r="T412" s="265"/>
      <c r="U41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412" s="23">
        <f>IF(Tabla2[[#This Row],[Fecha F.E.]]="","",YEAR(Tabla2[[#This Row],[Fecha F.E.]]))</f>
        <v>2024</v>
      </c>
      <c r="X412" s="23">
        <f>IF(Tabla2[[#This Row],[Fecha]]="","",YEAR(Tabla2[[#This Row],[Fecha]]))</f>
        <v>2024</v>
      </c>
    </row>
    <row r="413" spans="1:24" x14ac:dyDescent="0.25">
      <c r="A413" s="3">
        <v>414</v>
      </c>
      <c r="B413" s="77" t="s">
        <v>1597</v>
      </c>
      <c r="C413" s="360">
        <v>45481</v>
      </c>
      <c r="D413" s="76" t="s">
        <v>1598</v>
      </c>
      <c r="E413" s="360">
        <v>45481</v>
      </c>
      <c r="F413" s="78" t="s">
        <v>231</v>
      </c>
      <c r="G413" s="85">
        <v>900355950</v>
      </c>
      <c r="H413" s="177" t="str">
        <f>VLOOKUP(Tabla2[[#This Row],[NIT]],Clientes!A:C,2,0)</f>
        <v>TECNOLOGIA DE OFICINA S.A.S.</v>
      </c>
      <c r="I413" s="77" t="str">
        <f>VLOOKUP(Tabla2[[#This Row],[NIT]],Clientes!A:C,3,0)</f>
        <v>PJ</v>
      </c>
      <c r="J413" s="77" t="s">
        <v>794</v>
      </c>
      <c r="K413" s="267">
        <f>SUMIFS(Tabla4[Sub Total],Tabla4[Codigo],Tabla2[[#This Row],[Cod]])</f>
        <v>648000</v>
      </c>
      <c r="L413" s="262">
        <f>SUMPRODUCT((Tabla4[Codigo]=Tabla2[[#This Row],[Cod]])*1,Tabla4[IVA])</f>
        <v>123120</v>
      </c>
      <c r="M413" s="262">
        <f>SUMIFS(Tabla4[Total],Tabla4[Codigo],Tabla2[[#This Row],[Cod]])</f>
        <v>771120</v>
      </c>
      <c r="N413" s="278">
        <f>SUMPRODUCT((Tabla1[Codigo]=Tabla2[[#This Row],[Cod]])*1,Tabla1[Valor])</f>
        <v>771120</v>
      </c>
      <c r="O413" s="265">
        <f>IF(AND(Tabla2[[#This Row],[Estado]]="ok",LEFT(Tabla2[[#This Row],['# Factura]],3)="TIS"),Tabla2[[#This Row],[TOTAL]]-Tabla2[[#This Row],[pagado]],0)</f>
        <v>0</v>
      </c>
      <c r="P413" s="262">
        <f>Tabla2[[#This Row],[TOTAL]]-Tabla2[[#This Row],[Valor pago]]</f>
        <v>0</v>
      </c>
      <c r="Q413" s="265">
        <f>IF(Tabla2[[#This Row],[Saldo]]=0,0,IF(Tabla2[[#This Row],[Tipo cliente]]="PJ",Tabla2[[#This Row],[SUBTOTAL]]*11%,0))</f>
        <v>0</v>
      </c>
      <c r="R413" s="276">
        <f>IF(Tabla2[[#This Row],[Saldo]]=0,0,IF(Tabla2[[#This Row],[Tipo cliente]]="PJ",Tabla2[[#This Row],[SUBTOTAL]]*0.966%,0))</f>
        <v>0</v>
      </c>
      <c r="S413" s="276">
        <f>IF(Tabla2[[#This Row],[Retiene IVA]]="S",Tabla2[[#This Row],[IVA]]*0.15,0)</f>
        <v>0</v>
      </c>
      <c r="T413" s="265"/>
      <c r="U41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771120</v>
      </c>
      <c r="W413" s="23">
        <f>IF(Tabla2[[#This Row],[Fecha F.E.]]="","",YEAR(Tabla2[[#This Row],[Fecha F.E.]]))</f>
        <v>2024</v>
      </c>
      <c r="X413" s="23">
        <f>IF(Tabla2[[#This Row],[Fecha]]="","",YEAR(Tabla2[[#This Row],[Fecha]]))</f>
        <v>2024</v>
      </c>
    </row>
    <row r="414" spans="1:24" x14ac:dyDescent="0.25">
      <c r="A414" s="3">
        <v>415</v>
      </c>
      <c r="B414" s="77" t="s">
        <v>1599</v>
      </c>
      <c r="C414" s="360">
        <v>45481</v>
      </c>
      <c r="D414" s="76" t="s">
        <v>1600</v>
      </c>
      <c r="E414" s="360">
        <v>45481</v>
      </c>
      <c r="F414" s="78" t="s">
        <v>231</v>
      </c>
      <c r="G414" s="85">
        <v>901588265</v>
      </c>
      <c r="H414" s="177" t="str">
        <f>VLOOKUP(Tabla2[[#This Row],[NIT]],Clientes!A:C,2,0)</f>
        <v>GENUINE TECH SAS</v>
      </c>
      <c r="I414" s="77" t="str">
        <f>VLOOKUP(Tabla2[[#This Row],[NIT]],Clientes!A:C,3,0)</f>
        <v>PJ</v>
      </c>
      <c r="J414" s="77"/>
      <c r="K414" s="267">
        <f>SUMIFS(Tabla4[Sub Total],Tabla4[Codigo],Tabla2[[#This Row],[Cod]])</f>
        <v>545454</v>
      </c>
      <c r="L414" s="262">
        <f>SUMPRODUCT((Tabla4[Codigo]=Tabla2[[#This Row],[Cod]])*1,Tabla4[IVA])</f>
        <v>103636.26</v>
      </c>
      <c r="M414" s="262">
        <f>SUMIFS(Tabla4[Total],Tabla4[Codigo],Tabla2[[#This Row],[Cod]])</f>
        <v>649090.26</v>
      </c>
      <c r="N414" s="278">
        <f>SUMPRODUCT((Tabla1[Codigo]=Tabla2[[#This Row],[Cod]])*1,Tabla1[Valor])</f>
        <v>622003</v>
      </c>
      <c r="O414" s="265">
        <f>IF(AND(Tabla2[[#This Row],[Estado]]="ok",LEFT(Tabla2[[#This Row],['# Factura]],3)="TIS"),Tabla2[[#This Row],[TOTAL]]-Tabla2[[#This Row],[pagado]],0)</f>
        <v>-38181.765639999881</v>
      </c>
      <c r="P414" s="262">
        <f>Tabla2[[#This Row],[TOTAL]]-Tabla2[[#This Row],[Valor pago]]</f>
        <v>27087.260000000009</v>
      </c>
      <c r="Q414" s="265">
        <f>IF(Tabla2[[#This Row],[Saldo]]=0,0,IF(Tabla2[[#This Row],[Tipo cliente]]="PJ",Tabla2[[#This Row],[SUBTOTAL]]*11%,0))</f>
        <v>59999.94</v>
      </c>
      <c r="R414" s="276">
        <f>IF(Tabla2[[#This Row],[Saldo]]=0,0,IF(Tabla2[[#This Row],[Tipo cliente]]="PJ",Tabla2[[#This Row],[SUBTOTAL]]*0.966%,0))</f>
        <v>5269.0856400000002</v>
      </c>
      <c r="S414" s="276">
        <f>IF(Tabla2[[#This Row],[Retiene IVA]]="S",Tabla2[[#This Row],[IVA]]*0.15,0)</f>
        <v>0</v>
      </c>
      <c r="T414" s="265"/>
      <c r="U41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687272.02563999989</v>
      </c>
      <c r="W414" s="23">
        <f>IF(Tabla2[[#This Row],[Fecha F.E.]]="","",YEAR(Tabla2[[#This Row],[Fecha F.E.]]))</f>
        <v>2024</v>
      </c>
      <c r="X414" s="23">
        <f>IF(Tabla2[[#This Row],[Fecha]]="","",YEAR(Tabla2[[#This Row],[Fecha]]))</f>
        <v>2024</v>
      </c>
    </row>
    <row r="415" spans="1:24" ht="26.25" x14ac:dyDescent="0.25">
      <c r="A415" s="3">
        <v>416</v>
      </c>
      <c r="B415" s="77" t="s">
        <v>1601</v>
      </c>
      <c r="C415" s="360">
        <f>+E415</f>
        <v>45485</v>
      </c>
      <c r="D415" s="76" t="s">
        <v>1602</v>
      </c>
      <c r="E415" s="360">
        <v>45485</v>
      </c>
      <c r="F415" s="78" t="s">
        <v>231</v>
      </c>
      <c r="G415" s="85">
        <v>830105194</v>
      </c>
      <c r="H415" s="177" t="str">
        <f>VLOOKUP(Tabla2[[#This Row],[NIT]],Clientes!A:C,2,0)</f>
        <v>COMERCIALIZADORA INTERNACIONAL DYNAMIC TRADING CORPORATION S.A.S</v>
      </c>
      <c r="I415" s="77" t="str">
        <f>VLOOKUP(Tabla2[[#This Row],[NIT]],Clientes!A:C,3,0)</f>
        <v>PJ</v>
      </c>
      <c r="J415" s="77"/>
      <c r="K415" s="267">
        <f>SUMIFS(Tabla4[Sub Total],Tabla4[Codigo],Tabla2[[#This Row],[Cod]])</f>
        <v>600000</v>
      </c>
      <c r="L415" s="262">
        <f>SUMPRODUCT((Tabla4[Codigo]=Tabla2[[#This Row],[Cod]])*1,Tabla4[IVA])</f>
        <v>114000</v>
      </c>
      <c r="M415" s="262">
        <f>SUMIFS(Tabla4[Total],Tabla4[Codigo],Tabla2[[#This Row],[Cod]])</f>
        <v>714000</v>
      </c>
      <c r="N415" s="278">
        <f>SUMPRODUCT((Tabla1[Codigo]=Tabla2[[#This Row],[Cod]])*1,Tabla1[Valor])</f>
        <v>684204</v>
      </c>
      <c r="O415" s="265">
        <f>IF(AND(Tabla2[[#This Row],[Estado]]="ok",LEFT(Tabla2[[#This Row],['# Factura]],3)="TIS"),Tabla2[[#This Row],[TOTAL]]-Tabla2[[#This Row],[pagado]],0)</f>
        <v>-42000</v>
      </c>
      <c r="P415" s="262">
        <f>Tabla2[[#This Row],[TOTAL]]-Tabla2[[#This Row],[Valor pago]]</f>
        <v>29796</v>
      </c>
      <c r="Q415" s="265">
        <f>IF(Tabla2[[#This Row],[Saldo]]=0,0,IF(Tabla2[[#This Row],[Tipo cliente]]="PJ",Tabla2[[#This Row],[SUBTOTAL]]*11%,0))</f>
        <v>66000</v>
      </c>
      <c r="R415" s="276">
        <f>IF(Tabla2[[#This Row],[Saldo]]=0,0,IF(Tabla2[[#This Row],[Tipo cliente]]="PJ",Tabla2[[#This Row],[SUBTOTAL]]*0.966%,0))</f>
        <v>5796</v>
      </c>
      <c r="S415" s="276">
        <f>IF(Tabla2[[#This Row],[Retiene IVA]]="S",Tabla2[[#This Row],[IVA]]*0.15,0)</f>
        <v>0</v>
      </c>
      <c r="T415" s="265"/>
      <c r="U41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756000</v>
      </c>
      <c r="W415" s="23">
        <f>IF(Tabla2[[#This Row],[Fecha F.E.]]="","",YEAR(Tabla2[[#This Row],[Fecha F.E.]]))</f>
        <v>2024</v>
      </c>
      <c r="X415" s="23">
        <f>IF(Tabla2[[#This Row],[Fecha]]="","",YEAR(Tabla2[[#This Row],[Fecha]]))</f>
        <v>2024</v>
      </c>
    </row>
    <row r="416" spans="1:24" x14ac:dyDescent="0.25">
      <c r="A416" s="3">
        <v>417</v>
      </c>
      <c r="B416" s="77" t="s">
        <v>1603</v>
      </c>
      <c r="C416" s="360">
        <f>+E416</f>
        <v>45485</v>
      </c>
      <c r="D416" s="76" t="s">
        <v>1604</v>
      </c>
      <c r="E416" s="360">
        <v>45485</v>
      </c>
      <c r="F416" s="78" t="s">
        <v>231</v>
      </c>
      <c r="G416" s="85">
        <v>830057687</v>
      </c>
      <c r="H416" s="177" t="str">
        <f>VLOOKUP(Tabla2[[#This Row],[NIT]],Clientes!A:C,2,0)</f>
        <v>ATECNO S.A.S</v>
      </c>
      <c r="I416" s="77" t="str">
        <f>VLOOKUP(Tabla2[[#This Row],[NIT]],Clientes!A:C,3,0)</f>
        <v>PJ</v>
      </c>
      <c r="J416" s="77"/>
      <c r="K416" s="267">
        <f>SUMIFS(Tabla4[Sub Total],Tabla4[Codigo],Tabla2[[#This Row],[Cod]])</f>
        <v>1060000</v>
      </c>
      <c r="L416" s="262">
        <f>SUMPRODUCT((Tabla4[Codigo]=Tabla2[[#This Row],[Cod]])*1,Tabla4[IVA])</f>
        <v>201400</v>
      </c>
      <c r="M416" s="262">
        <f>SUMIFS(Tabla4[Total],Tabla4[Codigo],Tabla2[[#This Row],[Cod]])</f>
        <v>1261400</v>
      </c>
      <c r="N416" s="278">
        <f>SUMPRODUCT((Tabla1[Codigo]=Tabla2[[#This Row],[Cod]])*1,Tabla1[Valor])</f>
        <v>1209820</v>
      </c>
      <c r="O416" s="265">
        <f>IF(AND(Tabla2[[#This Row],[Estado]]="ok",LEFT(Tabla2[[#This Row],['# Factura]],3)="TIS"),Tabla2[[#This Row],[TOTAL]]-Tabla2[[#This Row],[pagado]],0)</f>
        <v>-75259.600000000093</v>
      </c>
      <c r="P416" s="262">
        <f>Tabla2[[#This Row],[TOTAL]]-Tabla2[[#This Row],[Valor pago]]</f>
        <v>51580</v>
      </c>
      <c r="Q416" s="265">
        <f>IF(Tabla2[[#This Row],[Saldo]]=0,0,IF(Tabla2[[#This Row],[Tipo cliente]]="PJ",Tabla2[[#This Row],[SUBTOTAL]]*11%,0))</f>
        <v>116600</v>
      </c>
      <c r="R416" s="276">
        <f>IF(Tabla2[[#This Row],[Saldo]]=0,0,IF(Tabla2[[#This Row],[Tipo cliente]]="PJ",Tabla2[[#This Row],[SUBTOTAL]]*0.966%,0))</f>
        <v>10239.6</v>
      </c>
      <c r="S416" s="276">
        <f>IF(Tabla2[[#This Row],[Retiene IVA]]="S",Tabla2[[#This Row],[IVA]]*0.15,0)</f>
        <v>0</v>
      </c>
      <c r="T416" s="265"/>
      <c r="U41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1336659.6000000001</v>
      </c>
      <c r="W416" s="23">
        <f>IF(Tabla2[[#This Row],[Fecha F.E.]]="","",YEAR(Tabla2[[#This Row],[Fecha F.E.]]))</f>
        <v>2024</v>
      </c>
      <c r="X416" s="23">
        <f>IF(Tabla2[[#This Row],[Fecha]]="","",YEAR(Tabla2[[#This Row],[Fecha]]))</f>
        <v>2024</v>
      </c>
    </row>
    <row r="417" spans="1:24" x14ac:dyDescent="0.25">
      <c r="A417" s="3">
        <v>418</v>
      </c>
      <c r="B417" s="77" t="s">
        <v>1605</v>
      </c>
      <c r="C417" s="360">
        <f>+E417</f>
        <v>45491</v>
      </c>
      <c r="D417" s="76" t="s">
        <v>1606</v>
      </c>
      <c r="E417" s="360">
        <v>45491</v>
      </c>
      <c r="F417" s="78" t="s">
        <v>231</v>
      </c>
      <c r="G417" s="85">
        <v>900368599</v>
      </c>
      <c r="H417" s="177" t="str">
        <f>VLOOKUP(Tabla2[[#This Row],[NIT]],Clientes!A:C,2,0)</f>
        <v>COMERCIALIZADORA HERREROS SAS</v>
      </c>
      <c r="I417" s="77" t="str">
        <f>VLOOKUP(Tabla2[[#This Row],[NIT]],Clientes!A:C,3,0)</f>
        <v>PJ</v>
      </c>
      <c r="J417" s="77"/>
      <c r="K417" s="267">
        <f>SUMIFS(Tabla4[Sub Total],Tabla4[Codigo],Tabla2[[#This Row],[Cod]])</f>
        <v>770000</v>
      </c>
      <c r="L417" s="262">
        <f>SUMPRODUCT((Tabla4[Codigo]=Tabla2[[#This Row],[Cod]])*1,Tabla4[IVA])</f>
        <v>146300</v>
      </c>
      <c r="M417" s="262">
        <f>SUMIFS(Tabla4[Total],Tabla4[Codigo],Tabla2[[#This Row],[Cod]])</f>
        <v>916300</v>
      </c>
      <c r="N417" s="278">
        <f>SUMPRODUCT((Tabla1[Codigo]=Tabla2[[#This Row],[Cod]])*1,Tabla1[Valor])</f>
        <v>833200</v>
      </c>
      <c r="O417" s="265">
        <f>IF(AND(Tabla2[[#This Row],[Estado]]="ok",LEFT(Tabla2[[#This Row],['# Factura]],3)="TIS"),Tabla2[[#This Row],[TOTAL]]-Tabla2[[#This Row],[pagado]],0)</f>
        <v>-9038.1999999999534</v>
      </c>
      <c r="P417" s="262">
        <f>Tabla2[[#This Row],[TOTAL]]-Tabla2[[#This Row],[Valor pago]]</f>
        <v>83100</v>
      </c>
      <c r="Q417" s="265">
        <f>IF(Tabla2[[#This Row],[Saldo]]=0,0,IF(Tabla2[[#This Row],[Tipo cliente]]="PJ",Tabla2[[#This Row],[SUBTOTAL]]*11%,0))</f>
        <v>84700</v>
      </c>
      <c r="R417" s="276">
        <f>IF(Tabla2[[#This Row],[Saldo]]=0,0,IF(Tabla2[[#This Row],[Tipo cliente]]="PJ",Tabla2[[#This Row],[SUBTOTAL]]*0.966%,0))</f>
        <v>7438.2</v>
      </c>
      <c r="S417" s="276">
        <f>IF(Tabla2[[#This Row],[Retiene IVA]]="S",Tabla2[[#This Row],[IVA]]*0.15,0)</f>
        <v>0</v>
      </c>
      <c r="T417" s="265"/>
      <c r="U41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925338.2</v>
      </c>
      <c r="W417" s="23">
        <f>IF(Tabla2[[#This Row],[Fecha F.E.]]="","",YEAR(Tabla2[[#This Row],[Fecha F.E.]]))</f>
        <v>2024</v>
      </c>
      <c r="X417" s="23">
        <f>IF(Tabla2[[#This Row],[Fecha]]="","",YEAR(Tabla2[[#This Row],[Fecha]]))</f>
        <v>2024</v>
      </c>
    </row>
    <row r="418" spans="1:24" x14ac:dyDescent="0.25">
      <c r="A418" s="3">
        <v>419</v>
      </c>
      <c r="B418" s="77" t="s">
        <v>1607</v>
      </c>
      <c r="C418" s="360">
        <v>45510</v>
      </c>
      <c r="D418" s="76" t="s">
        <v>1608</v>
      </c>
      <c r="E418" s="360">
        <v>45510</v>
      </c>
      <c r="F418" s="78" t="s">
        <v>231</v>
      </c>
      <c r="G418" s="85">
        <v>900136900</v>
      </c>
      <c r="H418" s="177" t="str">
        <f>VLOOKUP(Tabla2[[#This Row],[NIT]],Clientes!A:C,2,0)</f>
        <v>MARCEGAGLIA COLOMBIA SAS</v>
      </c>
      <c r="I418" s="77" t="str">
        <f>VLOOKUP(Tabla2[[#This Row],[NIT]],Clientes!A:C,3,0)</f>
        <v>PJ</v>
      </c>
      <c r="J418" s="77"/>
      <c r="K418" s="267">
        <f>SUMIFS(Tabla4[Sub Total],Tabla4[Codigo],Tabla2[[#This Row],[Cod]])</f>
        <v>6020000</v>
      </c>
      <c r="L418" s="262">
        <f>SUMPRODUCT((Tabla4[Codigo]=Tabla2[[#This Row],[Cod]])*1,Tabla4[IVA])</f>
        <v>1143800</v>
      </c>
      <c r="M418" s="262">
        <f>SUMIFS(Tabla4[Total],Tabla4[Codigo],Tabla2[[#This Row],[Cod]])</f>
        <v>7163800</v>
      </c>
      <c r="N418" s="278">
        <f>SUMPRODUCT((Tabla1[Codigo]=Tabla2[[#This Row],[Cod]])*1,Tabla1[Valor])</f>
        <v>6293910</v>
      </c>
      <c r="O418" s="265">
        <f>IF(AND(Tabla2[[#This Row],[Estado]]="ok",LEFT(Tabla2[[#This Row],['# Factura]],3)="TIS"),Tabla2[[#This Row],[TOTAL]]-Tabla2[[#This Row],[pagado]],0)</f>
        <v>149536.79999999981</v>
      </c>
      <c r="P418" s="262">
        <f>Tabla2[[#This Row],[TOTAL]]-Tabla2[[#This Row],[Valor pago]]</f>
        <v>869890</v>
      </c>
      <c r="Q418" s="265">
        <f>IF(Tabla2[[#This Row],[Saldo]]=0,0,IF(Tabla2[[#This Row],[Tipo cliente]]="PJ",Tabla2[[#This Row],[SUBTOTAL]]*11%,0))</f>
        <v>662200</v>
      </c>
      <c r="R418" s="276">
        <f>IF(Tabla2[[#This Row],[Saldo]]=0,0,IF(Tabla2[[#This Row],[Tipo cliente]]="PJ",Tabla2[[#This Row],[SUBTOTAL]]*0.966%,0))</f>
        <v>58153.200000000004</v>
      </c>
      <c r="S418" s="276">
        <f>IF(Tabla2[[#This Row],[Retiene IVA]]="S",Tabla2[[#This Row],[IVA]]*0.15,0)</f>
        <v>0</v>
      </c>
      <c r="T418" s="265"/>
      <c r="U41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7014263.2000000002</v>
      </c>
      <c r="W418" s="23">
        <f>IF(Tabla2[[#This Row],[Fecha F.E.]]="","",YEAR(Tabla2[[#This Row],[Fecha F.E.]]))</f>
        <v>2024</v>
      </c>
      <c r="X418" s="23">
        <f>IF(Tabla2[[#This Row],[Fecha]]="","",YEAR(Tabla2[[#This Row],[Fecha]]))</f>
        <v>2024</v>
      </c>
    </row>
    <row r="419" spans="1:24" x14ac:dyDescent="0.25">
      <c r="A419" s="3">
        <v>420</v>
      </c>
      <c r="B419" s="77" t="s">
        <v>1609</v>
      </c>
      <c r="C419" s="360">
        <f>+E419</f>
        <v>45519</v>
      </c>
      <c r="D419" s="76" t="s">
        <v>1610</v>
      </c>
      <c r="E419" s="360">
        <v>45519</v>
      </c>
      <c r="F419" s="78" t="s">
        <v>231</v>
      </c>
      <c r="G419" s="85">
        <v>800028768</v>
      </c>
      <c r="H419" s="177" t="str">
        <f>VLOOKUP(Tabla2[[#This Row],[NIT]],Clientes!A:C,2,0)</f>
        <v>Comercializadora ERZ SAS</v>
      </c>
      <c r="I419" s="77" t="str">
        <f>VLOOKUP(Tabla2[[#This Row],[NIT]],Clientes!A:C,3,0)</f>
        <v>PJ</v>
      </c>
      <c r="J419" s="77"/>
      <c r="K419" s="267">
        <f>SUMIFS(Tabla4[Sub Total],Tabla4[Codigo],Tabla2[[#This Row],[Cod]])</f>
        <v>260000</v>
      </c>
      <c r="L419" s="262">
        <f>SUMPRODUCT((Tabla4[Codigo]=Tabla2[[#This Row],[Cod]])*1,Tabla4[IVA])</f>
        <v>49400</v>
      </c>
      <c r="M419" s="262">
        <f>SUMIFS(Tabla4[Total],Tabla4[Codigo],Tabla2[[#This Row],[Cod]])</f>
        <v>309400</v>
      </c>
      <c r="N419" s="278">
        <f>SUMPRODUCT((Tabla1[Codigo]=Tabla2[[#This Row],[Cod]])*1,Tabla1[Valor])</f>
        <v>280800</v>
      </c>
      <c r="O419" s="265">
        <f>IF(AND(Tabla2[[#This Row],[Estado]]="ok",LEFT(Tabla2[[#This Row],['# Factura]],3)="TIS"),Tabla2[[#This Row],[TOTAL]]-Tabla2[[#This Row],[pagado]],0)</f>
        <v>-2511.5999999999767</v>
      </c>
      <c r="P419" s="262">
        <f>Tabla2[[#This Row],[TOTAL]]-Tabla2[[#This Row],[Valor pago]]</f>
        <v>28600</v>
      </c>
      <c r="Q419" s="265">
        <f>IF(Tabla2[[#This Row],[Saldo]]=0,0,IF(Tabla2[[#This Row],[Tipo cliente]]="PJ",Tabla2[[#This Row],[SUBTOTAL]]*11%,0))</f>
        <v>28600</v>
      </c>
      <c r="R419" s="276">
        <f>IF(Tabla2[[#This Row],[Saldo]]=0,0,IF(Tabla2[[#This Row],[Tipo cliente]]="PJ",Tabla2[[#This Row],[SUBTOTAL]]*0.966%,0))</f>
        <v>2511.6</v>
      </c>
      <c r="S419" s="276">
        <f>IF(Tabla2[[#This Row],[Retiene IVA]]="S",Tabla2[[#This Row],[IVA]]*0.15,0)</f>
        <v>0</v>
      </c>
      <c r="T419" s="265"/>
      <c r="U41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311911.59999999998</v>
      </c>
      <c r="W419" s="23">
        <f>IF(Tabla2[[#This Row],[Fecha F.E.]]="","",YEAR(Tabla2[[#This Row],[Fecha F.E.]]))</f>
        <v>2024</v>
      </c>
      <c r="X419" s="23">
        <f>IF(Tabla2[[#This Row],[Fecha]]="","",YEAR(Tabla2[[#This Row],[Fecha]]))</f>
        <v>2024</v>
      </c>
    </row>
    <row r="420" spans="1:24" x14ac:dyDescent="0.25">
      <c r="A420" s="3">
        <v>421</v>
      </c>
      <c r="B420" s="77" t="s">
        <v>393</v>
      </c>
      <c r="C420" s="360">
        <v>45519</v>
      </c>
      <c r="D420" s="76" t="s">
        <v>1611</v>
      </c>
      <c r="E420" s="360">
        <v>45519</v>
      </c>
      <c r="F420" s="78" t="s">
        <v>231</v>
      </c>
      <c r="G420" s="85">
        <v>901342609</v>
      </c>
      <c r="H420" s="177" t="str">
        <f>VLOOKUP(Tabla2[[#This Row],[NIT]],Clientes!A:C,2,0)</f>
        <v>ROYCO SOLUCIONES SAS</v>
      </c>
      <c r="I420" s="77" t="str">
        <f>VLOOKUP(Tabla2[[#This Row],[NIT]],Clientes!A:C,3,0)</f>
        <v>PJ</v>
      </c>
      <c r="J420" s="77"/>
      <c r="K420" s="267">
        <f>SUMIFS(Tabla4[Sub Total],Tabla4[Codigo],Tabla2[[#This Row],[Cod]])</f>
        <v>175000</v>
      </c>
      <c r="L420" s="262">
        <f>SUMPRODUCT((Tabla4[Codigo]=Tabla2[[#This Row],[Cod]])*1,Tabla4[IVA])</f>
        <v>33250</v>
      </c>
      <c r="M420" s="262">
        <f>SUMIFS(Tabla4[Total],Tabla4[Codigo],Tabla2[[#This Row],[Cod]])</f>
        <v>208250</v>
      </c>
      <c r="N420" s="278">
        <f>SUMPRODUCT((Tabla1[Codigo]=Tabla2[[#This Row],[Cod]])*1,Tabla1[Valor])</f>
        <v>201250</v>
      </c>
      <c r="O420" s="265">
        <f>IF(AND(Tabla2[[#This Row],[Estado]]="ok",LEFT(Tabla2[[#This Row],['# Factura]],3)="TIS"),Tabla2[[#This Row],[TOTAL]]-Tabla2[[#This Row],[pagado]],0)</f>
        <v>-13940.5</v>
      </c>
      <c r="P420" s="262">
        <f>Tabla2[[#This Row],[TOTAL]]-Tabla2[[#This Row],[Valor pago]]</f>
        <v>7000</v>
      </c>
      <c r="Q420" s="265">
        <f>IF(Tabla2[[#This Row],[Saldo]]=0,0,IF(Tabla2[[#This Row],[Tipo cliente]]="PJ",Tabla2[[#This Row],[SUBTOTAL]]*11%,0))</f>
        <v>19250</v>
      </c>
      <c r="R420" s="276">
        <f>IF(Tabla2[[#This Row],[Saldo]]=0,0,IF(Tabla2[[#This Row],[Tipo cliente]]="PJ",Tabla2[[#This Row],[SUBTOTAL]]*0.966%,0))</f>
        <v>1690.5</v>
      </c>
      <c r="S420" s="276">
        <f>IF(Tabla2[[#This Row],[Retiene IVA]]="S",Tabla2[[#This Row],[IVA]]*0.15,0)</f>
        <v>0</v>
      </c>
      <c r="T420" s="265"/>
      <c r="U42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222190.5</v>
      </c>
      <c r="W420" s="23">
        <f>IF(Tabla2[[#This Row],[Fecha F.E.]]="","",YEAR(Tabla2[[#This Row],[Fecha F.E.]]))</f>
        <v>2024</v>
      </c>
      <c r="X420" s="23">
        <f>IF(Tabla2[[#This Row],[Fecha]]="","",YEAR(Tabla2[[#This Row],[Fecha]]))</f>
        <v>2024</v>
      </c>
    </row>
    <row r="421" spans="1:24" x14ac:dyDescent="0.25">
      <c r="A421" s="3">
        <v>422</v>
      </c>
      <c r="B421" s="77" t="s">
        <v>1612</v>
      </c>
      <c r="C421" s="360">
        <v>45519</v>
      </c>
      <c r="D421" s="76" t="s">
        <v>1613</v>
      </c>
      <c r="E421" s="360">
        <v>45519</v>
      </c>
      <c r="F421" s="78" t="s">
        <v>231</v>
      </c>
      <c r="G421" s="85">
        <v>901030518</v>
      </c>
      <c r="H421" s="177" t="str">
        <f>VLOOKUP(Tabla2[[#This Row],[NIT]],Clientes!A:C,2,0)</f>
        <v>Inversiones Sajamib SAS</v>
      </c>
      <c r="I421" s="77" t="str">
        <f>VLOOKUP(Tabla2[[#This Row],[NIT]],Clientes!A:C,3,0)</f>
        <v>PJ</v>
      </c>
      <c r="J421" s="77"/>
      <c r="K421" s="267">
        <f>SUMIFS(Tabla4[Sub Total],Tabla4[Codigo],Tabla2[[#This Row],[Cod]])</f>
        <v>480000</v>
      </c>
      <c r="L421" s="262">
        <f>SUMPRODUCT((Tabla4[Codigo]=Tabla2[[#This Row],[Cod]])*1,Tabla4[IVA])</f>
        <v>0</v>
      </c>
      <c r="M421" s="262">
        <f>SUMIFS(Tabla4[Total],Tabla4[Codigo],Tabla2[[#This Row],[Cod]])</f>
        <v>480000</v>
      </c>
      <c r="N421" s="278">
        <f>SUMPRODUCT((Tabla1[Codigo]=Tabla2[[#This Row],[Cod]])*1,Tabla1[Valor])</f>
        <v>480000</v>
      </c>
      <c r="O421" s="265">
        <f>IF(AND(Tabla2[[#This Row],[Estado]]="ok",LEFT(Tabla2[[#This Row],['# Factura]],3)="TIS"),Tabla2[[#This Row],[TOTAL]]-Tabla2[[#This Row],[pagado]],0)</f>
        <v>0</v>
      </c>
      <c r="P421" s="262">
        <f>Tabla2[[#This Row],[TOTAL]]-Tabla2[[#This Row],[Valor pago]]</f>
        <v>0</v>
      </c>
      <c r="Q421" s="265">
        <f>IF(Tabla2[[#This Row],[Saldo]]=0,0,IF(Tabla2[[#This Row],[Tipo cliente]]="PJ",Tabla2[[#This Row],[SUBTOTAL]]*11%,0))</f>
        <v>0</v>
      </c>
      <c r="R421" s="276">
        <f>IF(Tabla2[[#This Row],[Saldo]]=0,0,IF(Tabla2[[#This Row],[Tipo cliente]]="PJ",Tabla2[[#This Row],[SUBTOTAL]]*0.966%,0))</f>
        <v>0</v>
      </c>
      <c r="S421" s="276">
        <f>IF(Tabla2[[#This Row],[Retiene IVA]]="S",Tabla2[[#This Row],[IVA]]*0.15,0)</f>
        <v>0</v>
      </c>
      <c r="T421" s="265"/>
      <c r="U42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421" s="23">
        <f>IF(Tabla2[[#This Row],[Fecha F.E.]]="","",YEAR(Tabla2[[#This Row],[Fecha F.E.]]))</f>
        <v>2024</v>
      </c>
      <c r="X421" s="23">
        <f>IF(Tabla2[[#This Row],[Fecha]]="","",YEAR(Tabla2[[#This Row],[Fecha]]))</f>
        <v>2024</v>
      </c>
    </row>
    <row r="422" spans="1:24" x14ac:dyDescent="0.25">
      <c r="A422" s="3">
        <v>423</v>
      </c>
      <c r="B422" s="77" t="s">
        <v>1614</v>
      </c>
      <c r="C422" s="360">
        <v>45519</v>
      </c>
      <c r="D422" s="76" t="s">
        <v>1615</v>
      </c>
      <c r="E422" s="360">
        <v>45519</v>
      </c>
      <c r="F422" s="78" t="s">
        <v>231</v>
      </c>
      <c r="G422" s="85">
        <v>901587426</v>
      </c>
      <c r="H422" s="177" t="str">
        <f>VLOOKUP(Tabla2[[#This Row],[NIT]],Clientes!A:C,2,0)</f>
        <v>STAFF SEGUROS AGENCIA LTDA</v>
      </c>
      <c r="I422" s="77" t="str">
        <f>VLOOKUP(Tabla2[[#This Row],[NIT]],Clientes!A:C,3,0)</f>
        <v>PJ</v>
      </c>
      <c r="J422" s="77"/>
      <c r="K422" s="267">
        <f>SUMIFS(Tabla4[Sub Total],Tabla4[Codigo],Tabla2[[#This Row],[Cod]])</f>
        <v>300000</v>
      </c>
      <c r="L422" s="262">
        <f>SUMPRODUCT((Tabla4[Codigo]=Tabla2[[#This Row],[Cod]])*1,Tabla4[IVA])</f>
        <v>57000</v>
      </c>
      <c r="M422" s="262">
        <f>SUMIFS(Tabla4[Total],Tabla4[Codigo],Tabla2[[#This Row],[Cod]])</f>
        <v>357000</v>
      </c>
      <c r="N422" s="278">
        <f>SUMPRODUCT((Tabla1[Codigo]=Tabla2[[#This Row],[Cod]])*1,Tabla1[Valor])</f>
        <v>357000</v>
      </c>
      <c r="O422" s="265">
        <f>IF(AND(Tabla2[[#This Row],[Estado]]="ok",LEFT(Tabla2[[#This Row],['# Factura]],3)="TIS"),Tabla2[[#This Row],[TOTAL]]-Tabla2[[#This Row],[pagado]],0)</f>
        <v>0</v>
      </c>
      <c r="P422" s="262">
        <f>Tabla2[[#This Row],[TOTAL]]-Tabla2[[#This Row],[Valor pago]]</f>
        <v>0</v>
      </c>
      <c r="Q422" s="265">
        <f>IF(Tabla2[[#This Row],[Saldo]]=0,0,IF(Tabla2[[#This Row],[Tipo cliente]]="PJ",Tabla2[[#This Row],[SUBTOTAL]]*11%,0))</f>
        <v>0</v>
      </c>
      <c r="R422" s="276">
        <f>IF(Tabla2[[#This Row],[Saldo]]=0,0,IF(Tabla2[[#This Row],[Tipo cliente]]="PJ",Tabla2[[#This Row],[SUBTOTAL]]*0.966%,0))</f>
        <v>0</v>
      </c>
      <c r="S422" s="276">
        <f>IF(Tabla2[[#This Row],[Retiene IVA]]="S",Tabla2[[#This Row],[IVA]]*0.15,0)</f>
        <v>0</v>
      </c>
      <c r="T422" s="265"/>
      <c r="U42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422" s="23">
        <f>IF(Tabla2[[#This Row],[Fecha F.E.]]="","",YEAR(Tabla2[[#This Row],[Fecha F.E.]]))</f>
        <v>2024</v>
      </c>
      <c r="X422" s="23">
        <f>IF(Tabla2[[#This Row],[Fecha]]="","",YEAR(Tabla2[[#This Row],[Fecha]]))</f>
        <v>2024</v>
      </c>
    </row>
    <row r="423" spans="1:24" x14ac:dyDescent="0.25">
      <c r="A423" s="3">
        <v>424</v>
      </c>
      <c r="B423" s="77" t="s">
        <v>1616</v>
      </c>
      <c r="C423" s="360">
        <v>45519</v>
      </c>
      <c r="D423" s="76" t="s">
        <v>1617</v>
      </c>
      <c r="E423" s="360">
        <v>45519</v>
      </c>
      <c r="F423" s="78" t="s">
        <v>231</v>
      </c>
      <c r="G423" s="85">
        <v>900505660</v>
      </c>
      <c r="H423" s="177" t="str">
        <f>VLOOKUP(Tabla2[[#This Row],[NIT]],Clientes!A:C,2,0)</f>
        <v>DIGITAL MEDIA TECHNOLOGIES COLOMBIA SAS</v>
      </c>
      <c r="I423" s="77" t="str">
        <f>VLOOKUP(Tabla2[[#This Row],[NIT]],Clientes!A:C,3,0)</f>
        <v>PJ</v>
      </c>
      <c r="J423" s="77"/>
      <c r="K423" s="267">
        <f>SUMIFS(Tabla4[Sub Total],Tabla4[Codigo],Tabla2[[#This Row],[Cod]])</f>
        <v>300000</v>
      </c>
      <c r="L423" s="262">
        <f>SUMPRODUCT((Tabla4[Codigo]=Tabla2[[#This Row],[Cod]])*1,Tabla4[IVA])</f>
        <v>57000</v>
      </c>
      <c r="M423" s="262">
        <f>SUMIFS(Tabla4[Total],Tabla4[Codigo],Tabla2[[#This Row],[Cod]])</f>
        <v>357000</v>
      </c>
      <c r="N423" s="278">
        <f>SUMPRODUCT((Tabla1[Codigo]=Tabla2[[#This Row],[Cod]])*1,Tabla1[Valor])</f>
        <v>594000</v>
      </c>
      <c r="O423" s="265">
        <f>IF(AND(Tabla2[[#This Row],[Estado]]="ok",LEFT(Tabla2[[#This Row],['# Factura]],3)="TIS"),Tabla2[[#This Row],[TOTAL]]-Tabla2[[#This Row],[pagado]],0)</f>
        <v>-272898</v>
      </c>
      <c r="P423" s="262">
        <f>Tabla2[[#This Row],[TOTAL]]-Tabla2[[#This Row],[Valor pago]]</f>
        <v>-237000</v>
      </c>
      <c r="Q423" s="265">
        <f>IF(Tabla2[[#This Row],[Saldo]]=0,0,IF(Tabla2[[#This Row],[Tipo cliente]]="PJ",Tabla2[[#This Row],[SUBTOTAL]]*11%,0))</f>
        <v>33000</v>
      </c>
      <c r="R423" s="276">
        <f>IF(Tabla2[[#This Row],[Saldo]]=0,0,IF(Tabla2[[#This Row],[Tipo cliente]]="PJ",Tabla2[[#This Row],[SUBTOTAL]]*0.966%,0))</f>
        <v>2898</v>
      </c>
      <c r="S423" s="276">
        <f>IF(Tabla2[[#This Row],[Retiene IVA]]="S",Tabla2[[#This Row],[IVA]]*0.15,0)</f>
        <v>0</v>
      </c>
      <c r="T423" s="265"/>
      <c r="U42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629898</v>
      </c>
      <c r="W423" s="23">
        <f>IF(Tabla2[[#This Row],[Fecha F.E.]]="","",YEAR(Tabla2[[#This Row],[Fecha F.E.]]))</f>
        <v>2024</v>
      </c>
      <c r="X423" s="23">
        <f>IF(Tabla2[[#This Row],[Fecha]]="","",YEAR(Tabla2[[#This Row],[Fecha]]))</f>
        <v>2024</v>
      </c>
    </row>
    <row r="424" spans="1:24" x14ac:dyDescent="0.25">
      <c r="A424" s="3">
        <v>425</v>
      </c>
      <c r="B424" s="77" t="s">
        <v>1618</v>
      </c>
      <c r="C424" s="360">
        <f>+E424</f>
        <v>45519</v>
      </c>
      <c r="D424" s="76" t="s">
        <v>1619</v>
      </c>
      <c r="E424" s="360">
        <v>45519</v>
      </c>
      <c r="F424" s="78" t="s">
        <v>231</v>
      </c>
      <c r="G424" s="85">
        <v>900694193</v>
      </c>
      <c r="H424" s="177" t="str">
        <f>VLOOKUP(Tabla2[[#This Row],[NIT]],Clientes!A:C,2,0)</f>
        <v>ALVEAR ESCOBAR ASOCIADOS S.A.S</v>
      </c>
      <c r="I424" s="77">
        <f>VLOOKUP(Tabla2[[#This Row],[NIT]],Clientes!A:C,3,0)</f>
        <v>0</v>
      </c>
      <c r="J424" s="73" t="s">
        <v>794</v>
      </c>
      <c r="K424" s="267">
        <f>SUMIFS(Tabla4[Sub Total],Tabla4[Codigo],Tabla2[[#This Row],[Cod]])</f>
        <v>190350</v>
      </c>
      <c r="L424" s="262">
        <f>SUMPRODUCT((Tabla4[Codigo]=Tabla2[[#This Row],[Cod]])*1,Tabla4[IVA])</f>
        <v>36166.5</v>
      </c>
      <c r="M424" s="262">
        <f>SUMIFS(Tabla4[Total],Tabla4[Codigo],Tabla2[[#This Row],[Cod]])</f>
        <v>226516.5</v>
      </c>
      <c r="N424" s="278">
        <f>SUMPRODUCT((Tabla1[Codigo]=Tabla2[[#This Row],[Cod]])*1,Tabla1[Valor])</f>
        <v>218903</v>
      </c>
      <c r="O424" s="265">
        <f>IF(AND(Tabla2[[#This Row],[Estado]]="ok",LEFT(Tabla2[[#This Row],['# Factura]],3)="TIS"),Tabla2[[#This Row],[TOTAL]]-Tabla2[[#This Row],[pagado]],0)</f>
        <v>7613.5</v>
      </c>
      <c r="P424" s="262">
        <f>Tabla2[[#This Row],[TOTAL]]-Tabla2[[#This Row],[Valor pago]]</f>
        <v>7613.5</v>
      </c>
      <c r="Q424" s="265">
        <f>IF(Tabla2[[#This Row],[Saldo]]=0,0,IF(Tabla2[[#This Row],[Tipo cliente]]="PJ",Tabla2[[#This Row],[SUBTOTAL]]*11%,0))</f>
        <v>0</v>
      </c>
      <c r="R424" s="276">
        <f>IF(Tabla2[[#This Row],[Saldo]]=0,0,IF(Tabla2[[#This Row],[Tipo cliente]]="PJ",Tabla2[[#This Row],[SUBTOTAL]]*0.966%,0))</f>
        <v>0</v>
      </c>
      <c r="S424" s="276">
        <f>IF(Tabla2[[#This Row],[Retiene IVA]]="S",Tabla2[[#This Row],[IVA]]*0.15,0)</f>
        <v>0</v>
      </c>
      <c r="T424" s="265"/>
      <c r="U42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218903</v>
      </c>
      <c r="W424" s="23">
        <f>IF(Tabla2[[#This Row],[Fecha F.E.]]="","",YEAR(Tabla2[[#This Row],[Fecha F.E.]]))</f>
        <v>2024</v>
      </c>
      <c r="X424" s="23">
        <f>IF(Tabla2[[#This Row],[Fecha]]="","",YEAR(Tabla2[[#This Row],[Fecha]]))</f>
        <v>2024</v>
      </c>
    </row>
    <row r="425" spans="1:24" x14ac:dyDescent="0.25">
      <c r="A425" s="3">
        <v>426</v>
      </c>
      <c r="B425" s="77" t="s">
        <v>1620</v>
      </c>
      <c r="C425" s="360">
        <v>45519</v>
      </c>
      <c r="D425" s="76" t="s">
        <v>1621</v>
      </c>
      <c r="E425" s="360">
        <v>45519</v>
      </c>
      <c r="F425" s="78" t="s">
        <v>231</v>
      </c>
      <c r="G425" s="85">
        <v>830033212</v>
      </c>
      <c r="H425" s="177" t="str">
        <f>VLOOKUP(Tabla2[[#This Row],[NIT]],Clientes!A:C,2,0)</f>
        <v>HUTERCOL S.A.S.</v>
      </c>
      <c r="I425" s="77" t="str">
        <f>VLOOKUP(Tabla2[[#This Row],[NIT]],Clientes!A:C,3,0)</f>
        <v>PJ</v>
      </c>
      <c r="J425" s="77"/>
      <c r="K425" s="267">
        <f>SUMIFS(Tabla4[Sub Total],Tabla4[Codigo],Tabla2[[#This Row],[Cod]])</f>
        <v>1350000</v>
      </c>
      <c r="L425" s="262">
        <f>SUMPRODUCT((Tabla4[Codigo]=Tabla2[[#This Row],[Cod]])*1,Tabla4[IVA])</f>
        <v>256500</v>
      </c>
      <c r="M425" s="262">
        <f>SUMIFS(Tabla4[Total],Tabla4[Codigo],Tabla2[[#This Row],[Cod]])</f>
        <v>1606500</v>
      </c>
      <c r="N425" s="278">
        <f>SUMPRODUCT((Tabla1[Codigo]=Tabla2[[#This Row],[Cod]])*1,Tabla1[Valor])</f>
        <v>1448550</v>
      </c>
      <c r="O425" s="265">
        <f>IF(AND(Tabla2[[#This Row],[Estado]]="ok",LEFT(Tabla2[[#This Row],['# Factura]],3)="TIS"),Tabla2[[#This Row],[TOTAL]]-Tabla2[[#This Row],[pagado]],0)</f>
        <v>-3591</v>
      </c>
      <c r="P425" s="262">
        <f>Tabla2[[#This Row],[TOTAL]]-Tabla2[[#This Row],[Valor pago]]</f>
        <v>157950</v>
      </c>
      <c r="Q425" s="265">
        <f>IF(Tabla2[[#This Row],[Saldo]]=0,0,IF(Tabla2[[#This Row],[Tipo cliente]]="PJ",Tabla2[[#This Row],[SUBTOTAL]]*11%,0))</f>
        <v>148500</v>
      </c>
      <c r="R425" s="276">
        <f>IF(Tabla2[[#This Row],[Saldo]]=0,0,IF(Tabla2[[#This Row],[Tipo cliente]]="PJ",Tabla2[[#This Row],[SUBTOTAL]]*0.966%,0))</f>
        <v>13041</v>
      </c>
      <c r="S425" s="276">
        <f>IF(Tabla2[[#This Row],[Retiene IVA]]="S",Tabla2[[#This Row],[IVA]]*0.15,0)</f>
        <v>0</v>
      </c>
      <c r="T425" s="265"/>
      <c r="U42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1610091</v>
      </c>
      <c r="W425" s="23">
        <f>IF(Tabla2[[#This Row],[Fecha F.E.]]="","",YEAR(Tabla2[[#This Row],[Fecha F.E.]]))</f>
        <v>2024</v>
      </c>
      <c r="X425" s="23">
        <f>IF(Tabla2[[#This Row],[Fecha]]="","",YEAR(Tabla2[[#This Row],[Fecha]]))</f>
        <v>2024</v>
      </c>
    </row>
    <row r="426" spans="1:24" x14ac:dyDescent="0.25">
      <c r="A426" s="3">
        <v>427</v>
      </c>
      <c r="B426" s="77" t="s">
        <v>1622</v>
      </c>
      <c r="C426" s="360">
        <v>45519</v>
      </c>
      <c r="D426" s="76" t="s">
        <v>1623</v>
      </c>
      <c r="E426" s="360">
        <v>45519</v>
      </c>
      <c r="F426" s="78" t="s">
        <v>231</v>
      </c>
      <c r="G426" s="85">
        <v>901588265</v>
      </c>
      <c r="H426" s="177" t="str">
        <f>VLOOKUP(Tabla2[[#This Row],[NIT]],Clientes!A:C,2,0)</f>
        <v>GENUINE TECH SAS</v>
      </c>
      <c r="I426" s="77" t="str">
        <f>VLOOKUP(Tabla2[[#This Row],[NIT]],Clientes!A:C,3,0)</f>
        <v>PJ</v>
      </c>
      <c r="J426" s="77"/>
      <c r="K426" s="267">
        <f>SUMIFS(Tabla4[Sub Total],Tabla4[Codigo],Tabla2[[#This Row],[Cod]])</f>
        <v>545454</v>
      </c>
      <c r="L426" s="262">
        <f>SUMPRODUCT((Tabla4[Codigo]=Tabla2[[#This Row],[Cod]])*1,Tabla4[IVA])</f>
        <v>103636.26</v>
      </c>
      <c r="M426" s="262">
        <f>SUMIFS(Tabla4[Total],Tabla4[Codigo],Tabla2[[#This Row],[Cod]])</f>
        <v>649090.26</v>
      </c>
      <c r="N426" s="278">
        <f>SUMPRODUCT((Tabla1[Codigo]=Tabla2[[#This Row],[Cod]])*1,Tabla1[Valor])</f>
        <v>622003</v>
      </c>
      <c r="O426" s="265">
        <f>IF(AND(Tabla2[[#This Row],[Estado]]="ok",LEFT(Tabla2[[#This Row],['# Factura]],3)="TIS"),Tabla2[[#This Row],[TOTAL]]-Tabla2[[#This Row],[pagado]],0)</f>
        <v>-38181.765639999881</v>
      </c>
      <c r="P426" s="262">
        <f>Tabla2[[#This Row],[TOTAL]]-Tabla2[[#This Row],[Valor pago]]</f>
        <v>27087.260000000009</v>
      </c>
      <c r="Q426" s="265">
        <f>IF(Tabla2[[#This Row],[Saldo]]=0,0,IF(Tabla2[[#This Row],[Tipo cliente]]="PJ",Tabla2[[#This Row],[SUBTOTAL]]*11%,0))</f>
        <v>59999.94</v>
      </c>
      <c r="R426" s="276">
        <f>IF(Tabla2[[#This Row],[Saldo]]=0,0,IF(Tabla2[[#This Row],[Tipo cliente]]="PJ",Tabla2[[#This Row],[SUBTOTAL]]*0.966%,0))</f>
        <v>5269.0856400000002</v>
      </c>
      <c r="S426" s="276">
        <f>IF(Tabla2[[#This Row],[Retiene IVA]]="S",Tabla2[[#This Row],[IVA]]*0.15,0)</f>
        <v>0</v>
      </c>
      <c r="T426" s="265"/>
      <c r="U42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687272.02563999989</v>
      </c>
      <c r="W426" s="23">
        <f>IF(Tabla2[[#This Row],[Fecha F.E.]]="","",YEAR(Tabla2[[#This Row],[Fecha F.E.]]))</f>
        <v>2024</v>
      </c>
      <c r="X426" s="23">
        <f>IF(Tabla2[[#This Row],[Fecha]]="","",YEAR(Tabla2[[#This Row],[Fecha]]))</f>
        <v>2024</v>
      </c>
    </row>
    <row r="427" spans="1:24" x14ac:dyDescent="0.25">
      <c r="A427" s="3">
        <v>428</v>
      </c>
      <c r="B427" s="77" t="s">
        <v>1624</v>
      </c>
      <c r="C427" s="360">
        <f>+E427</f>
        <v>45519</v>
      </c>
      <c r="D427" s="76" t="s">
        <v>1625</v>
      </c>
      <c r="E427" s="360">
        <v>45519</v>
      </c>
      <c r="F427" s="78" t="s">
        <v>231</v>
      </c>
      <c r="G427" s="85">
        <v>900368599</v>
      </c>
      <c r="H427" s="177" t="str">
        <f>VLOOKUP(Tabla2[[#This Row],[NIT]],Clientes!A:C,2,0)</f>
        <v>COMERCIALIZADORA HERREROS SAS</v>
      </c>
      <c r="I427" s="77" t="str">
        <f>VLOOKUP(Tabla2[[#This Row],[NIT]],Clientes!A:C,3,0)</f>
        <v>PJ</v>
      </c>
      <c r="J427" s="77"/>
      <c r="K427" s="267">
        <f>SUMIFS(Tabla4[Sub Total],Tabla4[Codigo],Tabla2[[#This Row],[Cod]])</f>
        <v>105000</v>
      </c>
      <c r="L427" s="262">
        <f>SUMPRODUCT((Tabla4[Codigo]=Tabla2[[#This Row],[Cod]])*1,Tabla4[IVA])</f>
        <v>19950</v>
      </c>
      <c r="M427" s="262">
        <f>SUMIFS(Tabla4[Total],Tabla4[Codigo],Tabla2[[#This Row],[Cod]])</f>
        <v>124950</v>
      </c>
      <c r="N427" s="278">
        <f>SUMPRODUCT((Tabla1[Codigo]=Tabla2[[#This Row],[Cod]])*1,Tabla1[Valor])</f>
        <v>124950</v>
      </c>
      <c r="O427" s="265">
        <f>IF(AND(Tabla2[[#This Row],[Estado]]="ok",LEFT(Tabla2[[#This Row],['# Factura]],3)="TIS"),Tabla2[[#This Row],[TOTAL]]-Tabla2[[#This Row],[pagado]],0)</f>
        <v>0</v>
      </c>
      <c r="P427" s="262">
        <f>Tabla2[[#This Row],[TOTAL]]-Tabla2[[#This Row],[Valor pago]]</f>
        <v>0</v>
      </c>
      <c r="Q427" s="265">
        <f>IF(Tabla2[[#This Row],[Saldo]]=0,0,IF(Tabla2[[#This Row],[Tipo cliente]]="PJ",Tabla2[[#This Row],[SUBTOTAL]]*11%,0))</f>
        <v>0</v>
      </c>
      <c r="R427" s="276">
        <f>IF(Tabla2[[#This Row],[Saldo]]=0,0,IF(Tabla2[[#This Row],[Tipo cliente]]="PJ",Tabla2[[#This Row],[SUBTOTAL]]*0.966%,0))</f>
        <v>0</v>
      </c>
      <c r="S427" s="276">
        <f>IF(Tabla2[[#This Row],[Retiene IVA]]="S",Tabla2[[#This Row],[IVA]]*0.15,0)</f>
        <v>0</v>
      </c>
      <c r="T427" s="265"/>
      <c r="U42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124950</v>
      </c>
      <c r="W427" s="23">
        <f>IF(Tabla2[[#This Row],[Fecha F.E.]]="","",YEAR(Tabla2[[#This Row],[Fecha F.E.]]))</f>
        <v>2024</v>
      </c>
      <c r="X427" s="23">
        <f>IF(Tabla2[[#This Row],[Fecha]]="","",YEAR(Tabla2[[#This Row],[Fecha]]))</f>
        <v>2024</v>
      </c>
    </row>
    <row r="428" spans="1:24" x14ac:dyDescent="0.25">
      <c r="A428" s="3">
        <v>429</v>
      </c>
      <c r="B428" s="77" t="s">
        <v>1626</v>
      </c>
      <c r="C428" s="360">
        <v>45537</v>
      </c>
      <c r="D428" s="76" t="s">
        <v>1627</v>
      </c>
      <c r="E428" s="360">
        <v>45537</v>
      </c>
      <c r="F428" s="78" t="s">
        <v>231</v>
      </c>
      <c r="G428" s="85">
        <v>900144283</v>
      </c>
      <c r="H428" s="177" t="str">
        <f>VLOOKUP(Tabla2[[#This Row],[NIT]],Clientes!A:C,2,0)</f>
        <v>MAKRO RECICLAJES SAS</v>
      </c>
      <c r="I428" s="77" t="str">
        <f>VLOOKUP(Tabla2[[#This Row],[NIT]],Clientes!A:C,3,0)</f>
        <v>PJ</v>
      </c>
      <c r="J428" s="77"/>
      <c r="K428" s="267">
        <f>SUMIFS(Tabla4[Sub Total],Tabla4[Codigo],Tabla2[[#This Row],[Cod]])</f>
        <v>830000</v>
      </c>
      <c r="L428" s="262">
        <f>SUMPRODUCT((Tabla4[Codigo]=Tabla2[[#This Row],[Cod]])*1,Tabla4[IVA])</f>
        <v>157700</v>
      </c>
      <c r="M428" s="262">
        <f>SUMIFS(Tabla4[Total],Tabla4[Codigo],Tabla2[[#This Row],[Cod]])</f>
        <v>987700</v>
      </c>
      <c r="N428" s="278">
        <f>SUMPRODUCT((Tabla1[Codigo]=Tabla2[[#This Row],[Cod]])*1,Tabla1[Valor])</f>
        <v>987700</v>
      </c>
      <c r="O428" s="265">
        <f>IF(AND(Tabla2[[#This Row],[Estado]]="ok",LEFT(Tabla2[[#This Row],['# Factura]],3)="TIS"),Tabla2[[#This Row],[TOTAL]]-Tabla2[[#This Row],[pagado]],0)</f>
        <v>0</v>
      </c>
      <c r="P428" s="262">
        <f>Tabla2[[#This Row],[TOTAL]]-Tabla2[[#This Row],[Valor pago]]</f>
        <v>0</v>
      </c>
      <c r="Q428" s="265">
        <f>IF(Tabla2[[#This Row],[Saldo]]=0,0,IF(Tabla2[[#This Row],[Tipo cliente]]="PJ",Tabla2[[#This Row],[SUBTOTAL]]*11%,0))</f>
        <v>0</v>
      </c>
      <c r="R428" s="276">
        <f>IF(Tabla2[[#This Row],[Saldo]]=0,0,IF(Tabla2[[#This Row],[Tipo cliente]]="PJ",Tabla2[[#This Row],[SUBTOTAL]]*0.966%,0))</f>
        <v>0</v>
      </c>
      <c r="S428" s="276">
        <f>IF(Tabla2[[#This Row],[Retiene IVA]]="S",Tabla2[[#This Row],[IVA]]*0.15,0)</f>
        <v>0</v>
      </c>
      <c r="T428" s="265"/>
      <c r="U42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987700</v>
      </c>
      <c r="W428" s="23">
        <f>IF(Tabla2[[#This Row],[Fecha F.E.]]="","",YEAR(Tabla2[[#This Row],[Fecha F.E.]]))</f>
        <v>2024</v>
      </c>
      <c r="X428" s="23">
        <f>IF(Tabla2[[#This Row],[Fecha]]="","",YEAR(Tabla2[[#This Row],[Fecha]]))</f>
        <v>2024</v>
      </c>
    </row>
    <row r="429" spans="1:24" x14ac:dyDescent="0.25">
      <c r="A429" s="3">
        <v>430</v>
      </c>
      <c r="B429" s="77" t="s">
        <v>1628</v>
      </c>
      <c r="C429" s="360">
        <f>+E429</f>
        <v>45545</v>
      </c>
      <c r="D429" s="76" t="s">
        <v>1629</v>
      </c>
      <c r="E429" s="360">
        <v>45545</v>
      </c>
      <c r="F429" s="78" t="s">
        <v>231</v>
      </c>
      <c r="G429" s="85">
        <v>800028768</v>
      </c>
      <c r="H429" s="177" t="str">
        <f>VLOOKUP(Tabla2[[#This Row],[NIT]],Clientes!A:C,2,0)</f>
        <v>Comercializadora ERZ SAS</v>
      </c>
      <c r="I429" s="77" t="str">
        <f>VLOOKUP(Tabla2[[#This Row],[NIT]],Clientes!A:C,3,0)</f>
        <v>PJ</v>
      </c>
      <c r="J429" s="77"/>
      <c r="K429" s="267">
        <f>SUMIFS(Tabla4[Sub Total],Tabla4[Codigo],Tabla2[[#This Row],[Cod]])</f>
        <v>260000</v>
      </c>
      <c r="L429" s="262">
        <f>SUMPRODUCT((Tabla4[Codigo]=Tabla2[[#This Row],[Cod]])*1,Tabla4[IVA])</f>
        <v>49400</v>
      </c>
      <c r="M429" s="262">
        <f>SUMIFS(Tabla4[Total],Tabla4[Codigo],Tabla2[[#This Row],[Cod]])</f>
        <v>309400</v>
      </c>
      <c r="N429" s="278">
        <f>SUMPRODUCT((Tabla1[Codigo]=Tabla2[[#This Row],[Cod]])*1,Tabla1[Valor])</f>
        <v>280800</v>
      </c>
      <c r="O429" s="265">
        <f>IF(AND(Tabla2[[#This Row],[Estado]]="ok",LEFT(Tabla2[[#This Row],['# Factura]],3)="TIS"),Tabla2[[#This Row],[TOTAL]]-Tabla2[[#This Row],[pagado]],0)</f>
        <v>-2511.5999999999767</v>
      </c>
      <c r="P429" s="262">
        <f>Tabla2[[#This Row],[TOTAL]]-Tabla2[[#This Row],[Valor pago]]</f>
        <v>28600</v>
      </c>
      <c r="Q429" s="265">
        <f>IF(Tabla2[[#This Row],[Saldo]]=0,0,IF(Tabla2[[#This Row],[Tipo cliente]]="PJ",Tabla2[[#This Row],[SUBTOTAL]]*11%,0))</f>
        <v>28600</v>
      </c>
      <c r="R429" s="276">
        <f>IF(Tabla2[[#This Row],[Saldo]]=0,0,IF(Tabla2[[#This Row],[Tipo cliente]]="PJ",Tabla2[[#This Row],[SUBTOTAL]]*0.966%,0))</f>
        <v>2511.6</v>
      </c>
      <c r="S429" s="276">
        <f>IF(Tabla2[[#This Row],[Retiene IVA]]="S",Tabla2[[#This Row],[IVA]]*0.15,0)</f>
        <v>0</v>
      </c>
      <c r="T429" s="265"/>
      <c r="U42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311911.59999999998</v>
      </c>
      <c r="W429" s="23">
        <f>IF(Tabla2[[#This Row],[Fecha F.E.]]="","",YEAR(Tabla2[[#This Row],[Fecha F.E.]]))</f>
        <v>2024</v>
      </c>
      <c r="X429" s="23">
        <f>IF(Tabla2[[#This Row],[Fecha]]="","",YEAR(Tabla2[[#This Row],[Fecha]]))</f>
        <v>2024</v>
      </c>
    </row>
    <row r="430" spans="1:24" x14ac:dyDescent="0.25">
      <c r="A430" s="3">
        <v>431</v>
      </c>
      <c r="B430" s="77" t="s">
        <v>1630</v>
      </c>
      <c r="C430" s="360">
        <v>45545</v>
      </c>
      <c r="D430" s="76" t="s">
        <v>1631</v>
      </c>
      <c r="E430" s="360">
        <v>45545</v>
      </c>
      <c r="F430" s="78" t="s">
        <v>231</v>
      </c>
      <c r="G430" s="85">
        <v>901342609</v>
      </c>
      <c r="H430" s="177" t="str">
        <f>VLOOKUP(Tabla2[[#This Row],[NIT]],Clientes!A:C,2,0)</f>
        <v>ROYCO SOLUCIONES SAS</v>
      </c>
      <c r="I430" s="77" t="str">
        <f>VLOOKUP(Tabla2[[#This Row],[NIT]],Clientes!A:C,3,0)</f>
        <v>PJ</v>
      </c>
      <c r="J430" s="77"/>
      <c r="K430" s="267">
        <f>SUMIFS(Tabla4[Sub Total],Tabla4[Codigo],Tabla2[[#This Row],[Cod]])</f>
        <v>175000</v>
      </c>
      <c r="L430" s="262">
        <f>SUMPRODUCT((Tabla4[Codigo]=Tabla2[[#This Row],[Cod]])*1,Tabla4[IVA])</f>
        <v>33250</v>
      </c>
      <c r="M430" s="262">
        <f>SUMIFS(Tabla4[Total],Tabla4[Codigo],Tabla2[[#This Row],[Cod]])</f>
        <v>208250</v>
      </c>
      <c r="N430" s="278">
        <f>SUMPRODUCT((Tabla1[Codigo]=Tabla2[[#This Row],[Cod]])*1,Tabla1[Valor])</f>
        <v>201250</v>
      </c>
      <c r="O430" s="265">
        <f>IF(AND(Tabla2[[#This Row],[Estado]]="ok",LEFT(Tabla2[[#This Row],['# Factura]],3)="TIS"),Tabla2[[#This Row],[TOTAL]]-Tabla2[[#This Row],[pagado]],0)</f>
        <v>-13940.5</v>
      </c>
      <c r="P430" s="262">
        <f>Tabla2[[#This Row],[TOTAL]]-Tabla2[[#This Row],[Valor pago]]</f>
        <v>7000</v>
      </c>
      <c r="Q430" s="265">
        <f>IF(Tabla2[[#This Row],[Saldo]]=0,0,IF(Tabla2[[#This Row],[Tipo cliente]]="PJ",Tabla2[[#This Row],[SUBTOTAL]]*11%,0))</f>
        <v>19250</v>
      </c>
      <c r="R430" s="276">
        <f>IF(Tabla2[[#This Row],[Saldo]]=0,0,IF(Tabla2[[#This Row],[Tipo cliente]]="PJ",Tabla2[[#This Row],[SUBTOTAL]]*0.966%,0))</f>
        <v>1690.5</v>
      </c>
      <c r="S430" s="276">
        <f>IF(Tabla2[[#This Row],[Retiene IVA]]="S",Tabla2[[#This Row],[IVA]]*0.15,0)</f>
        <v>0</v>
      </c>
      <c r="T430" s="265"/>
      <c r="U43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222190.5</v>
      </c>
      <c r="W430" s="23">
        <f>IF(Tabla2[[#This Row],[Fecha F.E.]]="","",YEAR(Tabla2[[#This Row],[Fecha F.E.]]))</f>
        <v>2024</v>
      </c>
      <c r="X430" s="23">
        <f>IF(Tabla2[[#This Row],[Fecha]]="","",YEAR(Tabla2[[#This Row],[Fecha]]))</f>
        <v>2024</v>
      </c>
    </row>
    <row r="431" spans="1:24" x14ac:dyDescent="0.25">
      <c r="A431" s="3">
        <v>432</v>
      </c>
      <c r="B431" s="77" t="s">
        <v>1632</v>
      </c>
      <c r="C431" s="360">
        <v>45545</v>
      </c>
      <c r="D431" s="76" t="s">
        <v>1633</v>
      </c>
      <c r="E431" s="360">
        <v>45545</v>
      </c>
      <c r="F431" s="78" t="s">
        <v>231</v>
      </c>
      <c r="G431" s="85">
        <v>901587426</v>
      </c>
      <c r="H431" s="177" t="str">
        <f>VLOOKUP(Tabla2[[#This Row],[NIT]],Clientes!A:C,2,0)</f>
        <v>STAFF SEGUROS AGENCIA LTDA</v>
      </c>
      <c r="I431" s="77" t="str">
        <f>VLOOKUP(Tabla2[[#This Row],[NIT]],Clientes!A:C,3,0)</f>
        <v>PJ</v>
      </c>
      <c r="J431" s="77"/>
      <c r="K431" s="267">
        <f>SUMIFS(Tabla4[Sub Total],Tabla4[Codigo],Tabla2[[#This Row],[Cod]])</f>
        <v>300000</v>
      </c>
      <c r="L431" s="262">
        <f>SUMPRODUCT((Tabla4[Codigo]=Tabla2[[#This Row],[Cod]])*1,Tabla4[IVA])</f>
        <v>57000</v>
      </c>
      <c r="M431" s="262">
        <f>SUMIFS(Tabla4[Total],Tabla4[Codigo],Tabla2[[#This Row],[Cod]])</f>
        <v>357000</v>
      </c>
      <c r="N431" s="278">
        <f>SUMPRODUCT((Tabla1[Codigo]=Tabla2[[#This Row],[Cod]])*1,Tabla1[Valor])</f>
        <v>357000</v>
      </c>
      <c r="O431" s="265">
        <f>IF(AND(Tabla2[[#This Row],[Estado]]="ok",LEFT(Tabla2[[#This Row],['# Factura]],3)="TIS"),Tabla2[[#This Row],[TOTAL]]-Tabla2[[#This Row],[pagado]],0)</f>
        <v>0</v>
      </c>
      <c r="P431" s="262">
        <f>Tabla2[[#This Row],[TOTAL]]-Tabla2[[#This Row],[Valor pago]]</f>
        <v>0</v>
      </c>
      <c r="Q431" s="265">
        <f>IF(Tabla2[[#This Row],[Saldo]]=0,0,IF(Tabla2[[#This Row],[Tipo cliente]]="PJ",Tabla2[[#This Row],[SUBTOTAL]]*11%,0))</f>
        <v>0</v>
      </c>
      <c r="R431" s="276">
        <f>IF(Tabla2[[#This Row],[Saldo]]=0,0,IF(Tabla2[[#This Row],[Tipo cliente]]="PJ",Tabla2[[#This Row],[SUBTOTAL]]*0.966%,0))</f>
        <v>0</v>
      </c>
      <c r="S431" s="276">
        <f>IF(Tabla2[[#This Row],[Retiene IVA]]="S",Tabla2[[#This Row],[IVA]]*0.15,0)</f>
        <v>0</v>
      </c>
      <c r="T431" s="265"/>
      <c r="U43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431" s="23">
        <f>IF(Tabla2[[#This Row],[Fecha F.E.]]="","",YEAR(Tabla2[[#This Row],[Fecha F.E.]]))</f>
        <v>2024</v>
      </c>
      <c r="X431" s="23">
        <f>IF(Tabla2[[#This Row],[Fecha]]="","",YEAR(Tabla2[[#This Row],[Fecha]]))</f>
        <v>2024</v>
      </c>
    </row>
    <row r="432" spans="1:24" x14ac:dyDescent="0.25">
      <c r="A432" s="3">
        <v>433</v>
      </c>
      <c r="B432" s="77" t="s">
        <v>1634</v>
      </c>
      <c r="C432" s="360">
        <v>45545</v>
      </c>
      <c r="D432" s="76" t="s">
        <v>1635</v>
      </c>
      <c r="E432" s="360">
        <v>45545</v>
      </c>
      <c r="F432" s="78" t="s">
        <v>231</v>
      </c>
      <c r="G432" s="85">
        <v>900505660</v>
      </c>
      <c r="H432" s="177" t="str">
        <f>VLOOKUP(Tabla2[[#This Row],[NIT]],Clientes!A:C,2,0)</f>
        <v>DIGITAL MEDIA TECHNOLOGIES COLOMBIA SAS</v>
      </c>
      <c r="I432" s="77" t="str">
        <f>VLOOKUP(Tabla2[[#This Row],[NIT]],Clientes!A:C,3,0)</f>
        <v>PJ</v>
      </c>
      <c r="J432" s="77"/>
      <c r="K432" s="267">
        <f>SUMIFS(Tabla4[Sub Total],Tabla4[Codigo],Tabla2[[#This Row],[Cod]])</f>
        <v>300000</v>
      </c>
      <c r="L432" s="262">
        <f>SUMPRODUCT((Tabla4[Codigo]=Tabla2[[#This Row],[Cod]])*1,Tabla4[IVA])</f>
        <v>57000</v>
      </c>
      <c r="M432" s="262">
        <f>SUMIFS(Tabla4[Total],Tabla4[Codigo],Tabla2[[#This Row],[Cod]])</f>
        <v>357000</v>
      </c>
      <c r="N432" s="278">
        <f>SUMPRODUCT((Tabla1[Codigo]=Tabla2[[#This Row],[Cod]])*1,Tabla1[Valor])</f>
        <v>324000</v>
      </c>
      <c r="O432" s="265">
        <f>IF(AND(Tabla2[[#This Row],[Estado]]="ok",LEFT(Tabla2[[#This Row],['# Factura]],3)="TIS"),Tabla2[[#This Row],[TOTAL]]-Tabla2[[#This Row],[pagado]],0)</f>
        <v>-2898</v>
      </c>
      <c r="P432" s="262">
        <f>Tabla2[[#This Row],[TOTAL]]-Tabla2[[#This Row],[Valor pago]]</f>
        <v>33000</v>
      </c>
      <c r="Q432" s="265">
        <f>IF(Tabla2[[#This Row],[Saldo]]=0,0,IF(Tabla2[[#This Row],[Tipo cliente]]="PJ",Tabla2[[#This Row],[SUBTOTAL]]*11%,0))</f>
        <v>33000</v>
      </c>
      <c r="R432" s="276">
        <f>IF(Tabla2[[#This Row],[Saldo]]=0,0,IF(Tabla2[[#This Row],[Tipo cliente]]="PJ",Tabla2[[#This Row],[SUBTOTAL]]*0.966%,0))</f>
        <v>2898</v>
      </c>
      <c r="S432" s="276">
        <f>IF(Tabla2[[#This Row],[Retiene IVA]]="S",Tabla2[[#This Row],[IVA]]*0.15,0)</f>
        <v>0</v>
      </c>
      <c r="T432" s="265"/>
      <c r="U43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432" s="23">
        <f>IF(Tabla2[[#This Row],[Fecha F.E.]]="","",YEAR(Tabla2[[#This Row],[Fecha F.E.]]))</f>
        <v>2024</v>
      </c>
      <c r="X432" s="23">
        <f>IF(Tabla2[[#This Row],[Fecha]]="","",YEAR(Tabla2[[#This Row],[Fecha]]))</f>
        <v>2024</v>
      </c>
    </row>
    <row r="433" spans="1:24" x14ac:dyDescent="0.25">
      <c r="A433" s="3">
        <v>434</v>
      </c>
      <c r="B433" s="77" t="s">
        <v>1636</v>
      </c>
      <c r="C433" s="360">
        <v>45545</v>
      </c>
      <c r="D433" s="76" t="s">
        <v>1637</v>
      </c>
      <c r="E433" s="360">
        <v>45545</v>
      </c>
      <c r="F433" s="78" t="s">
        <v>231</v>
      </c>
      <c r="G433" s="85">
        <v>901588265</v>
      </c>
      <c r="H433" s="177" t="str">
        <f>VLOOKUP(Tabla2[[#This Row],[NIT]],Clientes!A:C,2,0)</f>
        <v>GENUINE TECH SAS</v>
      </c>
      <c r="I433" s="77" t="str">
        <f>VLOOKUP(Tabla2[[#This Row],[NIT]],Clientes!A:C,3,0)</f>
        <v>PJ</v>
      </c>
      <c r="J433" s="77"/>
      <c r="K433" s="267">
        <f>SUMIFS(Tabla4[Sub Total],Tabla4[Codigo],Tabla2[[#This Row],[Cod]])</f>
        <v>545454</v>
      </c>
      <c r="L433" s="262">
        <f>SUMPRODUCT((Tabla4[Codigo]=Tabla2[[#This Row],[Cod]])*1,Tabla4[IVA])</f>
        <v>103636.26</v>
      </c>
      <c r="M433" s="262">
        <f>SUMIFS(Tabla4[Total],Tabla4[Codigo],Tabla2[[#This Row],[Cod]])</f>
        <v>649090.26</v>
      </c>
      <c r="N433" s="278">
        <f>SUMPRODUCT((Tabla1[Codigo]=Tabla2[[#This Row],[Cod]])*1,Tabla1[Valor])</f>
        <v>622003</v>
      </c>
      <c r="O433" s="265">
        <f>IF(AND(Tabla2[[#This Row],[Estado]]="ok",LEFT(Tabla2[[#This Row],['# Factura]],3)="TIS"),Tabla2[[#This Row],[TOTAL]]-Tabla2[[#This Row],[pagado]],0)</f>
        <v>-38181.765639999881</v>
      </c>
      <c r="P433" s="262">
        <f>Tabla2[[#This Row],[TOTAL]]-Tabla2[[#This Row],[Valor pago]]</f>
        <v>27087.260000000009</v>
      </c>
      <c r="Q433" s="265">
        <f>IF(Tabla2[[#This Row],[Saldo]]=0,0,IF(Tabla2[[#This Row],[Tipo cliente]]="PJ",Tabla2[[#This Row],[SUBTOTAL]]*11%,0))</f>
        <v>59999.94</v>
      </c>
      <c r="R433" s="276">
        <f>IF(Tabla2[[#This Row],[Saldo]]=0,0,IF(Tabla2[[#This Row],[Tipo cliente]]="PJ",Tabla2[[#This Row],[SUBTOTAL]]*0.966%,0))</f>
        <v>5269.0856400000002</v>
      </c>
      <c r="S433" s="276">
        <f>IF(Tabla2[[#This Row],[Retiene IVA]]="S",Tabla2[[#This Row],[IVA]]*0.15,0)</f>
        <v>0</v>
      </c>
      <c r="T433" s="265"/>
      <c r="U43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687272.02563999989</v>
      </c>
      <c r="W433" s="23">
        <f>IF(Tabla2[[#This Row],[Fecha F.E.]]="","",YEAR(Tabla2[[#This Row],[Fecha F.E.]]))</f>
        <v>2024</v>
      </c>
      <c r="X433" s="23">
        <f>IF(Tabla2[[#This Row],[Fecha]]="","",YEAR(Tabla2[[#This Row],[Fecha]]))</f>
        <v>2024</v>
      </c>
    </row>
    <row r="434" spans="1:24" x14ac:dyDescent="0.25">
      <c r="A434" s="3">
        <v>435</v>
      </c>
      <c r="B434" s="77" t="s">
        <v>1638</v>
      </c>
      <c r="C434" s="360">
        <v>45545</v>
      </c>
      <c r="D434" s="76" t="s">
        <v>1639</v>
      </c>
      <c r="E434" s="360">
        <v>45545</v>
      </c>
      <c r="F434" s="78" t="s">
        <v>231</v>
      </c>
      <c r="G434" s="85">
        <v>901030518</v>
      </c>
      <c r="H434" s="177" t="str">
        <f>VLOOKUP(Tabla2[[#This Row],[NIT]],Clientes!A:C,2,0)</f>
        <v>Inversiones Sajamib SAS</v>
      </c>
      <c r="I434" s="77" t="str">
        <f>VLOOKUP(Tabla2[[#This Row],[NIT]],Clientes!A:C,3,0)</f>
        <v>PJ</v>
      </c>
      <c r="J434" s="77"/>
      <c r="K434" s="267">
        <f>SUMIFS(Tabla4[Sub Total],Tabla4[Codigo],Tabla2[[#This Row],[Cod]])</f>
        <v>480000</v>
      </c>
      <c r="L434" s="262">
        <f>SUMPRODUCT((Tabla4[Codigo]=Tabla2[[#This Row],[Cod]])*1,Tabla4[IVA])</f>
        <v>0</v>
      </c>
      <c r="M434" s="262">
        <f>SUMIFS(Tabla4[Total],Tabla4[Codigo],Tabla2[[#This Row],[Cod]])</f>
        <v>480000</v>
      </c>
      <c r="N434" s="278">
        <f>SUMPRODUCT((Tabla1[Codigo]=Tabla2[[#This Row],[Cod]])*1,Tabla1[Valor])</f>
        <v>480000</v>
      </c>
      <c r="O434" s="265">
        <f>IF(AND(Tabla2[[#This Row],[Estado]]="ok",LEFT(Tabla2[[#This Row],['# Factura]],3)="TIS"),Tabla2[[#This Row],[TOTAL]]-Tabla2[[#This Row],[pagado]],0)</f>
        <v>0</v>
      </c>
      <c r="P434" s="262">
        <f>Tabla2[[#This Row],[TOTAL]]-Tabla2[[#This Row],[Valor pago]]</f>
        <v>0</v>
      </c>
      <c r="Q434" s="265">
        <f>IF(Tabla2[[#This Row],[Saldo]]=0,0,IF(Tabla2[[#This Row],[Tipo cliente]]="PJ",Tabla2[[#This Row],[SUBTOTAL]]*11%,0))</f>
        <v>0</v>
      </c>
      <c r="R434" s="276">
        <f>IF(Tabla2[[#This Row],[Saldo]]=0,0,IF(Tabla2[[#This Row],[Tipo cliente]]="PJ",Tabla2[[#This Row],[SUBTOTAL]]*0.966%,0))</f>
        <v>0</v>
      </c>
      <c r="S434" s="276">
        <f>IF(Tabla2[[#This Row],[Retiene IVA]]="S",Tabla2[[#This Row],[IVA]]*0.15,0)</f>
        <v>0</v>
      </c>
      <c r="T434" s="265"/>
      <c r="U43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434" s="23">
        <f>IF(Tabla2[[#This Row],[Fecha F.E.]]="","",YEAR(Tabla2[[#This Row],[Fecha F.E.]]))</f>
        <v>2024</v>
      </c>
      <c r="X434" s="23">
        <f>IF(Tabla2[[#This Row],[Fecha]]="","",YEAR(Tabla2[[#This Row],[Fecha]]))</f>
        <v>2024</v>
      </c>
    </row>
    <row r="435" spans="1:24" x14ac:dyDescent="0.25">
      <c r="A435" s="3">
        <v>436</v>
      </c>
      <c r="B435" s="77" t="s">
        <v>1640</v>
      </c>
      <c r="C435" s="360">
        <v>45545</v>
      </c>
      <c r="D435" s="76" t="s">
        <v>1641</v>
      </c>
      <c r="E435" s="360">
        <v>45545</v>
      </c>
      <c r="F435" s="78" t="s">
        <v>231</v>
      </c>
      <c r="G435" s="85">
        <v>900136900</v>
      </c>
      <c r="H435" s="177" t="str">
        <f>VLOOKUP(Tabla2[[#This Row],[NIT]],Clientes!A:C,2,0)</f>
        <v>MARCEGAGLIA COLOMBIA SAS</v>
      </c>
      <c r="I435" s="77" t="str">
        <f>VLOOKUP(Tabla2[[#This Row],[NIT]],Clientes!A:C,3,0)</f>
        <v>PJ</v>
      </c>
      <c r="J435" s="77"/>
      <c r="K435" s="267">
        <f>SUMIFS(Tabla4[Sub Total],Tabla4[Codigo],Tabla2[[#This Row],[Cod]])</f>
        <v>3612000</v>
      </c>
      <c r="L435" s="262">
        <f>SUMPRODUCT((Tabla4[Codigo]=Tabla2[[#This Row],[Cod]])*1,Tabla4[IVA])</f>
        <v>686280</v>
      </c>
      <c r="M435" s="262">
        <f>SUMIFS(Tabla4[Total],Tabla4[Codigo],Tabla2[[#This Row],[Cod]])</f>
        <v>4298280</v>
      </c>
      <c r="N435" s="278">
        <f>SUMPRODUCT((Tabla1[Codigo]=Tabla2[[#This Row],[Cod]])*1,Tabla1[Valor])</f>
        <v>3776346</v>
      </c>
      <c r="O435" s="265">
        <f>IF(AND(Tabla2[[#This Row],[Estado]]="ok",LEFT(Tabla2[[#This Row],['# Factura]],3)="TIS"),Tabla2[[#This Row],[TOTAL]]-Tabla2[[#This Row],[pagado]],0)</f>
        <v>89722.080000000075</v>
      </c>
      <c r="P435" s="262">
        <f>Tabla2[[#This Row],[TOTAL]]-Tabla2[[#This Row],[Valor pago]]</f>
        <v>521934</v>
      </c>
      <c r="Q435" s="265">
        <f>IF(Tabla2[[#This Row],[Saldo]]=0,0,IF(Tabla2[[#This Row],[Tipo cliente]]="PJ",Tabla2[[#This Row],[SUBTOTAL]]*11%,0))</f>
        <v>397320</v>
      </c>
      <c r="R435" s="276">
        <f>IF(Tabla2[[#This Row],[Saldo]]=0,0,IF(Tabla2[[#This Row],[Tipo cliente]]="PJ",Tabla2[[#This Row],[SUBTOTAL]]*0.966%,0))</f>
        <v>34891.919999999998</v>
      </c>
      <c r="S435" s="276">
        <f>IF(Tabla2[[#This Row],[Retiene IVA]]="S",Tabla2[[#This Row],[IVA]]*0.15,0)</f>
        <v>0</v>
      </c>
      <c r="T435" s="265"/>
      <c r="U43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4208557.92</v>
      </c>
      <c r="W435" s="23">
        <f>IF(Tabla2[[#This Row],[Fecha F.E.]]="","",YEAR(Tabla2[[#This Row],[Fecha F.E.]]))</f>
        <v>2024</v>
      </c>
      <c r="X435" s="23">
        <f>IF(Tabla2[[#This Row],[Fecha]]="","",YEAR(Tabla2[[#This Row],[Fecha]]))</f>
        <v>2024</v>
      </c>
    </row>
    <row r="436" spans="1:24" x14ac:dyDescent="0.25">
      <c r="A436" s="3">
        <v>437</v>
      </c>
      <c r="B436" s="77" t="s">
        <v>1642</v>
      </c>
      <c r="C436" s="360">
        <v>45555</v>
      </c>
      <c r="D436" s="76" t="s">
        <v>1643</v>
      </c>
      <c r="E436" s="360">
        <v>45555</v>
      </c>
      <c r="F436" s="78" t="s">
        <v>716</v>
      </c>
      <c r="G436" s="85">
        <v>901233425</v>
      </c>
      <c r="H436" s="177" t="str">
        <f>VLOOKUP(Tabla2[[#This Row],[NIT]],Clientes!A:C,2,0)</f>
        <v>EVAL.COM CONSULTING SAS</v>
      </c>
      <c r="I436" s="77" t="str">
        <f>VLOOKUP(Tabla2[[#This Row],[NIT]],Clientes!A:C,3,0)</f>
        <v>PJ</v>
      </c>
      <c r="J436" s="77"/>
      <c r="K436" s="267">
        <f>SUMIFS(Tabla4[Sub Total],Tabla4[Codigo],Tabla2[[#This Row],[Cod]])</f>
        <v>1080000</v>
      </c>
      <c r="L436" s="262">
        <f>SUMPRODUCT((Tabla4[Codigo]=Tabla2[[#This Row],[Cod]])*1,Tabla4[IVA])</f>
        <v>205200</v>
      </c>
      <c r="M436" s="262">
        <f>SUMIFS(Tabla4[Total],Tabla4[Codigo],Tabla2[[#This Row],[Cod]])</f>
        <v>1285200</v>
      </c>
      <c r="N436" s="278">
        <f>SUMPRODUCT((Tabla1[Codigo]=Tabla2[[#This Row],[Cod]])*1,Tabla1[Valor])</f>
        <v>0</v>
      </c>
      <c r="O436" s="265">
        <f>IF(AND(Tabla2[[#This Row],[Estado]]="ok",LEFT(Tabla2[[#This Row],['# Factura]],3)="TIS"),Tabla2[[#This Row],[TOTAL]]-Tabla2[[#This Row],[pagado]],0)</f>
        <v>0</v>
      </c>
      <c r="P436" s="262">
        <f>Tabla2[[#This Row],[TOTAL]]-Tabla2[[#This Row],[Valor pago]]</f>
        <v>1285200</v>
      </c>
      <c r="Q436" s="265">
        <f>IF(Tabla2[[#This Row],[Saldo]]=0,0,IF(Tabla2[[#This Row],[Tipo cliente]]="PJ",Tabla2[[#This Row],[SUBTOTAL]]*11%,0))</f>
        <v>118800</v>
      </c>
      <c r="R436" s="276">
        <f>IF(Tabla2[[#This Row],[Saldo]]=0,0,IF(Tabla2[[#This Row],[Tipo cliente]]="PJ",Tabla2[[#This Row],[SUBTOTAL]]*0.966%,0))</f>
        <v>10432.800000000001</v>
      </c>
      <c r="S436" s="276">
        <f>IF(Tabla2[[#This Row],[Retiene IVA]]="S",Tabla2[[#This Row],[IVA]]*0.15,0)</f>
        <v>0</v>
      </c>
      <c r="T436" s="265">
        <f>+Tabla2[[#This Row],[Saldo]]-Tabla2[[#This Row],[Rete fte]]-Tabla2[[#This Row],[rete ica]]-Tabla2[[#This Row],[Rete IVA]]</f>
        <v>1155967.2</v>
      </c>
      <c r="U43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36" s="23">
        <f>IF(Tabla2[[#This Row],[Fecha F.E.]]="","",YEAR(Tabla2[[#This Row],[Fecha F.E.]]))</f>
        <v>2024</v>
      </c>
      <c r="X436" s="23">
        <f>IF(Tabla2[[#This Row],[Fecha]]="","",YEAR(Tabla2[[#This Row],[Fecha]]))</f>
        <v>2024</v>
      </c>
    </row>
    <row r="437" spans="1:24" x14ac:dyDescent="0.25">
      <c r="A437" s="3">
        <v>438</v>
      </c>
      <c r="B437" s="77" t="s">
        <v>1644</v>
      </c>
      <c r="C437" s="360">
        <v>45558</v>
      </c>
      <c r="D437" s="76" t="s">
        <v>1645</v>
      </c>
      <c r="E437" s="360">
        <v>45558</v>
      </c>
      <c r="F437" s="78" t="s">
        <v>231</v>
      </c>
      <c r="G437" s="85">
        <v>901233425</v>
      </c>
      <c r="H437" s="177" t="str">
        <f>VLOOKUP(Tabla2[[#This Row],[NIT]],Clientes!A:C,2,0)</f>
        <v>EVAL.COM CONSULTING SAS</v>
      </c>
      <c r="I437" s="77" t="str">
        <f>VLOOKUP(Tabla2[[#This Row],[NIT]],Clientes!A:C,3,0)</f>
        <v>PJ</v>
      </c>
      <c r="J437" s="77"/>
      <c r="K437" s="267">
        <f>SUMIFS(Tabla4[Sub Total],Tabla4[Codigo],Tabla2[[#This Row],[Cod]])</f>
        <v>864000</v>
      </c>
      <c r="L437" s="262">
        <f>SUMPRODUCT((Tabla4[Codigo]=Tabla2[[#This Row],[Cod]])*1,Tabla4[IVA])</f>
        <v>164160</v>
      </c>
      <c r="M437" s="262">
        <f>SUMIFS(Tabla4[Total],Tabla4[Codigo],Tabla2[[#This Row],[Cod]])</f>
        <v>1028160</v>
      </c>
      <c r="N437" s="278">
        <f>SUMPRODUCT((Tabla1[Codigo]=Tabla2[[#This Row],[Cod]])*1,Tabla1[Valor])</f>
        <v>1504350</v>
      </c>
      <c r="O437" s="265">
        <f>IF(AND(Tabla2[[#This Row],[Estado]]="ok",LEFT(Tabla2[[#This Row],['# Factura]],3)="TIS"),Tabla2[[#This Row],[TOTAL]]-Tabla2[[#This Row],[pagado]],0)</f>
        <v>0</v>
      </c>
      <c r="P437" s="262">
        <f>Tabla2[[#This Row],[TOTAL]]-Tabla2[[#This Row],[Valor pago]]</f>
        <v>-476190</v>
      </c>
      <c r="Q437" s="265">
        <f>IF(Tabla2[[#This Row],[Saldo]]=0,0,IF(Tabla2[[#This Row],[Tipo cliente]]="PJ",Tabla2[[#This Row],[SUBTOTAL]]*11%,0))</f>
        <v>95040</v>
      </c>
      <c r="R437" s="276">
        <f>IF(Tabla2[[#This Row],[Saldo]]=0,0,IF(Tabla2[[#This Row],[Tipo cliente]]="PJ",Tabla2[[#This Row],[SUBTOTAL]]*0.966%,0))</f>
        <v>8346.24</v>
      </c>
      <c r="S437" s="276">
        <f>IF(Tabla2[[#This Row],[Retiene IVA]]="S",Tabla2[[#This Row],[IVA]]*0.15,0)</f>
        <v>0</v>
      </c>
      <c r="T437" s="265">
        <f>+Tabla2[[#This Row],[Saldo]]-Tabla2[[#This Row],[Rete fte]]-Tabla2[[#This Row],[rete ica]]-Tabla2[[#This Row],[Rete IVA]]</f>
        <v>-579576.24</v>
      </c>
      <c r="U43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1028160</v>
      </c>
      <c r="W437" s="23">
        <f>IF(Tabla2[[#This Row],[Fecha F.E.]]="","",YEAR(Tabla2[[#This Row],[Fecha F.E.]]))</f>
        <v>2024</v>
      </c>
      <c r="X437" s="23">
        <f>IF(Tabla2[[#This Row],[Fecha]]="","",YEAR(Tabla2[[#This Row],[Fecha]]))</f>
        <v>2024</v>
      </c>
    </row>
    <row r="438" spans="1:24" x14ac:dyDescent="0.25">
      <c r="A438" s="3">
        <v>439</v>
      </c>
      <c r="B438" s="77" t="s">
        <v>1646</v>
      </c>
      <c r="C438" s="360">
        <v>45576</v>
      </c>
      <c r="D438" s="76" t="s">
        <v>1647</v>
      </c>
      <c r="E438" s="360">
        <v>45576</v>
      </c>
      <c r="F438" s="78" t="s">
        <v>231</v>
      </c>
      <c r="G438" s="85">
        <v>830128459</v>
      </c>
      <c r="H438" s="177" t="str">
        <f>VLOOKUP(Tabla2[[#This Row],[NIT]],Clientes!A:C,2,0)</f>
        <v>TKARGA SAS</v>
      </c>
      <c r="I438" s="77" t="str">
        <f>VLOOKUP(Tabla2[[#This Row],[NIT]],Clientes!A:C,3,0)</f>
        <v>PJ</v>
      </c>
      <c r="J438" s="77"/>
      <c r="K438" s="267">
        <f>SUMIFS(Tabla4[Sub Total],Tabla4[Codigo],Tabla2[[#This Row],[Cod]])</f>
        <v>1000000</v>
      </c>
      <c r="L438" s="262">
        <f>SUMPRODUCT((Tabla4[Codigo]=Tabla2[[#This Row],[Cod]])*1,Tabla4[IVA])</f>
        <v>190000</v>
      </c>
      <c r="M438" s="262">
        <f>SUMIFS(Tabla4[Total],Tabla4[Codigo],Tabla2[[#This Row],[Cod]])</f>
        <v>1190000</v>
      </c>
      <c r="N438" s="278">
        <f>SUMPRODUCT((Tabla1[Codigo]=Tabla2[[#This Row],[Cod]])*1,Tabla1[Valor])</f>
        <v>1080000</v>
      </c>
      <c r="O438" s="265">
        <f>IF(AND(Tabla2[[#This Row],[Estado]]="ok",LEFT(Tabla2[[#This Row],['# Factura]],3)="TIS"),Tabla2[[#This Row],[TOTAL]]-Tabla2[[#This Row],[pagado]],0)</f>
        <v>-9660</v>
      </c>
      <c r="P438" s="262">
        <f>Tabla2[[#This Row],[TOTAL]]-Tabla2[[#This Row],[Valor pago]]</f>
        <v>110000</v>
      </c>
      <c r="Q438" s="265">
        <f>IF(Tabla2[[#This Row],[Saldo]]=0,0,IF(Tabla2[[#This Row],[Tipo cliente]]="PJ",Tabla2[[#This Row],[SUBTOTAL]]*11%,0))</f>
        <v>110000</v>
      </c>
      <c r="R438" s="276">
        <f>IF(Tabla2[[#This Row],[Saldo]]=0,0,IF(Tabla2[[#This Row],[Tipo cliente]]="PJ",Tabla2[[#This Row],[SUBTOTAL]]*0.966%,0))</f>
        <v>9660</v>
      </c>
      <c r="S438" s="276">
        <f>IF(Tabla2[[#This Row],[Retiene IVA]]="S",Tabla2[[#This Row],[IVA]]*0.15,0)</f>
        <v>0</v>
      </c>
      <c r="T438" s="265"/>
      <c r="U43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1199660</v>
      </c>
      <c r="W438" s="23">
        <f>IF(Tabla2[[#This Row],[Fecha F.E.]]="","",YEAR(Tabla2[[#This Row],[Fecha F.E.]]))</f>
        <v>2024</v>
      </c>
      <c r="X438" s="23">
        <f>IF(Tabla2[[#This Row],[Fecha]]="","",YEAR(Tabla2[[#This Row],[Fecha]]))</f>
        <v>2024</v>
      </c>
    </row>
    <row r="439" spans="1:24" x14ac:dyDescent="0.25">
      <c r="A439" s="325">
        <v>440</v>
      </c>
      <c r="B439" s="226" t="s">
        <v>1648</v>
      </c>
      <c r="C439" s="327">
        <f>+E439</f>
        <v>45580</v>
      </c>
      <c r="D439" s="170" t="s">
        <v>1649</v>
      </c>
      <c r="E439" s="327">
        <v>45580</v>
      </c>
      <c r="F439" s="241" t="s">
        <v>231</v>
      </c>
      <c r="G439" s="329">
        <v>800028768</v>
      </c>
      <c r="H439" s="226" t="str">
        <f>VLOOKUP(Tabla2[[#This Row],[NIT]],Clientes!A:C,2,0)</f>
        <v>Comercializadora ERZ SAS</v>
      </c>
      <c r="I439" s="226" t="str">
        <f>VLOOKUP(Tabla2[[#This Row],[NIT]],Clientes!A:C,3,0)</f>
        <v>PJ</v>
      </c>
      <c r="J439" s="226"/>
      <c r="K439" s="330">
        <f>SUMIFS(Tabla4[Sub Total],Tabla4[Codigo],Tabla2[[#This Row],[Cod]])</f>
        <v>260000</v>
      </c>
      <c r="L439" s="280">
        <f>SUMPRODUCT((Tabla4[Codigo]=Tabla2[[#This Row],[Cod]])*1,Tabla4[IVA])</f>
        <v>49400</v>
      </c>
      <c r="M439" s="280">
        <f>SUMIFS(Tabla4[Total],Tabla4[Codigo],Tabla2[[#This Row],[Cod]])</f>
        <v>309400</v>
      </c>
      <c r="N439" s="331">
        <f>SUMPRODUCT((Tabla1[Codigo]=Tabla2[[#This Row],[Cod]])*1,Tabla1[Valor])</f>
        <v>842400</v>
      </c>
      <c r="O439" s="332">
        <f>IF(AND(Tabla2[[#This Row],[Estado]]="ok",LEFT(Tabla2[[#This Row],['# Factura]],3)="TIS"),Tabla2[[#This Row],[TOTAL]]-Tabla2[[#This Row],[pagado]],0)</f>
        <v>-564111.6</v>
      </c>
      <c r="P439" s="262">
        <f>Tabla2[[#This Row],[TOTAL]]-Tabla2[[#This Row],[Valor pago]]</f>
        <v>-533000</v>
      </c>
      <c r="Q439" s="265">
        <f>IF(Tabla2[[#This Row],[Saldo]]=0,0,IF(Tabla2[[#This Row],[Tipo cliente]]="PJ",Tabla2[[#This Row],[SUBTOTAL]]*11%,0))</f>
        <v>28600</v>
      </c>
      <c r="R439" s="276">
        <f>IF(Tabla2[[#This Row],[Saldo]]=0,0,IF(Tabla2[[#This Row],[Tipo cliente]]="PJ",Tabla2[[#This Row],[SUBTOTAL]]*0.966%,0))</f>
        <v>2511.6</v>
      </c>
      <c r="S439" s="276">
        <f>IF(Tabla2[[#This Row],[Retiene IVA]]="S",Tabla2[[#This Row],[IVA]]*0.15,0)</f>
        <v>0</v>
      </c>
      <c r="T439" s="265"/>
      <c r="U43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873511.6</v>
      </c>
      <c r="W439" s="23">
        <f>IF(Tabla2[[#This Row],[Fecha F.E.]]="","",YEAR(Tabla2[[#This Row],[Fecha F.E.]]))</f>
        <v>2024</v>
      </c>
      <c r="X439" s="23">
        <f>IF(Tabla2[[#This Row],[Fecha]]="","",YEAR(Tabla2[[#This Row],[Fecha]]))</f>
        <v>2024</v>
      </c>
    </row>
    <row r="440" spans="1:24" x14ac:dyDescent="0.25">
      <c r="A440" s="3">
        <v>441</v>
      </c>
      <c r="B440" s="77" t="s">
        <v>1650</v>
      </c>
      <c r="C440" s="360">
        <v>45580</v>
      </c>
      <c r="D440" s="76" t="s">
        <v>1651</v>
      </c>
      <c r="E440" s="360">
        <v>45580</v>
      </c>
      <c r="F440" s="78" t="s">
        <v>231</v>
      </c>
      <c r="G440" s="85">
        <v>901342609</v>
      </c>
      <c r="H440" s="177" t="str">
        <f>VLOOKUP(Tabla2[[#This Row],[NIT]],Clientes!A:C,2,0)</f>
        <v>ROYCO SOLUCIONES SAS</v>
      </c>
      <c r="I440" s="77" t="str">
        <f>VLOOKUP(Tabla2[[#This Row],[NIT]],Clientes!A:C,3,0)</f>
        <v>PJ</v>
      </c>
      <c r="J440" s="77"/>
      <c r="K440" s="267">
        <f>SUMIFS(Tabla4[Sub Total],Tabla4[Codigo],Tabla2[[#This Row],[Cod]])</f>
        <v>175000</v>
      </c>
      <c r="L440" s="262">
        <f>SUMPRODUCT((Tabla4[Codigo]=Tabla2[[#This Row],[Cod]])*1,Tabla4[IVA])</f>
        <v>33250</v>
      </c>
      <c r="M440" s="262">
        <f>SUMIFS(Tabla4[Total],Tabla4[Codigo],Tabla2[[#This Row],[Cod]])</f>
        <v>208250</v>
      </c>
      <c r="N440" s="278">
        <f>SUMPRODUCT((Tabla1[Codigo]=Tabla2[[#This Row],[Cod]])*1,Tabla1[Valor])</f>
        <v>201250</v>
      </c>
      <c r="O440" s="265">
        <f>IF(AND(Tabla2[[#This Row],[Estado]]="ok",LEFT(Tabla2[[#This Row],['# Factura]],3)="TIS"),Tabla2[[#This Row],[TOTAL]]-Tabla2[[#This Row],[pagado]],0)</f>
        <v>-13940.5</v>
      </c>
      <c r="P440" s="262">
        <f>Tabla2[[#This Row],[TOTAL]]-Tabla2[[#This Row],[Valor pago]]</f>
        <v>7000</v>
      </c>
      <c r="Q440" s="265">
        <f>IF(Tabla2[[#This Row],[Saldo]]=0,0,IF(Tabla2[[#This Row],[Tipo cliente]]="PJ",Tabla2[[#This Row],[SUBTOTAL]]*11%,0))</f>
        <v>19250</v>
      </c>
      <c r="R440" s="276">
        <f>IF(Tabla2[[#This Row],[Saldo]]=0,0,IF(Tabla2[[#This Row],[Tipo cliente]]="PJ",Tabla2[[#This Row],[SUBTOTAL]]*0.966%,0))</f>
        <v>1690.5</v>
      </c>
      <c r="S440" s="276">
        <f>IF(Tabla2[[#This Row],[Retiene IVA]]="S",Tabla2[[#This Row],[IVA]]*0.15,0)</f>
        <v>0</v>
      </c>
      <c r="T440" s="265"/>
      <c r="U44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222190.5</v>
      </c>
      <c r="W440" s="23">
        <f>IF(Tabla2[[#This Row],[Fecha F.E.]]="","",YEAR(Tabla2[[#This Row],[Fecha F.E.]]))</f>
        <v>2024</v>
      </c>
      <c r="X440" s="23">
        <f>IF(Tabla2[[#This Row],[Fecha]]="","",YEAR(Tabla2[[#This Row],[Fecha]]))</f>
        <v>2024</v>
      </c>
    </row>
    <row r="441" spans="1:24" x14ac:dyDescent="0.25">
      <c r="A441" s="3">
        <v>442</v>
      </c>
      <c r="B441" s="77" t="s">
        <v>1652</v>
      </c>
      <c r="C441" s="360">
        <v>45580</v>
      </c>
      <c r="D441" s="76" t="s">
        <v>1653</v>
      </c>
      <c r="E441" s="360">
        <v>45580</v>
      </c>
      <c r="F441" s="78" t="s">
        <v>231</v>
      </c>
      <c r="G441" s="85">
        <v>901587426</v>
      </c>
      <c r="H441" s="177" t="str">
        <f>VLOOKUP(Tabla2[[#This Row],[NIT]],Clientes!A:C,2,0)</f>
        <v>STAFF SEGUROS AGENCIA LTDA</v>
      </c>
      <c r="I441" s="77" t="str">
        <f>VLOOKUP(Tabla2[[#This Row],[NIT]],Clientes!A:C,3,0)</f>
        <v>PJ</v>
      </c>
      <c r="J441" s="77"/>
      <c r="K441" s="267">
        <f>SUMIFS(Tabla4[Sub Total],Tabla4[Codigo],Tabla2[[#This Row],[Cod]])</f>
        <v>300000</v>
      </c>
      <c r="L441" s="262">
        <f>SUMPRODUCT((Tabla4[Codigo]=Tabla2[[#This Row],[Cod]])*1,Tabla4[IVA])</f>
        <v>57000</v>
      </c>
      <c r="M441" s="262">
        <f>SUMIFS(Tabla4[Total],Tabla4[Codigo],Tabla2[[#This Row],[Cod]])</f>
        <v>357000</v>
      </c>
      <c r="N441" s="278">
        <f>SUMPRODUCT((Tabla1[Codigo]=Tabla2[[#This Row],[Cod]])*1,Tabla1[Valor])</f>
        <v>34750</v>
      </c>
      <c r="O441" s="265">
        <f>IF(AND(Tabla2[[#This Row],[Estado]]="ok",LEFT(Tabla2[[#This Row],['# Factura]],3)="TIS"),Tabla2[[#This Row],[TOTAL]]-Tabla2[[#This Row],[pagado]],0)</f>
        <v>286352</v>
      </c>
      <c r="P441" s="262">
        <f>Tabla2[[#This Row],[TOTAL]]-Tabla2[[#This Row],[Valor pago]]</f>
        <v>322250</v>
      </c>
      <c r="Q441" s="265">
        <f>IF(Tabla2[[#This Row],[Saldo]]=0,0,IF(Tabla2[[#This Row],[Tipo cliente]]="PJ",Tabla2[[#This Row],[SUBTOTAL]]*11%,0))</f>
        <v>33000</v>
      </c>
      <c r="R441" s="276">
        <f>IF(Tabla2[[#This Row],[Saldo]]=0,0,IF(Tabla2[[#This Row],[Tipo cliente]]="PJ",Tabla2[[#This Row],[SUBTOTAL]]*0.966%,0))</f>
        <v>2898</v>
      </c>
      <c r="S441" s="276">
        <f>IF(Tabla2[[#This Row],[Retiene IVA]]="S",Tabla2[[#This Row],[IVA]]*0.15,0)</f>
        <v>0</v>
      </c>
      <c r="T441" s="265"/>
      <c r="U44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70648</v>
      </c>
      <c r="W441" s="23">
        <f>IF(Tabla2[[#This Row],[Fecha F.E.]]="","",YEAR(Tabla2[[#This Row],[Fecha F.E.]]))</f>
        <v>2024</v>
      </c>
      <c r="X441" s="23">
        <f>IF(Tabla2[[#This Row],[Fecha]]="","",YEAR(Tabla2[[#This Row],[Fecha]]))</f>
        <v>2024</v>
      </c>
    </row>
    <row r="442" spans="1:24" x14ac:dyDescent="0.25">
      <c r="A442" s="3">
        <v>443</v>
      </c>
      <c r="B442" s="77" t="s">
        <v>1654</v>
      </c>
      <c r="C442" s="360">
        <v>45580</v>
      </c>
      <c r="D442" s="76" t="s">
        <v>1655</v>
      </c>
      <c r="E442" s="360">
        <v>45580</v>
      </c>
      <c r="F442" s="78" t="s">
        <v>231</v>
      </c>
      <c r="G442" s="85">
        <v>901587426</v>
      </c>
      <c r="H442" s="177" t="str">
        <f>VLOOKUP(Tabla2[[#This Row],[NIT]],Clientes!A:C,2,0)</f>
        <v>STAFF SEGUROS AGENCIA LTDA</v>
      </c>
      <c r="I442" s="77" t="str">
        <f>VLOOKUP(Tabla2[[#This Row],[NIT]],Clientes!A:C,3,0)</f>
        <v>PJ</v>
      </c>
      <c r="J442" s="77"/>
      <c r="K442" s="267">
        <f>SUMIFS(Tabla4[Sub Total],Tabla4[Codigo],Tabla2[[#This Row],[Cod]])</f>
        <v>900000</v>
      </c>
      <c r="L442" s="262">
        <f>SUMPRODUCT((Tabla4[Codigo]=Tabla2[[#This Row],[Cod]])*1,Tabla4[IVA])</f>
        <v>171000</v>
      </c>
      <c r="M442" s="262">
        <f>SUMIFS(Tabla4[Total],Tabla4[Codigo],Tabla2[[#This Row],[Cod]])</f>
        <v>1071000</v>
      </c>
      <c r="N442" s="278">
        <f>SUMPRODUCT((Tabla1[Codigo]=Tabla2[[#This Row],[Cod]])*1,Tabla1[Valor])</f>
        <v>1071000</v>
      </c>
      <c r="O442" s="265">
        <f>IF(AND(Tabla2[[#This Row],[Estado]]="ok",LEFT(Tabla2[[#This Row],['# Factura]],3)="TIS"),Tabla2[[#This Row],[TOTAL]]-Tabla2[[#This Row],[pagado]],0)</f>
        <v>0</v>
      </c>
      <c r="P442" s="262">
        <f>Tabla2[[#This Row],[TOTAL]]-Tabla2[[#This Row],[Valor pago]]</f>
        <v>0</v>
      </c>
      <c r="Q442" s="265">
        <f>IF(Tabla2[[#This Row],[Saldo]]=0,0,IF(Tabla2[[#This Row],[Tipo cliente]]="PJ",Tabla2[[#This Row],[SUBTOTAL]]*11%,0))</f>
        <v>0</v>
      </c>
      <c r="R442" s="276">
        <f>IF(Tabla2[[#This Row],[Saldo]]=0,0,IF(Tabla2[[#This Row],[Tipo cliente]]="PJ",Tabla2[[#This Row],[SUBTOTAL]]*0.966%,0))</f>
        <v>0</v>
      </c>
      <c r="S442" s="276">
        <f>IF(Tabla2[[#This Row],[Retiene IVA]]="S",Tabla2[[#This Row],[IVA]]*0.15,0)</f>
        <v>0</v>
      </c>
      <c r="T442" s="265"/>
      <c r="U44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1071000</v>
      </c>
      <c r="W442" s="23">
        <f>IF(Tabla2[[#This Row],[Fecha F.E.]]="","",YEAR(Tabla2[[#This Row],[Fecha F.E.]]))</f>
        <v>2024</v>
      </c>
      <c r="X442" s="23">
        <f>IF(Tabla2[[#This Row],[Fecha]]="","",YEAR(Tabla2[[#This Row],[Fecha]]))</f>
        <v>2024</v>
      </c>
    </row>
    <row r="443" spans="1:24" x14ac:dyDescent="0.25">
      <c r="A443" s="3">
        <v>444</v>
      </c>
      <c r="B443" s="77" t="s">
        <v>1656</v>
      </c>
      <c r="C443" s="360">
        <v>45580</v>
      </c>
      <c r="D443" s="76" t="s">
        <v>1657</v>
      </c>
      <c r="E443" s="360">
        <v>45580</v>
      </c>
      <c r="F443" s="78" t="s">
        <v>231</v>
      </c>
      <c r="G443" s="85">
        <v>900505660</v>
      </c>
      <c r="H443" s="177" t="str">
        <f>VLOOKUP(Tabla2[[#This Row],[NIT]],Clientes!A:C,2,0)</f>
        <v>DIGITAL MEDIA TECHNOLOGIES COLOMBIA SAS</v>
      </c>
      <c r="I443" s="77" t="str">
        <f>VLOOKUP(Tabla2[[#This Row],[NIT]],Clientes!A:C,3,0)</f>
        <v>PJ</v>
      </c>
      <c r="J443" s="77"/>
      <c r="K443" s="267">
        <f>SUMIFS(Tabla4[Sub Total],Tabla4[Codigo],Tabla2[[#This Row],[Cod]])</f>
        <v>300000</v>
      </c>
      <c r="L443" s="262">
        <f>SUMPRODUCT((Tabla4[Codigo]=Tabla2[[#This Row],[Cod]])*1,Tabla4[IVA])</f>
        <v>57000</v>
      </c>
      <c r="M443" s="262">
        <f>SUMIFS(Tabla4[Total],Tabla4[Codigo],Tabla2[[#This Row],[Cod]])</f>
        <v>357000</v>
      </c>
      <c r="N443" s="278">
        <f>SUMPRODUCT((Tabla1[Codigo]=Tabla2[[#This Row],[Cod]])*1,Tabla1[Valor])</f>
        <v>324000</v>
      </c>
      <c r="O443" s="265">
        <f>IF(AND(Tabla2[[#This Row],[Estado]]="ok",LEFT(Tabla2[[#This Row],['# Factura]],3)="TIS"),Tabla2[[#This Row],[TOTAL]]-Tabla2[[#This Row],[pagado]],0)</f>
        <v>-2898</v>
      </c>
      <c r="P443" s="262">
        <f>Tabla2[[#This Row],[TOTAL]]-Tabla2[[#This Row],[Valor pago]]</f>
        <v>33000</v>
      </c>
      <c r="Q443" s="265">
        <f>IF(Tabla2[[#This Row],[Saldo]]=0,0,IF(Tabla2[[#This Row],[Tipo cliente]]="PJ",Tabla2[[#This Row],[SUBTOTAL]]*11%,0))</f>
        <v>33000</v>
      </c>
      <c r="R443" s="276">
        <f>IF(Tabla2[[#This Row],[Saldo]]=0,0,IF(Tabla2[[#This Row],[Tipo cliente]]="PJ",Tabla2[[#This Row],[SUBTOTAL]]*0.966%,0))</f>
        <v>2898</v>
      </c>
      <c r="S443" s="276">
        <f>IF(Tabla2[[#This Row],[Retiene IVA]]="S",Tabla2[[#This Row],[IVA]]*0.15,0)</f>
        <v>0</v>
      </c>
      <c r="T443" s="265"/>
      <c r="U44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443" s="23">
        <f>IF(Tabla2[[#This Row],[Fecha F.E.]]="","",YEAR(Tabla2[[#This Row],[Fecha F.E.]]))</f>
        <v>2024</v>
      </c>
      <c r="X443" s="23">
        <f>IF(Tabla2[[#This Row],[Fecha]]="","",YEAR(Tabla2[[#This Row],[Fecha]]))</f>
        <v>2024</v>
      </c>
    </row>
    <row r="444" spans="1:24" x14ac:dyDescent="0.25">
      <c r="A444" s="325">
        <v>445</v>
      </c>
      <c r="B444" s="226" t="s">
        <v>1658</v>
      </c>
      <c r="C444" s="327">
        <f>+E444</f>
        <v>45470</v>
      </c>
      <c r="D444" s="170" t="s">
        <v>1659</v>
      </c>
      <c r="E444" s="327">
        <v>45470</v>
      </c>
      <c r="F444" s="241" t="s">
        <v>716</v>
      </c>
      <c r="G444" s="329">
        <v>860090915</v>
      </c>
      <c r="H444" s="226" t="str">
        <f>VLOOKUP(Tabla2[[#This Row],[NIT]],Clientes!A:C,2,0)</f>
        <v>ACTIVOS SAS</v>
      </c>
      <c r="I444" s="226" t="str">
        <f>VLOOKUP(Tabla2[[#This Row],[NIT]],Clientes!A:C,3,0)</f>
        <v>PJ</v>
      </c>
      <c r="J444" s="226"/>
      <c r="K444" s="330">
        <f>SUMIFS(Tabla4[Sub Total],Tabla4[Codigo],Tabla2[[#This Row],[Cod]])</f>
        <v>5040000</v>
      </c>
      <c r="L444" s="280">
        <f>SUMPRODUCT((Tabla4[Codigo]=Tabla2[[#This Row],[Cod]])*1,Tabla4[IVA])</f>
        <v>957600</v>
      </c>
      <c r="M444" s="280">
        <f>SUMIFS(Tabla4[Total],Tabla4[Codigo],Tabla2[[#This Row],[Cod]])</f>
        <v>5997600</v>
      </c>
      <c r="N444" s="331">
        <f>SUMPRODUCT((Tabla1[Codigo]=Tabla2[[#This Row],[Cod]])*1,Tabla1[Valor])</f>
        <v>0</v>
      </c>
      <c r="O444" s="332">
        <f>IF(AND(Tabla2[[#This Row],[Estado]]="ok",LEFT(Tabla2[[#This Row],['# Factura]],3)="TIS"),Tabla2[[#This Row],[TOTAL]]-Tabla2[[#This Row],[pagado]],0)</f>
        <v>0</v>
      </c>
      <c r="P444" s="262">
        <f>Tabla2[[#This Row],[TOTAL]]-Tabla2[[#This Row],[Valor pago]]</f>
        <v>5997600</v>
      </c>
      <c r="Q444" s="265">
        <f>IF(Tabla2[[#This Row],[Saldo]]=0,0,IF(Tabla2[[#This Row],[Tipo cliente]]="PJ",Tabla2[[#This Row],[SUBTOTAL]]*11%,0))</f>
        <v>554400</v>
      </c>
      <c r="R444" s="276">
        <f>IF(Tabla2[[#This Row],[Saldo]]=0,0,IF(Tabla2[[#This Row],[Tipo cliente]]="PJ",Tabla2[[#This Row],[SUBTOTAL]]*0.966%,0))</f>
        <v>48686.400000000001</v>
      </c>
      <c r="S444" s="276">
        <f>IF(Tabla2[[#This Row],[Retiene IVA]]="S",Tabla2[[#This Row],[IVA]]*0.15,0)</f>
        <v>0</v>
      </c>
      <c r="T444" s="265"/>
      <c r="U44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44" s="23">
        <f>IF(Tabla2[[#This Row],[Fecha F.E.]]="","",YEAR(Tabla2[[#This Row],[Fecha F.E.]]))</f>
        <v>2024</v>
      </c>
      <c r="X444" s="23">
        <f>IF(Tabla2[[#This Row],[Fecha]]="","",YEAR(Tabla2[[#This Row],[Fecha]]))</f>
        <v>2024</v>
      </c>
    </row>
    <row r="445" spans="1:24" x14ac:dyDescent="0.25">
      <c r="A445" s="3">
        <v>446</v>
      </c>
      <c r="B445" s="77" t="s">
        <v>1660</v>
      </c>
      <c r="C445" s="360">
        <v>45532</v>
      </c>
      <c r="D445" s="76" t="s">
        <v>1661</v>
      </c>
      <c r="E445" s="360">
        <v>45532</v>
      </c>
      <c r="F445" s="78" t="s">
        <v>231</v>
      </c>
      <c r="G445" s="85">
        <v>830128459</v>
      </c>
      <c r="H445" s="177" t="str">
        <f>VLOOKUP(Tabla2[[#This Row],[NIT]],Clientes!A:C,2,0)</f>
        <v>TKARGA SAS</v>
      </c>
      <c r="I445" s="77" t="str">
        <f>VLOOKUP(Tabla2[[#This Row],[NIT]],Clientes!A:C,3,0)</f>
        <v>PJ</v>
      </c>
      <c r="J445" s="77"/>
      <c r="K445" s="267">
        <f>SUMIFS(Tabla4[Sub Total],Tabla4[Codigo],Tabla2[[#This Row],[Cod]])</f>
        <v>3000000</v>
      </c>
      <c r="L445" s="262">
        <f>SUMPRODUCT((Tabla4[Codigo]=Tabla2[[#This Row],[Cod]])*1,Tabla4[IVA])</f>
        <v>570000</v>
      </c>
      <c r="M445" s="262">
        <f>SUMIFS(Tabla4[Total],Tabla4[Codigo],Tabla2[[#This Row],[Cod]])</f>
        <v>3570000</v>
      </c>
      <c r="N445" s="278">
        <f>SUMPRODUCT((Tabla1[Codigo]=Tabla2[[#This Row],[Cod]])*1,Tabla1[Valor])</f>
        <v>3240000</v>
      </c>
      <c r="O445" s="265">
        <f>IF(AND(Tabla2[[#This Row],[Estado]]="ok",LEFT(Tabla2[[#This Row],['# Factura]],3)="TIS"),Tabla2[[#This Row],[TOTAL]]-Tabla2[[#This Row],[pagado]],0)</f>
        <v>-28980</v>
      </c>
      <c r="P445" s="262">
        <f>Tabla2[[#This Row],[TOTAL]]-Tabla2[[#This Row],[Valor pago]]</f>
        <v>330000</v>
      </c>
      <c r="Q445" s="265">
        <f>IF(Tabla2[[#This Row],[Saldo]]=0,0,IF(Tabla2[[#This Row],[Tipo cliente]]="PJ",Tabla2[[#This Row],[SUBTOTAL]]*11%,0))</f>
        <v>330000</v>
      </c>
      <c r="R445" s="276">
        <f>IF(Tabla2[[#This Row],[Saldo]]=0,0,IF(Tabla2[[#This Row],[Tipo cliente]]="PJ",Tabla2[[#This Row],[SUBTOTAL]]*0.966%,0))</f>
        <v>28980</v>
      </c>
      <c r="S445" s="276">
        <f>IF(Tabla2[[#This Row],[Retiene IVA]]="S",Tabla2[[#This Row],[IVA]]*0.15,0)</f>
        <v>0</v>
      </c>
      <c r="T445" s="265"/>
      <c r="U44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3598980</v>
      </c>
      <c r="W445" s="23">
        <f>IF(Tabla2[[#This Row],[Fecha F.E.]]="","",YEAR(Tabla2[[#This Row],[Fecha F.E.]]))</f>
        <v>2024</v>
      </c>
      <c r="X445" s="23">
        <f>IF(Tabla2[[#This Row],[Fecha]]="","",YEAR(Tabla2[[#This Row],[Fecha]]))</f>
        <v>2024</v>
      </c>
    </row>
    <row r="446" spans="1:24" x14ac:dyDescent="0.25">
      <c r="A446" s="3">
        <v>447</v>
      </c>
      <c r="B446" s="77" t="s">
        <v>1662</v>
      </c>
      <c r="C446" s="360">
        <f>+E446</f>
        <v>45532</v>
      </c>
      <c r="D446" s="76" t="s">
        <v>1663</v>
      </c>
      <c r="E446" s="360">
        <v>45532</v>
      </c>
      <c r="F446" s="78" t="s">
        <v>231</v>
      </c>
      <c r="G446" s="85">
        <v>901417727</v>
      </c>
      <c r="H446" s="177" t="str">
        <f>VLOOKUP(Tabla2[[#This Row],[NIT]],Clientes!A:C,2,0)</f>
        <v>B2B TAX LEGAL S.A.S. BIC</v>
      </c>
      <c r="I446" s="77" t="str">
        <f>VLOOKUP(Tabla2[[#This Row],[NIT]],Clientes!A:C,3,0)</f>
        <v>PJ</v>
      </c>
      <c r="J446" s="77"/>
      <c r="K446" s="267">
        <f>SUMIFS(Tabla4[Sub Total],Tabla4[Codigo],Tabla2[[#This Row],[Cod]])</f>
        <v>3600000</v>
      </c>
      <c r="L446" s="262">
        <f>SUMPRODUCT((Tabla4[Codigo]=Tabla2[[#This Row],[Cod]])*1,Tabla4[IVA])</f>
        <v>684000</v>
      </c>
      <c r="M446" s="262">
        <f>SUMIFS(Tabla4[Total],Tabla4[Codigo],Tabla2[[#This Row],[Cod]])</f>
        <v>4284000</v>
      </c>
      <c r="N446" s="278">
        <f>SUMPRODUCT((Tabla1[Codigo]=Tabla2[[#This Row],[Cod]])*1,Tabla1[Valor])</f>
        <v>0</v>
      </c>
      <c r="O446" s="265"/>
      <c r="P446" s="262">
        <f>Tabla2[[#This Row],[TOTAL]]-Tabla2[[#This Row],[Valor pago]]</f>
        <v>4284000</v>
      </c>
      <c r="Q446" s="265">
        <f>IF(Tabla2[[#This Row],[Saldo]]=0,0,IF(Tabla2[[#This Row],[Tipo cliente]]="PJ",Tabla2[[#This Row],[SUBTOTAL]]*11%,0))</f>
        <v>396000</v>
      </c>
      <c r="R446" s="276">
        <f>IF(Tabla2[[#This Row],[Saldo]]=0,0,IF(Tabla2[[#This Row],[Tipo cliente]]="PJ",Tabla2[[#This Row],[SUBTOTAL]]*0.966%,0))</f>
        <v>34776</v>
      </c>
      <c r="S446" s="276">
        <f>IF(Tabla2[[#This Row],[Retiene IVA]]="S",Tabla2[[#This Row],[IVA]]*0.15,0)</f>
        <v>0</v>
      </c>
      <c r="T446" s="265"/>
      <c r="U44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46" s="23">
        <f>IF(Tabla2[[#This Row],[Fecha F.E.]]="","",YEAR(Tabla2[[#This Row],[Fecha F.E.]]))</f>
        <v>2024</v>
      </c>
      <c r="X446" s="23">
        <f>IF(Tabla2[[#This Row],[Fecha]]="","",YEAR(Tabla2[[#This Row],[Fecha]]))</f>
        <v>2024</v>
      </c>
    </row>
    <row r="447" spans="1:24" x14ac:dyDescent="0.25">
      <c r="A447" s="3">
        <v>448</v>
      </c>
      <c r="B447" s="77" t="s">
        <v>1664</v>
      </c>
      <c r="C447" s="360">
        <v>45580</v>
      </c>
      <c r="D447" s="76" t="s">
        <v>1665</v>
      </c>
      <c r="E447" s="360">
        <v>45580</v>
      </c>
      <c r="F447" s="78" t="s">
        <v>231</v>
      </c>
      <c r="G447" s="85">
        <v>901588265</v>
      </c>
      <c r="H447" s="177" t="str">
        <f>VLOOKUP(Tabla2[[#This Row],[NIT]],Clientes!A:C,2,0)</f>
        <v>GENUINE TECH SAS</v>
      </c>
      <c r="I447" s="77" t="str">
        <f>VLOOKUP(Tabla2[[#This Row],[NIT]],Clientes!A:C,3,0)</f>
        <v>PJ</v>
      </c>
      <c r="J447" s="77"/>
      <c r="K447" s="267">
        <f>SUMIFS(Tabla4[Sub Total],Tabla4[Codigo],Tabla2[[#This Row],[Cod]])</f>
        <v>545454</v>
      </c>
      <c r="L447" s="262">
        <f>SUMPRODUCT((Tabla4[Codigo]=Tabla2[[#This Row],[Cod]])*1,Tabla4[IVA])</f>
        <v>103636.26</v>
      </c>
      <c r="M447" s="262">
        <f>SUMIFS(Tabla4[Total],Tabla4[Codigo],Tabla2[[#This Row],[Cod]])</f>
        <v>649090.26</v>
      </c>
      <c r="N447" s="278">
        <f>SUMPRODUCT((Tabla1[Codigo]=Tabla2[[#This Row],[Cod]])*1,Tabla1[Valor])</f>
        <v>622003</v>
      </c>
      <c r="O447" s="265">
        <f>IF(AND(Tabla2[[#This Row],[Estado]]="ok",LEFT(Tabla2[[#This Row],['# Factura]],3)="TIS"),Tabla2[[#This Row],[TOTAL]]-Tabla2[[#This Row],[pagado]],0)</f>
        <v>-38181.765639999881</v>
      </c>
      <c r="P447" s="262">
        <f>Tabla2[[#This Row],[TOTAL]]-Tabla2[[#This Row],[Valor pago]]</f>
        <v>27087.260000000009</v>
      </c>
      <c r="Q447" s="265">
        <f>IF(Tabla2[[#This Row],[Saldo]]=0,0,IF(Tabla2[[#This Row],[Tipo cliente]]="PJ",Tabla2[[#This Row],[SUBTOTAL]]*11%,0))</f>
        <v>59999.94</v>
      </c>
      <c r="R447" s="276">
        <f>IF(Tabla2[[#This Row],[Saldo]]=0,0,IF(Tabla2[[#This Row],[Tipo cliente]]="PJ",Tabla2[[#This Row],[SUBTOTAL]]*0.966%,0))</f>
        <v>5269.0856400000002</v>
      </c>
      <c r="S447" s="276">
        <f>IF(Tabla2[[#This Row],[Retiene IVA]]="S",Tabla2[[#This Row],[IVA]]*0.15,0)</f>
        <v>0</v>
      </c>
      <c r="T447" s="265"/>
      <c r="U44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687272.02563999989</v>
      </c>
      <c r="W447" s="23">
        <f>IF(Tabla2[[#This Row],[Fecha F.E.]]="","",YEAR(Tabla2[[#This Row],[Fecha F.E.]]))</f>
        <v>2024</v>
      </c>
      <c r="X447" s="23">
        <f>IF(Tabla2[[#This Row],[Fecha]]="","",YEAR(Tabla2[[#This Row],[Fecha]]))</f>
        <v>2024</v>
      </c>
    </row>
    <row r="448" spans="1:24" x14ac:dyDescent="0.25">
      <c r="A448" s="3">
        <v>449</v>
      </c>
      <c r="B448" s="77" t="s">
        <v>1666</v>
      </c>
      <c r="C448" s="360">
        <v>45580</v>
      </c>
      <c r="D448" s="76" t="s">
        <v>1667</v>
      </c>
      <c r="E448" s="360">
        <v>45580</v>
      </c>
      <c r="F448" s="78" t="s">
        <v>231</v>
      </c>
      <c r="G448" s="85">
        <v>901030518</v>
      </c>
      <c r="H448" s="177" t="str">
        <f>VLOOKUP(Tabla2[[#This Row],[NIT]],Clientes!A:C,2,0)</f>
        <v>Inversiones Sajamib SAS</v>
      </c>
      <c r="I448" s="77" t="str">
        <f>VLOOKUP(Tabla2[[#This Row],[NIT]],Clientes!A:C,3,0)</f>
        <v>PJ</v>
      </c>
      <c r="J448" s="77"/>
      <c r="K448" s="267">
        <f>SUMIFS(Tabla4[Sub Total],Tabla4[Codigo],Tabla2[[#This Row],[Cod]])</f>
        <v>480000</v>
      </c>
      <c r="L448" s="262">
        <f>SUMPRODUCT((Tabla4[Codigo]=Tabla2[[#This Row],[Cod]])*1,Tabla4[IVA])</f>
        <v>0</v>
      </c>
      <c r="M448" s="262">
        <f>SUMIFS(Tabla4[Total],Tabla4[Codigo],Tabla2[[#This Row],[Cod]])</f>
        <v>480000</v>
      </c>
      <c r="N448" s="278">
        <f>SUMPRODUCT((Tabla1[Codigo]=Tabla2[[#This Row],[Cod]])*1,Tabla1[Valor])</f>
        <v>480000</v>
      </c>
      <c r="O448" s="265">
        <f>IF(AND(Tabla2[[#This Row],[Estado]]="ok",LEFT(Tabla2[[#This Row],['# Factura]],3)="TIS"),Tabla2[[#This Row],[TOTAL]]-Tabla2[[#This Row],[pagado]],0)</f>
        <v>0</v>
      </c>
      <c r="P448" s="262">
        <f>Tabla2[[#This Row],[TOTAL]]-Tabla2[[#This Row],[Valor pago]]</f>
        <v>0</v>
      </c>
      <c r="Q448" s="265">
        <f>IF(Tabla2[[#This Row],[Saldo]]=0,0,IF(Tabla2[[#This Row],[Tipo cliente]]="PJ",Tabla2[[#This Row],[SUBTOTAL]]*11%,0))</f>
        <v>0</v>
      </c>
      <c r="R448" s="276">
        <f>IF(Tabla2[[#This Row],[Saldo]]=0,0,IF(Tabla2[[#This Row],[Tipo cliente]]="PJ",Tabla2[[#This Row],[SUBTOTAL]]*0.966%,0))</f>
        <v>0</v>
      </c>
      <c r="S448" s="276">
        <f>IF(Tabla2[[#This Row],[Retiene IVA]]="S",Tabla2[[#This Row],[IVA]]*0.15,0)</f>
        <v>0</v>
      </c>
      <c r="T448" s="265"/>
      <c r="U44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448" s="23">
        <f>IF(Tabla2[[#This Row],[Fecha F.E.]]="","",YEAR(Tabla2[[#This Row],[Fecha F.E.]]))</f>
        <v>2024</v>
      </c>
      <c r="X448" s="23">
        <f>IF(Tabla2[[#This Row],[Fecha]]="","",YEAR(Tabla2[[#This Row],[Fecha]]))</f>
        <v>2024</v>
      </c>
    </row>
    <row r="449" spans="1:24" x14ac:dyDescent="0.25">
      <c r="A449" s="3">
        <v>450</v>
      </c>
      <c r="B449" s="77" t="s">
        <v>1668</v>
      </c>
      <c r="C449" s="360">
        <v>45587</v>
      </c>
      <c r="D449" s="76" t="s">
        <v>1669</v>
      </c>
      <c r="E449" s="360">
        <v>45587</v>
      </c>
      <c r="F449" s="78" t="s">
        <v>231</v>
      </c>
      <c r="G449" s="85">
        <v>901436224</v>
      </c>
      <c r="H449" s="177" t="str">
        <f>VLOOKUP(Tabla2[[#This Row],[NIT]],Clientes!A:C,2,0)</f>
        <v>SUPPLYING TOTAL TALENT SAS</v>
      </c>
      <c r="I449" s="77" t="str">
        <f>VLOOKUP(Tabla2[[#This Row],[NIT]],Clientes!A:C,3,0)</f>
        <v>PJ</v>
      </c>
      <c r="J449" s="77"/>
      <c r="K449" s="267">
        <f>SUMIFS(Tabla4[Sub Total],Tabla4[Codigo],Tabla2[[#This Row],[Cod]])</f>
        <v>320000</v>
      </c>
      <c r="L449" s="262">
        <f>SUMPRODUCT((Tabla4[Codigo]=Tabla2[[#This Row],[Cod]])*1,Tabla4[IVA])</f>
        <v>60800</v>
      </c>
      <c r="M449" s="262">
        <f>SUMIFS(Tabla4[Total],Tabla4[Codigo],Tabla2[[#This Row],[Cod]])</f>
        <v>380800</v>
      </c>
      <c r="N449" s="278">
        <f>SUMPRODUCT((Tabla1[Codigo]=Tabla2[[#This Row],[Cod]])*1,Tabla1[Valor])</f>
        <v>346000</v>
      </c>
      <c r="O449" s="265">
        <f>IF(AND(Tabla2[[#This Row],[Estado]]="ok",LEFT(Tabla2[[#This Row],['# Factura]],3)="TIS"),Tabla2[[#This Row],[TOTAL]]-Tabla2[[#This Row],[pagado]],0)</f>
        <v>-3491.2000000000116</v>
      </c>
      <c r="P449" s="262">
        <f>Tabla2[[#This Row],[TOTAL]]-Tabla2[[#This Row],[Valor pago]]</f>
        <v>34800</v>
      </c>
      <c r="Q449" s="265">
        <f>IF(Tabla2[[#This Row],[Saldo]]=0,0,IF(Tabla2[[#This Row],[Tipo cliente]]="PJ",Tabla2[[#This Row],[SUBTOTAL]]*11%,0))</f>
        <v>35200</v>
      </c>
      <c r="R449" s="276">
        <f>IF(Tabla2[[#This Row],[Saldo]]=0,0,IF(Tabla2[[#This Row],[Tipo cliente]]="PJ",Tabla2[[#This Row],[SUBTOTAL]]*0.966%,0))</f>
        <v>3091.2000000000003</v>
      </c>
      <c r="S449" s="276">
        <f>IF(Tabla2[[#This Row],[Retiene IVA]]="S",Tabla2[[#This Row],[IVA]]*0.15,0)</f>
        <v>0</v>
      </c>
      <c r="T449" s="265"/>
      <c r="U44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384291.2</v>
      </c>
      <c r="V449" s="23" t="s">
        <v>1670</v>
      </c>
      <c r="W449" s="23">
        <f>IF(Tabla2[[#This Row],[Fecha F.E.]]="","",YEAR(Tabla2[[#This Row],[Fecha F.E.]]))</f>
        <v>2024</v>
      </c>
      <c r="X449" s="23">
        <f>IF(Tabla2[[#This Row],[Fecha]]="","",YEAR(Tabla2[[#This Row],[Fecha]]))</f>
        <v>2024</v>
      </c>
    </row>
    <row r="450" spans="1:24" x14ac:dyDescent="0.25">
      <c r="A450" s="3">
        <v>451</v>
      </c>
      <c r="B450" s="77" t="s">
        <v>1671</v>
      </c>
      <c r="C450" s="360">
        <f>+E450</f>
        <v>45587</v>
      </c>
      <c r="D450" s="76" t="s">
        <v>1672</v>
      </c>
      <c r="E450" s="360">
        <v>45587</v>
      </c>
      <c r="F450" s="78" t="s">
        <v>231</v>
      </c>
      <c r="G450" s="85">
        <v>830078222</v>
      </c>
      <c r="H450" s="177" t="str">
        <f>VLOOKUP(Tabla2[[#This Row],[NIT]],Clientes!A:C,2,0)</f>
        <v>BETA SERVICIOS TEMPORALES S A S</v>
      </c>
      <c r="I450" s="77" t="str">
        <f>VLOOKUP(Tabla2[[#This Row],[NIT]],Clientes!A:C,3,0)</f>
        <v>PJ</v>
      </c>
      <c r="J450" s="77"/>
      <c r="K450" s="267">
        <f>SUMIFS(Tabla4[Sub Total],Tabla4[Codigo],Tabla2[[#This Row],[Cod]])</f>
        <v>320000</v>
      </c>
      <c r="L450" s="262">
        <f>SUMPRODUCT((Tabla4[Codigo]=Tabla2[[#This Row],[Cod]])*1,Tabla4[IVA])</f>
        <v>60800</v>
      </c>
      <c r="M450" s="262">
        <f>SUMIFS(Tabla4[Total],Tabla4[Codigo],Tabla2[[#This Row],[Cod]])</f>
        <v>380800</v>
      </c>
      <c r="N450" s="278">
        <f>SUMPRODUCT((Tabla1[Codigo]=Tabla2[[#This Row],[Cod]])*1,Tabla1[Valor])</f>
        <v>342828</v>
      </c>
      <c r="O450" s="265">
        <f>IF(AND(Tabla2[[#This Row],[Estado]]="ok",LEFT(Tabla2[[#This Row],['# Factura]],3)="TIS"),Tabla2[[#This Row],[TOTAL]]-Tabla2[[#This Row],[pagado]],0)</f>
        <v>-319.20000000001164</v>
      </c>
      <c r="P450" s="262">
        <f>Tabla2[[#This Row],[TOTAL]]-Tabla2[[#This Row],[Valor pago]]</f>
        <v>37972</v>
      </c>
      <c r="Q450" s="265">
        <f>IF(Tabla2[[#This Row],[Saldo]]=0,0,IF(Tabla2[[#This Row],[Tipo cliente]]="PJ",Tabla2[[#This Row],[SUBTOTAL]]*11%,0))</f>
        <v>35200</v>
      </c>
      <c r="R450" s="276">
        <f>IF(Tabla2[[#This Row],[Saldo]]=0,0,IF(Tabla2[[#This Row],[Tipo cliente]]="PJ",Tabla2[[#This Row],[SUBTOTAL]]*0.966%,0))</f>
        <v>3091.2000000000003</v>
      </c>
      <c r="S450" s="276">
        <f>IF(Tabla2[[#This Row],[Retiene IVA]]="S",Tabla2[[#This Row],[IVA]]*0.15,0)</f>
        <v>0</v>
      </c>
      <c r="T450" s="265"/>
      <c r="U45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381119.2</v>
      </c>
      <c r="W450" s="23">
        <f>IF(Tabla2[[#This Row],[Fecha F.E.]]="","",YEAR(Tabla2[[#This Row],[Fecha F.E.]]))</f>
        <v>2024</v>
      </c>
      <c r="X450" s="23">
        <f>IF(Tabla2[[#This Row],[Fecha]]="","",YEAR(Tabla2[[#This Row],[Fecha]]))</f>
        <v>2024</v>
      </c>
    </row>
    <row r="451" spans="1:24" x14ac:dyDescent="0.25">
      <c r="A451" s="3">
        <v>452</v>
      </c>
      <c r="B451" s="77" t="s">
        <v>1673</v>
      </c>
      <c r="C451" s="360">
        <v>45587</v>
      </c>
      <c r="D451" s="76" t="s">
        <v>1674</v>
      </c>
      <c r="E451" s="360">
        <v>45587</v>
      </c>
      <c r="F451" s="78" t="s">
        <v>231</v>
      </c>
      <c r="G451" s="85">
        <v>900232864</v>
      </c>
      <c r="H451" s="177" t="str">
        <f>VLOOKUP(Tabla2[[#This Row],[NIT]],Clientes!A:C,2,0)</f>
        <v>STT Group sucursal colombia SA</v>
      </c>
      <c r="I451" s="77" t="str">
        <f>VLOOKUP(Tabla2[[#This Row],[NIT]],Clientes!A:C,3,0)</f>
        <v>PJ</v>
      </c>
      <c r="J451" s="77"/>
      <c r="K451" s="267">
        <f>SUMIFS(Tabla4[Sub Total],Tabla4[Codigo],Tabla2[[#This Row],[Cod]])</f>
        <v>680000</v>
      </c>
      <c r="L451" s="262">
        <f>SUMPRODUCT((Tabla4[Codigo]=Tabla2[[#This Row],[Cod]])*1,Tabla4[IVA])</f>
        <v>129200</v>
      </c>
      <c r="M451" s="262">
        <f>SUMIFS(Tabla4[Total],Tabla4[Codigo],Tabla2[[#This Row],[Cod]])</f>
        <v>809200</v>
      </c>
      <c r="N451" s="278">
        <f>SUMPRODUCT((Tabla1[Codigo]=Tabla2[[#This Row],[Cod]])*1,Tabla1[Valor])</f>
        <v>727831</v>
      </c>
      <c r="O451" s="265">
        <f>IF(AND(Tabla2[[#This Row],[Estado]]="ok",LEFT(Tabla2[[#This Row],['# Factura]],3)="TIS"),Tabla2[[#This Row],[TOTAL]]-Tabla2[[#This Row],[pagado]],0)</f>
        <v>0.19999999995343387</v>
      </c>
      <c r="P451" s="262">
        <f>Tabla2[[#This Row],[TOTAL]]-Tabla2[[#This Row],[Valor pago]]</f>
        <v>81369</v>
      </c>
      <c r="Q451" s="265">
        <f>IF(Tabla2[[#This Row],[Saldo]]=0,0,IF(Tabla2[[#This Row],[Tipo cliente]]="PJ",Tabla2[[#This Row],[SUBTOTAL]]*11%,0))</f>
        <v>74800</v>
      </c>
      <c r="R451" s="276">
        <f>IF(Tabla2[[#This Row],[Saldo]]=0,0,IF(Tabla2[[#This Row],[Tipo cliente]]="PJ",Tabla2[[#This Row],[SUBTOTAL]]*0.966%,0))</f>
        <v>6568.8</v>
      </c>
      <c r="S451" s="276">
        <f>IF(Tabla2[[#This Row],[Retiene IVA]]="S",Tabla2[[#This Row],[IVA]]*0.15,0)</f>
        <v>0</v>
      </c>
      <c r="T451" s="265">
        <f>+Tabla2[[#This Row],[Saldo]]-Tabla2[[#This Row],[Rete fte]]-Tabla2[[#This Row],[rete ica]]-Tabla2[[#This Row],[Rete IVA]]</f>
        <v>0.1999999999998181</v>
      </c>
      <c r="U45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809199.8</v>
      </c>
      <c r="W451" s="23">
        <f>IF(Tabla2[[#This Row],[Fecha F.E.]]="","",YEAR(Tabla2[[#This Row],[Fecha F.E.]]))</f>
        <v>2024</v>
      </c>
      <c r="X451" s="23">
        <f>IF(Tabla2[[#This Row],[Fecha]]="","",YEAR(Tabla2[[#This Row],[Fecha]]))</f>
        <v>2024</v>
      </c>
    </row>
    <row r="452" spans="1:24" x14ac:dyDescent="0.25">
      <c r="A452" s="3">
        <v>453</v>
      </c>
      <c r="B452" s="77" t="s">
        <v>1675</v>
      </c>
      <c r="C452" s="360">
        <v>45587</v>
      </c>
      <c r="D452" s="76" t="s">
        <v>1676</v>
      </c>
      <c r="E452" s="360">
        <v>45587</v>
      </c>
      <c r="F452" s="78" t="s">
        <v>231</v>
      </c>
      <c r="G452" s="85">
        <v>900232864</v>
      </c>
      <c r="H452" s="177" t="str">
        <f>VLOOKUP(Tabla2[[#This Row],[NIT]],Clientes!A:C,2,0)</f>
        <v>STT Group sucursal colombia SA</v>
      </c>
      <c r="I452" s="77" t="str">
        <f>VLOOKUP(Tabla2[[#This Row],[NIT]],Clientes!A:C,3,0)</f>
        <v>PJ</v>
      </c>
      <c r="J452" s="77"/>
      <c r="K452" s="267">
        <f>SUMIFS(Tabla4[Sub Total],Tabla4[Codigo],Tabla2[[#This Row],[Cod]])</f>
        <v>1600000</v>
      </c>
      <c r="L452" s="262">
        <f>SUMPRODUCT((Tabla4[Codigo]=Tabla2[[#This Row],[Cod]])*1,Tabla4[IVA])</f>
        <v>304000</v>
      </c>
      <c r="M452" s="262">
        <f>SUMIFS(Tabla4[Total],Tabla4[Codigo],Tabla2[[#This Row],[Cod]])</f>
        <v>1904000</v>
      </c>
      <c r="N452" s="278">
        <f>SUMPRODUCT((Tabla1[Codigo]=Tabla2[[#This Row],[Cod]])*1,Tabla1[Valor])</f>
        <v>1711652</v>
      </c>
      <c r="O452" s="265">
        <f>IF(AND(Tabla2[[#This Row],[Estado]]="ok",LEFT(Tabla2[[#This Row],['# Factura]],3)="TIS"),Tabla2[[#This Row],[TOTAL]]-Tabla2[[#This Row],[pagado]],0)</f>
        <v>892</v>
      </c>
      <c r="P452" s="262">
        <f>Tabla2[[#This Row],[TOTAL]]-Tabla2[[#This Row],[Valor pago]]</f>
        <v>192348</v>
      </c>
      <c r="Q452" s="265">
        <f>IF(Tabla2[[#This Row],[Saldo]]=0,0,IF(Tabla2[[#This Row],[Tipo cliente]]="PJ",Tabla2[[#This Row],[SUBTOTAL]]*11%,0))</f>
        <v>176000</v>
      </c>
      <c r="R452" s="276">
        <f>IF(Tabla2[[#This Row],[Saldo]]=0,0,IF(Tabla2[[#This Row],[Tipo cliente]]="PJ",Tabla2[[#This Row],[SUBTOTAL]]*0.966%,0))</f>
        <v>15456</v>
      </c>
      <c r="S452" s="276">
        <f>IF(Tabla2[[#This Row],[Retiene IVA]]="S",Tabla2[[#This Row],[IVA]]*0.15,0)</f>
        <v>0</v>
      </c>
      <c r="T452" s="265">
        <f>+Tabla2[[#This Row],[Saldo]]-Tabla2[[#This Row],[Rete fte]]-Tabla2[[#This Row],[rete ica]]-Tabla2[[#This Row],[Rete IVA]]</f>
        <v>892</v>
      </c>
      <c r="U45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1903108</v>
      </c>
      <c r="W452" s="23">
        <f>IF(Tabla2[[#This Row],[Fecha F.E.]]="","",YEAR(Tabla2[[#This Row],[Fecha F.E.]]))</f>
        <v>2024</v>
      </c>
      <c r="X452" s="23">
        <f>IF(Tabla2[[#This Row],[Fecha]]="","",YEAR(Tabla2[[#This Row],[Fecha]]))</f>
        <v>2024</v>
      </c>
    </row>
    <row r="453" spans="1:24" x14ac:dyDescent="0.25">
      <c r="A453" s="3">
        <v>454</v>
      </c>
      <c r="B453" s="77" t="s">
        <v>1677</v>
      </c>
      <c r="C453" s="360">
        <v>45593</v>
      </c>
      <c r="D453" s="76" t="s">
        <v>1678</v>
      </c>
      <c r="E453" s="360">
        <v>45593</v>
      </c>
      <c r="F453" s="78" t="s">
        <v>231</v>
      </c>
      <c r="G453" s="85">
        <v>900136900</v>
      </c>
      <c r="H453" s="177" t="str">
        <f>VLOOKUP(Tabla2[[#This Row],[NIT]],Clientes!A:C,2,0)</f>
        <v>MARCEGAGLIA COLOMBIA SAS</v>
      </c>
      <c r="I453" s="77" t="str">
        <f>VLOOKUP(Tabla2[[#This Row],[NIT]],Clientes!A:C,3,0)</f>
        <v>PJ</v>
      </c>
      <c r="J453" s="77"/>
      <c r="K453" s="267">
        <f>SUMIFS(Tabla4[Sub Total],Tabla4[Codigo],Tabla2[[#This Row],[Cod]])</f>
        <v>2408000</v>
      </c>
      <c r="L453" s="262">
        <f>SUMPRODUCT((Tabla4[Codigo]=Tabla2[[#This Row],[Cod]])*1,Tabla4[IVA])</f>
        <v>457520</v>
      </c>
      <c r="M453" s="262">
        <f>SUMIFS(Tabla4[Total],Tabla4[Codigo],Tabla2[[#This Row],[Cod]])</f>
        <v>2865520</v>
      </c>
      <c r="N453" s="278">
        <f>SUMPRODUCT((Tabla1[Codigo]=Tabla2[[#This Row],[Cod]])*1,Tabla1[Valor])</f>
        <v>2517564</v>
      </c>
      <c r="O453" s="265">
        <f>IF(AND(Tabla2[[#This Row],[Estado]]="ok",LEFT(Tabla2[[#This Row],['# Factura]],3)="TIS"),Tabla2[[#This Row],[TOTAL]]-Tabla2[[#This Row],[pagado]],0)</f>
        <v>59814.720000000205</v>
      </c>
      <c r="P453" s="262">
        <f>Tabla2[[#This Row],[TOTAL]]-Tabla2[[#This Row],[Valor pago]]</f>
        <v>347956</v>
      </c>
      <c r="Q453" s="265">
        <f>IF(Tabla2[[#This Row],[Saldo]]=0,0,IF(Tabla2[[#This Row],[Tipo cliente]]="PJ",Tabla2[[#This Row],[SUBTOTAL]]*11%,0))</f>
        <v>264880</v>
      </c>
      <c r="R453" s="276">
        <f>IF(Tabla2[[#This Row],[Saldo]]=0,0,IF(Tabla2[[#This Row],[Tipo cliente]]="PJ",Tabla2[[#This Row],[SUBTOTAL]]*0.966%,0))</f>
        <v>23261.279999999999</v>
      </c>
      <c r="S453" s="276">
        <f>IF(Tabla2[[#This Row],[Retiene IVA]]="S",Tabla2[[#This Row],[IVA]]*0.15,0)</f>
        <v>0</v>
      </c>
      <c r="T453" s="265"/>
      <c r="U45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2805705.28</v>
      </c>
      <c r="W453" s="23">
        <f>IF(Tabla2[[#This Row],[Fecha F.E.]]="","",YEAR(Tabla2[[#This Row],[Fecha F.E.]]))</f>
        <v>2024</v>
      </c>
      <c r="X453" s="23">
        <f>IF(Tabla2[[#This Row],[Fecha]]="","",YEAR(Tabla2[[#This Row],[Fecha]]))</f>
        <v>2024</v>
      </c>
    </row>
    <row r="454" spans="1:24" x14ac:dyDescent="0.25">
      <c r="A454" s="3">
        <v>455</v>
      </c>
      <c r="B454" s="77" t="s">
        <v>1679</v>
      </c>
      <c r="C454" s="360">
        <v>45593</v>
      </c>
      <c r="D454" s="76" t="s">
        <v>1680</v>
      </c>
      <c r="E454" s="360">
        <v>45593</v>
      </c>
      <c r="F454" s="78" t="s">
        <v>231</v>
      </c>
      <c r="G454" s="85">
        <v>900444852</v>
      </c>
      <c r="H454" s="177" t="str">
        <f>VLOOKUP(Tabla2[[#This Row],[NIT]],Clientes!A:C,2,0)</f>
        <v>TRANSPORTES ESPECIALES ALIADOS S.A.S</v>
      </c>
      <c r="I454" s="77" t="str">
        <f>VLOOKUP(Tabla2[[#This Row],[NIT]],Clientes!A:C,3,0)</f>
        <v>PJ</v>
      </c>
      <c r="J454" s="77"/>
      <c r="K454" s="267">
        <f>SUMIFS(Tabla4[Sub Total],Tabla4[Codigo],Tabla2[[#This Row],[Cod]])</f>
        <v>2400000</v>
      </c>
      <c r="L454" s="262">
        <f>SUMPRODUCT((Tabla4[Codigo]=Tabla2[[#This Row],[Cod]])*1,Tabla4[IVA])</f>
        <v>456000</v>
      </c>
      <c r="M454" s="262">
        <f>SUMIFS(Tabla4[Total],Tabla4[Codigo],Tabla2[[#This Row],[Cod]])</f>
        <v>2856000</v>
      </c>
      <c r="N454" s="278">
        <f>SUMPRODUCT((Tabla1[Codigo]=Tabla2[[#This Row],[Cod]])*1,Tabla1[Valor])</f>
        <v>2856000</v>
      </c>
      <c r="O454" s="265">
        <f>IF(AND(Tabla2[[#This Row],[Estado]]="ok",LEFT(Tabla2[[#This Row],['# Factura]],3)="TIS"),Tabla2[[#This Row],[TOTAL]]-Tabla2[[#This Row],[pagado]],0)</f>
        <v>0</v>
      </c>
      <c r="P454" s="262">
        <f>Tabla2[[#This Row],[TOTAL]]-Tabla2[[#This Row],[Valor pago]]</f>
        <v>0</v>
      </c>
      <c r="Q454" s="265">
        <f>IF(Tabla2[[#This Row],[Saldo]]=0,0,IF(Tabla2[[#This Row],[Tipo cliente]]="PJ",Tabla2[[#This Row],[SUBTOTAL]]*11%,0))</f>
        <v>0</v>
      </c>
      <c r="R454" s="276">
        <f>IF(Tabla2[[#This Row],[Saldo]]=0,0,IF(Tabla2[[#This Row],[Tipo cliente]]="PJ",Tabla2[[#This Row],[SUBTOTAL]]*0.966%,0))</f>
        <v>0</v>
      </c>
      <c r="S454" s="276">
        <f>IF(Tabla2[[#This Row],[Retiene IVA]]="S",Tabla2[[#This Row],[IVA]]*0.15,0)</f>
        <v>0</v>
      </c>
      <c r="T454" s="265"/>
      <c r="U45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2856000</v>
      </c>
      <c r="W454" s="23">
        <f>IF(Tabla2[[#This Row],[Fecha F.E.]]="","",YEAR(Tabla2[[#This Row],[Fecha F.E.]]))</f>
        <v>2024</v>
      </c>
      <c r="X454" s="23">
        <f>IF(Tabla2[[#This Row],[Fecha]]="","",YEAR(Tabla2[[#This Row],[Fecha]]))</f>
        <v>2024</v>
      </c>
    </row>
    <row r="455" spans="1:24" x14ac:dyDescent="0.25">
      <c r="A455" s="3">
        <v>456</v>
      </c>
      <c r="B455" s="77" t="s">
        <v>1681</v>
      </c>
      <c r="C455" s="360">
        <v>45593</v>
      </c>
      <c r="D455" s="76" t="s">
        <v>1682</v>
      </c>
      <c r="E455" s="360">
        <v>45593</v>
      </c>
      <c r="F455" s="78" t="s">
        <v>231</v>
      </c>
      <c r="G455" s="85">
        <v>860047214</v>
      </c>
      <c r="H455" s="177" t="str">
        <f>VLOOKUP(Tabla2[[#This Row],[NIT]],Clientes!A:C,2,0)</f>
        <v>MELOS Y MELOS SAS</v>
      </c>
      <c r="I455" s="77" t="str">
        <f>VLOOKUP(Tabla2[[#This Row],[NIT]],Clientes!A:C,3,0)</f>
        <v>PJ</v>
      </c>
      <c r="J455" s="77"/>
      <c r="K455" s="267">
        <f>SUMIFS(Tabla4[Sub Total],Tabla4[Codigo],Tabla2[[#This Row],[Cod]])</f>
        <v>770000</v>
      </c>
      <c r="L455" s="262">
        <f>SUMPRODUCT((Tabla4[Codigo]=Tabla2[[#This Row],[Cod]])*1,Tabla4[IVA])</f>
        <v>146300</v>
      </c>
      <c r="M455" s="262">
        <f>SUMIFS(Tabla4[Total],Tabla4[Codigo],Tabla2[[#This Row],[Cod]])</f>
        <v>916300</v>
      </c>
      <c r="N455" s="278">
        <f>SUMPRODUCT((Tabla1[Codigo]=Tabla2[[#This Row],[Cod]])*1,Tabla1[Valor])</f>
        <v>878832</v>
      </c>
      <c r="O455" s="265">
        <f>IF(AND(Tabla2[[#This Row],[Estado]]="ok",LEFT(Tabla2[[#This Row],['# Factura]],3)="TIS"),Tabla2[[#This Row],[TOTAL]]-Tabla2[[#This Row],[pagado]],0)</f>
        <v>-54670.199999999953</v>
      </c>
      <c r="P455" s="262">
        <f>Tabla2[[#This Row],[TOTAL]]-Tabla2[[#This Row],[Valor pago]]</f>
        <v>37468</v>
      </c>
      <c r="Q455" s="265">
        <f>IF(Tabla2[[#This Row],[Saldo]]=0,0,IF(Tabla2[[#This Row],[Tipo cliente]]="PJ",Tabla2[[#This Row],[SUBTOTAL]]*11%,0))</f>
        <v>84700</v>
      </c>
      <c r="R455" s="276">
        <f>IF(Tabla2[[#This Row],[Saldo]]=0,0,IF(Tabla2[[#This Row],[Tipo cliente]]="PJ",Tabla2[[#This Row],[SUBTOTAL]]*0.966%,0))</f>
        <v>7438.2</v>
      </c>
      <c r="S455" s="276">
        <f>IF(Tabla2[[#This Row],[Retiene IVA]]="S",Tabla2[[#This Row],[IVA]]*0.15,0)</f>
        <v>0</v>
      </c>
      <c r="T455" s="265"/>
      <c r="U45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970970.2</v>
      </c>
      <c r="W455" s="23">
        <f>IF(Tabla2[[#This Row],[Fecha F.E.]]="","",YEAR(Tabla2[[#This Row],[Fecha F.E.]]))</f>
        <v>2024</v>
      </c>
      <c r="X455" s="23">
        <f>IF(Tabla2[[#This Row],[Fecha]]="","",YEAR(Tabla2[[#This Row],[Fecha]]))</f>
        <v>2024</v>
      </c>
    </row>
    <row r="456" spans="1:24" ht="26.25" x14ac:dyDescent="0.25">
      <c r="A456" s="3">
        <v>457</v>
      </c>
      <c r="B456" s="77" t="s">
        <v>1683</v>
      </c>
      <c r="C456" s="360">
        <v>45609</v>
      </c>
      <c r="D456" s="76" t="s">
        <v>1684</v>
      </c>
      <c r="E456" s="360">
        <v>45609</v>
      </c>
      <c r="F456" s="78" t="s">
        <v>231</v>
      </c>
      <c r="G456" s="85">
        <v>830054076</v>
      </c>
      <c r="H456" s="177" t="str">
        <f>VLOOKUP(Tabla2[[#This Row],[NIT]],Clientes!A:C,2,0)</f>
        <v>FIDEICOMISOS SOCIEDAD FIDUCIARIA DE OCCIDENTE SA</v>
      </c>
      <c r="I456" s="77" t="str">
        <f>VLOOKUP(Tabla2[[#This Row],[NIT]],Clientes!A:C,3,0)</f>
        <v>PJ</v>
      </c>
      <c r="J456" s="77"/>
      <c r="K456" s="267">
        <f>SUMIFS(Tabla4[Sub Total],Tabla4[Codigo],Tabla2[[#This Row],[Cod]])</f>
        <v>7950000</v>
      </c>
      <c r="L456" s="262">
        <f>SUMPRODUCT((Tabla4[Codigo]=Tabla2[[#This Row],[Cod]])*1,Tabla4[IVA])</f>
        <v>1510500</v>
      </c>
      <c r="M456" s="262">
        <f>SUMIFS(Tabla4[Total],Tabla4[Codigo],Tabla2[[#This Row],[Cod]])</f>
        <v>9460500</v>
      </c>
      <c r="N456" s="278">
        <f>SUMPRODUCT((Tabla1[Codigo]=Tabla2[[#This Row],[Cod]])*1,Tabla1[Valor])</f>
        <v>7979035.8200000003</v>
      </c>
      <c r="O456" s="265">
        <f>IF(AND(Tabla2[[#This Row],[Estado]]="ok",LEFT(Tabla2[[#This Row],['# Factura]],3)="TIS"),Tabla2[[#This Row],[TOTAL]]-Tabla2[[#This Row],[pagado]],0)</f>
        <v>530167.1799999997</v>
      </c>
      <c r="P456" s="262">
        <f>Tabla2[[#This Row],[TOTAL]]-Tabla2[[#This Row],[Valor pago]]</f>
        <v>1481464.1799999997</v>
      </c>
      <c r="Q456" s="265">
        <f>IF(Tabla2[[#This Row],[Saldo]]=0,0,IF(Tabla2[[#This Row],[Tipo cliente]]="PJ",Tabla2[[#This Row],[SUBTOTAL]]*11%,0))</f>
        <v>874500</v>
      </c>
      <c r="R456" s="276">
        <f>IF(Tabla2[[#This Row],[Saldo]]=0,0,IF(Tabla2[[#This Row],[Tipo cliente]]="PJ",Tabla2[[#This Row],[SUBTOTAL]]*0.966%,0))</f>
        <v>76797</v>
      </c>
      <c r="S456" s="276">
        <f>IF(Tabla2[[#This Row],[Retiene IVA]]="S",Tabla2[[#This Row],[IVA]]*0.15,0)</f>
        <v>0</v>
      </c>
      <c r="T456" s="265"/>
      <c r="U45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8930332.8200000003</v>
      </c>
      <c r="W456" s="23">
        <f>IF(Tabla2[[#This Row],[Fecha F.E.]]="","",YEAR(Tabla2[[#This Row],[Fecha F.E.]]))</f>
        <v>2024</v>
      </c>
      <c r="X456" s="23">
        <f>IF(Tabla2[[#This Row],[Fecha]]="","",YEAR(Tabla2[[#This Row],[Fecha]]))</f>
        <v>2024</v>
      </c>
    </row>
    <row r="457" spans="1:24" x14ac:dyDescent="0.25">
      <c r="A457" s="3">
        <v>458</v>
      </c>
      <c r="B457" s="77" t="s">
        <v>1685</v>
      </c>
      <c r="C457" s="360">
        <f>+E457</f>
        <v>45609</v>
      </c>
      <c r="D457" s="76" t="s">
        <v>1686</v>
      </c>
      <c r="E457" s="360">
        <v>45609</v>
      </c>
      <c r="F457" s="78" t="s">
        <v>231</v>
      </c>
      <c r="G457" s="85">
        <v>860090915</v>
      </c>
      <c r="H457" s="177" t="str">
        <f>VLOOKUP(Tabla2[[#This Row],[NIT]],Clientes!A:C,2,0)</f>
        <v>ACTIVOS SAS</v>
      </c>
      <c r="I457" s="77" t="str">
        <f>VLOOKUP(Tabla2[[#This Row],[NIT]],Clientes!A:C,3,0)</f>
        <v>PJ</v>
      </c>
      <c r="J457" s="77"/>
      <c r="K457" s="267">
        <f>SUMIFS(Tabla4[Sub Total],Tabla4[Codigo],Tabla2[[#This Row],[Cod]])</f>
        <v>11200000</v>
      </c>
      <c r="L457" s="262">
        <f>SUMPRODUCT((Tabla4[Codigo]=Tabla2[[#This Row],[Cod]])*1,Tabla4[IVA])</f>
        <v>2128000</v>
      </c>
      <c r="M457" s="262">
        <f>SUMIFS(Tabla4[Total],Tabla4[Codigo],Tabla2[[#This Row],[Cod]])</f>
        <v>13328000</v>
      </c>
      <c r="N457" s="278">
        <f>SUMPRODUCT((Tabla1[Codigo]=Tabla2[[#This Row],[Cod]])*1,Tabla1[Valor])</f>
        <v>13328000</v>
      </c>
      <c r="O457" s="265">
        <f>IF(AND(Tabla2[[#This Row],[Estado]]="ok",LEFT(Tabla2[[#This Row],['# Factura]],3)="TIS"),Tabla2[[#This Row],[TOTAL]]-Tabla2[[#This Row],[pagado]],0)</f>
        <v>0</v>
      </c>
      <c r="P457" s="262">
        <f>Tabla2[[#This Row],[TOTAL]]-Tabla2[[#This Row],[Valor pago]]</f>
        <v>0</v>
      </c>
      <c r="Q457" s="265">
        <f>IF(Tabla2[[#This Row],[Saldo]]=0,0,IF(Tabla2[[#This Row],[Tipo cliente]]="PJ",Tabla2[[#This Row],[SUBTOTAL]]*11%,0))</f>
        <v>0</v>
      </c>
      <c r="R457" s="276">
        <f>IF(Tabla2[[#This Row],[Saldo]]=0,0,IF(Tabla2[[#This Row],[Tipo cliente]]="PJ",Tabla2[[#This Row],[SUBTOTAL]]*0.966%,0))</f>
        <v>0</v>
      </c>
      <c r="S457" s="276">
        <f>IF(Tabla2[[#This Row],[Retiene IVA]]="S",Tabla2[[#This Row],[IVA]]*0.15,0)</f>
        <v>0</v>
      </c>
      <c r="T457" s="265"/>
      <c r="U45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13328000</v>
      </c>
      <c r="W457" s="23">
        <f>IF(Tabla2[[#This Row],[Fecha F.E.]]="","",YEAR(Tabla2[[#This Row],[Fecha F.E.]]))</f>
        <v>2024</v>
      </c>
      <c r="X457" s="23">
        <f>IF(Tabla2[[#This Row],[Fecha]]="","",YEAR(Tabla2[[#This Row],[Fecha]]))</f>
        <v>2024</v>
      </c>
    </row>
    <row r="458" spans="1:24" x14ac:dyDescent="0.25">
      <c r="A458" s="3">
        <v>459</v>
      </c>
      <c r="B458" s="77" t="s">
        <v>1687</v>
      </c>
      <c r="C458" s="360">
        <f>+E458</f>
        <v>45609</v>
      </c>
      <c r="D458" s="76" t="s">
        <v>1688</v>
      </c>
      <c r="E458" s="360">
        <v>45609</v>
      </c>
      <c r="F458" s="78" t="s">
        <v>231</v>
      </c>
      <c r="G458" s="85">
        <v>860090915</v>
      </c>
      <c r="H458" s="177" t="str">
        <f>VLOOKUP(Tabla2[[#This Row],[NIT]],Clientes!A:C,2,0)</f>
        <v>ACTIVOS SAS</v>
      </c>
      <c r="I458" s="77" t="str">
        <f>VLOOKUP(Tabla2[[#This Row],[NIT]],Clientes!A:C,3,0)</f>
        <v>PJ</v>
      </c>
      <c r="J458" s="77"/>
      <c r="K458" s="267">
        <f>SUMIFS(Tabla4[Sub Total],Tabla4[Codigo],Tabla2[[#This Row],[Cod]])</f>
        <v>1000000</v>
      </c>
      <c r="L458" s="262">
        <f>SUMPRODUCT((Tabla4[Codigo]=Tabla2[[#This Row],[Cod]])*1,Tabla4[IVA])</f>
        <v>190000</v>
      </c>
      <c r="M458" s="262">
        <f>SUMIFS(Tabla4[Total],Tabla4[Codigo],Tabla2[[#This Row],[Cod]])</f>
        <v>1190000</v>
      </c>
      <c r="N458" s="278">
        <f>SUMPRODUCT((Tabla1[Codigo]=Tabla2[[#This Row],[Cod]])*1,Tabla1[Valor])</f>
        <v>1070340</v>
      </c>
      <c r="O458" s="265">
        <f>IF(AND(Tabla2[[#This Row],[Estado]]="ok",LEFT(Tabla2[[#This Row],['# Factura]],3)="TIS"),Tabla2[[#This Row],[TOTAL]]-Tabla2[[#This Row],[pagado]],0)</f>
        <v>0</v>
      </c>
      <c r="P458" s="262">
        <f>Tabla2[[#This Row],[TOTAL]]-Tabla2[[#This Row],[Valor pago]]</f>
        <v>119660</v>
      </c>
      <c r="Q458" s="265">
        <f>IF(Tabla2[[#This Row],[Saldo]]=0,0,IF(Tabla2[[#This Row],[Tipo cliente]]="PJ",Tabla2[[#This Row],[SUBTOTAL]]*11%,0))</f>
        <v>110000</v>
      </c>
      <c r="R458" s="276">
        <f>IF(Tabla2[[#This Row],[Saldo]]=0,0,IF(Tabla2[[#This Row],[Tipo cliente]]="PJ",Tabla2[[#This Row],[SUBTOTAL]]*0.966%,0))</f>
        <v>9660</v>
      </c>
      <c r="S458" s="276">
        <f>IF(Tabla2[[#This Row],[Retiene IVA]]="S",Tabla2[[#This Row],[IVA]]*0.15,0)</f>
        <v>0</v>
      </c>
      <c r="T458" s="265"/>
      <c r="U45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1190000</v>
      </c>
      <c r="W458" s="23">
        <f>IF(Tabla2[[#This Row],[Fecha F.E.]]="","",YEAR(Tabla2[[#This Row],[Fecha F.E.]]))</f>
        <v>2024</v>
      </c>
      <c r="X458" s="23">
        <f>IF(Tabla2[[#This Row],[Fecha]]="","",YEAR(Tabla2[[#This Row],[Fecha]]))</f>
        <v>2024</v>
      </c>
    </row>
    <row r="459" spans="1:24" x14ac:dyDescent="0.25">
      <c r="A459" s="3">
        <v>460</v>
      </c>
      <c r="B459" s="77" t="s">
        <v>1689</v>
      </c>
      <c r="C459" s="360">
        <v>45559</v>
      </c>
      <c r="D459" s="76" t="s">
        <v>1690</v>
      </c>
      <c r="E459" s="360">
        <v>45559</v>
      </c>
      <c r="F459" s="78" t="s">
        <v>231</v>
      </c>
      <c r="G459" s="85">
        <v>901001234</v>
      </c>
      <c r="H459" s="177" t="str">
        <f>VLOOKUP(Tabla2[[#This Row],[NIT]],Clientes!A:C,2,0)</f>
        <v>CUATRECASAS GONALVES PEREIRA SAS</v>
      </c>
      <c r="I459" s="77" t="str">
        <f>VLOOKUP(Tabla2[[#This Row],[NIT]],Clientes!A:C,3,0)</f>
        <v>PJ</v>
      </c>
      <c r="J459" s="77"/>
      <c r="K459" s="267">
        <f>SUMIFS(Tabla4[Sub Total],Tabla4[Codigo],Tabla2[[#This Row],[Cod]])</f>
        <v>250000</v>
      </c>
      <c r="L459" s="262">
        <f>SUMPRODUCT((Tabla4[Codigo]=Tabla2[[#This Row],[Cod]])*1,Tabla4[IVA])</f>
        <v>47500</v>
      </c>
      <c r="M459" s="262">
        <f>SUMIFS(Tabla4[Total],Tabla4[Codigo],Tabla2[[#This Row],[Cod]])</f>
        <v>297500</v>
      </c>
      <c r="N459" s="278">
        <f>SUMPRODUCT((Tabla1[Codigo]=Tabla2[[#This Row],[Cod]])*1,Tabla1[Valor])</f>
        <v>287500</v>
      </c>
      <c r="O459" s="265">
        <f>IF(AND(Tabla2[[#This Row],[Estado]]="ok",LEFT(Tabla2[[#This Row],['# Factura]],3)="TIS"),Tabla2[[#This Row],[TOTAL]]-Tabla2[[#This Row],[pagado]],0)</f>
        <v>-19915</v>
      </c>
      <c r="P459" s="262">
        <f>Tabla2[[#This Row],[TOTAL]]-Tabla2[[#This Row],[Valor pago]]</f>
        <v>10000</v>
      </c>
      <c r="Q459" s="265">
        <f>IF(Tabla2[[#This Row],[Saldo]]=0,0,IF(Tabla2[[#This Row],[Tipo cliente]]="PJ",Tabla2[[#This Row],[SUBTOTAL]]*11%,0))</f>
        <v>27500</v>
      </c>
      <c r="R459" s="276">
        <f>IF(Tabla2[[#This Row],[Saldo]]=0,0,IF(Tabla2[[#This Row],[Tipo cliente]]="PJ",Tabla2[[#This Row],[SUBTOTAL]]*0.966%,0))</f>
        <v>2415</v>
      </c>
      <c r="S459" s="276">
        <f>IF(Tabla2[[#This Row],[Retiene IVA]]="S",Tabla2[[#This Row],[IVA]]*0.15,0)</f>
        <v>0</v>
      </c>
      <c r="T459" s="265"/>
      <c r="U45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317415</v>
      </c>
      <c r="W459" s="23">
        <f>IF(Tabla2[[#This Row],[Fecha F.E.]]="","",YEAR(Tabla2[[#This Row],[Fecha F.E.]]))</f>
        <v>2024</v>
      </c>
      <c r="X459" s="23">
        <f>IF(Tabla2[[#This Row],[Fecha]]="","",YEAR(Tabla2[[#This Row],[Fecha]]))</f>
        <v>2024</v>
      </c>
    </row>
    <row r="460" spans="1:24" x14ac:dyDescent="0.25">
      <c r="A460" s="3">
        <v>461</v>
      </c>
      <c r="B460" s="77" t="s">
        <v>1691</v>
      </c>
      <c r="C460" s="360">
        <v>45621</v>
      </c>
      <c r="D460" s="76" t="s">
        <v>1692</v>
      </c>
      <c r="E460" s="360">
        <v>45621</v>
      </c>
      <c r="F460" s="78" t="s">
        <v>231</v>
      </c>
      <c r="G460" s="85">
        <v>901001234</v>
      </c>
      <c r="H460" s="177" t="str">
        <f>VLOOKUP(Tabla2[[#This Row],[NIT]],Clientes!A:C,2,0)</f>
        <v>CUATRECASAS GONALVES PEREIRA SAS</v>
      </c>
      <c r="I460" s="77" t="str">
        <f>VLOOKUP(Tabla2[[#This Row],[NIT]],Clientes!A:C,3,0)</f>
        <v>PJ</v>
      </c>
      <c r="J460" s="77"/>
      <c r="K460" s="267">
        <f>SUMIFS(Tabla4[Sub Total],Tabla4[Codigo],Tabla2[[#This Row],[Cod]])</f>
        <v>250000</v>
      </c>
      <c r="L460" s="262">
        <f>SUMPRODUCT((Tabla4[Codigo]=Tabla2[[#This Row],[Cod]])*1,Tabla4[IVA])</f>
        <v>47500</v>
      </c>
      <c r="M460" s="262">
        <f>SUMIFS(Tabla4[Total],Tabla4[Codigo],Tabla2[[#This Row],[Cod]])</f>
        <v>297500</v>
      </c>
      <c r="N460" s="278">
        <f>SUMPRODUCT((Tabla1[Codigo]=Tabla2[[#This Row],[Cod]])*1,Tabla1[Valor])</f>
        <v>0</v>
      </c>
      <c r="O460" s="265">
        <f>IF(AND(Tabla2[[#This Row],[Estado]]="ok",LEFT(Tabla2[[#This Row],['# Factura]],3)="TIS"),Tabla2[[#This Row],[TOTAL]]-Tabla2[[#This Row],[pagado]],0)</f>
        <v>297500</v>
      </c>
      <c r="P460" s="262">
        <f>Tabla2[[#This Row],[TOTAL]]-Tabla2[[#This Row],[Valor pago]]</f>
        <v>297500</v>
      </c>
      <c r="Q460" s="265">
        <f>IF(Tabla2[[#This Row],[Saldo]]=0,0,IF(Tabla2[[#This Row],[Tipo cliente]]="PJ",Tabla2[[#This Row],[SUBTOTAL]]*11%,0))</f>
        <v>27500</v>
      </c>
      <c r="R460" s="276">
        <f>IF(Tabla2[[#This Row],[Saldo]]=0,0,IF(Tabla2[[#This Row],[Tipo cliente]]="PJ",Tabla2[[#This Row],[SUBTOTAL]]*0.966%,0))</f>
        <v>2415</v>
      </c>
      <c r="S460" s="276">
        <f>IF(Tabla2[[#This Row],[Retiene IVA]]="S",Tabla2[[#This Row],[IVA]]*0.15,0)</f>
        <v>0</v>
      </c>
      <c r="T460" s="265"/>
      <c r="U46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60" s="23">
        <f>IF(Tabla2[[#This Row],[Fecha F.E.]]="","",YEAR(Tabla2[[#This Row],[Fecha F.E.]]))</f>
        <v>2024</v>
      </c>
      <c r="X460" s="23">
        <f>IF(Tabla2[[#This Row],[Fecha]]="","",YEAR(Tabla2[[#This Row],[Fecha]]))</f>
        <v>2024</v>
      </c>
    </row>
    <row r="461" spans="1:24" x14ac:dyDescent="0.25">
      <c r="A461" s="3">
        <v>462</v>
      </c>
      <c r="B461" s="77" t="s">
        <v>1693</v>
      </c>
      <c r="C461" s="360">
        <v>45621</v>
      </c>
      <c r="D461" s="76" t="s">
        <v>1694</v>
      </c>
      <c r="E461" s="360">
        <v>45621</v>
      </c>
      <c r="F461" s="78" t="s">
        <v>231</v>
      </c>
      <c r="G461" s="85">
        <v>900659017</v>
      </c>
      <c r="H461" s="177" t="str">
        <f>VLOOKUP(Tabla2[[#This Row],[NIT]],Clientes!A:C,2,0)</f>
        <v>QUALITY WATER SERVICE COLOMBIA SAS</v>
      </c>
      <c r="I461" s="77" t="str">
        <f>VLOOKUP(Tabla2[[#This Row],[NIT]],Clientes!A:C,3,0)</f>
        <v>PJ</v>
      </c>
      <c r="J461" s="77"/>
      <c r="K461" s="267">
        <f>SUMIFS(Tabla4[Sub Total],Tabla4[Codigo],Tabla2[[#This Row],[Cod]])</f>
        <v>5800000</v>
      </c>
      <c r="L461" s="262">
        <f>SUMPRODUCT((Tabla4[Codigo]=Tabla2[[#This Row],[Cod]])*1,Tabla4[IVA])</f>
        <v>1102000</v>
      </c>
      <c r="M461" s="262">
        <f>SUMIFS(Tabla4[Total],Tabla4[Codigo],Tabla2[[#This Row],[Cod]])</f>
        <v>6902000</v>
      </c>
      <c r="N461" s="278">
        <f>SUMPRODUCT((Tabla1[Codigo]=Tabla2[[#This Row],[Cod]])*1,Tabla1[Valor])</f>
        <v>6613972</v>
      </c>
      <c r="O461" s="265">
        <f>IF(AND(Tabla2[[#This Row],[Estado]]="ok",LEFT(Tabla2[[#This Row],['# Factura]],3)="TIS"),Tabla2[[#This Row],[TOTAL]]-Tabla2[[#This Row],[pagado]],0)</f>
        <v>-406000</v>
      </c>
      <c r="P461" s="262">
        <f>Tabla2[[#This Row],[TOTAL]]-Tabla2[[#This Row],[Valor pago]]</f>
        <v>288028</v>
      </c>
      <c r="Q461" s="265">
        <f>IF(Tabla2[[#This Row],[Saldo]]=0,0,IF(Tabla2[[#This Row],[Tipo cliente]]="PJ",Tabla2[[#This Row],[SUBTOTAL]]*11%,0))</f>
        <v>638000</v>
      </c>
      <c r="R461" s="276">
        <f>IF(Tabla2[[#This Row],[Saldo]]=0,0,IF(Tabla2[[#This Row],[Tipo cliente]]="PJ",Tabla2[[#This Row],[SUBTOTAL]]*0.966%,0))</f>
        <v>56028</v>
      </c>
      <c r="S461" s="276">
        <f>IF(Tabla2[[#This Row],[Retiene IVA]]="S",Tabla2[[#This Row],[IVA]]*0.15,0)</f>
        <v>0</v>
      </c>
      <c r="T461" s="265"/>
      <c r="U46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7308000</v>
      </c>
      <c r="W461" s="23">
        <f>IF(Tabla2[[#This Row],[Fecha F.E.]]="","",YEAR(Tabla2[[#This Row],[Fecha F.E.]]))</f>
        <v>2024</v>
      </c>
      <c r="X461" s="23">
        <f>IF(Tabla2[[#This Row],[Fecha]]="","",YEAR(Tabla2[[#This Row],[Fecha]]))</f>
        <v>2024</v>
      </c>
    </row>
    <row r="462" spans="1:24" x14ac:dyDescent="0.25">
      <c r="A462" s="3">
        <v>463</v>
      </c>
      <c r="B462" s="77" t="s">
        <v>1695</v>
      </c>
      <c r="C462" s="360">
        <f>+E462</f>
        <v>45621</v>
      </c>
      <c r="D462" s="76" t="s">
        <v>1696</v>
      </c>
      <c r="E462" s="360">
        <v>45621</v>
      </c>
      <c r="F462" s="78" t="s">
        <v>231</v>
      </c>
      <c r="G462" s="85">
        <v>800028768</v>
      </c>
      <c r="H462" s="177" t="str">
        <f>VLOOKUP(Tabla2[[#This Row],[NIT]],Clientes!A:C,2,0)</f>
        <v>Comercializadora ERZ SAS</v>
      </c>
      <c r="I462" s="77" t="str">
        <f>VLOOKUP(Tabla2[[#This Row],[NIT]],Clientes!A:C,3,0)</f>
        <v>PJ</v>
      </c>
      <c r="J462" s="77"/>
      <c r="K462" s="267">
        <f>SUMIFS(Tabla4[Sub Total],Tabla4[Codigo],Tabla2[[#This Row],[Cod]])</f>
        <v>260000</v>
      </c>
      <c r="L462" s="262">
        <f>SUMPRODUCT((Tabla4[Codigo]=Tabla2[[#This Row],[Cod]])*1,Tabla4[IVA])</f>
        <v>49400</v>
      </c>
      <c r="M462" s="262">
        <f>SUMIFS(Tabla4[Total],Tabla4[Codigo],Tabla2[[#This Row],[Cod]])</f>
        <v>309400</v>
      </c>
      <c r="N462" s="278">
        <f>SUMPRODUCT((Tabla1[Codigo]=Tabla2[[#This Row],[Cod]])*1,Tabla1[Valor])</f>
        <v>280800</v>
      </c>
      <c r="O462" s="265">
        <f>IF(AND(Tabla2[[#This Row],[Estado]]="ok",LEFT(Tabla2[[#This Row],['# Factura]],3)="TIS"),Tabla2[[#This Row],[TOTAL]]-Tabla2[[#This Row],[pagado]],0)</f>
        <v>-2511.5999999999767</v>
      </c>
      <c r="P462" s="262">
        <f>Tabla2[[#This Row],[TOTAL]]-Tabla2[[#This Row],[Valor pago]]</f>
        <v>28600</v>
      </c>
      <c r="Q462" s="265">
        <f>IF(Tabla2[[#This Row],[Saldo]]=0,0,IF(Tabla2[[#This Row],[Tipo cliente]]="PJ",Tabla2[[#This Row],[SUBTOTAL]]*11%,0))</f>
        <v>28600</v>
      </c>
      <c r="R462" s="276">
        <f>IF(Tabla2[[#This Row],[Saldo]]=0,0,IF(Tabla2[[#This Row],[Tipo cliente]]="PJ",Tabla2[[#This Row],[SUBTOTAL]]*0.966%,0))</f>
        <v>2511.6</v>
      </c>
      <c r="S462" s="276">
        <f>IF(Tabla2[[#This Row],[Retiene IVA]]="S",Tabla2[[#This Row],[IVA]]*0.15,0)</f>
        <v>0</v>
      </c>
      <c r="T462" s="265"/>
      <c r="U46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311911.59999999998</v>
      </c>
      <c r="W462" s="23">
        <f>IF(Tabla2[[#This Row],[Fecha F.E.]]="","",YEAR(Tabla2[[#This Row],[Fecha F.E.]]))</f>
        <v>2024</v>
      </c>
      <c r="X462" s="23">
        <f>IF(Tabla2[[#This Row],[Fecha]]="","",YEAR(Tabla2[[#This Row],[Fecha]]))</f>
        <v>2024</v>
      </c>
    </row>
    <row r="463" spans="1:24" x14ac:dyDescent="0.25">
      <c r="A463" s="3">
        <v>464</v>
      </c>
      <c r="B463" s="77" t="s">
        <v>1697</v>
      </c>
      <c r="C463" s="360">
        <v>45621</v>
      </c>
      <c r="D463" s="76" t="s">
        <v>1698</v>
      </c>
      <c r="E463" s="360">
        <v>45621</v>
      </c>
      <c r="F463" s="78" t="s">
        <v>231</v>
      </c>
      <c r="G463" s="85">
        <v>901342609</v>
      </c>
      <c r="H463" s="177" t="str">
        <f>VLOOKUP(Tabla2[[#This Row],[NIT]],Clientes!A:C,2,0)</f>
        <v>ROYCO SOLUCIONES SAS</v>
      </c>
      <c r="I463" s="77" t="str">
        <f>VLOOKUP(Tabla2[[#This Row],[NIT]],Clientes!A:C,3,0)</f>
        <v>PJ</v>
      </c>
      <c r="J463" s="77"/>
      <c r="K463" s="267">
        <f>SUMIFS(Tabla4[Sub Total],Tabla4[Codigo],Tabla2[[#This Row],[Cod]])</f>
        <v>175000</v>
      </c>
      <c r="L463" s="262">
        <f>SUMPRODUCT((Tabla4[Codigo]=Tabla2[[#This Row],[Cod]])*1,Tabla4[IVA])</f>
        <v>33250</v>
      </c>
      <c r="M463" s="262">
        <f>SUMIFS(Tabla4[Total],Tabla4[Codigo],Tabla2[[#This Row],[Cod]])</f>
        <v>208250</v>
      </c>
      <c r="N463" s="278">
        <f>SUMPRODUCT((Tabla1[Codigo]=Tabla2[[#This Row],[Cod]])*1,Tabla1[Valor])</f>
        <v>201250</v>
      </c>
      <c r="O463" s="265">
        <f>IF(AND(Tabla2[[#This Row],[Estado]]="ok",LEFT(Tabla2[[#This Row],['# Factura]],3)="TIS"),Tabla2[[#This Row],[TOTAL]]-Tabla2[[#This Row],[pagado]],0)</f>
        <v>-13940.5</v>
      </c>
      <c r="P463" s="262">
        <f>Tabla2[[#This Row],[TOTAL]]-Tabla2[[#This Row],[Valor pago]]</f>
        <v>7000</v>
      </c>
      <c r="Q463" s="265">
        <f>IF(Tabla2[[#This Row],[Saldo]]=0,0,IF(Tabla2[[#This Row],[Tipo cliente]]="PJ",Tabla2[[#This Row],[SUBTOTAL]]*11%,0))</f>
        <v>19250</v>
      </c>
      <c r="R463" s="276">
        <f>IF(Tabla2[[#This Row],[Saldo]]=0,0,IF(Tabla2[[#This Row],[Tipo cliente]]="PJ",Tabla2[[#This Row],[SUBTOTAL]]*0.966%,0))</f>
        <v>1690.5</v>
      </c>
      <c r="S463" s="276">
        <f>IF(Tabla2[[#This Row],[Retiene IVA]]="S",Tabla2[[#This Row],[IVA]]*0.15,0)</f>
        <v>0</v>
      </c>
      <c r="T463" s="265"/>
      <c r="U46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222190.5</v>
      </c>
      <c r="W463" s="23">
        <f>IF(Tabla2[[#This Row],[Fecha F.E.]]="","",YEAR(Tabla2[[#This Row],[Fecha F.E.]]))</f>
        <v>2024</v>
      </c>
      <c r="X463" s="23">
        <f>IF(Tabla2[[#This Row],[Fecha]]="","",YEAR(Tabla2[[#This Row],[Fecha]]))</f>
        <v>2024</v>
      </c>
    </row>
    <row r="464" spans="1:24" x14ac:dyDescent="0.25">
      <c r="A464" s="3">
        <v>465</v>
      </c>
      <c r="B464" s="77" t="s">
        <v>1699</v>
      </c>
      <c r="C464" s="360">
        <v>45621</v>
      </c>
      <c r="D464" s="76" t="s">
        <v>1700</v>
      </c>
      <c r="E464" s="360">
        <v>45621</v>
      </c>
      <c r="F464" s="78" t="s">
        <v>231</v>
      </c>
      <c r="G464" s="85">
        <v>901587426</v>
      </c>
      <c r="H464" s="177" t="str">
        <f>VLOOKUP(Tabla2[[#This Row],[NIT]],Clientes!A:C,2,0)</f>
        <v>STAFF SEGUROS AGENCIA LTDA</v>
      </c>
      <c r="I464" s="77" t="str">
        <f>VLOOKUP(Tabla2[[#This Row],[NIT]],Clientes!A:C,3,0)</f>
        <v>PJ</v>
      </c>
      <c r="J464" s="77"/>
      <c r="K464" s="267">
        <f>SUMIFS(Tabla4[Sub Total],Tabla4[Codigo],Tabla2[[#This Row],[Cod]])</f>
        <v>300000</v>
      </c>
      <c r="L464" s="262">
        <f>SUMPRODUCT((Tabla4[Codigo]=Tabla2[[#This Row],[Cod]])*1,Tabla4[IVA])</f>
        <v>57000</v>
      </c>
      <c r="M464" s="262">
        <f>SUMIFS(Tabla4[Total],Tabla4[Codigo],Tabla2[[#This Row],[Cod]])</f>
        <v>357000</v>
      </c>
      <c r="N464" s="278">
        <f>SUMPRODUCT((Tabla1[Codigo]=Tabla2[[#This Row],[Cod]])*1,Tabla1[Valor])</f>
        <v>357000</v>
      </c>
      <c r="O464" s="265">
        <f>IF(AND(Tabla2[[#This Row],[Estado]]="ok",LEFT(Tabla2[[#This Row],['# Factura]],3)="TIS"),Tabla2[[#This Row],[TOTAL]]-Tabla2[[#This Row],[pagado]],0)</f>
        <v>0</v>
      </c>
      <c r="P464" s="262">
        <f>Tabla2[[#This Row],[TOTAL]]-Tabla2[[#This Row],[Valor pago]]</f>
        <v>0</v>
      </c>
      <c r="Q464" s="265">
        <f>IF(Tabla2[[#This Row],[Saldo]]=0,0,IF(Tabla2[[#This Row],[Tipo cliente]]="PJ",Tabla2[[#This Row],[SUBTOTAL]]*11%,0))</f>
        <v>0</v>
      </c>
      <c r="R464" s="276">
        <f>IF(Tabla2[[#This Row],[Saldo]]=0,0,IF(Tabla2[[#This Row],[Tipo cliente]]="PJ",Tabla2[[#This Row],[SUBTOTAL]]*0.966%,0))</f>
        <v>0</v>
      </c>
      <c r="S464" s="276">
        <f>IF(Tabla2[[#This Row],[Retiene IVA]]="S",Tabla2[[#This Row],[IVA]]*0.15,0)</f>
        <v>0</v>
      </c>
      <c r="T464" s="265"/>
      <c r="U46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464" s="23">
        <f>IF(Tabla2[[#This Row],[Fecha F.E.]]="","",YEAR(Tabla2[[#This Row],[Fecha F.E.]]))</f>
        <v>2024</v>
      </c>
      <c r="X464" s="23">
        <f>IF(Tabla2[[#This Row],[Fecha]]="","",YEAR(Tabla2[[#This Row],[Fecha]]))</f>
        <v>2024</v>
      </c>
    </row>
    <row r="465" spans="1:24" x14ac:dyDescent="0.25">
      <c r="A465" s="3">
        <v>466</v>
      </c>
      <c r="B465" s="77" t="s">
        <v>1701</v>
      </c>
      <c r="C465" s="360">
        <v>45621</v>
      </c>
      <c r="D465" s="76" t="s">
        <v>1702</v>
      </c>
      <c r="E465" s="360">
        <v>45621</v>
      </c>
      <c r="F465" s="78" t="s">
        <v>231</v>
      </c>
      <c r="G465" s="85">
        <v>900505660</v>
      </c>
      <c r="H465" s="177" t="str">
        <f>VLOOKUP(Tabla2[[#This Row],[NIT]],Clientes!A:C,2,0)</f>
        <v>DIGITAL MEDIA TECHNOLOGIES COLOMBIA SAS</v>
      </c>
      <c r="I465" s="77" t="str">
        <f>VLOOKUP(Tabla2[[#This Row],[NIT]],Clientes!A:C,3,0)</f>
        <v>PJ</v>
      </c>
      <c r="J465" s="77"/>
      <c r="K465" s="267">
        <f>SUMIFS(Tabla4[Sub Total],Tabla4[Codigo],Tabla2[[#This Row],[Cod]])</f>
        <v>300000</v>
      </c>
      <c r="L465" s="262">
        <f>SUMPRODUCT((Tabla4[Codigo]=Tabla2[[#This Row],[Cod]])*1,Tabla4[IVA])</f>
        <v>57000</v>
      </c>
      <c r="M465" s="262">
        <f>SUMIFS(Tabla4[Total],Tabla4[Codigo],Tabla2[[#This Row],[Cod]])</f>
        <v>357000</v>
      </c>
      <c r="N465" s="278">
        <f>SUMPRODUCT((Tabla1[Codigo]=Tabla2[[#This Row],[Cod]])*1,Tabla1[Valor])</f>
        <v>324000</v>
      </c>
      <c r="O465" s="265">
        <f>IF(AND(Tabla2[[#This Row],[Estado]]="ok",LEFT(Tabla2[[#This Row],['# Factura]],3)="TIS"),Tabla2[[#This Row],[TOTAL]]-Tabla2[[#This Row],[pagado]],0)</f>
        <v>-2898</v>
      </c>
      <c r="P465" s="262">
        <f>Tabla2[[#This Row],[TOTAL]]-Tabla2[[#This Row],[Valor pago]]</f>
        <v>33000</v>
      </c>
      <c r="Q465" s="265">
        <f>IF(Tabla2[[#This Row],[Saldo]]=0,0,IF(Tabla2[[#This Row],[Tipo cliente]]="PJ",Tabla2[[#This Row],[SUBTOTAL]]*11%,0))</f>
        <v>33000</v>
      </c>
      <c r="R465" s="276">
        <f>IF(Tabla2[[#This Row],[Saldo]]=0,0,IF(Tabla2[[#This Row],[Tipo cliente]]="PJ",Tabla2[[#This Row],[SUBTOTAL]]*0.966%,0))</f>
        <v>2898</v>
      </c>
      <c r="S465" s="276">
        <f>IF(Tabla2[[#This Row],[Retiene IVA]]="S",Tabla2[[#This Row],[IVA]]*0.15,0)</f>
        <v>0</v>
      </c>
      <c r="T465" s="265"/>
      <c r="U46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465" s="23">
        <f>IF(Tabla2[[#This Row],[Fecha F.E.]]="","",YEAR(Tabla2[[#This Row],[Fecha F.E.]]))</f>
        <v>2024</v>
      </c>
      <c r="X465" s="23">
        <f>IF(Tabla2[[#This Row],[Fecha]]="","",YEAR(Tabla2[[#This Row],[Fecha]]))</f>
        <v>2024</v>
      </c>
    </row>
    <row r="466" spans="1:24" x14ac:dyDescent="0.25">
      <c r="A466" s="3">
        <v>467</v>
      </c>
      <c r="B466" s="77" t="s">
        <v>1703</v>
      </c>
      <c r="C466" s="360">
        <v>45621</v>
      </c>
      <c r="D466" s="76" t="s">
        <v>1704</v>
      </c>
      <c r="E466" s="360">
        <v>45621</v>
      </c>
      <c r="F466" s="78" t="s">
        <v>231</v>
      </c>
      <c r="G466" s="85">
        <v>901588265</v>
      </c>
      <c r="H466" s="177" t="str">
        <f>VLOOKUP(Tabla2[[#This Row],[NIT]],Clientes!A:C,2,0)</f>
        <v>GENUINE TECH SAS</v>
      </c>
      <c r="I466" s="77" t="str">
        <f>VLOOKUP(Tabla2[[#This Row],[NIT]],Clientes!A:C,3,0)</f>
        <v>PJ</v>
      </c>
      <c r="J466" s="77"/>
      <c r="K466" s="267">
        <f>SUMIFS(Tabla4[Sub Total],Tabla4[Codigo],Tabla2[[#This Row],[Cod]])</f>
        <v>545454</v>
      </c>
      <c r="L466" s="262">
        <f>SUMPRODUCT((Tabla4[Codigo]=Tabla2[[#This Row],[Cod]])*1,Tabla4[IVA])</f>
        <v>103636.26</v>
      </c>
      <c r="M466" s="262">
        <f>SUMIFS(Tabla4[Total],Tabla4[Codigo],Tabla2[[#This Row],[Cod]])</f>
        <v>649090.26</v>
      </c>
      <c r="N466" s="278">
        <f>SUMPRODUCT((Tabla1[Codigo]=Tabla2[[#This Row],[Cod]])*1,Tabla1[Valor])</f>
        <v>622003</v>
      </c>
      <c r="O466" s="265">
        <f>IF(AND(Tabla2[[#This Row],[Estado]]="ok",LEFT(Tabla2[[#This Row],['# Factura]],3)="TIS"),Tabla2[[#This Row],[TOTAL]]-Tabla2[[#This Row],[pagado]],0)</f>
        <v>-38181.765639999881</v>
      </c>
      <c r="P466" s="262">
        <f>Tabla2[[#This Row],[TOTAL]]-Tabla2[[#This Row],[Valor pago]]</f>
        <v>27087.260000000009</v>
      </c>
      <c r="Q466" s="265">
        <f>IF(Tabla2[[#This Row],[Saldo]]=0,0,IF(Tabla2[[#This Row],[Tipo cliente]]="PJ",Tabla2[[#This Row],[SUBTOTAL]]*11%,0))</f>
        <v>59999.94</v>
      </c>
      <c r="R466" s="276">
        <f>IF(Tabla2[[#This Row],[Saldo]]=0,0,IF(Tabla2[[#This Row],[Tipo cliente]]="PJ",Tabla2[[#This Row],[SUBTOTAL]]*0.966%,0))</f>
        <v>5269.0856400000002</v>
      </c>
      <c r="S466" s="276">
        <f>IF(Tabla2[[#This Row],[Retiene IVA]]="S",Tabla2[[#This Row],[IVA]]*0.15,0)</f>
        <v>0</v>
      </c>
      <c r="T466" s="265"/>
      <c r="U46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687272.02563999989</v>
      </c>
      <c r="W466" s="23">
        <f>IF(Tabla2[[#This Row],[Fecha F.E.]]="","",YEAR(Tabla2[[#This Row],[Fecha F.E.]]))</f>
        <v>2024</v>
      </c>
      <c r="X466" s="23">
        <f>IF(Tabla2[[#This Row],[Fecha]]="","",YEAR(Tabla2[[#This Row],[Fecha]]))</f>
        <v>2024</v>
      </c>
    </row>
    <row r="467" spans="1:24" x14ac:dyDescent="0.25">
      <c r="A467" s="3">
        <v>468</v>
      </c>
      <c r="B467" s="77" t="s">
        <v>1705</v>
      </c>
      <c r="C467" s="360">
        <v>45621</v>
      </c>
      <c r="D467" s="76" t="s">
        <v>1706</v>
      </c>
      <c r="E467" s="360">
        <v>45621</v>
      </c>
      <c r="F467" s="78" t="s">
        <v>231</v>
      </c>
      <c r="G467" s="85">
        <v>901030518</v>
      </c>
      <c r="H467" s="177" t="str">
        <f>VLOOKUP(Tabla2[[#This Row],[NIT]],Clientes!A:C,2,0)</f>
        <v>Inversiones Sajamib SAS</v>
      </c>
      <c r="I467" s="77" t="str">
        <f>VLOOKUP(Tabla2[[#This Row],[NIT]],Clientes!A:C,3,0)</f>
        <v>PJ</v>
      </c>
      <c r="J467" s="77"/>
      <c r="K467" s="267">
        <f>SUMIFS(Tabla4[Sub Total],Tabla4[Codigo],Tabla2[[#This Row],[Cod]])</f>
        <v>480000</v>
      </c>
      <c r="L467" s="262">
        <f>SUMPRODUCT((Tabla4[Codigo]=Tabla2[[#This Row],[Cod]])*1,Tabla4[IVA])</f>
        <v>0</v>
      </c>
      <c r="M467" s="262">
        <f>SUMIFS(Tabla4[Total],Tabla4[Codigo],Tabla2[[#This Row],[Cod]])</f>
        <v>480000</v>
      </c>
      <c r="N467" s="278">
        <f>SUMPRODUCT((Tabla1[Codigo]=Tabla2[[#This Row],[Cod]])*1,Tabla1[Valor])</f>
        <v>480000</v>
      </c>
      <c r="O467" s="265">
        <f>IF(AND(Tabla2[[#This Row],[Estado]]="ok",LEFT(Tabla2[[#This Row],['# Factura]],3)="TIS"),Tabla2[[#This Row],[TOTAL]]-Tabla2[[#This Row],[pagado]],0)</f>
        <v>0</v>
      </c>
      <c r="P467" s="262">
        <f>Tabla2[[#This Row],[TOTAL]]-Tabla2[[#This Row],[Valor pago]]</f>
        <v>0</v>
      </c>
      <c r="Q467" s="265">
        <f>IF(Tabla2[[#This Row],[Saldo]]=0,0,IF(Tabla2[[#This Row],[Tipo cliente]]="PJ",Tabla2[[#This Row],[SUBTOTAL]]*11%,0))</f>
        <v>0</v>
      </c>
      <c r="R467" s="276">
        <f>IF(Tabla2[[#This Row],[Saldo]]=0,0,IF(Tabla2[[#This Row],[Tipo cliente]]="PJ",Tabla2[[#This Row],[SUBTOTAL]]*0.966%,0))</f>
        <v>0</v>
      </c>
      <c r="S467" s="276">
        <f>IF(Tabla2[[#This Row],[Retiene IVA]]="S",Tabla2[[#This Row],[IVA]]*0.15,0)</f>
        <v>0</v>
      </c>
      <c r="T467" s="265"/>
      <c r="U46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467" s="23">
        <f>IF(Tabla2[[#This Row],[Fecha F.E.]]="","",YEAR(Tabla2[[#This Row],[Fecha F.E.]]))</f>
        <v>2024</v>
      </c>
      <c r="X467" s="23">
        <f>IF(Tabla2[[#This Row],[Fecha]]="","",YEAR(Tabla2[[#This Row],[Fecha]]))</f>
        <v>2024</v>
      </c>
    </row>
    <row r="468" spans="1:24" x14ac:dyDescent="0.25">
      <c r="A468" s="3">
        <v>469</v>
      </c>
      <c r="B468" s="77" t="s">
        <v>1707</v>
      </c>
      <c r="C468" s="360">
        <f>+E468</f>
        <v>45621</v>
      </c>
      <c r="D468" s="76" t="s">
        <v>1708</v>
      </c>
      <c r="E468" s="360">
        <v>45621</v>
      </c>
      <c r="F468" s="78" t="s">
        <v>231</v>
      </c>
      <c r="G468" s="85">
        <v>900694193</v>
      </c>
      <c r="H468" s="177" t="str">
        <f>VLOOKUP(Tabla2[[#This Row],[NIT]],Clientes!A:C,2,0)</f>
        <v>ALVEAR ESCOBAR ASOCIADOS S.A.S</v>
      </c>
      <c r="I468" s="77">
        <f>VLOOKUP(Tabla2[[#This Row],[NIT]],Clientes!A:C,3,0)</f>
        <v>0</v>
      </c>
      <c r="J468" s="77"/>
      <c r="K468" s="267">
        <f>SUMIFS(Tabla4[Sub Total],Tabla4[Codigo],Tabla2[[#This Row],[Cod]])</f>
        <v>190350</v>
      </c>
      <c r="L468" s="262">
        <f>SUMPRODUCT((Tabla4[Codigo]=Tabla2[[#This Row],[Cod]])*1,Tabla4[IVA])</f>
        <v>36166.5</v>
      </c>
      <c r="M468" s="262">
        <f>SUMIFS(Tabla4[Total],Tabla4[Codigo],Tabla2[[#This Row],[Cod]])</f>
        <v>226516.5</v>
      </c>
      <c r="N468" s="278">
        <f>SUMPRODUCT((Tabla1[Codigo]=Tabla2[[#This Row],[Cod]])*1,Tabla1[Valor])</f>
        <v>218903</v>
      </c>
      <c r="O468" s="265">
        <f>IF(AND(Tabla2[[#This Row],[Estado]]="ok",LEFT(Tabla2[[#This Row],['# Factura]],3)="TIS"),Tabla2[[#This Row],[TOTAL]]-Tabla2[[#This Row],[pagado]],0)</f>
        <v>7613.5</v>
      </c>
      <c r="P468" s="262">
        <f>Tabla2[[#This Row],[TOTAL]]-Tabla2[[#This Row],[Valor pago]]</f>
        <v>7613.5</v>
      </c>
      <c r="Q468" s="265">
        <f>IF(Tabla2[[#This Row],[Saldo]]=0,0,IF(Tabla2[[#This Row],[Tipo cliente]]="PJ",Tabla2[[#This Row],[SUBTOTAL]]*11%,0))</f>
        <v>0</v>
      </c>
      <c r="R468" s="276">
        <f>IF(Tabla2[[#This Row],[Saldo]]=0,0,IF(Tabla2[[#This Row],[Tipo cliente]]="PJ",Tabla2[[#This Row],[SUBTOTAL]]*0.966%,0))</f>
        <v>0</v>
      </c>
      <c r="S468" s="276">
        <f>IF(Tabla2[[#This Row],[Retiene IVA]]="S",Tabla2[[#This Row],[IVA]]*0.15,0)</f>
        <v>0</v>
      </c>
      <c r="T468" s="265"/>
      <c r="U46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218903</v>
      </c>
      <c r="W468" s="23">
        <f>IF(Tabla2[[#This Row],[Fecha F.E.]]="","",YEAR(Tabla2[[#This Row],[Fecha F.E.]]))</f>
        <v>2024</v>
      </c>
      <c r="X468" s="23">
        <f>IF(Tabla2[[#This Row],[Fecha]]="","",YEAR(Tabla2[[#This Row],[Fecha]]))</f>
        <v>2024</v>
      </c>
    </row>
    <row r="469" spans="1:24" x14ac:dyDescent="0.25">
      <c r="A469" s="3">
        <v>470</v>
      </c>
      <c r="B469" s="77" t="s">
        <v>1709</v>
      </c>
      <c r="C469" s="360">
        <f>+E469</f>
        <v>45632</v>
      </c>
      <c r="D469" s="76" t="s">
        <v>1710</v>
      </c>
      <c r="E469" s="360">
        <v>45632</v>
      </c>
      <c r="F469" s="78" t="s">
        <v>716</v>
      </c>
      <c r="G469" s="85">
        <v>860002503</v>
      </c>
      <c r="H469" s="177" t="str">
        <f>VLOOKUP(Tabla2[[#This Row],[NIT]],Clientes!A:C,2,0)</f>
        <v>COMPAÑIA DE SEGUROS BOLIVAR S A</v>
      </c>
      <c r="I469" s="77" t="str">
        <f>VLOOKUP(Tabla2[[#This Row],[NIT]],Clientes!A:C,3,0)</f>
        <v>PJ</v>
      </c>
      <c r="J469" s="77"/>
      <c r="K469" s="267">
        <f>SUMIFS(Tabla4[Sub Total],Tabla4[Codigo],Tabla2[[#This Row],[Cod]])</f>
        <v>1280000</v>
      </c>
      <c r="L469" s="262">
        <f>SUMPRODUCT((Tabla4[Codigo]=Tabla2[[#This Row],[Cod]])*1,Tabla4[IVA])</f>
        <v>243200</v>
      </c>
      <c r="M469" s="262">
        <f>SUMIFS(Tabla4[Total],Tabla4[Codigo],Tabla2[[#This Row],[Cod]])</f>
        <v>1523200</v>
      </c>
      <c r="N469" s="278">
        <f>SUMPRODUCT((Tabla1[Codigo]=Tabla2[[#This Row],[Cod]])*1,Tabla1[Valor])</f>
        <v>0</v>
      </c>
      <c r="O469" s="265">
        <f>IF(AND(Tabla2[[#This Row],[Estado]]="ok",LEFT(Tabla2[[#This Row],['# Factura]],3)="TIS"),Tabla2[[#This Row],[TOTAL]]-Tabla2[[#This Row],[pagado]],0)</f>
        <v>0</v>
      </c>
      <c r="P469" s="262">
        <f>Tabla2[[#This Row],[TOTAL]]-Tabla2[[#This Row],[Valor pago]]</f>
        <v>1523200</v>
      </c>
      <c r="Q469" s="265">
        <f>IF(Tabla2[[#This Row],[Saldo]]=0,0,IF(Tabla2[[#This Row],[Tipo cliente]]="PJ",Tabla2[[#This Row],[SUBTOTAL]]*11%,0))</f>
        <v>140800</v>
      </c>
      <c r="R469" s="276">
        <f>IF(Tabla2[[#This Row],[Saldo]]=0,0,IF(Tabla2[[#This Row],[Tipo cliente]]="PJ",Tabla2[[#This Row],[SUBTOTAL]]*0.966%,0))</f>
        <v>12364.800000000001</v>
      </c>
      <c r="S469" s="276">
        <f>IF(Tabla2[[#This Row],[Retiene IVA]]="S",Tabla2[[#This Row],[IVA]]*0.15,0)</f>
        <v>0</v>
      </c>
      <c r="T469" s="265"/>
      <c r="U46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69" s="23">
        <f>IF(Tabla2[[#This Row],[Fecha F.E.]]="","",YEAR(Tabla2[[#This Row],[Fecha F.E.]]))</f>
        <v>2024</v>
      </c>
      <c r="X469" s="23">
        <f>IF(Tabla2[[#This Row],[Fecha]]="","",YEAR(Tabla2[[#This Row],[Fecha]]))</f>
        <v>2024</v>
      </c>
    </row>
    <row r="470" spans="1:24" x14ac:dyDescent="0.25">
      <c r="A470" s="3">
        <v>471</v>
      </c>
      <c r="B470" s="77" t="s">
        <v>1711</v>
      </c>
      <c r="C470" s="360">
        <f>+E470</f>
        <v>45633</v>
      </c>
      <c r="D470" s="76" t="s">
        <v>1712</v>
      </c>
      <c r="E470" s="360">
        <v>45633</v>
      </c>
      <c r="F470" s="78" t="s">
        <v>716</v>
      </c>
      <c r="G470" s="85">
        <v>860002503</v>
      </c>
      <c r="H470" s="177" t="str">
        <f>VLOOKUP(Tabla2[[#This Row],[NIT]],Clientes!A:C,2,0)</f>
        <v>COMPAÑIA DE SEGUROS BOLIVAR S A</v>
      </c>
      <c r="I470" s="77" t="str">
        <f>VLOOKUP(Tabla2[[#This Row],[NIT]],Clientes!A:C,3,0)</f>
        <v>PJ</v>
      </c>
      <c r="J470" s="77"/>
      <c r="K470" s="267">
        <f>SUMIFS(Tabla4[Sub Total],Tabla4[Codigo],Tabla2[[#This Row],[Cod]])</f>
        <v>8330523</v>
      </c>
      <c r="L470" s="262">
        <f>SUMPRODUCT((Tabla4[Codigo]=Tabla2[[#This Row],[Cod]])*1,Tabla4[IVA])</f>
        <v>1582799.37</v>
      </c>
      <c r="M470" s="262">
        <f>SUMIFS(Tabla4[Total],Tabla4[Codigo],Tabla2[[#This Row],[Cod]])</f>
        <v>9913322.370000001</v>
      </c>
      <c r="N470" s="278">
        <f>SUMPRODUCT((Tabla1[Codigo]=Tabla2[[#This Row],[Cod]])*1,Tabla1[Valor])</f>
        <v>983104</v>
      </c>
      <c r="O470" s="265">
        <f>IF(AND(Tabla2[[#This Row],[Estado]]="ok",LEFT(Tabla2[[#This Row],['# Factura]],3)="TIS"),Tabla2[[#This Row],[TOTAL]]-Tabla2[[#This Row],[pagado]],0)</f>
        <v>0</v>
      </c>
      <c r="P470" s="262">
        <f>Tabla2[[#This Row],[TOTAL]]-Tabla2[[#This Row],[Valor pago]]</f>
        <v>8930218.370000001</v>
      </c>
      <c r="Q470" s="265">
        <f>IF(Tabla2[[#This Row],[Saldo]]=0,0,IF(Tabla2[[#This Row],[Tipo cliente]]="PJ",Tabla2[[#This Row],[SUBTOTAL]]*11%,0))</f>
        <v>916357.53</v>
      </c>
      <c r="R470" s="276">
        <f>IF(Tabla2[[#This Row],[Saldo]]=0,0,IF(Tabla2[[#This Row],[Tipo cliente]]="PJ",Tabla2[[#This Row],[SUBTOTAL]]*0.966%,0))</f>
        <v>80472.852180000002</v>
      </c>
      <c r="S470" s="276">
        <f>IF(Tabla2[[#This Row],[Retiene IVA]]="S",Tabla2[[#This Row],[IVA]]*0.15,0)</f>
        <v>0</v>
      </c>
      <c r="T470" s="265"/>
      <c r="U47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70" s="23">
        <f>IF(Tabla2[[#This Row],[Fecha F.E.]]="","",YEAR(Tabla2[[#This Row],[Fecha F.E.]]))</f>
        <v>2024</v>
      </c>
      <c r="X470" s="23">
        <f>IF(Tabla2[[#This Row],[Fecha]]="","",YEAR(Tabla2[[#This Row],[Fecha]]))</f>
        <v>2024</v>
      </c>
    </row>
    <row r="471" spans="1:24" x14ac:dyDescent="0.25">
      <c r="A471" s="3">
        <v>472</v>
      </c>
      <c r="B471" s="77" t="s">
        <v>1713</v>
      </c>
      <c r="C471" s="360">
        <f>+E471</f>
        <v>45635</v>
      </c>
      <c r="D471" s="76" t="s">
        <v>1714</v>
      </c>
      <c r="E471" s="360">
        <v>45635</v>
      </c>
      <c r="F471" s="78" t="s">
        <v>231</v>
      </c>
      <c r="G471" s="85">
        <v>800028768</v>
      </c>
      <c r="H471" s="177" t="str">
        <f>VLOOKUP(Tabla2[[#This Row],[NIT]],Clientes!A:C,2,0)</f>
        <v>Comercializadora ERZ SAS</v>
      </c>
      <c r="I471" s="77" t="str">
        <f>VLOOKUP(Tabla2[[#This Row],[NIT]],Clientes!A:C,3,0)</f>
        <v>PJ</v>
      </c>
      <c r="J471" s="77"/>
      <c r="K471" s="267">
        <f>SUMIFS(Tabla4[Sub Total],Tabla4[Codigo],Tabla2[[#This Row],[Cod]])</f>
        <v>260000</v>
      </c>
      <c r="L471" s="262">
        <f>SUMPRODUCT((Tabla4[Codigo]=Tabla2[[#This Row],[Cod]])*1,Tabla4[IVA])</f>
        <v>49400</v>
      </c>
      <c r="M471" s="262">
        <f>SUMIFS(Tabla4[Total],Tabla4[Codigo],Tabla2[[#This Row],[Cod]])</f>
        <v>309400</v>
      </c>
      <c r="N471" s="278">
        <f>SUMPRODUCT((Tabla1[Codigo]=Tabla2[[#This Row],[Cod]])*1,Tabla1[Valor])</f>
        <v>280800</v>
      </c>
      <c r="O471" s="265">
        <f>IF(AND(Tabla2[[#This Row],[Estado]]="ok",LEFT(Tabla2[[#This Row],['# Factura]],3)="TIS"),Tabla2[[#This Row],[TOTAL]]-Tabla2[[#This Row],[pagado]],0)</f>
        <v>-2511.5999999999767</v>
      </c>
      <c r="P471" s="262">
        <f>Tabla2[[#This Row],[TOTAL]]-Tabla2[[#This Row],[Valor pago]]</f>
        <v>28600</v>
      </c>
      <c r="Q471" s="265">
        <f>IF(Tabla2[[#This Row],[Saldo]]=0,0,IF(Tabla2[[#This Row],[Tipo cliente]]="PJ",Tabla2[[#This Row],[SUBTOTAL]]*11%,0))</f>
        <v>28600</v>
      </c>
      <c r="R471" s="276">
        <f>IF(Tabla2[[#This Row],[Saldo]]=0,0,IF(Tabla2[[#This Row],[Tipo cliente]]="PJ",Tabla2[[#This Row],[SUBTOTAL]]*0.966%,0))</f>
        <v>2511.6</v>
      </c>
      <c r="S471" s="276">
        <f>IF(Tabla2[[#This Row],[Retiene IVA]]="S",Tabla2[[#This Row],[IVA]]*0.15,0)</f>
        <v>0</v>
      </c>
      <c r="T471" s="265"/>
      <c r="U47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311911.59999999998</v>
      </c>
      <c r="W471" s="23">
        <f>IF(Tabla2[[#This Row],[Fecha F.E.]]="","",YEAR(Tabla2[[#This Row],[Fecha F.E.]]))</f>
        <v>2024</v>
      </c>
      <c r="X471" s="23">
        <f>IF(Tabla2[[#This Row],[Fecha]]="","",YEAR(Tabla2[[#This Row],[Fecha]]))</f>
        <v>2024</v>
      </c>
    </row>
    <row r="472" spans="1:24" x14ac:dyDescent="0.25">
      <c r="A472" s="3">
        <v>473</v>
      </c>
      <c r="B472" s="77" t="s">
        <v>1715</v>
      </c>
      <c r="C472" s="360">
        <v>45635</v>
      </c>
      <c r="D472" s="76" t="s">
        <v>1716</v>
      </c>
      <c r="E472" s="360">
        <v>45635</v>
      </c>
      <c r="F472" s="78" t="s">
        <v>231</v>
      </c>
      <c r="G472" s="85">
        <v>901342609</v>
      </c>
      <c r="H472" s="177" t="str">
        <f>VLOOKUP(Tabla2[[#This Row],[NIT]],Clientes!A:C,2,0)</f>
        <v>ROYCO SOLUCIONES SAS</v>
      </c>
      <c r="I472" s="77" t="str">
        <f>VLOOKUP(Tabla2[[#This Row],[NIT]],Clientes!A:C,3,0)</f>
        <v>PJ</v>
      </c>
      <c r="J472" s="77"/>
      <c r="K472" s="267">
        <f>SUMIFS(Tabla4[Sub Total],Tabla4[Codigo],Tabla2[[#This Row],[Cod]])</f>
        <v>175000</v>
      </c>
      <c r="L472" s="262">
        <f>SUMPRODUCT((Tabla4[Codigo]=Tabla2[[#This Row],[Cod]])*1,Tabla4[IVA])</f>
        <v>33250</v>
      </c>
      <c r="M472" s="262">
        <f>SUMIFS(Tabla4[Total],Tabla4[Codigo],Tabla2[[#This Row],[Cod]])</f>
        <v>208250</v>
      </c>
      <c r="N472" s="278">
        <f>SUMPRODUCT((Tabla1[Codigo]=Tabla2[[#This Row],[Cod]])*1,Tabla1[Valor])</f>
        <v>201250</v>
      </c>
      <c r="O472" s="265">
        <f>IF(AND(Tabla2[[#This Row],[Estado]]="ok",LEFT(Tabla2[[#This Row],['# Factura]],3)="TIS"),Tabla2[[#This Row],[TOTAL]]-Tabla2[[#This Row],[pagado]],0)</f>
        <v>-13940.5</v>
      </c>
      <c r="P472" s="262">
        <f>Tabla2[[#This Row],[TOTAL]]-Tabla2[[#This Row],[Valor pago]]</f>
        <v>7000</v>
      </c>
      <c r="Q472" s="265">
        <f>IF(Tabla2[[#This Row],[Saldo]]=0,0,IF(Tabla2[[#This Row],[Tipo cliente]]="PJ",Tabla2[[#This Row],[SUBTOTAL]]*11%,0))</f>
        <v>19250</v>
      </c>
      <c r="R472" s="276">
        <f>IF(Tabla2[[#This Row],[Saldo]]=0,0,IF(Tabla2[[#This Row],[Tipo cliente]]="PJ",Tabla2[[#This Row],[SUBTOTAL]]*0.966%,0))</f>
        <v>1690.5</v>
      </c>
      <c r="S472" s="276">
        <f>IF(Tabla2[[#This Row],[Retiene IVA]]="S",Tabla2[[#This Row],[IVA]]*0.15,0)</f>
        <v>0</v>
      </c>
      <c r="T472" s="265"/>
      <c r="U47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222190.5</v>
      </c>
      <c r="W472" s="23">
        <f>IF(Tabla2[[#This Row],[Fecha F.E.]]="","",YEAR(Tabla2[[#This Row],[Fecha F.E.]]))</f>
        <v>2024</v>
      </c>
      <c r="X472" s="23">
        <f>IF(Tabla2[[#This Row],[Fecha]]="","",YEAR(Tabla2[[#This Row],[Fecha]]))</f>
        <v>2024</v>
      </c>
    </row>
    <row r="473" spans="1:24" x14ac:dyDescent="0.25">
      <c r="A473" s="3">
        <v>474</v>
      </c>
      <c r="B473" s="77" t="s">
        <v>1717</v>
      </c>
      <c r="C473" s="360">
        <v>45635</v>
      </c>
      <c r="D473" s="76" t="s">
        <v>1718</v>
      </c>
      <c r="E473" s="360">
        <v>45635</v>
      </c>
      <c r="F473" s="78" t="s">
        <v>231</v>
      </c>
      <c r="G473" s="85">
        <v>901587426</v>
      </c>
      <c r="H473" s="177" t="str">
        <f>VLOOKUP(Tabla2[[#This Row],[NIT]],Clientes!A:C,2,0)</f>
        <v>STAFF SEGUROS AGENCIA LTDA</v>
      </c>
      <c r="I473" s="77" t="str">
        <f>VLOOKUP(Tabla2[[#This Row],[NIT]],Clientes!A:C,3,0)</f>
        <v>PJ</v>
      </c>
      <c r="J473" s="77"/>
      <c r="K473" s="267">
        <f>SUMIFS(Tabla4[Sub Total],Tabla4[Codigo],Tabla2[[#This Row],[Cod]])</f>
        <v>300000</v>
      </c>
      <c r="L473" s="262">
        <f>SUMPRODUCT((Tabla4[Codigo]=Tabla2[[#This Row],[Cod]])*1,Tabla4[IVA])</f>
        <v>57000</v>
      </c>
      <c r="M473" s="262">
        <f>SUMIFS(Tabla4[Total],Tabla4[Codigo],Tabla2[[#This Row],[Cod]])</f>
        <v>357000</v>
      </c>
      <c r="N473" s="278">
        <f>SUMPRODUCT((Tabla1[Codigo]=Tabla2[[#This Row],[Cod]])*1,Tabla1[Valor])</f>
        <v>357000</v>
      </c>
      <c r="O473" s="265">
        <f>IF(AND(Tabla2[[#This Row],[Estado]]="ok",LEFT(Tabla2[[#This Row],['# Factura]],3)="TIS"),Tabla2[[#This Row],[TOTAL]]-Tabla2[[#This Row],[pagado]],0)</f>
        <v>0</v>
      </c>
      <c r="P473" s="262">
        <f>Tabla2[[#This Row],[TOTAL]]-Tabla2[[#This Row],[Valor pago]]</f>
        <v>0</v>
      </c>
      <c r="Q473" s="265">
        <f>IF(Tabla2[[#This Row],[Saldo]]=0,0,IF(Tabla2[[#This Row],[Tipo cliente]]="PJ",Tabla2[[#This Row],[SUBTOTAL]]*11%,0))</f>
        <v>0</v>
      </c>
      <c r="R473" s="276">
        <f>IF(Tabla2[[#This Row],[Saldo]]=0,0,IF(Tabla2[[#This Row],[Tipo cliente]]="PJ",Tabla2[[#This Row],[SUBTOTAL]]*0.966%,0))</f>
        <v>0</v>
      </c>
      <c r="S473" s="276">
        <f>IF(Tabla2[[#This Row],[Retiene IVA]]="S",Tabla2[[#This Row],[IVA]]*0.15,0)</f>
        <v>0</v>
      </c>
      <c r="T473" s="265"/>
      <c r="U47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473" s="23">
        <f>IF(Tabla2[[#This Row],[Fecha F.E.]]="","",YEAR(Tabla2[[#This Row],[Fecha F.E.]]))</f>
        <v>2024</v>
      </c>
      <c r="X473" s="23">
        <f>IF(Tabla2[[#This Row],[Fecha]]="","",YEAR(Tabla2[[#This Row],[Fecha]]))</f>
        <v>2024</v>
      </c>
    </row>
    <row r="474" spans="1:24" x14ac:dyDescent="0.25">
      <c r="A474" s="3">
        <v>475</v>
      </c>
      <c r="B474" s="77" t="s">
        <v>1719</v>
      </c>
      <c r="C474" s="360">
        <v>45635</v>
      </c>
      <c r="D474" s="76" t="s">
        <v>1720</v>
      </c>
      <c r="E474" s="360">
        <v>45635</v>
      </c>
      <c r="F474" s="78" t="s">
        <v>231</v>
      </c>
      <c r="G474" s="85">
        <v>900505660</v>
      </c>
      <c r="H474" s="177" t="str">
        <f>VLOOKUP(Tabla2[[#This Row],[NIT]],Clientes!A:C,2,0)</f>
        <v>DIGITAL MEDIA TECHNOLOGIES COLOMBIA SAS</v>
      </c>
      <c r="I474" s="77" t="str">
        <f>VLOOKUP(Tabla2[[#This Row],[NIT]],Clientes!A:C,3,0)</f>
        <v>PJ</v>
      </c>
      <c r="J474" s="77"/>
      <c r="K474" s="267">
        <f>SUMIFS(Tabla4[Sub Total],Tabla4[Codigo],Tabla2[[#This Row],[Cod]])</f>
        <v>300000</v>
      </c>
      <c r="L474" s="262">
        <f>SUMPRODUCT((Tabla4[Codigo]=Tabla2[[#This Row],[Cod]])*1,Tabla4[IVA])</f>
        <v>57000</v>
      </c>
      <c r="M474" s="262">
        <f>SUMIFS(Tabla4[Total],Tabla4[Codigo],Tabla2[[#This Row],[Cod]])</f>
        <v>357000</v>
      </c>
      <c r="N474" s="278">
        <f>SUMPRODUCT((Tabla1[Codigo]=Tabla2[[#This Row],[Cod]])*1,Tabla1[Valor])</f>
        <v>324000</v>
      </c>
      <c r="O474" s="265">
        <f>IF(AND(Tabla2[[#This Row],[Estado]]="ok",LEFT(Tabla2[[#This Row],['# Factura]],3)="TIS"),Tabla2[[#This Row],[TOTAL]]-Tabla2[[#This Row],[pagado]],0)</f>
        <v>-2898</v>
      </c>
      <c r="P474" s="262">
        <f>Tabla2[[#This Row],[TOTAL]]-Tabla2[[#This Row],[Valor pago]]</f>
        <v>33000</v>
      </c>
      <c r="Q474" s="265">
        <f>IF(Tabla2[[#This Row],[Saldo]]=0,0,IF(Tabla2[[#This Row],[Tipo cliente]]="PJ",Tabla2[[#This Row],[SUBTOTAL]]*11%,0))</f>
        <v>33000</v>
      </c>
      <c r="R474" s="276">
        <f>IF(Tabla2[[#This Row],[Saldo]]=0,0,IF(Tabla2[[#This Row],[Tipo cliente]]="PJ",Tabla2[[#This Row],[SUBTOTAL]]*0.966%,0))</f>
        <v>2898</v>
      </c>
      <c r="S474" s="276">
        <f>IF(Tabla2[[#This Row],[Retiene IVA]]="S",Tabla2[[#This Row],[IVA]]*0.15,0)</f>
        <v>0</v>
      </c>
      <c r="T474" s="265"/>
      <c r="U47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474" s="23">
        <f>IF(Tabla2[[#This Row],[Fecha F.E.]]="","",YEAR(Tabla2[[#This Row],[Fecha F.E.]]))</f>
        <v>2024</v>
      </c>
      <c r="X474" s="23">
        <f>IF(Tabla2[[#This Row],[Fecha]]="","",YEAR(Tabla2[[#This Row],[Fecha]]))</f>
        <v>2024</v>
      </c>
    </row>
    <row r="475" spans="1:24" x14ac:dyDescent="0.25">
      <c r="A475" s="3">
        <v>476</v>
      </c>
      <c r="B475" s="77" t="s">
        <v>1721</v>
      </c>
      <c r="C475" s="360">
        <v>45635</v>
      </c>
      <c r="D475" s="76" t="s">
        <v>1722</v>
      </c>
      <c r="E475" s="360">
        <v>45635</v>
      </c>
      <c r="F475" s="78" t="s">
        <v>231</v>
      </c>
      <c r="G475" s="85">
        <v>901030518</v>
      </c>
      <c r="H475" s="177" t="str">
        <f>VLOOKUP(Tabla2[[#This Row],[NIT]],Clientes!A:C,2,0)</f>
        <v>Inversiones Sajamib SAS</v>
      </c>
      <c r="I475" s="77" t="str">
        <f>VLOOKUP(Tabla2[[#This Row],[NIT]],Clientes!A:C,3,0)</f>
        <v>PJ</v>
      </c>
      <c r="J475" s="77"/>
      <c r="K475" s="267">
        <f>SUMIFS(Tabla4[Sub Total],Tabla4[Codigo],Tabla2[[#This Row],[Cod]])</f>
        <v>480000</v>
      </c>
      <c r="L475" s="262">
        <f>SUMPRODUCT((Tabla4[Codigo]=Tabla2[[#This Row],[Cod]])*1,Tabla4[IVA])</f>
        <v>0</v>
      </c>
      <c r="M475" s="262">
        <f>SUMIFS(Tabla4[Total],Tabla4[Codigo],Tabla2[[#This Row],[Cod]])</f>
        <v>480000</v>
      </c>
      <c r="N475" s="278">
        <f>SUMPRODUCT((Tabla1[Codigo]=Tabla2[[#This Row],[Cod]])*1,Tabla1[Valor])</f>
        <v>480000</v>
      </c>
      <c r="O475" s="265">
        <f>IF(AND(Tabla2[[#This Row],[Estado]]="ok",LEFT(Tabla2[[#This Row],['# Factura]],3)="TIS"),Tabla2[[#This Row],[TOTAL]]-Tabla2[[#This Row],[pagado]],0)</f>
        <v>0</v>
      </c>
      <c r="P475" s="262">
        <f>Tabla2[[#This Row],[TOTAL]]-Tabla2[[#This Row],[Valor pago]]</f>
        <v>0</v>
      </c>
      <c r="Q475" s="265">
        <f>IF(Tabla2[[#This Row],[Saldo]]=0,0,IF(Tabla2[[#This Row],[Tipo cliente]]="PJ",Tabla2[[#This Row],[SUBTOTAL]]*11%,0))</f>
        <v>0</v>
      </c>
      <c r="R475" s="276">
        <f>IF(Tabla2[[#This Row],[Saldo]]=0,0,IF(Tabla2[[#This Row],[Tipo cliente]]="PJ",Tabla2[[#This Row],[SUBTOTAL]]*0.966%,0))</f>
        <v>0</v>
      </c>
      <c r="S475" s="276">
        <f>IF(Tabla2[[#This Row],[Retiene IVA]]="S",Tabla2[[#This Row],[IVA]]*0.15,0)</f>
        <v>0</v>
      </c>
      <c r="T475" s="265"/>
      <c r="U47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475" s="23">
        <f>IF(Tabla2[[#This Row],[Fecha F.E.]]="","",YEAR(Tabla2[[#This Row],[Fecha F.E.]]))</f>
        <v>2024</v>
      </c>
      <c r="X475" s="23">
        <f>IF(Tabla2[[#This Row],[Fecha]]="","",YEAR(Tabla2[[#This Row],[Fecha]]))</f>
        <v>2024</v>
      </c>
    </row>
    <row r="476" spans="1:24" x14ac:dyDescent="0.25">
      <c r="A476" s="3">
        <v>477</v>
      </c>
      <c r="B476" s="77" t="s">
        <v>1723</v>
      </c>
      <c r="C476" s="360">
        <v>45635</v>
      </c>
      <c r="D476" s="76" t="s">
        <v>1724</v>
      </c>
      <c r="E476" s="360">
        <v>45635</v>
      </c>
      <c r="F476" s="78" t="s">
        <v>231</v>
      </c>
      <c r="G476" s="85">
        <v>901588265</v>
      </c>
      <c r="H476" s="177" t="str">
        <f>VLOOKUP(Tabla2[[#This Row],[NIT]],Clientes!A:C,2,0)</f>
        <v>GENUINE TECH SAS</v>
      </c>
      <c r="I476" s="77" t="str">
        <f>VLOOKUP(Tabla2[[#This Row],[NIT]],Clientes!A:C,3,0)</f>
        <v>PJ</v>
      </c>
      <c r="J476" s="77"/>
      <c r="K476" s="267">
        <f>SUMIFS(Tabla4[Sub Total],Tabla4[Codigo],Tabla2[[#This Row],[Cod]])</f>
        <v>545454</v>
      </c>
      <c r="L476" s="262">
        <f>SUMPRODUCT((Tabla4[Codigo]=Tabla2[[#This Row],[Cod]])*1,Tabla4[IVA])</f>
        <v>103636.26</v>
      </c>
      <c r="M476" s="262">
        <f>SUMIFS(Tabla4[Total],Tabla4[Codigo],Tabla2[[#This Row],[Cod]])</f>
        <v>649090.26</v>
      </c>
      <c r="N476" s="278">
        <f>SUMPRODUCT((Tabla1[Codigo]=Tabla2[[#This Row],[Cod]])*1,Tabla1[Valor])</f>
        <v>622003</v>
      </c>
      <c r="O476" s="265">
        <f>IF(AND(Tabla2[[#This Row],[Estado]]="ok",LEFT(Tabla2[[#This Row],['# Factura]],3)="TIS"),Tabla2[[#This Row],[TOTAL]]-Tabla2[[#This Row],[pagado]],0)</f>
        <v>-38181.765639999881</v>
      </c>
      <c r="P476" s="262">
        <f>Tabla2[[#This Row],[TOTAL]]-Tabla2[[#This Row],[Valor pago]]</f>
        <v>27087.260000000009</v>
      </c>
      <c r="Q476" s="265">
        <f>IF(Tabla2[[#This Row],[Saldo]]=0,0,IF(Tabla2[[#This Row],[Tipo cliente]]="PJ",Tabla2[[#This Row],[SUBTOTAL]]*11%,0))</f>
        <v>59999.94</v>
      </c>
      <c r="R476" s="276">
        <f>IF(Tabla2[[#This Row],[Saldo]]=0,0,IF(Tabla2[[#This Row],[Tipo cliente]]="PJ",Tabla2[[#This Row],[SUBTOTAL]]*0.966%,0))</f>
        <v>5269.0856400000002</v>
      </c>
      <c r="S476" s="276">
        <f>IF(Tabla2[[#This Row],[Retiene IVA]]="S",Tabla2[[#This Row],[IVA]]*0.15,0)</f>
        <v>0</v>
      </c>
      <c r="T476" s="265"/>
      <c r="U47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687272.02563999989</v>
      </c>
      <c r="W476" s="23">
        <f>IF(Tabla2[[#This Row],[Fecha F.E.]]="","",YEAR(Tabla2[[#This Row],[Fecha F.E.]]))</f>
        <v>2024</v>
      </c>
      <c r="X476" s="23">
        <f>IF(Tabla2[[#This Row],[Fecha]]="","",YEAR(Tabla2[[#This Row],[Fecha]]))</f>
        <v>2024</v>
      </c>
    </row>
    <row r="477" spans="1:24" x14ac:dyDescent="0.25">
      <c r="A477" s="3">
        <v>478</v>
      </c>
      <c r="B477" s="77" t="s">
        <v>1725</v>
      </c>
      <c r="C477" s="360">
        <f t="shared" ref="C477:C482" si="0">+E477</f>
        <v>45635</v>
      </c>
      <c r="D477" s="76" t="s">
        <v>1726</v>
      </c>
      <c r="E477" s="360">
        <v>45635</v>
      </c>
      <c r="F477" s="78" t="s">
        <v>231</v>
      </c>
      <c r="G477" s="85">
        <v>901417727</v>
      </c>
      <c r="H477" s="177" t="str">
        <f>VLOOKUP(Tabla2[[#This Row],[NIT]],Clientes!A:C,2,0)</f>
        <v>B2B TAX LEGAL S.A.S. BIC</v>
      </c>
      <c r="I477" s="77" t="str">
        <f>VLOOKUP(Tabla2[[#This Row],[NIT]],Clientes!A:C,3,0)</f>
        <v>PJ</v>
      </c>
      <c r="J477" s="77"/>
      <c r="K477" s="267">
        <f>SUMIFS(Tabla4[Sub Total],Tabla4[Codigo],Tabla2[[#This Row],[Cod]])</f>
        <v>-8224000</v>
      </c>
      <c r="L477" s="262">
        <f>SUMPRODUCT((Tabla4[Codigo]=Tabla2[[#This Row],[Cod]])*1,Tabla4[IVA])</f>
        <v>-1562560</v>
      </c>
      <c r="M477" s="262">
        <f>SUMIFS(Tabla4[Total],Tabla4[Codigo],Tabla2[[#This Row],[Cod]])</f>
        <v>-9786560</v>
      </c>
      <c r="N477" s="278">
        <f>SUMPRODUCT((Tabla1[Codigo]=Tabla2[[#This Row],[Cod]])*1,Tabla1[Valor])</f>
        <v>0</v>
      </c>
      <c r="O477" s="265">
        <f>IF(AND(Tabla2[[#This Row],[Estado]]="ok",LEFT(Tabla2[[#This Row],['# Factura]],3)="TIS"),Tabla2[[#This Row],[TOTAL]]-Tabla2[[#This Row],[pagado]],0)</f>
        <v>0</v>
      </c>
      <c r="P477" s="262">
        <f>Tabla2[[#This Row],[TOTAL]]-Tabla2[[#This Row],[Valor pago]]</f>
        <v>-9786560</v>
      </c>
      <c r="Q477" s="265">
        <f>IF(Tabla2[[#This Row],[Saldo]]=0,0,IF(Tabla2[[#This Row],[Tipo cliente]]="PJ",Tabla2[[#This Row],[SUBTOTAL]]*11%,0))</f>
        <v>-904640</v>
      </c>
      <c r="R477" s="276">
        <f>IF(Tabla2[[#This Row],[Saldo]]=0,0,IF(Tabla2[[#This Row],[Tipo cliente]]="PJ",Tabla2[[#This Row],[SUBTOTAL]]*0.966%,0))</f>
        <v>-79443.839999999997</v>
      </c>
      <c r="S477" s="276">
        <f>IF(Tabla2[[#This Row],[Retiene IVA]]="S",Tabla2[[#This Row],[IVA]]*0.15,0)</f>
        <v>0</v>
      </c>
      <c r="T477" s="265"/>
      <c r="U47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77" s="23">
        <f>IF(Tabla2[[#This Row],[Fecha F.E.]]="","",YEAR(Tabla2[[#This Row],[Fecha F.E.]]))</f>
        <v>2024</v>
      </c>
      <c r="X477" s="23">
        <f>IF(Tabla2[[#This Row],[Fecha]]="","",YEAR(Tabla2[[#This Row],[Fecha]]))</f>
        <v>2024</v>
      </c>
    </row>
    <row r="478" spans="1:24" x14ac:dyDescent="0.25">
      <c r="A478" s="3">
        <v>479</v>
      </c>
      <c r="B478" s="77" t="s">
        <v>1727</v>
      </c>
      <c r="C478" s="360">
        <f t="shared" si="0"/>
        <v>45635</v>
      </c>
      <c r="D478" s="76" t="s">
        <v>1728</v>
      </c>
      <c r="E478" s="360">
        <v>45635</v>
      </c>
      <c r="F478" s="78" t="s">
        <v>231</v>
      </c>
      <c r="G478" s="85">
        <v>901417727</v>
      </c>
      <c r="H478" s="177" t="str">
        <f>VLOOKUP(Tabla2[[#This Row],[NIT]],Clientes!A:C,2,0)</f>
        <v>B2B TAX LEGAL S.A.S. BIC</v>
      </c>
      <c r="I478" s="77" t="str">
        <f>VLOOKUP(Tabla2[[#This Row],[NIT]],Clientes!A:C,3,0)</f>
        <v>PJ</v>
      </c>
      <c r="J478" s="77"/>
      <c r="K478" s="267">
        <f>SUMIFS(Tabla4[Sub Total],Tabla4[Codigo],Tabla2[[#This Row],[Cod]])</f>
        <v>2800000</v>
      </c>
      <c r="L478" s="262">
        <f>SUMPRODUCT((Tabla4[Codigo]=Tabla2[[#This Row],[Cod]])*1,Tabla4[IVA])</f>
        <v>532000</v>
      </c>
      <c r="M478" s="262">
        <f>SUMIFS(Tabla4[Total],Tabla4[Codigo],Tabla2[[#This Row],[Cod]])</f>
        <v>3332000</v>
      </c>
      <c r="N478" s="278">
        <f>SUMPRODUCT((Tabla1[Codigo]=Tabla2[[#This Row],[Cod]])*1,Tabla1[Valor])</f>
        <v>3268000</v>
      </c>
      <c r="O478" s="265">
        <f>IF(AND(Tabla2[[#This Row],[Estado]]="ok",LEFT(Tabla2[[#This Row],['# Factura]],3)="TIS"),Tabla2[[#This Row],[TOTAL]]-Tabla2[[#This Row],[pagado]],0)</f>
        <v>-271048</v>
      </c>
      <c r="P478" s="262">
        <f>Tabla2[[#This Row],[TOTAL]]-Tabla2[[#This Row],[Valor pago]]</f>
        <v>64000</v>
      </c>
      <c r="Q478" s="265">
        <f>IF(Tabla2[[#This Row],[Saldo]]=0,0,IF(Tabla2[[#This Row],[Tipo cliente]]="PJ",Tabla2[[#This Row],[SUBTOTAL]]*11%,0))</f>
        <v>308000</v>
      </c>
      <c r="R478" s="276">
        <f>IF(Tabla2[[#This Row],[Saldo]]=0,0,IF(Tabla2[[#This Row],[Tipo cliente]]="PJ",Tabla2[[#This Row],[SUBTOTAL]]*0.966%,0))</f>
        <v>27048</v>
      </c>
      <c r="S478" s="276">
        <f>IF(Tabla2[[#This Row],[Retiene IVA]]="S",Tabla2[[#This Row],[IVA]]*0.15,0)</f>
        <v>0</v>
      </c>
      <c r="T478" s="265"/>
      <c r="U47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3603048</v>
      </c>
      <c r="W478" s="23">
        <f>IF(Tabla2[[#This Row],[Fecha F.E.]]="","",YEAR(Tabla2[[#This Row],[Fecha F.E.]]))</f>
        <v>2024</v>
      </c>
      <c r="X478" s="23">
        <f>IF(Tabla2[[#This Row],[Fecha]]="","",YEAR(Tabla2[[#This Row],[Fecha]]))</f>
        <v>2024</v>
      </c>
    </row>
    <row r="479" spans="1:24" x14ac:dyDescent="0.25">
      <c r="A479" s="3">
        <v>480</v>
      </c>
      <c r="B479" s="77" t="s">
        <v>1729</v>
      </c>
      <c r="C479" s="360">
        <f t="shared" si="0"/>
        <v>45636</v>
      </c>
      <c r="D479" s="76" t="s">
        <v>1730</v>
      </c>
      <c r="E479" s="360">
        <v>45636</v>
      </c>
      <c r="F479" s="78" t="s">
        <v>231</v>
      </c>
      <c r="G479" s="85">
        <v>860002503</v>
      </c>
      <c r="H479" s="177" t="str">
        <f>VLOOKUP(Tabla2[[#This Row],[NIT]],Clientes!A:C,2,0)</f>
        <v>COMPAÑIA DE SEGUROS BOLIVAR S A</v>
      </c>
      <c r="I479" s="77" t="str">
        <f>VLOOKUP(Tabla2[[#This Row],[NIT]],Clientes!A:C,3,0)</f>
        <v>PJ</v>
      </c>
      <c r="J479" s="77"/>
      <c r="K479" s="267">
        <f>SUMIFS(Tabla4[Sub Total],Tabla4[Codigo],Tabla2[[#This Row],[Cod]])</f>
        <v>779748</v>
      </c>
      <c r="L479" s="262">
        <f>SUMPRODUCT((Tabla4[Codigo]=Tabla2[[#This Row],[Cod]])*1,Tabla4[IVA])</f>
        <v>148152.12</v>
      </c>
      <c r="M479" s="262">
        <f>SUMIFS(Tabla4[Total],Tabla4[Codigo],Tabla2[[#This Row],[Cod]])</f>
        <v>927900.12</v>
      </c>
      <c r="N479" s="278">
        <f>SUMPRODUCT((Tabla1[Codigo]=Tabla2[[#This Row],[Cod]])*1,Tabla1[Valor])</f>
        <v>927900</v>
      </c>
      <c r="O479" s="265">
        <f>IF(AND(Tabla2[[#This Row],[Estado]]="ok",LEFT(Tabla2[[#This Row],['# Factura]],3)="TIS"),Tabla2[[#This Row],[TOTAL]]-Tabla2[[#This Row],[pagado]],0)</f>
        <v>-93304.525680000079</v>
      </c>
      <c r="P479" s="262">
        <f>Tabla2[[#This Row],[TOTAL]]-Tabla2[[#This Row],[Valor pago]]</f>
        <v>0.11999999999534339</v>
      </c>
      <c r="Q479" s="265">
        <f>IF(Tabla2[[#This Row],[Saldo]]=0,0,IF(Tabla2[[#This Row],[Tipo cliente]]="PJ",Tabla2[[#This Row],[SUBTOTAL]]*11%,0))</f>
        <v>85772.28</v>
      </c>
      <c r="R479" s="276">
        <f>IF(Tabla2[[#This Row],[Saldo]]=0,0,IF(Tabla2[[#This Row],[Tipo cliente]]="PJ",Tabla2[[#This Row],[SUBTOTAL]]*0.966%,0))</f>
        <v>7532.3656799999999</v>
      </c>
      <c r="S479" s="276">
        <f>IF(Tabla2[[#This Row],[Retiene IVA]]="S",Tabla2[[#This Row],[IVA]]*0.15,0)</f>
        <v>0</v>
      </c>
      <c r="T479" s="265"/>
      <c r="U47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1021204.6456800001</v>
      </c>
      <c r="W479" s="23">
        <f>IF(Tabla2[[#This Row],[Fecha F.E.]]="","",YEAR(Tabla2[[#This Row],[Fecha F.E.]]))</f>
        <v>2024</v>
      </c>
      <c r="X479" s="23">
        <f>IF(Tabla2[[#This Row],[Fecha]]="","",YEAR(Tabla2[[#This Row],[Fecha]]))</f>
        <v>2024</v>
      </c>
    </row>
    <row r="480" spans="1:24" x14ac:dyDescent="0.25">
      <c r="A480" s="3">
        <v>481</v>
      </c>
      <c r="B480" s="77" t="s">
        <v>1731</v>
      </c>
      <c r="C480" s="360">
        <f t="shared" si="0"/>
        <v>45637</v>
      </c>
      <c r="D480" s="76" t="s">
        <v>1732</v>
      </c>
      <c r="E480" s="360">
        <v>45637</v>
      </c>
      <c r="F480" s="78" t="s">
        <v>231</v>
      </c>
      <c r="G480" s="85">
        <v>860002503</v>
      </c>
      <c r="H480" s="177" t="str">
        <f>VLOOKUP(Tabla2[[#This Row],[NIT]],Clientes!A:C,2,0)</f>
        <v>COMPAÑIA DE SEGUROS BOLIVAR S A</v>
      </c>
      <c r="I480" s="77" t="str">
        <f>VLOOKUP(Tabla2[[#This Row],[NIT]],Clientes!A:C,3,0)</f>
        <v>PJ</v>
      </c>
      <c r="J480" s="77"/>
      <c r="K480" s="267">
        <f>SUMIFS(Tabla4[Sub Total],Tabla4[Codigo],Tabla2[[#This Row],[Cod]])</f>
        <v>220000</v>
      </c>
      <c r="L480" s="262">
        <f>SUMPRODUCT((Tabla4[Codigo]=Tabla2[[#This Row],[Cod]])*1,Tabla4[IVA])</f>
        <v>41800</v>
      </c>
      <c r="M480" s="262">
        <f>SUMIFS(Tabla4[Total],Tabla4[Codigo],Tabla2[[#This Row],[Cod]])</f>
        <v>261800</v>
      </c>
      <c r="N480" s="278">
        <f>SUMPRODUCT((Tabla1[Codigo]=Tabla2[[#This Row],[Cod]])*1,Tabla1[Valor])</f>
        <v>261800</v>
      </c>
      <c r="O480" s="265">
        <f>IF(AND(Tabla2[[#This Row],[Estado]]="ok",LEFT(Tabla2[[#This Row],['# Factura]],3)="TIS"),Tabla2[[#This Row],[TOTAL]]-Tabla2[[#This Row],[pagado]],0)</f>
        <v>0</v>
      </c>
      <c r="P480" s="262">
        <f>Tabla2[[#This Row],[TOTAL]]-Tabla2[[#This Row],[Valor pago]]</f>
        <v>0</v>
      </c>
      <c r="Q480" s="265">
        <f>IF(Tabla2[[#This Row],[Saldo]]=0,0,IF(Tabla2[[#This Row],[Tipo cliente]]="PJ",Tabla2[[#This Row],[SUBTOTAL]]*11%,0))</f>
        <v>0</v>
      </c>
      <c r="R480" s="276">
        <f>IF(Tabla2[[#This Row],[Saldo]]=0,0,IF(Tabla2[[#This Row],[Tipo cliente]]="PJ",Tabla2[[#This Row],[SUBTOTAL]]*0.966%,0))</f>
        <v>0</v>
      </c>
      <c r="S480" s="276">
        <f>IF(Tabla2[[#This Row],[Retiene IVA]]="S",Tabla2[[#This Row],[IVA]]*0.15,0)</f>
        <v>0</v>
      </c>
      <c r="T480" s="265"/>
      <c r="U48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261800</v>
      </c>
      <c r="W480" s="23">
        <f>IF(Tabla2[[#This Row],[Fecha F.E.]]="","",YEAR(Tabla2[[#This Row],[Fecha F.E.]]))</f>
        <v>2024</v>
      </c>
      <c r="X480" s="23">
        <f>IF(Tabla2[[#This Row],[Fecha]]="","",YEAR(Tabla2[[#This Row],[Fecha]]))</f>
        <v>2024</v>
      </c>
    </row>
    <row r="481" spans="1:24" x14ac:dyDescent="0.25">
      <c r="A481" s="3">
        <v>482</v>
      </c>
      <c r="B481" s="77" t="s">
        <v>1733</v>
      </c>
      <c r="C481" s="360">
        <f t="shared" si="0"/>
        <v>45638</v>
      </c>
      <c r="D481" s="76" t="s">
        <v>1734</v>
      </c>
      <c r="E481" s="360">
        <v>45638</v>
      </c>
      <c r="F481" s="78" t="s">
        <v>231</v>
      </c>
      <c r="G481" s="85">
        <v>901417727</v>
      </c>
      <c r="H481" s="177" t="str">
        <f>VLOOKUP(Tabla2[[#This Row],[NIT]],Clientes!A:C,2,0)</f>
        <v>B2B TAX LEGAL S.A.S. BIC</v>
      </c>
      <c r="I481" s="77" t="str">
        <f>VLOOKUP(Tabla2[[#This Row],[NIT]],Clientes!A:C,3,0)</f>
        <v>PJ</v>
      </c>
      <c r="J481" s="77"/>
      <c r="K481" s="267">
        <f>SUMIFS(Tabla4[Sub Total],Tabla4[Codigo],Tabla2[[#This Row],[Cod]])</f>
        <v>-3600000</v>
      </c>
      <c r="L481" s="262">
        <f>SUMPRODUCT((Tabla4[Codigo]=Tabla2[[#This Row],[Cod]])*1,Tabla4[IVA])</f>
        <v>-684000</v>
      </c>
      <c r="M481" s="262">
        <f>SUMIFS(Tabla4[Total],Tabla4[Codigo],Tabla2[[#This Row],[Cod]])</f>
        <v>-4284000</v>
      </c>
      <c r="N481" s="278">
        <f>SUMPRODUCT((Tabla1[Codigo]=Tabla2[[#This Row],[Cod]])*1,Tabla1[Valor])</f>
        <v>0</v>
      </c>
      <c r="O481" s="265">
        <f>IF(AND(Tabla2[[#This Row],[Estado]]="ok",LEFT(Tabla2[[#This Row],['# Factura]],3)="TIS"),Tabla2[[#This Row],[TOTAL]]-Tabla2[[#This Row],[pagado]],0)</f>
        <v>0</v>
      </c>
      <c r="P481" s="262">
        <f>Tabla2[[#This Row],[TOTAL]]-Tabla2[[#This Row],[Valor pago]]</f>
        <v>-4284000</v>
      </c>
      <c r="Q481" s="265">
        <f>IF(Tabla2[[#This Row],[Saldo]]=0,0,IF(Tabla2[[#This Row],[Tipo cliente]]="PJ",Tabla2[[#This Row],[SUBTOTAL]]*11%,0))</f>
        <v>-396000</v>
      </c>
      <c r="R481" s="276">
        <f>IF(Tabla2[[#This Row],[Saldo]]=0,0,IF(Tabla2[[#This Row],[Tipo cliente]]="PJ",Tabla2[[#This Row],[SUBTOTAL]]*0.966%,0))</f>
        <v>-34776</v>
      </c>
      <c r="S481" s="276">
        <f>IF(Tabla2[[#This Row],[Retiene IVA]]="S",Tabla2[[#This Row],[IVA]]*0.15,0)</f>
        <v>0</v>
      </c>
      <c r="T481" s="265"/>
      <c r="U48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81" s="23">
        <f>IF(Tabla2[[#This Row],[Fecha F.E.]]="","",YEAR(Tabla2[[#This Row],[Fecha F.E.]]))</f>
        <v>2024</v>
      </c>
      <c r="X481" s="23">
        <f>IF(Tabla2[[#This Row],[Fecha]]="","",YEAR(Tabla2[[#This Row],[Fecha]]))</f>
        <v>2024</v>
      </c>
    </row>
    <row r="482" spans="1:24" x14ac:dyDescent="0.25">
      <c r="A482" s="3">
        <v>483</v>
      </c>
      <c r="B482" s="77" t="s">
        <v>1735</v>
      </c>
      <c r="C482" s="360">
        <f t="shared" si="0"/>
        <v>45638</v>
      </c>
      <c r="D482" s="76" t="s">
        <v>1736</v>
      </c>
      <c r="E482" s="360">
        <v>45638</v>
      </c>
      <c r="F482" s="78" t="s">
        <v>231</v>
      </c>
      <c r="G482" s="85">
        <v>901417727</v>
      </c>
      <c r="H482" s="177" t="str">
        <f>VLOOKUP(Tabla2[[#This Row],[NIT]],Clientes!A:C,2,0)</f>
        <v>B2B TAX LEGAL S.A.S. BIC</v>
      </c>
      <c r="I482" s="77" t="str">
        <f>VLOOKUP(Tabla2[[#This Row],[NIT]],Clientes!A:C,3,0)</f>
        <v>PJ</v>
      </c>
      <c r="J482" s="77"/>
      <c r="K482" s="267">
        <f>SUMIFS(Tabla4[Sub Total],Tabla4[Codigo],Tabla2[[#This Row],[Cod]])</f>
        <v>8224000</v>
      </c>
      <c r="L482" s="262">
        <f>SUMPRODUCT((Tabla4[Codigo]=Tabla2[[#This Row],[Cod]])*1,Tabla4[IVA])</f>
        <v>1562560</v>
      </c>
      <c r="M482" s="262">
        <f>SUMIFS(Tabla4[Total],Tabla4[Codigo],Tabla2[[#This Row],[Cod]])</f>
        <v>9786560</v>
      </c>
      <c r="N482" s="278"/>
      <c r="O482" s="265">
        <f>IF(AND(Tabla2[[#This Row],[Estado]]="ok",LEFT(Tabla2[[#This Row],['# Factura]],3)="TIS"),Tabla2[[#This Row],[TOTAL]]-Tabla2[[#This Row],[pagado]],0)</f>
        <v>0</v>
      </c>
      <c r="P482" s="262">
        <f>Tabla2[[#This Row],[TOTAL]]-Tabla2[[#This Row],[Valor pago]]</f>
        <v>9786560</v>
      </c>
      <c r="Q482" s="265">
        <f>IF(Tabla2[[#This Row],[Saldo]]=0,0,IF(Tabla2[[#This Row],[Tipo cliente]]="PJ",Tabla2[[#This Row],[SUBTOTAL]]*11%,0))</f>
        <v>904640</v>
      </c>
      <c r="R482" s="276">
        <f>IF(Tabla2[[#This Row],[Saldo]]=0,0,IF(Tabla2[[#This Row],[Tipo cliente]]="PJ",Tabla2[[#This Row],[SUBTOTAL]]*0.966%,0))</f>
        <v>79443.839999999997</v>
      </c>
      <c r="S482" s="276">
        <f>IF(Tabla2[[#This Row],[Retiene IVA]]="S",Tabla2[[#This Row],[IVA]]*0.15,0)</f>
        <v>0</v>
      </c>
      <c r="T482" s="265"/>
      <c r="U48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82" s="23">
        <f>IF(Tabla2[[#This Row],[Fecha F.E.]]="","",YEAR(Tabla2[[#This Row],[Fecha F.E.]]))</f>
        <v>2024</v>
      </c>
      <c r="X482" s="23">
        <f>IF(Tabla2[[#This Row],[Fecha]]="","",YEAR(Tabla2[[#This Row],[Fecha]]))</f>
        <v>2024</v>
      </c>
    </row>
    <row r="483" spans="1:24" x14ac:dyDescent="0.25">
      <c r="A483" s="3">
        <v>484</v>
      </c>
      <c r="B483" s="77" t="s">
        <v>1737</v>
      </c>
      <c r="C483" s="360">
        <v>45645</v>
      </c>
      <c r="D483" s="76" t="s">
        <v>1738</v>
      </c>
      <c r="E483" s="360">
        <v>45645</v>
      </c>
      <c r="F483" s="78" t="s">
        <v>231</v>
      </c>
      <c r="G483" s="85">
        <v>860002503</v>
      </c>
      <c r="H483" s="177" t="str">
        <f>VLOOKUP(Tabla2[[#This Row],[NIT]],Clientes!A:C,2,0)</f>
        <v>COMPAÑIA DE SEGUROS BOLIVAR S A</v>
      </c>
      <c r="I483" s="77" t="str">
        <f>VLOOKUP(Tabla2[[#This Row],[NIT]],Clientes!A:C,3,0)</f>
        <v>PJ</v>
      </c>
      <c r="J483" s="77"/>
      <c r="K483" s="267">
        <f>SUMIFS(Tabla4[Sub Total],Tabla4[Codigo],Tabla2[[#This Row],[Cod]])</f>
        <v>-8330523</v>
      </c>
      <c r="L483" s="262">
        <f>SUMPRODUCT((Tabla4[Codigo]=Tabla2[[#This Row],[Cod]])*1,Tabla4[IVA])</f>
        <v>-1582799.37</v>
      </c>
      <c r="M483" s="262">
        <f>SUMIFS(Tabla4[Total],Tabla4[Codigo],Tabla2[[#This Row],[Cod]])</f>
        <v>-9913322.370000001</v>
      </c>
      <c r="N483" s="278">
        <f>SUMPRODUCT((Tabla1[Codigo]=Tabla2[[#This Row],[Cod]])*1,Tabla1[Valor])</f>
        <v>0</v>
      </c>
      <c r="O483" s="265">
        <f>IF(AND(Tabla2[[#This Row],[Estado]]="ok",LEFT(Tabla2[[#This Row],['# Factura]],3)="TIS"),Tabla2[[#This Row],[TOTAL]]-Tabla2[[#This Row],[pagado]],0)</f>
        <v>0</v>
      </c>
      <c r="P483" s="262">
        <f>Tabla2[[#This Row],[TOTAL]]-Tabla2[[#This Row],[Valor pago]]</f>
        <v>-9913322.370000001</v>
      </c>
      <c r="Q483" s="265">
        <f>IF(Tabla2[[#This Row],[Saldo]]=0,0,IF(Tabla2[[#This Row],[Tipo cliente]]="PJ",Tabla2[[#This Row],[SUBTOTAL]]*11%,0))</f>
        <v>-916357.53</v>
      </c>
      <c r="R483" s="276">
        <f>IF(Tabla2[[#This Row],[Saldo]]=0,0,IF(Tabla2[[#This Row],[Tipo cliente]]="PJ",Tabla2[[#This Row],[SUBTOTAL]]*0.966%,0))</f>
        <v>-80472.852180000002</v>
      </c>
      <c r="S483" s="276">
        <f>IF(Tabla2[[#This Row],[Retiene IVA]]="S",Tabla2[[#This Row],[IVA]]*0.15,0)</f>
        <v>0</v>
      </c>
      <c r="T483" s="265"/>
      <c r="U48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83" s="23">
        <f>IF(Tabla2[[#This Row],[Fecha F.E.]]="","",YEAR(Tabla2[[#This Row],[Fecha F.E.]]))</f>
        <v>2024</v>
      </c>
      <c r="X483" s="23">
        <f>IF(Tabla2[[#This Row],[Fecha]]="","",YEAR(Tabla2[[#This Row],[Fecha]]))</f>
        <v>2024</v>
      </c>
    </row>
    <row r="484" spans="1:24" x14ac:dyDescent="0.25">
      <c r="A484" s="3">
        <v>485</v>
      </c>
      <c r="B484" s="77" t="s">
        <v>1739</v>
      </c>
      <c r="C484" s="360">
        <v>45743</v>
      </c>
      <c r="D484" s="76" t="s">
        <v>1740</v>
      </c>
      <c r="E484" s="360">
        <v>45673</v>
      </c>
      <c r="F484" s="78" t="s">
        <v>231</v>
      </c>
      <c r="G484" s="85">
        <v>860002503</v>
      </c>
      <c r="H484" s="177" t="str">
        <f>VLOOKUP(Tabla2[[#This Row],[NIT]],Clientes!A:C,2,0)</f>
        <v>COMPAÑIA DE SEGUROS BOLIVAR S A</v>
      </c>
      <c r="I484" s="77" t="str">
        <f>VLOOKUP(Tabla2[[#This Row],[NIT]],Clientes!A:C,3,0)</f>
        <v>PJ</v>
      </c>
      <c r="J484" s="77"/>
      <c r="K484" s="267">
        <f>SUMIFS(Tabla4[Sub Total],Tabla4[Codigo],Tabla2[[#This Row],[Cod]])</f>
        <v>-779748</v>
      </c>
      <c r="L484" s="262">
        <f>SUMPRODUCT((Tabla4[Codigo]=Tabla2[[#This Row],[Cod]])*1,Tabla4[IVA])</f>
        <v>-148152.12</v>
      </c>
      <c r="M484" s="262">
        <f>SUMIFS(Tabla4[Total],Tabla4[Codigo],Tabla2[[#This Row],[Cod]])</f>
        <v>-927900.12</v>
      </c>
      <c r="N484" s="278">
        <f>SUMPRODUCT((Tabla1[Codigo]=Tabla2[[#This Row],[Cod]])*1,Tabla1[Valor])</f>
        <v>0</v>
      </c>
      <c r="O484" s="265">
        <f>IF(AND(Tabla2[[#This Row],[Estado]]="ok",LEFT(Tabla2[[#This Row],['# Factura]],3)="TIS"),Tabla2[[#This Row],[TOTAL]]-Tabla2[[#This Row],[pagado]],0)</f>
        <v>0</v>
      </c>
      <c r="P484" s="262">
        <f>Tabla2[[#This Row],[TOTAL]]-Tabla2[[#This Row],[Valor pago]]</f>
        <v>-927900.12</v>
      </c>
      <c r="Q484" s="265">
        <f>IF(Tabla2[[#This Row],[Saldo]]=0,0,IF(Tabla2[[#This Row],[Tipo cliente]]="PJ",Tabla2[[#This Row],[SUBTOTAL]]*11%,0))</f>
        <v>-85772.28</v>
      </c>
      <c r="R484" s="276">
        <f>IF(Tabla2[[#This Row],[Saldo]]=0,0,IF(Tabla2[[#This Row],[Tipo cliente]]="PJ",Tabla2[[#This Row],[SUBTOTAL]]*0.966%,0))</f>
        <v>-7532.3656799999999</v>
      </c>
      <c r="S484" s="276">
        <f>IF(Tabla2[[#This Row],[Retiene IVA]]="S",Tabla2[[#This Row],[IVA]]*0.15,0)</f>
        <v>0</v>
      </c>
      <c r="T484" s="265"/>
      <c r="U48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84" s="23">
        <f>IF(Tabla2[[#This Row],[Fecha F.E.]]="","",YEAR(Tabla2[[#This Row],[Fecha F.E.]]))</f>
        <v>2025</v>
      </c>
      <c r="X484" s="23">
        <f>IF(Tabla2[[#This Row],[Fecha]]="","",YEAR(Tabla2[[#This Row],[Fecha]]))</f>
        <v>2025</v>
      </c>
    </row>
    <row r="485" spans="1:24" x14ac:dyDescent="0.25">
      <c r="A485" s="3">
        <v>486</v>
      </c>
      <c r="B485" s="77" t="s">
        <v>1741</v>
      </c>
      <c r="C485" s="360">
        <v>45743</v>
      </c>
      <c r="D485" s="76" t="s">
        <v>1742</v>
      </c>
      <c r="E485" s="360">
        <v>45673</v>
      </c>
      <c r="F485" s="78" t="s">
        <v>231</v>
      </c>
      <c r="G485" s="85">
        <v>860002503</v>
      </c>
      <c r="H485" s="177" t="str">
        <f>VLOOKUP(Tabla2[[#This Row],[NIT]],Clientes!A:C,2,0)</f>
        <v>COMPAÑIA DE SEGUROS BOLIVAR S A</v>
      </c>
      <c r="I485" s="77" t="str">
        <f>VLOOKUP(Tabla2[[#This Row],[NIT]],Clientes!A:C,3,0)</f>
        <v>PJ</v>
      </c>
      <c r="J485" s="77"/>
      <c r="K485" s="267">
        <f>SUMIFS(Tabla4[Sub Total],Tabla4[Codigo],Tabla2[[#This Row],[Cod]])</f>
        <v>-1280000</v>
      </c>
      <c r="L485" s="262">
        <f>SUMPRODUCT((Tabla4[Codigo]=Tabla2[[#This Row],[Cod]])*1,Tabla4[IVA])</f>
        <v>-243200</v>
      </c>
      <c r="M485" s="262">
        <f>SUMIFS(Tabla4[Total],Tabla4[Codigo],Tabla2[[#This Row],[Cod]])</f>
        <v>-1523200</v>
      </c>
      <c r="N485" s="278">
        <f>SUMPRODUCT((Tabla1[Codigo]=Tabla2[[#This Row],[Cod]])*1,Tabla1[Valor])</f>
        <v>0</v>
      </c>
      <c r="O485" s="265">
        <f>IF(AND(Tabla2[[#This Row],[Estado]]="ok",LEFT(Tabla2[[#This Row],['# Factura]],3)="TIS"),Tabla2[[#This Row],[TOTAL]]-Tabla2[[#This Row],[pagado]],0)</f>
        <v>0</v>
      </c>
      <c r="P485" s="262">
        <f>Tabla2[[#This Row],[TOTAL]]-Tabla2[[#This Row],[Valor pago]]</f>
        <v>-1523200</v>
      </c>
      <c r="Q485" s="265">
        <f>IF(Tabla2[[#This Row],[Saldo]]=0,0,IF(Tabla2[[#This Row],[Tipo cliente]]="PJ",Tabla2[[#This Row],[SUBTOTAL]]*11%,0))</f>
        <v>-140800</v>
      </c>
      <c r="R485" s="276">
        <f>IF(Tabla2[[#This Row],[Saldo]]=0,0,IF(Tabla2[[#This Row],[Tipo cliente]]="PJ",Tabla2[[#This Row],[SUBTOTAL]]*0.966%,0))</f>
        <v>-12364.800000000001</v>
      </c>
      <c r="S485" s="276">
        <f>IF(Tabla2[[#This Row],[Retiene IVA]]="S",Tabla2[[#This Row],[IVA]]*0.15,0)</f>
        <v>0</v>
      </c>
      <c r="T485" s="265"/>
      <c r="U48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85" s="23">
        <f>IF(Tabla2[[#This Row],[Fecha F.E.]]="","",YEAR(Tabla2[[#This Row],[Fecha F.E.]]))</f>
        <v>2025</v>
      </c>
      <c r="X485" s="23">
        <f>IF(Tabla2[[#This Row],[Fecha]]="","",YEAR(Tabla2[[#This Row],[Fecha]]))</f>
        <v>2025</v>
      </c>
    </row>
    <row r="486" spans="1:24" x14ac:dyDescent="0.25">
      <c r="A486" s="3">
        <v>487</v>
      </c>
      <c r="B486" s="77" t="s">
        <v>1743</v>
      </c>
      <c r="C486" s="360">
        <v>45743</v>
      </c>
      <c r="D486" s="76" t="s">
        <v>1744</v>
      </c>
      <c r="E486" s="360">
        <v>45664</v>
      </c>
      <c r="F486" s="78" t="s">
        <v>231</v>
      </c>
      <c r="G486" s="85">
        <v>800028768</v>
      </c>
      <c r="H486" s="177" t="str">
        <f>VLOOKUP(Tabla2[[#This Row],[NIT]],Clientes!A:C,2,0)</f>
        <v>Comercializadora ERZ SAS</v>
      </c>
      <c r="I486" s="77" t="str">
        <f>VLOOKUP(Tabla2[[#This Row],[NIT]],Clientes!A:C,3,0)</f>
        <v>PJ</v>
      </c>
      <c r="J486" s="77"/>
      <c r="K486" s="267">
        <f>SUMIFS(Tabla4[Sub Total],Tabla4[Codigo],Tabla2[[#This Row],[Cod]])</f>
        <v>260000</v>
      </c>
      <c r="L486" s="262">
        <f>SUMPRODUCT((Tabla4[Codigo]=Tabla2[[#This Row],[Cod]])*1,Tabla4[IVA])</f>
        <v>49400</v>
      </c>
      <c r="M486" s="262">
        <f>SUMIFS(Tabla4[Total],Tabla4[Codigo],Tabla2[[#This Row],[Cod]])</f>
        <v>309400</v>
      </c>
      <c r="N486" s="278">
        <f>SUMPRODUCT((Tabla1[Codigo]=Tabla2[[#This Row],[Cod]])*1,Tabla1[Valor])</f>
        <v>324000</v>
      </c>
      <c r="O486" s="265">
        <f>IF(AND(Tabla2[[#This Row],[Estado]]="ok",LEFT(Tabla2[[#This Row],['# Factura]],3)="TIS"),Tabla2[[#This Row],[TOTAL]]-Tabla2[[#This Row],[pagado]],0)</f>
        <v>-45711.599999999977</v>
      </c>
      <c r="P486" s="262">
        <f>Tabla2[[#This Row],[TOTAL]]-Tabla2[[#This Row],[Valor pago]]</f>
        <v>-14600</v>
      </c>
      <c r="Q486" s="265">
        <f>IF(Tabla2[[#This Row],[Saldo]]=0,0,IF(Tabla2[[#This Row],[Tipo cliente]]="PJ",Tabla2[[#This Row],[SUBTOTAL]]*11%,0))</f>
        <v>28600</v>
      </c>
      <c r="R486" s="276">
        <f>IF(Tabla2[[#This Row],[Saldo]]=0,0,IF(Tabla2[[#This Row],[Tipo cliente]]="PJ",Tabla2[[#This Row],[SUBTOTAL]]*0.966%,0))</f>
        <v>2511.6</v>
      </c>
      <c r="S486" s="276">
        <f>IF(Tabla2[[#This Row],[Retiene IVA]]="S",Tabla2[[#This Row],[IVA]]*0.15,0)</f>
        <v>0</v>
      </c>
      <c r="T486" s="265"/>
      <c r="U48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355111.6</v>
      </c>
      <c r="W486" s="23">
        <f>IF(Tabla2[[#This Row],[Fecha F.E.]]="","",YEAR(Tabla2[[#This Row],[Fecha F.E.]]))</f>
        <v>2025</v>
      </c>
      <c r="X486" s="23">
        <f>IF(Tabla2[[#This Row],[Fecha]]="","",YEAR(Tabla2[[#This Row],[Fecha]]))</f>
        <v>2025</v>
      </c>
    </row>
    <row r="487" spans="1:24" x14ac:dyDescent="0.25">
      <c r="A487" s="3">
        <v>488</v>
      </c>
      <c r="B487" s="77" t="s">
        <v>1745</v>
      </c>
      <c r="C487" s="360">
        <v>45743</v>
      </c>
      <c r="D487" s="76" t="s">
        <v>1746</v>
      </c>
      <c r="E487" s="360">
        <v>45664</v>
      </c>
      <c r="F487" s="78" t="s">
        <v>231</v>
      </c>
      <c r="G487" s="85">
        <v>901342609</v>
      </c>
      <c r="H487" s="177" t="str">
        <f>VLOOKUP(Tabla2[[#This Row],[NIT]],Clientes!A:C,2,0)</f>
        <v>ROYCO SOLUCIONES SAS</v>
      </c>
      <c r="I487" s="77" t="str">
        <f>VLOOKUP(Tabla2[[#This Row],[NIT]],Clientes!A:C,3,0)</f>
        <v>PJ</v>
      </c>
      <c r="J487" s="77"/>
      <c r="K487" s="267">
        <f>SUMIFS(Tabla4[Sub Total],Tabla4[Codigo],Tabla2[[#This Row],[Cod]])</f>
        <v>175000</v>
      </c>
      <c r="L487" s="262">
        <f>SUMPRODUCT((Tabla4[Codigo]=Tabla2[[#This Row],[Cod]])*1,Tabla4[IVA])</f>
        <v>33250</v>
      </c>
      <c r="M487" s="262">
        <f>SUMIFS(Tabla4[Total],Tabla4[Codigo],Tabla2[[#This Row],[Cod]])</f>
        <v>208250</v>
      </c>
      <c r="N487" s="278">
        <f>SUMPRODUCT((Tabla1[Codigo]=Tabla2[[#This Row],[Cod]])*1,Tabla1[Valor])</f>
        <v>201250</v>
      </c>
      <c r="O487" s="265">
        <f>IF(AND(Tabla2[[#This Row],[Estado]]="ok",LEFT(Tabla2[[#This Row],['# Factura]],3)="TIS"),Tabla2[[#This Row],[TOTAL]]-Tabla2[[#This Row],[pagado]],0)</f>
        <v>-13940.5</v>
      </c>
      <c r="P487" s="262">
        <f>Tabla2[[#This Row],[TOTAL]]-Tabla2[[#This Row],[Valor pago]]</f>
        <v>7000</v>
      </c>
      <c r="Q487" s="265">
        <f>IF(Tabla2[[#This Row],[Saldo]]=0,0,IF(Tabla2[[#This Row],[Tipo cliente]]="PJ",Tabla2[[#This Row],[SUBTOTAL]]*11%,0))</f>
        <v>19250</v>
      </c>
      <c r="R487" s="276">
        <f>IF(Tabla2[[#This Row],[Saldo]]=0,0,IF(Tabla2[[#This Row],[Tipo cliente]]="PJ",Tabla2[[#This Row],[SUBTOTAL]]*0.966%,0))</f>
        <v>1690.5</v>
      </c>
      <c r="S487" s="276">
        <f>IF(Tabla2[[#This Row],[Retiene IVA]]="S",Tabla2[[#This Row],[IVA]]*0.15,0)</f>
        <v>0</v>
      </c>
      <c r="T487" s="265"/>
      <c r="U48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222190.5</v>
      </c>
      <c r="W487" s="23">
        <f>IF(Tabla2[[#This Row],[Fecha F.E.]]="","",YEAR(Tabla2[[#This Row],[Fecha F.E.]]))</f>
        <v>2025</v>
      </c>
      <c r="X487" s="23">
        <f>IF(Tabla2[[#This Row],[Fecha]]="","",YEAR(Tabla2[[#This Row],[Fecha]]))</f>
        <v>2025</v>
      </c>
    </row>
    <row r="488" spans="1:24" x14ac:dyDescent="0.25">
      <c r="A488" s="3">
        <v>489</v>
      </c>
      <c r="B488" s="77" t="s">
        <v>1747</v>
      </c>
      <c r="C488" s="360">
        <v>45743</v>
      </c>
      <c r="D488" s="76" t="s">
        <v>1748</v>
      </c>
      <c r="E488" s="360">
        <v>45664</v>
      </c>
      <c r="F488" s="78" t="s">
        <v>231</v>
      </c>
      <c r="G488" s="85">
        <v>901587426</v>
      </c>
      <c r="H488" s="177" t="str">
        <f>VLOOKUP(Tabla2[[#This Row],[NIT]],Clientes!A:C,2,0)</f>
        <v>STAFF SEGUROS AGENCIA LTDA</v>
      </c>
      <c r="I488" s="77" t="str">
        <f>VLOOKUP(Tabla2[[#This Row],[NIT]],Clientes!A:C,3,0)</f>
        <v>PJ</v>
      </c>
      <c r="J488" s="77"/>
      <c r="K488" s="267">
        <f>SUMIFS(Tabla4[Sub Total],Tabla4[Codigo],Tabla2[[#This Row],[Cod]])</f>
        <v>300000</v>
      </c>
      <c r="L488" s="262">
        <f>SUMPRODUCT((Tabla4[Codigo]=Tabla2[[#This Row],[Cod]])*1,Tabla4[IVA])</f>
        <v>57000</v>
      </c>
      <c r="M488" s="262">
        <f>SUMIFS(Tabla4[Total],Tabla4[Codigo],Tabla2[[#This Row],[Cod]])</f>
        <v>357000</v>
      </c>
      <c r="N488" s="278">
        <f>SUMPRODUCT((Tabla1[Codigo]=Tabla2[[#This Row],[Cod]])*1,Tabla1[Valor])</f>
        <v>357000</v>
      </c>
      <c r="O488" s="265">
        <f>IF(AND(Tabla2[[#This Row],[Estado]]="ok",LEFT(Tabla2[[#This Row],['# Factura]],3)="TIS"),Tabla2[[#This Row],[TOTAL]]-Tabla2[[#This Row],[pagado]],0)</f>
        <v>0</v>
      </c>
      <c r="P488" s="262">
        <f>Tabla2[[#This Row],[TOTAL]]-Tabla2[[#This Row],[Valor pago]]</f>
        <v>0</v>
      </c>
      <c r="Q488" s="265">
        <f>IF(Tabla2[[#This Row],[Saldo]]=0,0,IF(Tabla2[[#This Row],[Tipo cliente]]="PJ",Tabla2[[#This Row],[SUBTOTAL]]*11%,0))</f>
        <v>0</v>
      </c>
      <c r="R488" s="276">
        <f>IF(Tabla2[[#This Row],[Saldo]]=0,0,IF(Tabla2[[#This Row],[Tipo cliente]]="PJ",Tabla2[[#This Row],[SUBTOTAL]]*0.966%,0))</f>
        <v>0</v>
      </c>
      <c r="S488" s="276">
        <f>IF(Tabla2[[#This Row],[Retiene IVA]]="S",Tabla2[[#This Row],[IVA]]*0.15,0)</f>
        <v>0</v>
      </c>
      <c r="T488" s="265"/>
      <c r="U48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357000</v>
      </c>
      <c r="W488" s="23">
        <f>IF(Tabla2[[#This Row],[Fecha F.E.]]="","",YEAR(Tabla2[[#This Row],[Fecha F.E.]]))</f>
        <v>2025</v>
      </c>
      <c r="X488" s="23">
        <f>IF(Tabla2[[#This Row],[Fecha]]="","",YEAR(Tabla2[[#This Row],[Fecha]]))</f>
        <v>2025</v>
      </c>
    </row>
    <row r="489" spans="1:24" x14ac:dyDescent="0.25">
      <c r="A489" s="3">
        <v>490</v>
      </c>
      <c r="B489" s="77" t="s">
        <v>1749</v>
      </c>
      <c r="C489" s="360">
        <v>45743</v>
      </c>
      <c r="D489" s="76" t="s">
        <v>1750</v>
      </c>
      <c r="E489" s="360">
        <v>45664</v>
      </c>
      <c r="F489" s="78" t="s">
        <v>231</v>
      </c>
      <c r="G489" s="85">
        <v>900505660</v>
      </c>
      <c r="H489" s="177" t="str">
        <f>VLOOKUP(Tabla2[[#This Row],[NIT]],Clientes!A:C,2,0)</f>
        <v>DIGITAL MEDIA TECHNOLOGIES COLOMBIA SAS</v>
      </c>
      <c r="I489" s="77" t="str">
        <f>VLOOKUP(Tabla2[[#This Row],[NIT]],Clientes!A:C,3,0)</f>
        <v>PJ</v>
      </c>
      <c r="J489" s="77"/>
      <c r="K489" s="267">
        <f>SUMIFS(Tabla4[Sub Total],Tabla4[Codigo],Tabla2[[#This Row],[Cod]])</f>
        <v>300000</v>
      </c>
      <c r="L489" s="262">
        <f>SUMPRODUCT((Tabla4[Codigo]=Tabla2[[#This Row],[Cod]])*1,Tabla4[IVA])</f>
        <v>57000</v>
      </c>
      <c r="M489" s="262">
        <f>SUMIFS(Tabla4[Total],Tabla4[Codigo],Tabla2[[#This Row],[Cod]])</f>
        <v>357000</v>
      </c>
      <c r="N489" s="278">
        <f>SUMPRODUCT((Tabla1[Codigo]=Tabla2[[#This Row],[Cod]])*1,Tabla1[Valor])</f>
        <v>324000</v>
      </c>
      <c r="O489" s="265">
        <f>IF(AND(Tabla2[[#This Row],[Estado]]="ok",LEFT(Tabla2[[#This Row],['# Factura]],3)="TIS"),Tabla2[[#This Row],[TOTAL]]-Tabla2[[#This Row],[pagado]],0)</f>
        <v>-2898</v>
      </c>
      <c r="P489" s="262">
        <f>Tabla2[[#This Row],[TOTAL]]-Tabla2[[#This Row],[Valor pago]]</f>
        <v>33000</v>
      </c>
      <c r="Q489" s="265">
        <f>IF(Tabla2[[#This Row],[Saldo]]=0,0,IF(Tabla2[[#This Row],[Tipo cliente]]="PJ",Tabla2[[#This Row],[SUBTOTAL]]*11%,0))</f>
        <v>33000</v>
      </c>
      <c r="R489" s="276">
        <f>IF(Tabla2[[#This Row],[Saldo]]=0,0,IF(Tabla2[[#This Row],[Tipo cliente]]="PJ",Tabla2[[#This Row],[SUBTOTAL]]*0.966%,0))</f>
        <v>2898</v>
      </c>
      <c r="S489" s="276">
        <f>IF(Tabla2[[#This Row],[Retiene IVA]]="S",Tabla2[[#This Row],[IVA]]*0.15,0)</f>
        <v>0</v>
      </c>
      <c r="T489" s="265"/>
      <c r="U48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489" s="23">
        <f>IF(Tabla2[[#This Row],[Fecha F.E.]]="","",YEAR(Tabla2[[#This Row],[Fecha F.E.]]))</f>
        <v>2025</v>
      </c>
      <c r="X489" s="23">
        <f>IF(Tabla2[[#This Row],[Fecha]]="","",YEAR(Tabla2[[#This Row],[Fecha]]))</f>
        <v>2025</v>
      </c>
    </row>
    <row r="490" spans="1:24" x14ac:dyDescent="0.25">
      <c r="A490" s="3">
        <v>491</v>
      </c>
      <c r="B490" s="77" t="s">
        <v>1751</v>
      </c>
      <c r="C490" s="360">
        <v>45743</v>
      </c>
      <c r="D490" s="76" t="s">
        <v>1752</v>
      </c>
      <c r="E490" s="360">
        <v>45664</v>
      </c>
      <c r="F490" s="78" t="s">
        <v>231</v>
      </c>
      <c r="G490" s="85">
        <v>901587426</v>
      </c>
      <c r="H490" s="177" t="str">
        <f>VLOOKUP(Tabla2[[#This Row],[NIT]],Clientes!A:C,2,0)</f>
        <v>STAFF SEGUROS AGENCIA LTDA</v>
      </c>
      <c r="I490" s="77" t="str">
        <f>VLOOKUP(Tabla2[[#This Row],[NIT]],Clientes!A:C,3,0)</f>
        <v>PJ</v>
      </c>
      <c r="J490" s="77"/>
      <c r="K490" s="267">
        <f>SUMIFS(Tabla4[Sub Total],Tabla4[Codigo],Tabla2[[#This Row],[Cod]])</f>
        <v>900000</v>
      </c>
      <c r="L490" s="262">
        <f>SUMPRODUCT((Tabla4[Codigo]=Tabla2[[#This Row],[Cod]])*1,Tabla4[IVA])</f>
        <v>171000</v>
      </c>
      <c r="M490" s="262">
        <f>SUMIFS(Tabla4[Total],Tabla4[Codigo],Tabla2[[#This Row],[Cod]])</f>
        <v>1071000</v>
      </c>
      <c r="N490" s="278">
        <f>SUMPRODUCT((Tabla1[Codigo]=Tabla2[[#This Row],[Cod]])*1,Tabla1[Valor])</f>
        <v>1003000</v>
      </c>
      <c r="O490" s="265">
        <f>IF(AND(Tabla2[[#This Row],[Estado]]="ok",LEFT(Tabla2[[#This Row],['# Factura]],3)="TIS"),Tabla2[[#This Row],[TOTAL]]-Tabla2[[#This Row],[pagado]],0)</f>
        <v>-39694</v>
      </c>
      <c r="P490" s="262">
        <f>Tabla2[[#This Row],[TOTAL]]-Tabla2[[#This Row],[Valor pago]]</f>
        <v>68000</v>
      </c>
      <c r="Q490" s="265">
        <f>IF(Tabla2[[#This Row],[Saldo]]=0,0,IF(Tabla2[[#This Row],[Tipo cliente]]="PJ",Tabla2[[#This Row],[SUBTOTAL]]*11%,0))</f>
        <v>99000</v>
      </c>
      <c r="R490" s="276">
        <f>IF(Tabla2[[#This Row],[Saldo]]=0,0,IF(Tabla2[[#This Row],[Tipo cliente]]="PJ",Tabla2[[#This Row],[SUBTOTAL]]*0.966%,0))</f>
        <v>8694</v>
      </c>
      <c r="S490" s="276">
        <f>IF(Tabla2[[#This Row],[Retiene IVA]]="S",Tabla2[[#This Row],[IVA]]*0.15,0)</f>
        <v>0</v>
      </c>
      <c r="T490" s="265"/>
      <c r="U49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1110694</v>
      </c>
      <c r="W490" s="23">
        <f>IF(Tabla2[[#This Row],[Fecha F.E.]]="","",YEAR(Tabla2[[#This Row],[Fecha F.E.]]))</f>
        <v>2025</v>
      </c>
      <c r="X490" s="23">
        <f>IF(Tabla2[[#This Row],[Fecha]]="","",YEAR(Tabla2[[#This Row],[Fecha]]))</f>
        <v>2025</v>
      </c>
    </row>
    <row r="491" spans="1:24" x14ac:dyDescent="0.25">
      <c r="A491" s="3">
        <v>492</v>
      </c>
      <c r="B491" s="77" t="s">
        <v>1753</v>
      </c>
      <c r="C491" s="360">
        <v>45743</v>
      </c>
      <c r="D491" s="76" t="s">
        <v>1754</v>
      </c>
      <c r="E491" s="360">
        <v>45664</v>
      </c>
      <c r="F491" s="78" t="s">
        <v>231</v>
      </c>
      <c r="G491" s="85">
        <v>901030518</v>
      </c>
      <c r="H491" s="177" t="str">
        <f>VLOOKUP(Tabla2[[#This Row],[NIT]],Clientes!A:C,2,0)</f>
        <v>Inversiones Sajamib SAS</v>
      </c>
      <c r="I491" s="77" t="str">
        <f>VLOOKUP(Tabla2[[#This Row],[NIT]],Clientes!A:C,3,0)</f>
        <v>PJ</v>
      </c>
      <c r="J491" s="77"/>
      <c r="K491" s="267">
        <f>SUMIFS(Tabla4[Sub Total],Tabla4[Codigo],Tabla2[[#This Row],[Cod]])</f>
        <v>480000</v>
      </c>
      <c r="L491" s="262">
        <f>SUMPRODUCT((Tabla4[Codigo]=Tabla2[[#This Row],[Cod]])*1,Tabla4[IVA])</f>
        <v>0</v>
      </c>
      <c r="M491" s="262">
        <f>SUMIFS(Tabla4[Total],Tabla4[Codigo],Tabla2[[#This Row],[Cod]])</f>
        <v>480000</v>
      </c>
      <c r="N491" s="278">
        <f>SUMPRODUCT((Tabla1[Codigo]=Tabla2[[#This Row],[Cod]])*1,Tabla1[Valor])</f>
        <v>480000</v>
      </c>
      <c r="O491" s="265">
        <f>IF(AND(Tabla2[[#This Row],[Estado]]="ok",LEFT(Tabla2[[#This Row],['# Factura]],3)="TIS"),Tabla2[[#This Row],[TOTAL]]-Tabla2[[#This Row],[pagado]],0)</f>
        <v>0</v>
      </c>
      <c r="P491" s="262">
        <f>Tabla2[[#This Row],[TOTAL]]-Tabla2[[#This Row],[Valor pago]]</f>
        <v>0</v>
      </c>
      <c r="Q491" s="265">
        <f>IF(Tabla2[[#This Row],[Saldo]]=0,0,IF(Tabla2[[#This Row],[Tipo cliente]]="PJ",Tabla2[[#This Row],[SUBTOTAL]]*11%,0))</f>
        <v>0</v>
      </c>
      <c r="R491" s="276">
        <f>IF(Tabla2[[#This Row],[Saldo]]=0,0,IF(Tabla2[[#This Row],[Tipo cliente]]="PJ",Tabla2[[#This Row],[SUBTOTAL]]*0.966%,0))</f>
        <v>0</v>
      </c>
      <c r="S491" s="276">
        <f>IF(Tabla2[[#This Row],[Retiene IVA]]="S",Tabla2[[#This Row],[IVA]]*0.15,0)</f>
        <v>0</v>
      </c>
      <c r="T491" s="265"/>
      <c r="U49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491" s="23">
        <f>IF(Tabla2[[#This Row],[Fecha F.E.]]="","",YEAR(Tabla2[[#This Row],[Fecha F.E.]]))</f>
        <v>2025</v>
      </c>
      <c r="X491" s="23">
        <f>IF(Tabla2[[#This Row],[Fecha]]="","",YEAR(Tabla2[[#This Row],[Fecha]]))</f>
        <v>2025</v>
      </c>
    </row>
    <row r="492" spans="1:24" x14ac:dyDescent="0.25">
      <c r="A492" s="3">
        <v>493</v>
      </c>
      <c r="B492" s="77" t="s">
        <v>1755</v>
      </c>
      <c r="C492" s="360">
        <v>45743</v>
      </c>
      <c r="D492" s="76" t="s">
        <v>1756</v>
      </c>
      <c r="E492" s="360">
        <v>45664</v>
      </c>
      <c r="F492" s="78" t="s">
        <v>231</v>
      </c>
      <c r="G492" s="85">
        <v>901588265</v>
      </c>
      <c r="H492" s="177" t="str">
        <f>VLOOKUP(Tabla2[[#This Row],[NIT]],Clientes!A:C,2,0)</f>
        <v>GENUINE TECH SAS</v>
      </c>
      <c r="I492" s="77" t="str">
        <f>VLOOKUP(Tabla2[[#This Row],[NIT]],Clientes!A:C,3,0)</f>
        <v>PJ</v>
      </c>
      <c r="J492" s="77"/>
      <c r="K492" s="267">
        <f>SUMIFS(Tabla4[Sub Total],Tabla4[Codigo],Tabla2[[#This Row],[Cod]])</f>
        <v>545454</v>
      </c>
      <c r="L492" s="262">
        <f>SUMPRODUCT((Tabla4[Codigo]=Tabla2[[#This Row],[Cod]])*1,Tabla4[IVA])</f>
        <v>103636.26</v>
      </c>
      <c r="M492" s="262">
        <f>SUMIFS(Tabla4[Total],Tabla4[Codigo],Tabla2[[#This Row],[Cod]])</f>
        <v>649090.26</v>
      </c>
      <c r="N492" s="278">
        <f>SUMPRODUCT((Tabla1[Codigo]=Tabla2[[#This Row],[Cod]])*1,Tabla1[Valor])</f>
        <v>622003</v>
      </c>
      <c r="O492" s="265">
        <f>IF(AND(Tabla2[[#This Row],[Estado]]="ok",LEFT(Tabla2[[#This Row],['# Factura]],3)="TIS"),Tabla2[[#This Row],[TOTAL]]-Tabla2[[#This Row],[pagado]],0)</f>
        <v>-38181.765639999881</v>
      </c>
      <c r="P492" s="262">
        <f>Tabla2[[#This Row],[TOTAL]]-Tabla2[[#This Row],[Valor pago]]</f>
        <v>27087.260000000009</v>
      </c>
      <c r="Q492" s="265">
        <f>IF(Tabla2[[#This Row],[Saldo]]=0,0,IF(Tabla2[[#This Row],[Tipo cliente]]="PJ",Tabla2[[#This Row],[SUBTOTAL]]*11%,0))</f>
        <v>59999.94</v>
      </c>
      <c r="R492" s="276">
        <f>IF(Tabla2[[#This Row],[Saldo]]=0,0,IF(Tabla2[[#This Row],[Tipo cliente]]="PJ",Tabla2[[#This Row],[SUBTOTAL]]*0.966%,0))</f>
        <v>5269.0856400000002</v>
      </c>
      <c r="S492" s="276">
        <f>IF(Tabla2[[#This Row],[Retiene IVA]]="S",Tabla2[[#This Row],[IVA]]*0.15,0)</f>
        <v>0</v>
      </c>
      <c r="T492" s="265"/>
      <c r="U49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687272.02563999989</v>
      </c>
      <c r="W492" s="23">
        <f>IF(Tabla2[[#This Row],[Fecha F.E.]]="","",YEAR(Tabla2[[#This Row],[Fecha F.E.]]))</f>
        <v>2025</v>
      </c>
      <c r="X492" s="23">
        <f>IF(Tabla2[[#This Row],[Fecha]]="","",YEAR(Tabla2[[#This Row],[Fecha]]))</f>
        <v>2025</v>
      </c>
    </row>
    <row r="493" spans="1:24" x14ac:dyDescent="0.25">
      <c r="A493" s="3">
        <v>494</v>
      </c>
      <c r="B493" s="77" t="s">
        <v>1757</v>
      </c>
      <c r="C493" s="360">
        <v>45743</v>
      </c>
      <c r="D493" s="76" t="s">
        <v>1758</v>
      </c>
      <c r="E493" s="360">
        <v>45664</v>
      </c>
      <c r="F493" s="78" t="s">
        <v>231</v>
      </c>
      <c r="G493" s="85">
        <v>900728801</v>
      </c>
      <c r="H493" s="177" t="str">
        <f>VLOOKUP(Tabla2[[#This Row],[NIT]],Clientes!A:C,2,0)</f>
        <v>SMART ENERGY SOLUTIONS SAS</v>
      </c>
      <c r="I493" s="77" t="str">
        <f>VLOOKUP(Tabla2[[#This Row],[NIT]],Clientes!A:C,3,0)</f>
        <v>PJ</v>
      </c>
      <c r="J493" s="77"/>
      <c r="K493" s="267">
        <f>SUMIFS(Tabla4[Sub Total],Tabla4[Codigo],Tabla2[[#This Row],[Cod]])</f>
        <v>700000</v>
      </c>
      <c r="L493" s="262">
        <f>SUMPRODUCT((Tabla4[Codigo]=Tabla2[[#This Row],[Cod]])*1,Tabla4[IVA])</f>
        <v>133000</v>
      </c>
      <c r="M493" s="262">
        <f>SUMIFS(Tabla4[Total],Tabla4[Codigo],Tabla2[[#This Row],[Cod]])</f>
        <v>833000</v>
      </c>
      <c r="N493" s="278">
        <f>SUMPRODUCT((Tabla1[Codigo]=Tabla2[[#This Row],[Cod]])*1,Tabla1[Valor])</f>
        <v>798938</v>
      </c>
      <c r="O493" s="265">
        <f>IF(AND(Tabla2[[#This Row],[Estado]]="ok",LEFT(Tabla2[[#This Row],['# Factura]],3)="TIS"),Tabla2[[#This Row],[TOTAL]]-Tabla2[[#This Row],[pagado]],0)</f>
        <v>-49700</v>
      </c>
      <c r="P493" s="262">
        <f>Tabla2[[#This Row],[TOTAL]]-Tabla2[[#This Row],[Valor pago]]</f>
        <v>34062</v>
      </c>
      <c r="Q493" s="265">
        <f>IF(Tabla2[[#This Row],[Saldo]]=0,0,IF(Tabla2[[#This Row],[Tipo cliente]]="PJ",Tabla2[[#This Row],[SUBTOTAL]]*11%,0))</f>
        <v>77000</v>
      </c>
      <c r="R493" s="276">
        <f>IF(Tabla2[[#This Row],[Saldo]]=0,0,IF(Tabla2[[#This Row],[Tipo cliente]]="PJ",Tabla2[[#This Row],[SUBTOTAL]]*0.966%,0))</f>
        <v>6762</v>
      </c>
      <c r="S493" s="276">
        <f>IF(Tabla2[[#This Row],[Retiene IVA]]="S",Tabla2[[#This Row],[IVA]]*0.15,0)</f>
        <v>0</v>
      </c>
      <c r="T493" s="265"/>
      <c r="U49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882700</v>
      </c>
      <c r="W493" s="23">
        <f>IF(Tabla2[[#This Row],[Fecha F.E.]]="","",YEAR(Tabla2[[#This Row],[Fecha F.E.]]))</f>
        <v>2025</v>
      </c>
      <c r="X493" s="23">
        <f>IF(Tabla2[[#This Row],[Fecha]]="","",YEAR(Tabla2[[#This Row],[Fecha]]))</f>
        <v>2025</v>
      </c>
    </row>
    <row r="494" spans="1:24" x14ac:dyDescent="0.25">
      <c r="A494" s="3">
        <v>495</v>
      </c>
      <c r="B494" s="77" t="s">
        <v>1759</v>
      </c>
      <c r="C494" s="360">
        <v>45743</v>
      </c>
      <c r="D494" s="76" t="s">
        <v>1760</v>
      </c>
      <c r="E494" s="360">
        <v>45673</v>
      </c>
      <c r="F494" s="78" t="s">
        <v>231</v>
      </c>
      <c r="G494" s="85">
        <v>830050882</v>
      </c>
      <c r="H494" s="177" t="str">
        <f>VLOOKUP(Tabla2[[#This Row],[NIT]],Clientes!A:C,2,0)</f>
        <v>HF DOTACIONES SAS</v>
      </c>
      <c r="I494" s="77" t="str">
        <f>VLOOKUP(Tabla2[[#This Row],[NIT]],Clientes!A:C,3,0)</f>
        <v>PJ</v>
      </c>
      <c r="J494" s="77"/>
      <c r="K494" s="267">
        <f>SUMIFS(Tabla4[Sub Total],Tabla4[Codigo],Tabla2[[#This Row],[Cod]])</f>
        <v>700000</v>
      </c>
      <c r="L494" s="262">
        <f>SUMPRODUCT((Tabla4[Codigo]=Tabla2[[#This Row],[Cod]])*1,Tabla4[IVA])</f>
        <v>133000</v>
      </c>
      <c r="M494" s="262">
        <f>SUMIFS(Tabla4[Total],Tabla4[Codigo],Tabla2[[#This Row],[Cod]])</f>
        <v>833000</v>
      </c>
      <c r="N494" s="278">
        <f>SUMPRODUCT((Tabla1[Codigo]=Tabla2[[#This Row],[Cod]])*1,Tabla1[Valor])</f>
        <v>798238</v>
      </c>
      <c r="O494" s="265">
        <f>IF(AND(Tabla2[[#This Row],[Estado]]="ok",LEFT(Tabla2[[#This Row],['# Factura]],3)="TIS"),Tabla2[[#This Row],[TOTAL]]-Tabla2[[#This Row],[pagado]],0)</f>
        <v>-49000</v>
      </c>
      <c r="P494" s="262">
        <f>Tabla2[[#This Row],[TOTAL]]-Tabla2[[#This Row],[Valor pago]]</f>
        <v>34762</v>
      </c>
      <c r="Q494" s="265">
        <f>IF(Tabla2[[#This Row],[Saldo]]=0,0,IF(Tabla2[[#This Row],[Tipo cliente]]="PJ",Tabla2[[#This Row],[SUBTOTAL]]*11%,0))</f>
        <v>77000</v>
      </c>
      <c r="R494" s="276">
        <f>IF(Tabla2[[#This Row],[Saldo]]=0,0,IF(Tabla2[[#This Row],[Tipo cliente]]="PJ",Tabla2[[#This Row],[SUBTOTAL]]*0.966%,0))</f>
        <v>6762</v>
      </c>
      <c r="S494" s="276">
        <f>IF(Tabla2[[#This Row],[Retiene IVA]]="S",Tabla2[[#This Row],[IVA]]*0.15,0)</f>
        <v>0</v>
      </c>
      <c r="T494" s="265"/>
      <c r="U49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882000</v>
      </c>
      <c r="W494" s="23">
        <f>IF(Tabla2[[#This Row],[Fecha F.E.]]="","",YEAR(Tabla2[[#This Row],[Fecha F.E.]]))</f>
        <v>2025</v>
      </c>
      <c r="X494" s="23">
        <f>IF(Tabla2[[#This Row],[Fecha]]="","",YEAR(Tabla2[[#This Row],[Fecha]]))</f>
        <v>2025</v>
      </c>
    </row>
    <row r="495" spans="1:24" x14ac:dyDescent="0.25">
      <c r="A495" s="3">
        <v>496</v>
      </c>
      <c r="B495" s="77" t="s">
        <v>1761</v>
      </c>
      <c r="C495" s="360">
        <v>45743</v>
      </c>
      <c r="D495" s="76" t="s">
        <v>1762</v>
      </c>
      <c r="E495" s="360">
        <v>45678</v>
      </c>
      <c r="F495" s="78" t="s">
        <v>231</v>
      </c>
      <c r="G495" s="85">
        <v>900444852</v>
      </c>
      <c r="H495" s="177" t="str">
        <f>VLOOKUP(Tabla2[[#This Row],[NIT]],Clientes!A:C,2,0)</f>
        <v>TRANSPORTES ESPECIALES ALIADOS S.A.S</v>
      </c>
      <c r="I495" s="77" t="str">
        <f>VLOOKUP(Tabla2[[#This Row],[NIT]],Clientes!A:C,3,0)</f>
        <v>PJ</v>
      </c>
      <c r="J495" s="77"/>
      <c r="K495" s="267">
        <f>SUMIFS(Tabla4[Sub Total],Tabla4[Codigo],Tabla2[[#This Row],[Cod]])</f>
        <v>8450000</v>
      </c>
      <c r="L495" s="262">
        <f>SUMPRODUCT((Tabla4[Codigo]=Tabla2[[#This Row],[Cod]])*1,Tabla4[IVA])</f>
        <v>1605500</v>
      </c>
      <c r="M495" s="262">
        <f>SUMIFS(Tabla4[Total],Tabla4[Codigo],Tabla2[[#This Row],[Cod]])</f>
        <v>10055500</v>
      </c>
      <c r="N495" s="278">
        <f>SUMPRODUCT((Tabla1[Codigo]=Tabla2[[#This Row],[Cod]])*1,Tabla1[Valor])</f>
        <v>9516689</v>
      </c>
      <c r="O495" s="265">
        <f>IF(AND(Tabla2[[#This Row],[Estado]]="ok",LEFT(Tabla2[[#This Row],['# Factura]],3)="TIS"),Tabla2[[#This Row],[TOTAL]]-Tabla2[[#This Row],[pagado]],0)</f>
        <v>-472316</v>
      </c>
      <c r="P495" s="262">
        <f>Tabla2[[#This Row],[TOTAL]]-Tabla2[[#This Row],[Valor pago]]</f>
        <v>538811</v>
      </c>
      <c r="Q495" s="265">
        <f>IF(Tabla2[[#This Row],[Saldo]]=0,0,IF(Tabla2[[#This Row],[Tipo cliente]]="PJ",Tabla2[[#This Row],[SUBTOTAL]]*11%,0))</f>
        <v>929500</v>
      </c>
      <c r="R495" s="276">
        <f>IF(Tabla2[[#This Row],[Saldo]]=0,0,IF(Tabla2[[#This Row],[Tipo cliente]]="PJ",Tabla2[[#This Row],[SUBTOTAL]]*0.966%,0))</f>
        <v>81627</v>
      </c>
      <c r="S495" s="276">
        <f>IF(Tabla2[[#This Row],[Retiene IVA]]="S",Tabla2[[#This Row],[IVA]]*0.15,0)</f>
        <v>0</v>
      </c>
      <c r="T495" s="265"/>
      <c r="U49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10527816</v>
      </c>
      <c r="W495" s="23">
        <f>IF(Tabla2[[#This Row],[Fecha F.E.]]="","",YEAR(Tabla2[[#This Row],[Fecha F.E.]]))</f>
        <v>2025</v>
      </c>
      <c r="X495" s="23">
        <f>IF(Tabla2[[#This Row],[Fecha]]="","",YEAR(Tabla2[[#This Row],[Fecha]]))</f>
        <v>2025</v>
      </c>
    </row>
    <row r="496" spans="1:24" x14ac:dyDescent="0.25">
      <c r="A496" s="3">
        <v>497</v>
      </c>
      <c r="B496" s="77" t="s">
        <v>1763</v>
      </c>
      <c r="C496" s="360">
        <v>45743</v>
      </c>
      <c r="D496" s="76" t="s">
        <v>1764</v>
      </c>
      <c r="E496" s="360">
        <v>45697</v>
      </c>
      <c r="F496" s="78" t="s">
        <v>231</v>
      </c>
      <c r="G496" s="85">
        <v>860002503</v>
      </c>
      <c r="H496" s="177" t="str">
        <f>VLOOKUP(Tabla2[[#This Row],[NIT]],Clientes!A:C,2,0)</f>
        <v>COMPAÑIA DE SEGUROS BOLIVAR S A</v>
      </c>
      <c r="I496" s="77" t="str">
        <f>VLOOKUP(Tabla2[[#This Row],[NIT]],Clientes!A:C,3,0)</f>
        <v>PJ</v>
      </c>
      <c r="J496" s="77"/>
      <c r="K496" s="267">
        <f>SUMIFS(Tabla4[Sub Total],Tabla4[Codigo],Tabla2[[#This Row],[Cod]])</f>
        <v>9330271</v>
      </c>
      <c r="L496" s="262">
        <f>SUMPRODUCT((Tabla4[Codigo]=Tabla2[[#This Row],[Cod]])*1,Tabla4[IVA])</f>
        <v>1772751.49</v>
      </c>
      <c r="M496" s="262">
        <f>SUMIFS(Tabla4[Total],Tabla4[Codigo],Tabla2[[#This Row],[Cod]])</f>
        <v>11103022.49</v>
      </c>
      <c r="N496" s="278">
        <f>SUMPRODUCT((Tabla1[Codigo]=Tabla2[[#This Row],[Cod]])*1,Tabla1[Valor])</f>
        <v>9986562</v>
      </c>
      <c r="O496" s="265">
        <f>IF(AND(Tabla2[[#This Row],[Estado]]="ok",LEFT(Tabla2[[#This Row],['# Factura]],3)="TIS"),Tabla2[[#This Row],[TOTAL]]-Tabla2[[#This Row],[pagado]],0)</f>
        <v>0.26214000023901463</v>
      </c>
      <c r="P496" s="262">
        <f>Tabla2[[#This Row],[TOTAL]]-Tabla2[[#This Row],[Valor pago]]</f>
        <v>1116460.4900000002</v>
      </c>
      <c r="Q496" s="265">
        <f>IF(Tabla2[[#This Row],[Saldo]]=0,0,IF(Tabla2[[#This Row],[Tipo cliente]]="PJ",Tabla2[[#This Row],[SUBTOTAL]]*11%,0))</f>
        <v>1026329.81</v>
      </c>
      <c r="R496" s="276">
        <f>IF(Tabla2[[#This Row],[Saldo]]=0,0,IF(Tabla2[[#This Row],[Tipo cliente]]="PJ",Tabla2[[#This Row],[SUBTOTAL]]*0.966%,0))</f>
        <v>90130.417860000001</v>
      </c>
      <c r="S496" s="276">
        <f>IF(Tabla2[[#This Row],[Retiene IVA]]="S",Tabla2[[#This Row],[IVA]]*0.15,0)</f>
        <v>0</v>
      </c>
      <c r="T496" s="265"/>
      <c r="U49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11103022.22786</v>
      </c>
      <c r="W496" s="23">
        <f>IF(Tabla2[[#This Row],[Fecha F.E.]]="","",YEAR(Tabla2[[#This Row],[Fecha F.E.]]))</f>
        <v>2025</v>
      </c>
      <c r="X496" s="23">
        <f>IF(Tabla2[[#This Row],[Fecha]]="","",YEAR(Tabla2[[#This Row],[Fecha]]))</f>
        <v>2025</v>
      </c>
    </row>
    <row r="497" spans="1:24" x14ac:dyDescent="0.25">
      <c r="A497" s="3">
        <v>498</v>
      </c>
      <c r="B497" s="77" t="s">
        <v>1765</v>
      </c>
      <c r="C497" s="360">
        <v>45743</v>
      </c>
      <c r="D497" s="76" t="s">
        <v>1766</v>
      </c>
      <c r="E497" s="360">
        <v>45697</v>
      </c>
      <c r="F497" s="78" t="s">
        <v>716</v>
      </c>
      <c r="G497" s="85">
        <v>860002503</v>
      </c>
      <c r="H497" s="177" t="str">
        <f>VLOOKUP(Tabla2[[#This Row],[NIT]],Clientes!A:C,2,0)</f>
        <v>COMPAÑIA DE SEGUROS BOLIVAR S A</v>
      </c>
      <c r="I497" s="77" t="str">
        <f>VLOOKUP(Tabla2[[#This Row],[NIT]],Clientes!A:C,3,0)</f>
        <v>PJ</v>
      </c>
      <c r="J497" s="77"/>
      <c r="K497" s="267">
        <f>SUMIFS(Tabla4[Sub Total],Tabla4[Codigo],Tabla2[[#This Row],[Cod]])</f>
        <v>1552842</v>
      </c>
      <c r="L497" s="262">
        <f>SUMPRODUCT((Tabla4[Codigo]=Tabla2[[#This Row],[Cod]])*1,Tabla4[IVA])</f>
        <v>295039.98</v>
      </c>
      <c r="M497" s="262">
        <f>SUMIFS(Tabla4[Total],Tabla4[Codigo],Tabla2[[#This Row],[Cod]])</f>
        <v>1847881.98</v>
      </c>
      <c r="N497" s="278">
        <f>SUMPRODUCT((Tabla1[Codigo]=Tabla2[[#This Row],[Cod]])*1,Tabla1[Valor])</f>
        <v>0</v>
      </c>
      <c r="O497" s="265">
        <f>IF(AND(Tabla2[[#This Row],[Estado]]="ok",LEFT(Tabla2[[#This Row],['# Factura]],3)="TIS"),Tabla2[[#This Row],[TOTAL]]-Tabla2[[#This Row],[pagado]],0)</f>
        <v>0</v>
      </c>
      <c r="P497" s="262">
        <f>Tabla2[[#This Row],[TOTAL]]-Tabla2[[#This Row],[Valor pago]]</f>
        <v>1847881.98</v>
      </c>
      <c r="Q497" s="265">
        <f>IF(Tabla2[[#This Row],[Saldo]]=0,0,IF(Tabla2[[#This Row],[Tipo cliente]]="PJ",Tabla2[[#This Row],[SUBTOTAL]]*11%,0))</f>
        <v>170812.62</v>
      </c>
      <c r="R497" s="276">
        <f>IF(Tabla2[[#This Row],[Saldo]]=0,0,IF(Tabla2[[#This Row],[Tipo cliente]]="PJ",Tabla2[[#This Row],[SUBTOTAL]]*0.966%,0))</f>
        <v>15000.45372</v>
      </c>
      <c r="S497" s="276">
        <f>IF(Tabla2[[#This Row],[Retiene IVA]]="S",Tabla2[[#This Row],[IVA]]*0.15,0)</f>
        <v>0</v>
      </c>
      <c r="T497" s="265"/>
      <c r="U49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497" s="23">
        <f>IF(Tabla2[[#This Row],[Fecha F.E.]]="","",YEAR(Tabla2[[#This Row],[Fecha F.E.]]))</f>
        <v>2025</v>
      </c>
      <c r="X497" s="23">
        <f>IF(Tabla2[[#This Row],[Fecha]]="","",YEAR(Tabla2[[#This Row],[Fecha]]))</f>
        <v>2025</v>
      </c>
    </row>
    <row r="498" spans="1:24" x14ac:dyDescent="0.25">
      <c r="A498" s="3">
        <v>499</v>
      </c>
      <c r="B498" s="77" t="s">
        <v>1767</v>
      </c>
      <c r="C498" s="360">
        <v>45743</v>
      </c>
      <c r="D498" s="76" t="s">
        <v>1768</v>
      </c>
      <c r="E498" s="360">
        <v>45701</v>
      </c>
      <c r="F498" s="78" t="s">
        <v>231</v>
      </c>
      <c r="G498" s="85">
        <v>900729853</v>
      </c>
      <c r="H498" s="177" t="str">
        <f>VLOOKUP(Tabla2[[#This Row],[NIT]],Clientes!A:C,2,0)</f>
        <v>ECO DESIGN SERVICES SAS</v>
      </c>
      <c r="I498" s="77" t="str">
        <f>VLOOKUP(Tabla2[[#This Row],[NIT]],Clientes!A:C,3,0)</f>
        <v>PJ</v>
      </c>
      <c r="J498" s="77"/>
      <c r="K498" s="267">
        <f>SUMIFS(Tabla4[Sub Total],Tabla4[Codigo],Tabla2[[#This Row],[Cod]])</f>
        <v>720000</v>
      </c>
      <c r="L498" s="262">
        <f>SUMPRODUCT((Tabla4[Codigo]=Tabla2[[#This Row],[Cod]])*1,Tabla4[IVA])</f>
        <v>136800</v>
      </c>
      <c r="M498" s="262">
        <f>SUMIFS(Tabla4[Total],Tabla4[Codigo],Tabla2[[#This Row],[Cod]])</f>
        <v>856800</v>
      </c>
      <c r="N498" s="278">
        <f>SUMPRODUCT((Tabla1[Codigo]=Tabla2[[#This Row],[Cod]])*1,Tabla1[Valor])</f>
        <v>771365</v>
      </c>
      <c r="O498" s="265">
        <f>IF(AND(Tabla2[[#This Row],[Estado]]="ok",LEFT(Tabla2[[#This Row],['# Factura]],3)="TIS"),Tabla2[[#This Row],[TOTAL]]-Tabla2[[#This Row],[pagado]],0)</f>
        <v>-720.19999999995343</v>
      </c>
      <c r="P498" s="262">
        <f>Tabla2[[#This Row],[TOTAL]]-Tabla2[[#This Row],[Valor pago]]</f>
        <v>85435</v>
      </c>
      <c r="Q498" s="265">
        <f>IF(Tabla2[[#This Row],[Saldo]]=0,0,IF(Tabla2[[#This Row],[Tipo cliente]]="PJ",Tabla2[[#This Row],[SUBTOTAL]]*11%,0))</f>
        <v>79200</v>
      </c>
      <c r="R498" s="276">
        <f>IF(Tabla2[[#This Row],[Saldo]]=0,0,IF(Tabla2[[#This Row],[Tipo cliente]]="PJ",Tabla2[[#This Row],[SUBTOTAL]]*0.966%,0))</f>
        <v>6955.2</v>
      </c>
      <c r="S498" s="276">
        <f>IF(Tabla2[[#This Row],[Retiene IVA]]="S",Tabla2[[#This Row],[IVA]]*0.15,0)</f>
        <v>0</v>
      </c>
      <c r="T498" s="265"/>
      <c r="U49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857520.2</v>
      </c>
      <c r="W498" s="23">
        <f>IF(Tabla2[[#This Row],[Fecha F.E.]]="","",YEAR(Tabla2[[#This Row],[Fecha F.E.]]))</f>
        <v>2025</v>
      </c>
      <c r="X498" s="23">
        <f>IF(Tabla2[[#This Row],[Fecha]]="","",YEAR(Tabla2[[#This Row],[Fecha]]))</f>
        <v>2025</v>
      </c>
    </row>
    <row r="499" spans="1:24" x14ac:dyDescent="0.25">
      <c r="A499" s="3">
        <v>500</v>
      </c>
      <c r="B499" s="77" t="s">
        <v>1769</v>
      </c>
      <c r="C499" s="360">
        <v>45743</v>
      </c>
      <c r="D499" s="76" t="s">
        <v>1770</v>
      </c>
      <c r="E499" s="360">
        <v>45701</v>
      </c>
      <c r="F499" s="78" t="s">
        <v>231</v>
      </c>
      <c r="G499" s="85">
        <v>800028768</v>
      </c>
      <c r="H499" s="177" t="str">
        <f>VLOOKUP(Tabla2[[#This Row],[NIT]],Clientes!A:C,2,0)</f>
        <v>Comercializadora ERZ SAS</v>
      </c>
      <c r="I499" s="77" t="str">
        <f>VLOOKUP(Tabla2[[#This Row],[NIT]],Clientes!A:C,3,0)</f>
        <v>PJ</v>
      </c>
      <c r="J499" s="77"/>
      <c r="K499" s="267">
        <f>SUMIFS(Tabla4[Sub Total],Tabla4[Codigo],Tabla2[[#This Row],[Cod]])</f>
        <v>300000</v>
      </c>
      <c r="L499" s="262">
        <f>SUMPRODUCT((Tabla4[Codigo]=Tabla2[[#This Row],[Cod]])*1,Tabla4[IVA])</f>
        <v>57000</v>
      </c>
      <c r="M499" s="262">
        <f>SUMIFS(Tabla4[Total],Tabla4[Codigo],Tabla2[[#This Row],[Cod]])</f>
        <v>357000</v>
      </c>
      <c r="N499" s="278">
        <f>SUMPRODUCT((Tabla1[Codigo]=Tabla2[[#This Row],[Cod]])*1,Tabla1[Valor])</f>
        <v>324000</v>
      </c>
      <c r="O499" s="265">
        <f>IF(AND(Tabla2[[#This Row],[Estado]]="ok",LEFT(Tabla2[[#This Row],['# Factura]],3)="TIS"),Tabla2[[#This Row],[TOTAL]]-Tabla2[[#This Row],[pagado]],0)</f>
        <v>-2898</v>
      </c>
      <c r="P499" s="262">
        <f>Tabla2[[#This Row],[TOTAL]]-Tabla2[[#This Row],[Valor pago]]</f>
        <v>33000</v>
      </c>
      <c r="Q499" s="265">
        <f>IF(Tabla2[[#This Row],[Saldo]]=0,0,IF(Tabla2[[#This Row],[Tipo cliente]]="PJ",Tabla2[[#This Row],[SUBTOTAL]]*11%,0))</f>
        <v>33000</v>
      </c>
      <c r="R499" s="276">
        <f>IF(Tabla2[[#This Row],[Saldo]]=0,0,IF(Tabla2[[#This Row],[Tipo cliente]]="PJ",Tabla2[[#This Row],[SUBTOTAL]]*0.966%,0))</f>
        <v>2898</v>
      </c>
      <c r="S499" s="276">
        <f>IF(Tabla2[[#This Row],[Retiene IVA]]="S",Tabla2[[#This Row],[IVA]]*0.15,0)</f>
        <v>0</v>
      </c>
      <c r="T499" s="265"/>
      <c r="U49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499" s="23">
        <f>IF(Tabla2[[#This Row],[Fecha F.E.]]="","",YEAR(Tabla2[[#This Row],[Fecha F.E.]]))</f>
        <v>2025</v>
      </c>
      <c r="X499" s="23">
        <f>IF(Tabla2[[#This Row],[Fecha]]="","",YEAR(Tabla2[[#This Row],[Fecha]]))</f>
        <v>2025</v>
      </c>
    </row>
    <row r="500" spans="1:24" x14ac:dyDescent="0.25">
      <c r="A500" s="3">
        <v>501</v>
      </c>
      <c r="B500" s="77" t="s">
        <v>1771</v>
      </c>
      <c r="C500" s="360">
        <v>45743</v>
      </c>
      <c r="D500" s="76" t="s">
        <v>1772</v>
      </c>
      <c r="E500" s="360">
        <v>45701</v>
      </c>
      <c r="F500" s="78" t="s">
        <v>231</v>
      </c>
      <c r="G500" s="85">
        <v>900505660</v>
      </c>
      <c r="H500" s="177" t="str">
        <f>VLOOKUP(Tabla2[[#This Row],[NIT]],Clientes!A:C,2,0)</f>
        <v>DIGITAL MEDIA TECHNOLOGIES COLOMBIA SAS</v>
      </c>
      <c r="I500" s="77" t="str">
        <f>VLOOKUP(Tabla2[[#This Row],[NIT]],Clientes!A:C,3,0)</f>
        <v>PJ</v>
      </c>
      <c r="J500" s="77"/>
      <c r="K500" s="267">
        <f>SUMIFS(Tabla4[Sub Total],Tabla4[Codigo],Tabla2[[#This Row],[Cod]])</f>
        <v>300000</v>
      </c>
      <c r="L500" s="262">
        <f>SUMPRODUCT((Tabla4[Codigo]=Tabla2[[#This Row],[Cod]])*1,Tabla4[IVA])</f>
        <v>57000</v>
      </c>
      <c r="M500" s="262">
        <f>SUMIFS(Tabla4[Total],Tabla4[Codigo],Tabla2[[#This Row],[Cod]])</f>
        <v>357000</v>
      </c>
      <c r="N500" s="278">
        <f>SUMPRODUCT((Tabla1[Codigo]=Tabla2[[#This Row],[Cod]])*1,Tabla1[Valor])</f>
        <v>324000</v>
      </c>
      <c r="O500" s="265">
        <f>IF(AND(Tabla2[[#This Row],[Estado]]="ok",LEFT(Tabla2[[#This Row],['# Factura]],3)="TIS"),Tabla2[[#This Row],[TOTAL]]-Tabla2[[#This Row],[pagado]],0)</f>
        <v>-2898</v>
      </c>
      <c r="P500" s="262">
        <f>Tabla2[[#This Row],[TOTAL]]-Tabla2[[#This Row],[Valor pago]]</f>
        <v>33000</v>
      </c>
      <c r="Q500" s="265">
        <f>IF(Tabla2[[#This Row],[Saldo]]=0,0,IF(Tabla2[[#This Row],[Tipo cliente]]="PJ",Tabla2[[#This Row],[SUBTOTAL]]*11%,0))</f>
        <v>33000</v>
      </c>
      <c r="R500" s="276">
        <f>IF(Tabla2[[#This Row],[Saldo]]=0,0,IF(Tabla2[[#This Row],[Tipo cliente]]="PJ",Tabla2[[#This Row],[SUBTOTAL]]*0.966%,0))</f>
        <v>2898</v>
      </c>
      <c r="S500" s="276">
        <f>IF(Tabla2[[#This Row],[Retiene IVA]]="S",Tabla2[[#This Row],[IVA]]*0.15,0)</f>
        <v>0</v>
      </c>
      <c r="T500" s="265"/>
      <c r="U50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00" s="23">
        <f>IF(Tabla2[[#This Row],[Fecha F.E.]]="","",YEAR(Tabla2[[#This Row],[Fecha F.E.]]))</f>
        <v>2025</v>
      </c>
      <c r="X500" s="23">
        <f>IF(Tabla2[[#This Row],[Fecha]]="","",YEAR(Tabla2[[#This Row],[Fecha]]))</f>
        <v>2025</v>
      </c>
    </row>
    <row r="501" spans="1:24" x14ac:dyDescent="0.25">
      <c r="A501" s="3">
        <v>502</v>
      </c>
      <c r="B501" s="77" t="s">
        <v>1773</v>
      </c>
      <c r="C501" s="360">
        <v>45743</v>
      </c>
      <c r="D501" s="76" t="s">
        <v>1774</v>
      </c>
      <c r="E501" s="360">
        <v>45701</v>
      </c>
      <c r="F501" s="78" t="s">
        <v>231</v>
      </c>
      <c r="G501" s="85">
        <v>901030518</v>
      </c>
      <c r="H501" s="177" t="str">
        <f>VLOOKUP(Tabla2[[#This Row],[NIT]],Clientes!A:C,2,0)</f>
        <v>Inversiones Sajamib SAS</v>
      </c>
      <c r="I501" s="77" t="str">
        <f>VLOOKUP(Tabla2[[#This Row],[NIT]],Clientes!A:C,3,0)</f>
        <v>PJ</v>
      </c>
      <c r="J501" s="77"/>
      <c r="K501" s="267">
        <f>SUMIFS(Tabla4[Sub Total],Tabla4[Codigo],Tabla2[[#This Row],[Cod]])</f>
        <v>480000</v>
      </c>
      <c r="L501" s="262">
        <f>SUMPRODUCT((Tabla4[Codigo]=Tabla2[[#This Row],[Cod]])*1,Tabla4[IVA])</f>
        <v>0</v>
      </c>
      <c r="M501" s="262">
        <f>SUMIFS(Tabla4[Total],Tabla4[Codigo],Tabla2[[#This Row],[Cod]])</f>
        <v>480000</v>
      </c>
      <c r="N501" s="278">
        <f>SUMPRODUCT((Tabla1[Codigo]=Tabla2[[#This Row],[Cod]])*1,Tabla1[Valor])</f>
        <v>480000</v>
      </c>
      <c r="O501" s="265">
        <f>IF(AND(Tabla2[[#This Row],[Estado]]="ok",LEFT(Tabla2[[#This Row],['# Factura]],3)="TIS"),Tabla2[[#This Row],[TOTAL]]-Tabla2[[#This Row],[pagado]],0)</f>
        <v>0</v>
      </c>
      <c r="P501" s="262">
        <f>Tabla2[[#This Row],[TOTAL]]-Tabla2[[#This Row],[Valor pago]]</f>
        <v>0</v>
      </c>
      <c r="Q501" s="265">
        <f>IF(Tabla2[[#This Row],[Saldo]]=0,0,IF(Tabla2[[#This Row],[Tipo cliente]]="PJ",Tabla2[[#This Row],[SUBTOTAL]]*11%,0))</f>
        <v>0</v>
      </c>
      <c r="R501" s="276">
        <f>IF(Tabla2[[#This Row],[Saldo]]=0,0,IF(Tabla2[[#This Row],[Tipo cliente]]="PJ",Tabla2[[#This Row],[SUBTOTAL]]*0.966%,0))</f>
        <v>0</v>
      </c>
      <c r="S501" s="276">
        <f>IF(Tabla2[[#This Row],[Retiene IVA]]="S",Tabla2[[#This Row],[IVA]]*0.15,0)</f>
        <v>0</v>
      </c>
      <c r="T501" s="265"/>
      <c r="U50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501" s="23">
        <f>IF(Tabla2[[#This Row],[Fecha F.E.]]="","",YEAR(Tabla2[[#This Row],[Fecha F.E.]]))</f>
        <v>2025</v>
      </c>
      <c r="X501" s="23">
        <f>IF(Tabla2[[#This Row],[Fecha]]="","",YEAR(Tabla2[[#This Row],[Fecha]]))</f>
        <v>2025</v>
      </c>
    </row>
    <row r="502" spans="1:24" x14ac:dyDescent="0.25">
      <c r="A502" s="3">
        <v>503</v>
      </c>
      <c r="B502" s="77" t="s">
        <v>1775</v>
      </c>
      <c r="C502" s="360">
        <v>45743</v>
      </c>
      <c r="D502" s="76" t="s">
        <v>1776</v>
      </c>
      <c r="E502" s="360">
        <v>45701</v>
      </c>
      <c r="F502" s="78" t="s">
        <v>231</v>
      </c>
      <c r="G502" s="85">
        <v>901342609</v>
      </c>
      <c r="H502" s="177" t="str">
        <f>VLOOKUP(Tabla2[[#This Row],[NIT]],Clientes!A:C,2,0)</f>
        <v>ROYCO SOLUCIONES SAS</v>
      </c>
      <c r="I502" s="77" t="str">
        <f>VLOOKUP(Tabla2[[#This Row],[NIT]],Clientes!A:C,3,0)</f>
        <v>PJ</v>
      </c>
      <c r="J502" s="77"/>
      <c r="K502" s="267">
        <f>SUMIFS(Tabla4[Sub Total],Tabla4[Codigo],Tabla2[[#This Row],[Cod]])</f>
        <v>175000</v>
      </c>
      <c r="L502" s="262">
        <f>SUMPRODUCT((Tabla4[Codigo]=Tabla2[[#This Row],[Cod]])*1,Tabla4[IVA])</f>
        <v>33250</v>
      </c>
      <c r="M502" s="262">
        <f>SUMIFS(Tabla4[Total],Tabla4[Codigo],Tabla2[[#This Row],[Cod]])</f>
        <v>208250</v>
      </c>
      <c r="N502" s="278">
        <f>SUMPRODUCT((Tabla1[Codigo]=Tabla2[[#This Row],[Cod]])*1,Tabla1[Valor])</f>
        <v>201250</v>
      </c>
      <c r="O502" s="265">
        <f>IF(AND(Tabla2[[#This Row],[Estado]]="ok",LEFT(Tabla2[[#This Row],['# Factura]],3)="TIS"),Tabla2[[#This Row],[TOTAL]]-Tabla2[[#This Row],[pagado]],0)</f>
        <v>-13940.5</v>
      </c>
      <c r="P502" s="262">
        <f>Tabla2[[#This Row],[TOTAL]]-Tabla2[[#This Row],[Valor pago]]</f>
        <v>7000</v>
      </c>
      <c r="Q502" s="265">
        <f>IF(Tabla2[[#This Row],[Saldo]]=0,0,IF(Tabla2[[#This Row],[Tipo cliente]]="PJ",Tabla2[[#This Row],[SUBTOTAL]]*11%,0))</f>
        <v>19250</v>
      </c>
      <c r="R502" s="276">
        <f>IF(Tabla2[[#This Row],[Saldo]]=0,0,IF(Tabla2[[#This Row],[Tipo cliente]]="PJ",Tabla2[[#This Row],[SUBTOTAL]]*0.966%,0))</f>
        <v>1690.5</v>
      </c>
      <c r="S502" s="276">
        <f>IF(Tabla2[[#This Row],[Retiene IVA]]="S",Tabla2[[#This Row],[IVA]]*0.15,0)</f>
        <v>0</v>
      </c>
      <c r="T502" s="265"/>
      <c r="U50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222190.5</v>
      </c>
      <c r="W502" s="23">
        <f>IF(Tabla2[[#This Row],[Fecha F.E.]]="","",YEAR(Tabla2[[#This Row],[Fecha F.E.]]))</f>
        <v>2025</v>
      </c>
      <c r="X502" s="23">
        <f>IF(Tabla2[[#This Row],[Fecha]]="","",YEAR(Tabla2[[#This Row],[Fecha]]))</f>
        <v>2025</v>
      </c>
    </row>
    <row r="503" spans="1:24" x14ac:dyDescent="0.25">
      <c r="A503" s="3">
        <v>504</v>
      </c>
      <c r="B503" s="77" t="s">
        <v>1777</v>
      </c>
      <c r="C503" s="360">
        <v>45743</v>
      </c>
      <c r="D503" s="76" t="s">
        <v>1778</v>
      </c>
      <c r="E503" s="360">
        <v>45702</v>
      </c>
      <c r="F503" s="78" t="s">
        <v>231</v>
      </c>
      <c r="G503" s="85">
        <v>901286797</v>
      </c>
      <c r="H503" s="177" t="str">
        <f>VLOOKUP(Tabla2[[#This Row],[NIT]],Clientes!A:C,2,0)</f>
        <v>FET GROUP SAS</v>
      </c>
      <c r="I503" s="77" t="str">
        <f>VLOOKUP(Tabla2[[#This Row],[NIT]],Clientes!A:C,3,0)</f>
        <v>PJ</v>
      </c>
      <c r="J503" s="77"/>
      <c r="K503" s="267">
        <f>SUMIFS(Tabla4[Sub Total],Tabla4[Codigo],Tabla2[[#This Row],[Cod]])</f>
        <v>2135000</v>
      </c>
      <c r="L503" s="262">
        <f>SUMPRODUCT((Tabla4[Codigo]=Tabla2[[#This Row],[Cod]])*1,Tabla4[IVA])</f>
        <v>405650</v>
      </c>
      <c r="M503" s="262">
        <f>SUMIFS(Tabla4[Total],Tabla4[Codigo],Tabla2[[#This Row],[Cod]])</f>
        <v>2540650</v>
      </c>
      <c r="N503" s="278">
        <f>SUMPRODUCT((Tabla1[Codigo]=Tabla2[[#This Row],[Cod]])*1,Tabla1[Valor])</f>
        <v>1374450</v>
      </c>
      <c r="O503" s="265">
        <f>IF(AND(Tabla2[[#This Row],[Estado]]="ok",LEFT(Tabla2[[#This Row],['# Factura]],3)="TIS"),Tabla2[[#This Row],[TOTAL]]-Tabla2[[#This Row],[pagado]],0)</f>
        <v>910725.89999999991</v>
      </c>
      <c r="P503" s="262">
        <f>Tabla2[[#This Row],[TOTAL]]-Tabla2[[#This Row],[Valor pago]]</f>
        <v>1166200</v>
      </c>
      <c r="Q503" s="265">
        <f>IF(Tabla2[[#This Row],[Saldo]]=0,0,IF(Tabla2[[#This Row],[Tipo cliente]]="PJ",Tabla2[[#This Row],[SUBTOTAL]]*11%,0))</f>
        <v>234850</v>
      </c>
      <c r="R503" s="276">
        <f>IF(Tabla2[[#This Row],[Saldo]]=0,0,IF(Tabla2[[#This Row],[Tipo cliente]]="PJ",Tabla2[[#This Row],[SUBTOTAL]]*0.966%,0))</f>
        <v>20624.100000000002</v>
      </c>
      <c r="S503" s="276">
        <f>IF(Tabla2[[#This Row],[Retiene IVA]]="S",Tabla2[[#This Row],[IVA]]*0.15,0)</f>
        <v>0</v>
      </c>
      <c r="T503" s="265"/>
      <c r="U50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1629924.1</v>
      </c>
      <c r="W503" s="23">
        <f>IF(Tabla2[[#This Row],[Fecha F.E.]]="","",YEAR(Tabla2[[#This Row],[Fecha F.E.]]))</f>
        <v>2025</v>
      </c>
      <c r="X503" s="23">
        <f>IF(Tabla2[[#This Row],[Fecha]]="","",YEAR(Tabla2[[#This Row],[Fecha]]))</f>
        <v>2025</v>
      </c>
    </row>
    <row r="504" spans="1:24" x14ac:dyDescent="0.25">
      <c r="A504" s="3">
        <v>505</v>
      </c>
      <c r="B504" s="77" t="s">
        <v>1779</v>
      </c>
      <c r="C504" s="360">
        <v>45744</v>
      </c>
      <c r="D504" s="76" t="s">
        <v>1780</v>
      </c>
      <c r="E504" s="360">
        <v>45726</v>
      </c>
      <c r="F504" s="78" t="s">
        <v>231</v>
      </c>
      <c r="G504" s="85">
        <v>800028768</v>
      </c>
      <c r="H504" s="177" t="str">
        <f>VLOOKUP(Tabla2[[#This Row],[NIT]],Clientes!A:C,2,0)</f>
        <v>Comercializadora ERZ SAS</v>
      </c>
      <c r="I504" s="77" t="str">
        <f>VLOOKUP(Tabla2[[#This Row],[NIT]],Clientes!A:C,3,0)</f>
        <v>PJ</v>
      </c>
      <c r="J504" s="77"/>
      <c r="K504" s="267">
        <f>SUMIFS(Tabla4[Sub Total],Tabla4[Codigo],Tabla2[[#This Row],[Cod]])</f>
        <v>300000</v>
      </c>
      <c r="L504" s="262">
        <f>SUMPRODUCT((Tabla4[Codigo]=Tabla2[[#This Row],[Cod]])*1,Tabla4[IVA])</f>
        <v>57000</v>
      </c>
      <c r="M504" s="262">
        <f>SUMIFS(Tabla4[Total],Tabla4[Codigo],Tabla2[[#This Row],[Cod]])</f>
        <v>357000</v>
      </c>
      <c r="N504" s="278">
        <f>SUMPRODUCT((Tabla1[Codigo]=Tabla2[[#This Row],[Cod]])*1,Tabla1[Valor])</f>
        <v>324000</v>
      </c>
      <c r="O504" s="265">
        <f>IF(AND(Tabla2[[#This Row],[Estado]]="ok",LEFT(Tabla2[[#This Row],['# Factura]],3)="TIS"),Tabla2[[#This Row],[TOTAL]]-Tabla2[[#This Row],[pagado]],0)</f>
        <v>-2898</v>
      </c>
      <c r="P504" s="262">
        <f>Tabla2[[#This Row],[TOTAL]]-Tabla2[[#This Row],[Valor pago]]</f>
        <v>33000</v>
      </c>
      <c r="Q504" s="265">
        <f>IF(Tabla2[[#This Row],[Saldo]]=0,0,IF(Tabla2[[#This Row],[Tipo cliente]]="PJ",Tabla2[[#This Row],[SUBTOTAL]]*11%,0))</f>
        <v>33000</v>
      </c>
      <c r="R504" s="276">
        <f>IF(Tabla2[[#This Row],[Saldo]]=0,0,IF(Tabla2[[#This Row],[Tipo cliente]]="PJ",Tabla2[[#This Row],[SUBTOTAL]]*0.966%,0))</f>
        <v>2898</v>
      </c>
      <c r="S504" s="276">
        <f>IF(Tabla2[[#This Row],[Retiene IVA]]="S",Tabla2[[#This Row],[IVA]]*0.15,0)</f>
        <v>0</v>
      </c>
      <c r="T504" s="265"/>
      <c r="U50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04" s="23">
        <f>IF(Tabla2[[#This Row],[Fecha F.E.]]="","",YEAR(Tabla2[[#This Row],[Fecha F.E.]]))</f>
        <v>2025</v>
      </c>
      <c r="X504" s="23">
        <f>IF(Tabla2[[#This Row],[Fecha]]="","",YEAR(Tabla2[[#This Row],[Fecha]]))</f>
        <v>2025</v>
      </c>
    </row>
    <row r="505" spans="1:24" x14ac:dyDescent="0.25">
      <c r="A505" s="3">
        <v>506</v>
      </c>
      <c r="B505" s="77" t="s">
        <v>1781</v>
      </c>
      <c r="C505" s="360">
        <v>45744</v>
      </c>
      <c r="D505" s="76" t="s">
        <v>1782</v>
      </c>
      <c r="E505" s="360">
        <v>45726</v>
      </c>
      <c r="F505" s="78" t="s">
        <v>231</v>
      </c>
      <c r="G505" s="85">
        <v>900505660</v>
      </c>
      <c r="H505" s="177" t="str">
        <f>VLOOKUP(Tabla2[[#This Row],[NIT]],Clientes!A:C,2,0)</f>
        <v>DIGITAL MEDIA TECHNOLOGIES COLOMBIA SAS</v>
      </c>
      <c r="I505" s="77" t="str">
        <f>VLOOKUP(Tabla2[[#This Row],[NIT]],Clientes!A:C,3,0)</f>
        <v>PJ</v>
      </c>
      <c r="J505" s="77"/>
      <c r="K505" s="267">
        <f>SUMIFS(Tabla4[Sub Total],Tabla4[Codigo],Tabla2[[#This Row],[Cod]])</f>
        <v>300000</v>
      </c>
      <c r="L505" s="262">
        <f>SUMPRODUCT((Tabla4[Codigo]=Tabla2[[#This Row],[Cod]])*1,Tabla4[IVA])</f>
        <v>57000</v>
      </c>
      <c r="M505" s="262">
        <f>SUMIFS(Tabla4[Total],Tabla4[Codigo],Tabla2[[#This Row],[Cod]])</f>
        <v>357000</v>
      </c>
      <c r="N505" s="278">
        <f>SUMPRODUCT((Tabla1[Codigo]=Tabla2[[#This Row],[Cod]])*1,Tabla1[Valor])</f>
        <v>324000</v>
      </c>
      <c r="O505" s="265">
        <f>IF(AND(Tabla2[[#This Row],[Estado]]="ok",LEFT(Tabla2[[#This Row],['# Factura]],3)="TIS"),Tabla2[[#This Row],[TOTAL]]-Tabla2[[#This Row],[pagado]],0)</f>
        <v>-2898</v>
      </c>
      <c r="P505" s="262">
        <f>Tabla2[[#This Row],[TOTAL]]-Tabla2[[#This Row],[Valor pago]]</f>
        <v>33000</v>
      </c>
      <c r="Q505" s="265">
        <f>IF(Tabla2[[#This Row],[Saldo]]=0,0,IF(Tabla2[[#This Row],[Tipo cliente]]="PJ",Tabla2[[#This Row],[SUBTOTAL]]*11%,0))</f>
        <v>33000</v>
      </c>
      <c r="R505" s="276">
        <f>IF(Tabla2[[#This Row],[Saldo]]=0,0,IF(Tabla2[[#This Row],[Tipo cliente]]="PJ",Tabla2[[#This Row],[SUBTOTAL]]*0.966%,0))</f>
        <v>2898</v>
      </c>
      <c r="S505" s="276">
        <f>IF(Tabla2[[#This Row],[Retiene IVA]]="S",Tabla2[[#This Row],[IVA]]*0.15,0)</f>
        <v>0</v>
      </c>
      <c r="T505" s="265"/>
      <c r="U50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05" s="23">
        <f>IF(Tabla2[[#This Row],[Fecha F.E.]]="","",YEAR(Tabla2[[#This Row],[Fecha F.E.]]))</f>
        <v>2025</v>
      </c>
      <c r="X505" s="23">
        <f>IF(Tabla2[[#This Row],[Fecha]]="","",YEAR(Tabla2[[#This Row],[Fecha]]))</f>
        <v>2025</v>
      </c>
    </row>
    <row r="506" spans="1:24" x14ac:dyDescent="0.25">
      <c r="A506" s="3">
        <v>507</v>
      </c>
      <c r="B506" s="77" t="s">
        <v>1783</v>
      </c>
      <c r="C506" s="360">
        <v>45744</v>
      </c>
      <c r="D506" s="76" t="s">
        <v>1784</v>
      </c>
      <c r="E506" s="360">
        <v>45726</v>
      </c>
      <c r="F506" s="78" t="s">
        <v>231</v>
      </c>
      <c r="G506" s="85">
        <v>901342609</v>
      </c>
      <c r="H506" s="177" t="str">
        <f>VLOOKUP(Tabla2[[#This Row],[NIT]],Clientes!A:C,2,0)</f>
        <v>ROYCO SOLUCIONES SAS</v>
      </c>
      <c r="I506" s="77" t="str">
        <f>VLOOKUP(Tabla2[[#This Row],[NIT]],Clientes!A:C,3,0)</f>
        <v>PJ</v>
      </c>
      <c r="J506" s="77"/>
      <c r="K506" s="267">
        <f>SUMIFS(Tabla4[Sub Total],Tabla4[Codigo],Tabla2[[#This Row],[Cod]])</f>
        <v>250000</v>
      </c>
      <c r="L506" s="262">
        <f>SUMPRODUCT((Tabla4[Codigo]=Tabla2[[#This Row],[Cod]])*1,Tabla4[IVA])</f>
        <v>47500</v>
      </c>
      <c r="M506" s="262">
        <f>SUMIFS(Tabla4[Total],Tabla4[Codigo],Tabla2[[#This Row],[Cod]])</f>
        <v>297500</v>
      </c>
      <c r="N506" s="278">
        <f>SUMPRODUCT((Tabla1[Codigo]=Tabla2[[#This Row],[Cod]])*1,Tabla1[Valor])</f>
        <v>287500</v>
      </c>
      <c r="O506" s="265">
        <f>IF(AND(Tabla2[[#This Row],[Estado]]="ok",LEFT(Tabla2[[#This Row],['# Factura]],3)="TIS"),Tabla2[[#This Row],[TOTAL]]-Tabla2[[#This Row],[pagado]],0)</f>
        <v>-19915</v>
      </c>
      <c r="P506" s="262">
        <f>Tabla2[[#This Row],[TOTAL]]-Tabla2[[#This Row],[Valor pago]]</f>
        <v>10000</v>
      </c>
      <c r="Q506" s="265">
        <f>IF(Tabla2[[#This Row],[Saldo]]=0,0,IF(Tabla2[[#This Row],[Tipo cliente]]="PJ",Tabla2[[#This Row],[SUBTOTAL]]*11%,0))</f>
        <v>27500</v>
      </c>
      <c r="R506" s="276">
        <f>IF(Tabla2[[#This Row],[Saldo]]=0,0,IF(Tabla2[[#This Row],[Tipo cliente]]="PJ",Tabla2[[#This Row],[SUBTOTAL]]*0.966%,0))</f>
        <v>2415</v>
      </c>
      <c r="S506" s="276">
        <f>IF(Tabla2[[#This Row],[Retiene IVA]]="S",Tabla2[[#This Row],[IVA]]*0.15,0)</f>
        <v>0</v>
      </c>
      <c r="T506" s="265"/>
      <c r="U50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317415</v>
      </c>
      <c r="W506" s="23">
        <f>IF(Tabla2[[#This Row],[Fecha F.E.]]="","",YEAR(Tabla2[[#This Row],[Fecha F.E.]]))</f>
        <v>2025</v>
      </c>
      <c r="X506" s="23">
        <f>IF(Tabla2[[#This Row],[Fecha]]="","",YEAR(Tabla2[[#This Row],[Fecha]]))</f>
        <v>2025</v>
      </c>
    </row>
    <row r="507" spans="1:24" x14ac:dyDescent="0.25">
      <c r="A507" s="3">
        <v>508</v>
      </c>
      <c r="B507" s="77" t="s">
        <v>1785</v>
      </c>
      <c r="C507" s="360">
        <v>45744</v>
      </c>
      <c r="D507" s="76" t="s">
        <v>1786</v>
      </c>
      <c r="E507" s="360">
        <v>45726</v>
      </c>
      <c r="F507" s="78" t="s">
        <v>231</v>
      </c>
      <c r="G507" s="85">
        <v>901030518</v>
      </c>
      <c r="H507" s="177" t="str">
        <f>VLOOKUP(Tabla2[[#This Row],[NIT]],Clientes!A:C,2,0)</f>
        <v>Inversiones Sajamib SAS</v>
      </c>
      <c r="I507" s="77" t="str">
        <f>VLOOKUP(Tabla2[[#This Row],[NIT]],Clientes!A:C,3,0)</f>
        <v>PJ</v>
      </c>
      <c r="J507" s="77"/>
      <c r="K507" s="267">
        <f>SUMIFS(Tabla4[Sub Total],Tabla4[Codigo],Tabla2[[#This Row],[Cod]])</f>
        <v>480000</v>
      </c>
      <c r="L507" s="262">
        <f>SUMPRODUCT((Tabla4[Codigo]=Tabla2[[#This Row],[Cod]])*1,Tabla4[IVA])</f>
        <v>0</v>
      </c>
      <c r="M507" s="262">
        <f>SUMIFS(Tabla4[Total],Tabla4[Codigo],Tabla2[[#This Row],[Cod]])</f>
        <v>480000</v>
      </c>
      <c r="N507" s="278">
        <f>SUMPRODUCT((Tabla1[Codigo]=Tabla2[[#This Row],[Cod]])*1,Tabla1[Valor])</f>
        <v>480000</v>
      </c>
      <c r="O507" s="265">
        <f>IF(AND(Tabla2[[#This Row],[Estado]]="ok",LEFT(Tabla2[[#This Row],['# Factura]],3)="TIS"),Tabla2[[#This Row],[TOTAL]]-Tabla2[[#This Row],[pagado]],0)</f>
        <v>0</v>
      </c>
      <c r="P507" s="262">
        <f>Tabla2[[#This Row],[TOTAL]]-Tabla2[[#This Row],[Valor pago]]</f>
        <v>0</v>
      </c>
      <c r="Q507" s="265">
        <f>IF(Tabla2[[#This Row],[Saldo]]=0,0,IF(Tabla2[[#This Row],[Tipo cliente]]="PJ",Tabla2[[#This Row],[SUBTOTAL]]*11%,0))</f>
        <v>0</v>
      </c>
      <c r="R507" s="276">
        <f>IF(Tabla2[[#This Row],[Saldo]]=0,0,IF(Tabla2[[#This Row],[Tipo cliente]]="PJ",Tabla2[[#This Row],[SUBTOTAL]]*0.966%,0))</f>
        <v>0</v>
      </c>
      <c r="S507" s="276">
        <f>IF(Tabla2[[#This Row],[Retiene IVA]]="S",Tabla2[[#This Row],[IVA]]*0.15,0)</f>
        <v>0</v>
      </c>
      <c r="T507" s="265"/>
      <c r="U50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507" s="23">
        <f>IF(Tabla2[[#This Row],[Fecha F.E.]]="","",YEAR(Tabla2[[#This Row],[Fecha F.E.]]))</f>
        <v>2025</v>
      </c>
      <c r="X507" s="23">
        <f>IF(Tabla2[[#This Row],[Fecha]]="","",YEAR(Tabla2[[#This Row],[Fecha]]))</f>
        <v>2025</v>
      </c>
    </row>
    <row r="508" spans="1:24" x14ac:dyDescent="0.25">
      <c r="A508" s="3">
        <v>509</v>
      </c>
      <c r="B508" s="77" t="s">
        <v>1787</v>
      </c>
      <c r="C508" s="360">
        <v>45744</v>
      </c>
      <c r="D508" s="76" t="s">
        <v>1788</v>
      </c>
      <c r="E508" s="360">
        <v>45726</v>
      </c>
      <c r="F508" s="78" t="s">
        <v>231</v>
      </c>
      <c r="G508" s="85">
        <v>901587426</v>
      </c>
      <c r="H508" s="177" t="str">
        <f>VLOOKUP(Tabla2[[#This Row],[NIT]],Clientes!A:C,2,0)</f>
        <v>STAFF SEGUROS AGENCIA LTDA</v>
      </c>
      <c r="I508" s="77" t="str">
        <f>VLOOKUP(Tabla2[[#This Row],[NIT]],Clientes!A:C,3,0)</f>
        <v>PJ</v>
      </c>
      <c r="J508" s="77"/>
      <c r="K508" s="267">
        <f>SUMIFS(Tabla4[Sub Total],Tabla4[Codigo],Tabla2[[#This Row],[Cod]])</f>
        <v>1220000</v>
      </c>
      <c r="L508" s="262">
        <f>SUMPRODUCT((Tabla4[Codigo]=Tabla2[[#This Row],[Cod]])*1,Tabla4[IVA])</f>
        <v>0</v>
      </c>
      <c r="M508" s="262">
        <f>SUMIFS(Tabla4[Total],Tabla4[Codigo],Tabla2[[#This Row],[Cod]])</f>
        <v>1220000</v>
      </c>
      <c r="N508" s="278">
        <f>SUMPRODUCT((Tabla1[Codigo]=Tabla2[[#This Row],[Cod]])*1,Tabla1[Valor])</f>
        <v>1220000</v>
      </c>
      <c r="O508" s="265">
        <f>IF(AND(Tabla2[[#This Row],[Estado]]="ok",LEFT(Tabla2[[#This Row],['# Factura]],3)="TIS"),Tabla2[[#This Row],[TOTAL]]-Tabla2[[#This Row],[pagado]],0)</f>
        <v>0</v>
      </c>
      <c r="P508" s="262">
        <f>Tabla2[[#This Row],[TOTAL]]-Tabla2[[#This Row],[Valor pago]]</f>
        <v>0</v>
      </c>
      <c r="Q508" s="265">
        <f>IF(Tabla2[[#This Row],[Saldo]]=0,0,IF(Tabla2[[#This Row],[Tipo cliente]]="PJ",Tabla2[[#This Row],[SUBTOTAL]]*11%,0))</f>
        <v>0</v>
      </c>
      <c r="R508" s="276">
        <f>IF(Tabla2[[#This Row],[Saldo]]=0,0,IF(Tabla2[[#This Row],[Tipo cliente]]="PJ",Tabla2[[#This Row],[SUBTOTAL]]*0.966%,0))</f>
        <v>0</v>
      </c>
      <c r="S508" s="276">
        <f>IF(Tabla2[[#This Row],[Retiene IVA]]="S",Tabla2[[#This Row],[IVA]]*0.15,0)</f>
        <v>0</v>
      </c>
      <c r="T508" s="265"/>
      <c r="U50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1220000</v>
      </c>
      <c r="W508" s="23">
        <f>IF(Tabla2[[#This Row],[Fecha F.E.]]="","",YEAR(Tabla2[[#This Row],[Fecha F.E.]]))</f>
        <v>2025</v>
      </c>
      <c r="X508" s="23">
        <f>IF(Tabla2[[#This Row],[Fecha]]="","",YEAR(Tabla2[[#This Row],[Fecha]]))</f>
        <v>2025</v>
      </c>
    </row>
    <row r="509" spans="1:24" x14ac:dyDescent="0.25">
      <c r="A509" s="3">
        <v>510</v>
      </c>
      <c r="B509" s="77" t="s">
        <v>1789</v>
      </c>
      <c r="C509" s="360">
        <v>45744</v>
      </c>
      <c r="D509" s="76" t="s">
        <v>1790</v>
      </c>
      <c r="E509" s="360">
        <v>45726</v>
      </c>
      <c r="F509" s="78" t="s">
        <v>231</v>
      </c>
      <c r="G509" s="85">
        <v>830143066</v>
      </c>
      <c r="H509" s="177" t="str">
        <f>VLOOKUP(Tabla2[[#This Row],[NIT]],Clientes!A:C,2,0)</f>
        <v>CHOHO COLOMBIA SAS</v>
      </c>
      <c r="I509" s="77" t="str">
        <f>VLOOKUP(Tabla2[[#This Row],[NIT]],Clientes!A:C,3,0)</f>
        <v>PJ</v>
      </c>
      <c r="J509" s="77"/>
      <c r="K509" s="267">
        <f>SUMIFS(Tabla4[Sub Total],Tabla4[Codigo],Tabla2[[#This Row],[Cod]])</f>
        <v>825000</v>
      </c>
      <c r="L509" s="262">
        <f>SUMPRODUCT((Tabla4[Codigo]=Tabla2[[#This Row],[Cod]])*1,Tabla4[IVA])</f>
        <v>156750</v>
      </c>
      <c r="M509" s="262">
        <f>SUMIFS(Tabla4[Total],Tabla4[Codigo],Tabla2[[#This Row],[Cod]])</f>
        <v>981750</v>
      </c>
      <c r="N509" s="278">
        <f>SUMPRODUCT((Tabla1[Codigo]=Tabla2[[#This Row],[Cod]])*1,Tabla1[Valor])</f>
        <v>883855</v>
      </c>
      <c r="O509" s="265">
        <f>IF(AND(Tabla2[[#This Row],[Estado]]="ok",LEFT(Tabla2[[#This Row],['# Factura]],3)="TIS"),Tabla2[[#This Row],[TOTAL]]-Tabla2[[#This Row],[pagado]],0)</f>
        <v>-824.5</v>
      </c>
      <c r="P509" s="262">
        <f>Tabla2[[#This Row],[TOTAL]]-Tabla2[[#This Row],[Valor pago]]</f>
        <v>97895</v>
      </c>
      <c r="Q509" s="265">
        <f>IF(Tabla2[[#This Row],[Saldo]]=0,0,IF(Tabla2[[#This Row],[Tipo cliente]]="PJ",Tabla2[[#This Row],[SUBTOTAL]]*11%,0))</f>
        <v>90750</v>
      </c>
      <c r="R509" s="276">
        <f>IF(Tabla2[[#This Row],[Saldo]]=0,0,IF(Tabla2[[#This Row],[Tipo cliente]]="PJ",Tabla2[[#This Row],[SUBTOTAL]]*0.966%,0))</f>
        <v>7969.5</v>
      </c>
      <c r="S509" s="276">
        <f>IF(Tabla2[[#This Row],[Retiene IVA]]="S",Tabla2[[#This Row],[IVA]]*0.15,0)</f>
        <v>0</v>
      </c>
      <c r="T509" s="265"/>
      <c r="U50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982574.5</v>
      </c>
      <c r="W509" s="23">
        <f>IF(Tabla2[[#This Row],[Fecha F.E.]]="","",YEAR(Tabla2[[#This Row],[Fecha F.E.]]))</f>
        <v>2025</v>
      </c>
      <c r="X509" s="23">
        <f>IF(Tabla2[[#This Row],[Fecha]]="","",YEAR(Tabla2[[#This Row],[Fecha]]))</f>
        <v>2025</v>
      </c>
    </row>
    <row r="510" spans="1:24" x14ac:dyDescent="0.25">
      <c r="A510" s="3">
        <v>511</v>
      </c>
      <c r="B510" s="77" t="s">
        <v>1791</v>
      </c>
      <c r="C510" s="360">
        <v>45744</v>
      </c>
      <c r="D510" s="76" t="s">
        <v>1792</v>
      </c>
      <c r="E510" s="360">
        <v>45726</v>
      </c>
      <c r="F510" s="78" t="s">
        <v>231</v>
      </c>
      <c r="G510" s="85">
        <v>900626907</v>
      </c>
      <c r="H510" s="177" t="str">
        <f>VLOOKUP(Tabla2[[#This Row],[NIT]],Clientes!A:C,2,0)</f>
        <v>BTG DE ANTIOQUIA</v>
      </c>
      <c r="I510" s="77" t="str">
        <f>VLOOKUP(Tabla2[[#This Row],[NIT]],Clientes!A:C,3,0)</f>
        <v>PJ</v>
      </c>
      <c r="J510" s="77"/>
      <c r="K510" s="267">
        <f>SUMIFS(Tabla4[Sub Total],Tabla4[Codigo],Tabla2[[#This Row],[Cod]])</f>
        <v>750000</v>
      </c>
      <c r="L510" s="262">
        <f>SUMPRODUCT((Tabla4[Codigo]=Tabla2[[#This Row],[Cod]])*1,Tabla4[IVA])</f>
        <v>142500</v>
      </c>
      <c r="M510" s="262">
        <f>SUMIFS(Tabla4[Total],Tabla4[Codigo],Tabla2[[#This Row],[Cod]])</f>
        <v>892500</v>
      </c>
      <c r="N510" s="278">
        <f>SUMPRODUCT((Tabla1[Codigo]=Tabla2[[#This Row],[Cod]])*1,Tabla1[Valor])</f>
        <v>810000</v>
      </c>
      <c r="O510" s="265">
        <f>IF(AND(Tabla2[[#This Row],[Estado]]="ok",LEFT(Tabla2[[#This Row],['# Factura]],3)="TIS"),Tabla2[[#This Row],[TOTAL]]-Tabla2[[#This Row],[pagado]],0)</f>
        <v>-7245</v>
      </c>
      <c r="P510" s="262">
        <f>Tabla2[[#This Row],[TOTAL]]-Tabla2[[#This Row],[Valor pago]]</f>
        <v>82500</v>
      </c>
      <c r="Q510" s="265">
        <f>IF(Tabla2[[#This Row],[Saldo]]=0,0,IF(Tabla2[[#This Row],[Tipo cliente]]="PJ",Tabla2[[#This Row],[SUBTOTAL]]*11%,0))</f>
        <v>82500</v>
      </c>
      <c r="R510" s="276">
        <f>IF(Tabla2[[#This Row],[Saldo]]=0,0,IF(Tabla2[[#This Row],[Tipo cliente]]="PJ",Tabla2[[#This Row],[SUBTOTAL]]*0.966%,0))</f>
        <v>7245</v>
      </c>
      <c r="S510" s="276">
        <f>IF(Tabla2[[#This Row],[Retiene IVA]]="S",Tabla2[[#This Row],[IVA]]*0.15,0)</f>
        <v>0</v>
      </c>
      <c r="T510" s="265"/>
      <c r="U51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899745</v>
      </c>
      <c r="W510" s="23">
        <f>IF(Tabla2[[#This Row],[Fecha F.E.]]="","",YEAR(Tabla2[[#This Row],[Fecha F.E.]]))</f>
        <v>2025</v>
      </c>
      <c r="X510" s="23">
        <f>IF(Tabla2[[#This Row],[Fecha]]="","",YEAR(Tabla2[[#This Row],[Fecha]]))</f>
        <v>2025</v>
      </c>
    </row>
    <row r="511" spans="1:24" x14ac:dyDescent="0.25">
      <c r="A511" s="3">
        <v>512</v>
      </c>
      <c r="B511" s="77" t="s">
        <v>1793</v>
      </c>
      <c r="C511" s="360">
        <v>45744</v>
      </c>
      <c r="D511" s="76" t="s">
        <v>1794</v>
      </c>
      <c r="E511" s="360">
        <v>45726</v>
      </c>
      <c r="F511" s="78" t="s">
        <v>231</v>
      </c>
      <c r="G511" s="85">
        <v>901218098</v>
      </c>
      <c r="H511" s="177" t="str">
        <f>VLOOKUP(Tabla2[[#This Row],[NIT]],Clientes!A:C,2,0)</f>
        <v>H &amp; S FRANQUICIAS SAS</v>
      </c>
      <c r="I511" s="77" t="str">
        <f>VLOOKUP(Tabla2[[#This Row],[NIT]],Clientes!A:C,3,0)</f>
        <v>PJ</v>
      </c>
      <c r="J511" s="77"/>
      <c r="K511" s="267">
        <f>SUMIFS(Tabla4[Sub Total],Tabla4[Codigo],Tabla2[[#This Row],[Cod]])</f>
        <v>1980000</v>
      </c>
      <c r="L511" s="262">
        <f>SUMPRODUCT((Tabla4[Codigo]=Tabla2[[#This Row],[Cod]])*1,Tabla4[IVA])</f>
        <v>376200</v>
      </c>
      <c r="M511" s="262">
        <f>SUMIFS(Tabla4[Total],Tabla4[Codigo],Tabla2[[#This Row],[Cod]])</f>
        <v>2356200</v>
      </c>
      <c r="N511" s="278">
        <f>SUMPRODUCT((Tabla1[Codigo]=Tabla2[[#This Row],[Cod]])*1,Tabla1[Valor])</f>
        <v>2130480</v>
      </c>
      <c r="O511" s="265">
        <f>IF(AND(Tabla2[[#This Row],[Estado]]="ok",LEFT(Tabla2[[#This Row],['# Factura]],3)="TIS"),Tabla2[[#This Row],[TOTAL]]-Tabla2[[#This Row],[pagado]],0)</f>
        <v>-11206.799999999814</v>
      </c>
      <c r="P511" s="262">
        <f>Tabla2[[#This Row],[TOTAL]]-Tabla2[[#This Row],[Valor pago]]</f>
        <v>225720</v>
      </c>
      <c r="Q511" s="265">
        <f>IF(Tabla2[[#This Row],[Saldo]]=0,0,IF(Tabla2[[#This Row],[Tipo cliente]]="PJ",Tabla2[[#This Row],[SUBTOTAL]]*11%,0))</f>
        <v>217800</v>
      </c>
      <c r="R511" s="276">
        <f>IF(Tabla2[[#This Row],[Saldo]]=0,0,IF(Tabla2[[#This Row],[Tipo cliente]]="PJ",Tabla2[[#This Row],[SUBTOTAL]]*0.966%,0))</f>
        <v>19126.8</v>
      </c>
      <c r="S511" s="276">
        <f>IF(Tabla2[[#This Row],[Retiene IVA]]="S",Tabla2[[#This Row],[IVA]]*0.15,0)</f>
        <v>0</v>
      </c>
      <c r="T511" s="265"/>
      <c r="U51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2367406.7999999998</v>
      </c>
      <c r="W511" s="23">
        <f>IF(Tabla2[[#This Row],[Fecha F.E.]]="","",YEAR(Tabla2[[#This Row],[Fecha F.E.]]))</f>
        <v>2025</v>
      </c>
      <c r="X511" s="23">
        <f>IF(Tabla2[[#This Row],[Fecha]]="","",YEAR(Tabla2[[#This Row],[Fecha]]))</f>
        <v>2025</v>
      </c>
    </row>
    <row r="512" spans="1:24" ht="26.25" x14ac:dyDescent="0.25">
      <c r="A512" s="3">
        <v>513</v>
      </c>
      <c r="B512" s="77" t="s">
        <v>1795</v>
      </c>
      <c r="C512" s="360">
        <v>45744</v>
      </c>
      <c r="D512" s="76" t="s">
        <v>1796</v>
      </c>
      <c r="E512" s="360">
        <v>45734</v>
      </c>
      <c r="F512" s="78" t="s">
        <v>231</v>
      </c>
      <c r="G512" s="85">
        <v>830054076</v>
      </c>
      <c r="H512" s="177" t="str">
        <f>VLOOKUP(Tabla2[[#This Row],[NIT]],Clientes!A:C,2,0)</f>
        <v>FIDEICOMISOS SOCIEDAD FIDUCIARIA DE OCCIDENTE SA</v>
      </c>
      <c r="I512" s="77" t="str">
        <f>VLOOKUP(Tabla2[[#This Row],[NIT]],Clientes!A:C,3,0)</f>
        <v>PJ</v>
      </c>
      <c r="J512" s="77"/>
      <c r="K512" s="267">
        <f>SUMIFS(Tabla4[Sub Total],Tabla4[Codigo],Tabla2[[#This Row],[Cod]])</f>
        <v>7658600</v>
      </c>
      <c r="L512" s="262">
        <f>SUMPRODUCT((Tabla4[Codigo]=Tabla2[[#This Row],[Cod]])*1,Tabla4[IVA])</f>
        <v>1455134</v>
      </c>
      <c r="M512" s="262">
        <f>SUMIFS(Tabla4[Total],Tabla4[Codigo],Tabla2[[#This Row],[Cod]])</f>
        <v>9113734</v>
      </c>
      <c r="N512" s="278">
        <f>SUMPRODUCT((Tabla1[Codigo]=Tabla2[[#This Row],[Cod]])*1,Tabla1[Valor])</f>
        <v>8282628</v>
      </c>
      <c r="O512" s="265">
        <f>IF(AND(Tabla2[[#This Row],[Estado]]="ok",LEFT(Tabla2[[#This Row],['# Factura]],3)="TIS"),Tabla2[[#This Row],[TOTAL]]-Tabla2[[#This Row],[pagado]],0)</f>
        <v>-85322.075999999419</v>
      </c>
      <c r="P512" s="262">
        <f>Tabla2[[#This Row],[TOTAL]]-Tabla2[[#This Row],[Valor pago]]</f>
        <v>831106</v>
      </c>
      <c r="Q512" s="265">
        <f>IF(Tabla2[[#This Row],[Saldo]]=0,0,IF(Tabla2[[#This Row],[Tipo cliente]]="PJ",Tabla2[[#This Row],[SUBTOTAL]]*11%,0))</f>
        <v>842446</v>
      </c>
      <c r="R512" s="276">
        <f>IF(Tabla2[[#This Row],[Saldo]]=0,0,IF(Tabla2[[#This Row],[Tipo cliente]]="PJ",Tabla2[[#This Row],[SUBTOTAL]]*0.966%,0))</f>
        <v>73982.076000000001</v>
      </c>
      <c r="S512" s="276">
        <f>IF(Tabla2[[#This Row],[Retiene IVA]]="S",Tabla2[[#This Row],[IVA]]*0.15,0)</f>
        <v>0</v>
      </c>
      <c r="T512" s="265"/>
      <c r="U51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9199056.0759999994</v>
      </c>
      <c r="W512" s="23">
        <f>IF(Tabla2[[#This Row],[Fecha F.E.]]="","",YEAR(Tabla2[[#This Row],[Fecha F.E.]]))</f>
        <v>2025</v>
      </c>
      <c r="X512" s="23">
        <f>IF(Tabla2[[#This Row],[Fecha]]="","",YEAR(Tabla2[[#This Row],[Fecha]]))</f>
        <v>2025</v>
      </c>
    </row>
    <row r="513" spans="1:24" x14ac:dyDescent="0.25">
      <c r="A513" s="3">
        <v>514</v>
      </c>
      <c r="B513" s="77" t="s">
        <v>1797</v>
      </c>
      <c r="C513" s="360">
        <v>45744</v>
      </c>
      <c r="D513" s="76" t="s">
        <v>1798</v>
      </c>
      <c r="E513" s="360">
        <v>45673</v>
      </c>
      <c r="F513" s="78" t="s">
        <v>231</v>
      </c>
      <c r="G513" s="85">
        <v>860002503</v>
      </c>
      <c r="H513" s="177" t="str">
        <f>VLOOKUP(Tabla2[[#This Row],[NIT]],Clientes!A:C,2,0)</f>
        <v>COMPAÑIA DE SEGUROS BOLIVAR S A</v>
      </c>
      <c r="I513" s="77" t="str">
        <f>VLOOKUP(Tabla2[[#This Row],[NIT]],Clientes!A:C,3,0)</f>
        <v>PJ</v>
      </c>
      <c r="J513" s="77"/>
      <c r="K513" s="267">
        <f>SUMIFS(Tabla4[Sub Total],Tabla4[Codigo],Tabla2[[#This Row],[Cod]])</f>
        <v>-220000</v>
      </c>
      <c r="L513" s="262">
        <f>SUMPRODUCT((Tabla4[Codigo]=Tabla2[[#This Row],[Cod]])*1,Tabla4[IVA])</f>
        <v>-41800</v>
      </c>
      <c r="M513" s="262">
        <f>SUMIFS(Tabla4[Total],Tabla4[Codigo],Tabla2[[#This Row],[Cod]])</f>
        <v>-261800</v>
      </c>
      <c r="N513" s="278">
        <f>SUMPRODUCT((Tabla1[Codigo]=Tabla2[[#This Row],[Cod]])*1,Tabla1[Valor])</f>
        <v>0</v>
      </c>
      <c r="O513" s="265">
        <f>IF(AND(Tabla2[[#This Row],[Estado]]="ok",LEFT(Tabla2[[#This Row],['# Factura]],3)="TIS"),Tabla2[[#This Row],[TOTAL]]-Tabla2[[#This Row],[pagado]],0)</f>
        <v>0</v>
      </c>
      <c r="P513" s="262">
        <f>Tabla2[[#This Row],[TOTAL]]-Tabla2[[#This Row],[Valor pago]]</f>
        <v>-261800</v>
      </c>
      <c r="Q513" s="265">
        <f>IF(Tabla2[[#This Row],[Saldo]]=0,0,IF(Tabla2[[#This Row],[Tipo cliente]]="PJ",Tabla2[[#This Row],[SUBTOTAL]]*11%,0))</f>
        <v>-24200</v>
      </c>
      <c r="R513" s="276">
        <f>IF(Tabla2[[#This Row],[Saldo]]=0,0,IF(Tabla2[[#This Row],[Tipo cliente]]="PJ",Tabla2[[#This Row],[SUBTOTAL]]*0.966%,0))</f>
        <v>-2125.1999999999998</v>
      </c>
      <c r="S513" s="276">
        <f>IF(Tabla2[[#This Row],[Retiene IVA]]="S",Tabla2[[#This Row],[IVA]]*0.15,0)</f>
        <v>0</v>
      </c>
      <c r="T513" s="265"/>
      <c r="U51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513" s="23">
        <f>IF(Tabla2[[#This Row],[Fecha F.E.]]="","",YEAR(Tabla2[[#This Row],[Fecha F.E.]]))</f>
        <v>2025</v>
      </c>
      <c r="X513" s="23">
        <f>IF(Tabla2[[#This Row],[Fecha]]="","",YEAR(Tabla2[[#This Row],[Fecha]]))</f>
        <v>2025</v>
      </c>
    </row>
    <row r="514" spans="1:24" x14ac:dyDescent="0.25">
      <c r="A514" s="3">
        <v>515</v>
      </c>
      <c r="B514" s="77" t="s">
        <v>1799</v>
      </c>
      <c r="C514" s="360">
        <v>45749</v>
      </c>
      <c r="D514" s="76" t="s">
        <v>1800</v>
      </c>
      <c r="E514" s="360">
        <v>45751</v>
      </c>
      <c r="F514" s="78" t="s">
        <v>231</v>
      </c>
      <c r="G514" s="85">
        <v>830145126</v>
      </c>
      <c r="H514" s="177" t="str">
        <f>VLOOKUP(Tabla2[[#This Row],[NIT]],Clientes!A:C,2,0)</f>
        <v>BIO ENDOSCOPE LTDA</v>
      </c>
      <c r="I514" s="77" t="str">
        <f>VLOOKUP(Tabla2[[#This Row],[NIT]],Clientes!A:C,3,0)</f>
        <v>PJ</v>
      </c>
      <c r="J514" s="77"/>
      <c r="K514" s="267">
        <f>SUMIFS(Tabla4[Sub Total],Tabla4[Codigo],Tabla2[[#This Row],[Cod]])</f>
        <v>400000</v>
      </c>
      <c r="L514" s="262">
        <f>SUMPRODUCT((Tabla4[Codigo]=Tabla2[[#This Row],[Cod]])*1,Tabla4[IVA])</f>
        <v>76000</v>
      </c>
      <c r="M514" s="262">
        <f>SUMIFS(Tabla4[Total],Tabla4[Codigo],Tabla2[[#This Row],[Cod]])</f>
        <v>476000</v>
      </c>
      <c r="N514" s="278">
        <f>SUMPRODUCT((Tabla1[Codigo]=Tabla2[[#This Row],[Cod]])*1,Tabla1[Valor])</f>
        <v>456356</v>
      </c>
      <c r="O514" s="265">
        <f>IF(AND(Tabla2[[#This Row],[Estado]]="ok",LEFT(Tabla2[[#This Row],['# Factura]],3)="TIS"),Tabla2[[#This Row],[TOTAL]]-Tabla2[[#This Row],[pagado]],0)</f>
        <v>-28220</v>
      </c>
      <c r="P514" s="262">
        <f>Tabla2[[#This Row],[TOTAL]]-Tabla2[[#This Row],[Valor pago]]</f>
        <v>19644</v>
      </c>
      <c r="Q514" s="265">
        <f>IF(Tabla2[[#This Row],[Saldo]]=0,0,IF(Tabla2[[#This Row],[Tipo cliente]]="PJ",Tabla2[[#This Row],[SUBTOTAL]]*11%,0))</f>
        <v>44000</v>
      </c>
      <c r="R514" s="276">
        <f>IF(Tabla2[[#This Row],[Saldo]]=0,0,IF(Tabla2[[#This Row],[Tipo cliente]]="PJ",Tabla2[[#This Row],[SUBTOTAL]]*0.966%,0))</f>
        <v>3864</v>
      </c>
      <c r="S514" s="276">
        <f>IF(Tabla2[[#This Row],[Retiene IVA]]="S",Tabla2[[#This Row],[IVA]]*0.15,0)</f>
        <v>0</v>
      </c>
      <c r="T514" s="265"/>
      <c r="U51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504220</v>
      </c>
      <c r="W514" s="23">
        <f>IF(Tabla2[[#This Row],[Fecha F.E.]]="","",YEAR(Tabla2[[#This Row],[Fecha F.E.]]))</f>
        <v>2025</v>
      </c>
      <c r="X514" s="23">
        <f>IF(Tabla2[[#This Row],[Fecha]]="","",YEAR(Tabla2[[#This Row],[Fecha]]))</f>
        <v>2025</v>
      </c>
    </row>
    <row r="515" spans="1:24" x14ac:dyDescent="0.25">
      <c r="A515" s="3">
        <v>516</v>
      </c>
      <c r="B515" s="77" t="s">
        <v>1801</v>
      </c>
      <c r="C515" s="360">
        <v>45757</v>
      </c>
      <c r="D515" s="76" t="s">
        <v>1802</v>
      </c>
      <c r="E515" s="360">
        <v>45756</v>
      </c>
      <c r="F515" s="78" t="s">
        <v>231</v>
      </c>
      <c r="G515" s="85">
        <v>800028768</v>
      </c>
      <c r="H515" s="177" t="str">
        <f>VLOOKUP(Tabla2[[#This Row],[NIT]],Clientes!A:C,2,0)</f>
        <v>Comercializadora ERZ SAS</v>
      </c>
      <c r="I515" s="77" t="str">
        <f>VLOOKUP(Tabla2[[#This Row],[NIT]],Clientes!A:C,3,0)</f>
        <v>PJ</v>
      </c>
      <c r="J515" s="77"/>
      <c r="K515" s="267">
        <f>SUMIFS(Tabla4[Sub Total],Tabla4[Codigo],Tabla2[[#This Row],[Cod]])</f>
        <v>300000</v>
      </c>
      <c r="L515" s="262">
        <f>SUMPRODUCT((Tabla4[Codigo]=Tabla2[[#This Row],[Cod]])*1,Tabla4[IVA])</f>
        <v>57000</v>
      </c>
      <c r="M515" s="262">
        <f>SUMIFS(Tabla4[Total],Tabla4[Codigo],Tabla2[[#This Row],[Cod]])</f>
        <v>357000</v>
      </c>
      <c r="N515" s="278">
        <f>SUMPRODUCT((Tabla1[Codigo]=Tabla2[[#This Row],[Cod]])*1,Tabla1[Valor])</f>
        <v>324000</v>
      </c>
      <c r="O515" s="265">
        <f>IF(AND(Tabla2[[#This Row],[Estado]]="ok",LEFT(Tabla2[[#This Row],['# Factura]],3)="TIS"),Tabla2[[#This Row],[TOTAL]]-Tabla2[[#This Row],[pagado]],0)</f>
        <v>-2898</v>
      </c>
      <c r="P515" s="262">
        <f>Tabla2[[#This Row],[TOTAL]]-Tabla2[[#This Row],[Valor pago]]</f>
        <v>33000</v>
      </c>
      <c r="Q515" s="265">
        <f>IF(Tabla2[[#This Row],[Saldo]]=0,0,IF(Tabla2[[#This Row],[Tipo cliente]]="PJ",Tabla2[[#This Row],[SUBTOTAL]]*11%,0))</f>
        <v>33000</v>
      </c>
      <c r="R515" s="276">
        <f>IF(Tabla2[[#This Row],[Saldo]]=0,0,IF(Tabla2[[#This Row],[Tipo cliente]]="PJ",Tabla2[[#This Row],[SUBTOTAL]]*0.966%,0))</f>
        <v>2898</v>
      </c>
      <c r="S515" s="276">
        <f>IF(Tabla2[[#This Row],[Retiene IVA]]="S",Tabla2[[#This Row],[IVA]]*0.15,0)</f>
        <v>0</v>
      </c>
      <c r="T515" s="265"/>
      <c r="U51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15" s="23">
        <f>IF(Tabla2[[#This Row],[Fecha F.E.]]="","",YEAR(Tabla2[[#This Row],[Fecha F.E.]]))</f>
        <v>2025</v>
      </c>
      <c r="X515" s="23">
        <f>IF(Tabla2[[#This Row],[Fecha]]="","",YEAR(Tabla2[[#This Row],[Fecha]]))</f>
        <v>2025</v>
      </c>
    </row>
    <row r="516" spans="1:24" x14ac:dyDescent="0.25">
      <c r="A516" s="3">
        <v>517</v>
      </c>
      <c r="B516" s="77" t="s">
        <v>1803</v>
      </c>
      <c r="C516" s="360">
        <v>45757</v>
      </c>
      <c r="D516" s="76" t="s">
        <v>1804</v>
      </c>
      <c r="E516" s="360">
        <v>45756</v>
      </c>
      <c r="F516" s="78" t="s">
        <v>231</v>
      </c>
      <c r="G516" s="85">
        <v>900505660</v>
      </c>
      <c r="H516" s="177" t="str">
        <f>VLOOKUP(Tabla2[[#This Row],[NIT]],Clientes!A:C,2,0)</f>
        <v>DIGITAL MEDIA TECHNOLOGIES COLOMBIA SAS</v>
      </c>
      <c r="I516" s="77" t="str">
        <f>VLOOKUP(Tabla2[[#This Row],[NIT]],Clientes!A:C,3,0)</f>
        <v>PJ</v>
      </c>
      <c r="J516" s="77"/>
      <c r="K516" s="267">
        <f>SUMIFS(Tabla4[Sub Total],Tabla4[Codigo],Tabla2[[#This Row],[Cod]])</f>
        <v>300000</v>
      </c>
      <c r="L516" s="262">
        <f>SUMPRODUCT((Tabla4[Codigo]=Tabla2[[#This Row],[Cod]])*1,Tabla4[IVA])</f>
        <v>57000</v>
      </c>
      <c r="M516" s="262">
        <f>SUMIFS(Tabla4[Total],Tabla4[Codigo],Tabla2[[#This Row],[Cod]])</f>
        <v>357000</v>
      </c>
      <c r="N516" s="278">
        <f>SUMPRODUCT((Tabla1[Codigo]=Tabla2[[#This Row],[Cod]])*1,Tabla1[Valor])</f>
        <v>324000</v>
      </c>
      <c r="O516" s="265">
        <f>IF(AND(Tabla2[[#This Row],[Estado]]="ok",LEFT(Tabla2[[#This Row],['# Factura]],3)="TIS"),Tabla2[[#This Row],[TOTAL]]-Tabla2[[#This Row],[pagado]],0)</f>
        <v>-2898</v>
      </c>
      <c r="P516" s="262">
        <f>Tabla2[[#This Row],[TOTAL]]-Tabla2[[#This Row],[Valor pago]]</f>
        <v>33000</v>
      </c>
      <c r="Q516" s="265">
        <f>IF(Tabla2[[#This Row],[Saldo]]=0,0,IF(Tabla2[[#This Row],[Tipo cliente]]="PJ",Tabla2[[#This Row],[SUBTOTAL]]*11%,0))</f>
        <v>33000</v>
      </c>
      <c r="R516" s="276">
        <f>IF(Tabla2[[#This Row],[Saldo]]=0,0,IF(Tabla2[[#This Row],[Tipo cliente]]="PJ",Tabla2[[#This Row],[SUBTOTAL]]*0.966%,0))</f>
        <v>2898</v>
      </c>
      <c r="S516" s="276">
        <f>IF(Tabla2[[#This Row],[Retiene IVA]]="S",Tabla2[[#This Row],[IVA]]*0.15,0)</f>
        <v>0</v>
      </c>
      <c r="T516" s="265"/>
      <c r="U51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16" s="23">
        <f>IF(Tabla2[[#This Row],[Fecha F.E.]]="","",YEAR(Tabla2[[#This Row],[Fecha F.E.]]))</f>
        <v>2025</v>
      </c>
      <c r="X516" s="23">
        <f>IF(Tabla2[[#This Row],[Fecha]]="","",YEAR(Tabla2[[#This Row],[Fecha]]))</f>
        <v>2025</v>
      </c>
    </row>
    <row r="517" spans="1:24" x14ac:dyDescent="0.25">
      <c r="A517" s="3">
        <v>518</v>
      </c>
      <c r="B517" s="77" t="s">
        <v>1805</v>
      </c>
      <c r="C517" s="360">
        <v>45757</v>
      </c>
      <c r="D517" s="76" t="s">
        <v>1806</v>
      </c>
      <c r="E517" s="360">
        <v>45756</v>
      </c>
      <c r="F517" s="78" t="s">
        <v>231</v>
      </c>
      <c r="G517" s="85">
        <v>901342609</v>
      </c>
      <c r="H517" s="177" t="str">
        <f>VLOOKUP(Tabla2[[#This Row],[NIT]],Clientes!A:C,2,0)</f>
        <v>ROYCO SOLUCIONES SAS</v>
      </c>
      <c r="I517" s="77" t="str">
        <f>VLOOKUP(Tabla2[[#This Row],[NIT]],Clientes!A:C,3,0)</f>
        <v>PJ</v>
      </c>
      <c r="J517" s="77"/>
      <c r="K517" s="267">
        <f>SUMIFS(Tabla4[Sub Total],Tabla4[Codigo],Tabla2[[#This Row],[Cod]])</f>
        <v>250000</v>
      </c>
      <c r="L517" s="262">
        <f>SUMPRODUCT((Tabla4[Codigo]=Tabla2[[#This Row],[Cod]])*1,Tabla4[IVA])</f>
        <v>47500</v>
      </c>
      <c r="M517" s="262">
        <f>SUMIFS(Tabla4[Total],Tabla4[Codigo],Tabla2[[#This Row],[Cod]])</f>
        <v>297500</v>
      </c>
      <c r="N517" s="278">
        <f>SUMPRODUCT((Tabla1[Codigo]=Tabla2[[#This Row],[Cod]])*1,Tabla1[Valor])</f>
        <v>287500</v>
      </c>
      <c r="O517" s="265">
        <f>IF(AND(Tabla2[[#This Row],[Estado]]="ok",LEFT(Tabla2[[#This Row],['# Factura]],3)="TIS"),Tabla2[[#This Row],[TOTAL]]-Tabla2[[#This Row],[pagado]],0)</f>
        <v>-19915</v>
      </c>
      <c r="P517" s="262">
        <f>Tabla2[[#This Row],[TOTAL]]-Tabla2[[#This Row],[Valor pago]]</f>
        <v>10000</v>
      </c>
      <c r="Q517" s="265">
        <f>IF(Tabla2[[#This Row],[Saldo]]=0,0,IF(Tabla2[[#This Row],[Tipo cliente]]="PJ",Tabla2[[#This Row],[SUBTOTAL]]*11%,0))</f>
        <v>27500</v>
      </c>
      <c r="R517" s="276">
        <f>IF(Tabla2[[#This Row],[Saldo]]=0,0,IF(Tabla2[[#This Row],[Tipo cliente]]="PJ",Tabla2[[#This Row],[SUBTOTAL]]*0.966%,0))</f>
        <v>2415</v>
      </c>
      <c r="S517" s="276">
        <f>IF(Tabla2[[#This Row],[Retiene IVA]]="S",Tabla2[[#This Row],[IVA]]*0.15,0)</f>
        <v>0</v>
      </c>
      <c r="T517" s="265"/>
      <c r="U51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317415</v>
      </c>
      <c r="W517" s="23">
        <f>IF(Tabla2[[#This Row],[Fecha F.E.]]="","",YEAR(Tabla2[[#This Row],[Fecha F.E.]]))</f>
        <v>2025</v>
      </c>
      <c r="X517" s="23">
        <f>IF(Tabla2[[#This Row],[Fecha]]="","",YEAR(Tabla2[[#This Row],[Fecha]]))</f>
        <v>2025</v>
      </c>
    </row>
    <row r="518" spans="1:24" x14ac:dyDescent="0.25">
      <c r="A518" s="3">
        <v>519</v>
      </c>
      <c r="B518" s="77" t="s">
        <v>1807</v>
      </c>
      <c r="C518" s="360">
        <v>45757</v>
      </c>
      <c r="D518" s="76" t="s">
        <v>1808</v>
      </c>
      <c r="E518" s="360">
        <v>45756</v>
      </c>
      <c r="F518" s="78" t="s">
        <v>231</v>
      </c>
      <c r="G518" s="85">
        <v>901030518</v>
      </c>
      <c r="H518" s="177" t="str">
        <f>VLOOKUP(Tabla2[[#This Row],[NIT]],Clientes!A:C,2,0)</f>
        <v>Inversiones Sajamib SAS</v>
      </c>
      <c r="I518" s="77" t="str">
        <f>VLOOKUP(Tabla2[[#This Row],[NIT]],Clientes!A:C,3,0)</f>
        <v>PJ</v>
      </c>
      <c r="J518" s="77"/>
      <c r="K518" s="267">
        <f>SUMIFS(Tabla4[Sub Total],Tabla4[Codigo],Tabla2[[#This Row],[Cod]])</f>
        <v>480000</v>
      </c>
      <c r="L518" s="262">
        <f>SUMPRODUCT((Tabla4[Codigo]=Tabla2[[#This Row],[Cod]])*1,Tabla4[IVA])</f>
        <v>0</v>
      </c>
      <c r="M518" s="262">
        <f>SUMIFS(Tabla4[Total],Tabla4[Codigo],Tabla2[[#This Row],[Cod]])</f>
        <v>480000</v>
      </c>
      <c r="N518" s="278">
        <f>SUMPRODUCT((Tabla1[Codigo]=Tabla2[[#This Row],[Cod]])*1,Tabla1[Valor])</f>
        <v>480000</v>
      </c>
      <c r="O518" s="265">
        <f>IF(AND(Tabla2[[#This Row],[Estado]]="ok",LEFT(Tabla2[[#This Row],['# Factura]],3)="TIS"),Tabla2[[#This Row],[TOTAL]]-Tabla2[[#This Row],[pagado]],0)</f>
        <v>0</v>
      </c>
      <c r="P518" s="262">
        <f>Tabla2[[#This Row],[TOTAL]]-Tabla2[[#This Row],[Valor pago]]</f>
        <v>0</v>
      </c>
      <c r="Q518" s="265">
        <f>IF(Tabla2[[#This Row],[Saldo]]=0,0,IF(Tabla2[[#This Row],[Tipo cliente]]="PJ",Tabla2[[#This Row],[SUBTOTAL]]*11%,0))</f>
        <v>0</v>
      </c>
      <c r="R518" s="276">
        <f>IF(Tabla2[[#This Row],[Saldo]]=0,0,IF(Tabla2[[#This Row],[Tipo cliente]]="PJ",Tabla2[[#This Row],[SUBTOTAL]]*0.966%,0))</f>
        <v>0</v>
      </c>
      <c r="S518" s="276">
        <f>IF(Tabla2[[#This Row],[Retiene IVA]]="S",Tabla2[[#This Row],[IVA]]*0.15,0)</f>
        <v>0</v>
      </c>
      <c r="T518" s="265"/>
      <c r="U51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518" s="23">
        <f>IF(Tabla2[[#This Row],[Fecha F.E.]]="","",YEAR(Tabla2[[#This Row],[Fecha F.E.]]))</f>
        <v>2025</v>
      </c>
      <c r="X518" s="23">
        <f>IF(Tabla2[[#This Row],[Fecha]]="","",YEAR(Tabla2[[#This Row],[Fecha]]))</f>
        <v>2025</v>
      </c>
    </row>
    <row r="519" spans="1:24" x14ac:dyDescent="0.25">
      <c r="A519" s="3">
        <v>520</v>
      </c>
      <c r="B519" s="77" t="s">
        <v>1809</v>
      </c>
      <c r="C519" s="360">
        <v>45757</v>
      </c>
      <c r="D519" s="76" t="s">
        <v>1810</v>
      </c>
      <c r="E519" s="360">
        <v>45756</v>
      </c>
      <c r="F519" s="78" t="s">
        <v>231</v>
      </c>
      <c r="G519" s="85">
        <v>901587426</v>
      </c>
      <c r="H519" s="177" t="str">
        <f>VLOOKUP(Tabla2[[#This Row],[NIT]],Clientes!A:C,2,0)</f>
        <v>STAFF SEGUROS AGENCIA LTDA</v>
      </c>
      <c r="I519" s="77" t="str">
        <f>VLOOKUP(Tabla2[[#This Row],[NIT]],Clientes!A:C,3,0)</f>
        <v>PJ</v>
      </c>
      <c r="J519" s="77"/>
      <c r="K519" s="267">
        <f>SUMIFS(Tabla4[Sub Total],Tabla4[Codigo],Tabla2[[#This Row],[Cod]])</f>
        <v>1350000</v>
      </c>
      <c r="L519" s="262">
        <f>SUMPRODUCT((Tabla4[Codigo]=Tabla2[[#This Row],[Cod]])*1,Tabla4[IVA])</f>
        <v>0</v>
      </c>
      <c r="M519" s="262">
        <f>SUMIFS(Tabla4[Total],Tabla4[Codigo],Tabla2[[#This Row],[Cod]])</f>
        <v>1350000</v>
      </c>
      <c r="N519" s="278">
        <f>SUMPRODUCT((Tabla1[Codigo]=Tabla2[[#This Row],[Cod]])*1,Tabla1[Valor])</f>
        <v>1350000</v>
      </c>
      <c r="O519" s="265">
        <f>IF(AND(Tabla2[[#This Row],[Estado]]="ok",LEFT(Tabla2[[#This Row],['# Factura]],3)="TIS"),Tabla2[[#This Row],[TOTAL]]-Tabla2[[#This Row],[pagado]],0)</f>
        <v>0</v>
      </c>
      <c r="P519" s="262">
        <f>Tabla2[[#This Row],[TOTAL]]-Tabla2[[#This Row],[Valor pago]]</f>
        <v>0</v>
      </c>
      <c r="Q519" s="265">
        <f>IF(Tabla2[[#This Row],[Saldo]]=0,0,IF(Tabla2[[#This Row],[Tipo cliente]]="PJ",Tabla2[[#This Row],[SUBTOTAL]]*11%,0))</f>
        <v>0</v>
      </c>
      <c r="R519" s="276">
        <f>IF(Tabla2[[#This Row],[Saldo]]=0,0,IF(Tabla2[[#This Row],[Tipo cliente]]="PJ",Tabla2[[#This Row],[SUBTOTAL]]*0.966%,0))</f>
        <v>0</v>
      </c>
      <c r="S519" s="276">
        <f>IF(Tabla2[[#This Row],[Retiene IVA]]="S",Tabla2[[#This Row],[IVA]]*0.15,0)</f>
        <v>0</v>
      </c>
      <c r="T519" s="265"/>
      <c r="U51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1350000</v>
      </c>
      <c r="W519" s="23">
        <f>IF(Tabla2[[#This Row],[Fecha F.E.]]="","",YEAR(Tabla2[[#This Row],[Fecha F.E.]]))</f>
        <v>2025</v>
      </c>
      <c r="X519" s="23">
        <f>IF(Tabla2[[#This Row],[Fecha]]="","",YEAR(Tabla2[[#This Row],[Fecha]]))</f>
        <v>2025</v>
      </c>
    </row>
    <row r="520" spans="1:24" x14ac:dyDescent="0.25">
      <c r="A520" s="3">
        <v>521</v>
      </c>
      <c r="B520" s="77" t="s">
        <v>1811</v>
      </c>
      <c r="C520" s="360">
        <v>45757</v>
      </c>
      <c r="D520" s="76" t="s">
        <v>1812</v>
      </c>
      <c r="E520" s="360">
        <v>45756</v>
      </c>
      <c r="F520" s="78" t="s">
        <v>231</v>
      </c>
      <c r="G520" s="85">
        <v>830137517</v>
      </c>
      <c r="H520" s="177" t="str">
        <f>VLOOKUP(Tabla2[[#This Row],[NIT]],Clientes!A:C,2,0)</f>
        <v>CAVACOR S.A.S</v>
      </c>
      <c r="I520" s="77" t="str">
        <f>VLOOKUP(Tabla2[[#This Row],[NIT]],Clientes!A:C,3,0)</f>
        <v>PJ</v>
      </c>
      <c r="J520" s="77"/>
      <c r="K520" s="267">
        <f>SUMIFS(Tabla4[Sub Total],Tabla4[Codigo],Tabla2[[#This Row],[Cod]])</f>
        <v>1000000</v>
      </c>
      <c r="L520" s="262">
        <f>SUMPRODUCT((Tabla4[Codigo]=Tabla2[[#This Row],[Cod]])*1,Tabla4[IVA])</f>
        <v>190000</v>
      </c>
      <c r="M520" s="262">
        <f>SUMIFS(Tabla4[Total],Tabla4[Codigo],Tabla2[[#This Row],[Cod]])</f>
        <v>1190000</v>
      </c>
      <c r="N520" s="278">
        <f>SUMPRODUCT((Tabla1[Codigo]=Tabla2[[#This Row],[Cod]])*1,Tabla1[Valor])</f>
        <v>0</v>
      </c>
      <c r="O520" s="265">
        <f>IF(AND(Tabla2[[#This Row],[Estado]]="ok",LEFT(Tabla2[[#This Row],['# Factura]],3)="TIS"),Tabla2[[#This Row],[TOTAL]]-Tabla2[[#This Row],[pagado]],0)</f>
        <v>1190000</v>
      </c>
      <c r="P520" s="262">
        <f>Tabla2[[#This Row],[TOTAL]]-Tabla2[[#This Row],[Valor pago]]</f>
        <v>1190000</v>
      </c>
      <c r="Q520" s="265">
        <f>IF(Tabla2[[#This Row],[Saldo]]=0,0,IF(Tabla2[[#This Row],[Tipo cliente]]="PJ",Tabla2[[#This Row],[SUBTOTAL]]*11%,0))</f>
        <v>110000</v>
      </c>
      <c r="R520" s="276">
        <f>IF(Tabla2[[#This Row],[Saldo]]=0,0,IF(Tabla2[[#This Row],[Tipo cliente]]="PJ",Tabla2[[#This Row],[SUBTOTAL]]*0.966%,0))</f>
        <v>9660</v>
      </c>
      <c r="S520" s="276">
        <f>IF(Tabla2[[#This Row],[Retiene IVA]]="S",Tabla2[[#This Row],[IVA]]*0.15,0)</f>
        <v>0</v>
      </c>
      <c r="T520" s="265"/>
      <c r="U52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520" s="23">
        <f>IF(Tabla2[[#This Row],[Fecha F.E.]]="","",YEAR(Tabla2[[#This Row],[Fecha F.E.]]))</f>
        <v>2025</v>
      </c>
      <c r="X520" s="23">
        <f>IF(Tabla2[[#This Row],[Fecha]]="","",YEAR(Tabla2[[#This Row],[Fecha]]))</f>
        <v>2025</v>
      </c>
    </row>
    <row r="521" spans="1:24" x14ac:dyDescent="0.25">
      <c r="A521" s="3">
        <v>522</v>
      </c>
      <c r="B521" s="77" t="s">
        <v>1813</v>
      </c>
      <c r="C521" s="360">
        <v>45763</v>
      </c>
      <c r="D521" s="76" t="s">
        <v>1814</v>
      </c>
      <c r="E521" s="360">
        <v>45762</v>
      </c>
      <c r="F521" s="78" t="s">
        <v>231</v>
      </c>
      <c r="G521" s="85">
        <v>901436224</v>
      </c>
      <c r="H521" s="177" t="str">
        <f>VLOOKUP(Tabla2[[#This Row],[NIT]],Clientes!A:C,2,0)</f>
        <v>SUPPLYING TOTAL TALENT SAS</v>
      </c>
      <c r="I521" s="77" t="str">
        <f>VLOOKUP(Tabla2[[#This Row],[NIT]],Clientes!A:C,3,0)</f>
        <v>PJ</v>
      </c>
      <c r="J521" s="77"/>
      <c r="K521" s="267">
        <f>SUMIFS(Tabla4[Sub Total],Tabla4[Codigo],Tabla2[[#This Row],[Cod]])</f>
        <v>320000</v>
      </c>
      <c r="L521" s="262">
        <f>SUMPRODUCT((Tabla4[Codigo]=Tabla2[[#This Row],[Cod]])*1,Tabla4[IVA])</f>
        <v>60800</v>
      </c>
      <c r="M521" s="262">
        <f>SUMIFS(Tabla4[Total],Tabla4[Codigo],Tabla2[[#This Row],[Cod]])</f>
        <v>380800</v>
      </c>
      <c r="N521" s="278">
        <f>SUMPRODUCT((Tabla1[Codigo]=Tabla2[[#This Row],[Cod]])*1,Tabla1[Valor])</f>
        <v>342508</v>
      </c>
      <c r="O521" s="265">
        <f>IF(AND(Tabla2[[#This Row],[Estado]]="ok",LEFT(Tabla2[[#This Row],['# Factura]],3)="TIS"),Tabla2[[#This Row],[TOTAL]]-Tabla2[[#This Row],[pagado]],0)</f>
        <v>0.79999999998835847</v>
      </c>
      <c r="P521" s="262">
        <f>Tabla2[[#This Row],[TOTAL]]-Tabla2[[#This Row],[Valor pago]]</f>
        <v>38292</v>
      </c>
      <c r="Q521" s="265">
        <f>IF(Tabla2[[#This Row],[Saldo]]=0,0,IF(Tabla2[[#This Row],[Tipo cliente]]="PJ",Tabla2[[#This Row],[SUBTOTAL]]*11%,0))</f>
        <v>35200</v>
      </c>
      <c r="R521" s="276">
        <f>IF(Tabla2[[#This Row],[Saldo]]=0,0,IF(Tabla2[[#This Row],[Tipo cliente]]="PJ",Tabla2[[#This Row],[SUBTOTAL]]*0.966%,0))</f>
        <v>3091.2000000000003</v>
      </c>
      <c r="S521" s="276">
        <f>IF(Tabla2[[#This Row],[Retiene IVA]]="S",Tabla2[[#This Row],[IVA]]*0.15,0)</f>
        <v>0</v>
      </c>
      <c r="T521" s="265"/>
      <c r="U52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380799.2</v>
      </c>
      <c r="V521" s="23" t="s">
        <v>1815</v>
      </c>
      <c r="W521" s="23">
        <f>IF(Tabla2[[#This Row],[Fecha F.E.]]="","",YEAR(Tabla2[[#This Row],[Fecha F.E.]]))</f>
        <v>2025</v>
      </c>
      <c r="X521" s="23">
        <f>IF(Tabla2[[#This Row],[Fecha]]="","",YEAR(Tabla2[[#This Row],[Fecha]]))</f>
        <v>2025</v>
      </c>
    </row>
    <row r="522" spans="1:24" x14ac:dyDescent="0.25">
      <c r="A522" s="3">
        <v>523</v>
      </c>
      <c r="B522" s="77" t="s">
        <v>1816</v>
      </c>
      <c r="C522" s="360">
        <v>45763</v>
      </c>
      <c r="D522" s="76" t="s">
        <v>1817</v>
      </c>
      <c r="E522" s="360">
        <v>45763</v>
      </c>
      <c r="F522" s="78" t="s">
        <v>231</v>
      </c>
      <c r="G522" s="85">
        <v>860002964</v>
      </c>
      <c r="H522" s="177" t="str">
        <f>VLOOKUP(Tabla2[[#This Row],[NIT]],Clientes!A:C,2,0)</f>
        <v>Banco de Bogota S.A.</v>
      </c>
      <c r="I522" s="77" t="str">
        <f>VLOOKUP(Tabla2[[#This Row],[NIT]],Clientes!A:C,3,0)</f>
        <v>PJ</v>
      </c>
      <c r="J522" s="77"/>
      <c r="K522" s="267">
        <f>SUMIFS(Tabla4[Sub Total],Tabla4[Codigo],Tabla2[[#This Row],[Cod]])</f>
        <v>22489987.260000002</v>
      </c>
      <c r="L522" s="262">
        <f>SUMPRODUCT((Tabla4[Codigo]=Tabla2[[#This Row],[Cod]])*1,Tabla4[IVA])</f>
        <v>4273097.5794000002</v>
      </c>
      <c r="M522" s="262">
        <f>SUMIFS(Tabla4[Total],Tabla4[Codigo],Tabla2[[#This Row],[Cod]])</f>
        <v>26763084.839400001</v>
      </c>
      <c r="N522" s="278">
        <f>SUMPRODUCT((Tabla1[Codigo]=Tabla2[[#This Row],[Cod]])*1,Tabla1[Valor])</f>
        <v>25027757.420000002</v>
      </c>
      <c r="O522" s="265">
        <f>IF(AND(Tabla2[[#This Row],[Estado]]="ok",LEFT(Tabla2[[#This Row],['# Factura]],3)="TIS"),Tabla2[[#This Row],[TOTAL]]-Tabla2[[#This Row],[pagado]],0)</f>
        <v>-955824.45613159984</v>
      </c>
      <c r="P522" s="262">
        <f>Tabla2[[#This Row],[TOTAL]]-Tabla2[[#This Row],[Valor pago]]</f>
        <v>1735327.4193999991</v>
      </c>
      <c r="Q522" s="265">
        <f>IF(Tabla2[[#This Row],[Saldo]]=0,0,IF(Tabla2[[#This Row],[Tipo cliente]]="PJ",Tabla2[[#This Row],[SUBTOTAL]]*11%,0))</f>
        <v>2473898.5986000001</v>
      </c>
      <c r="R522" s="276">
        <f>IF(Tabla2[[#This Row],[Saldo]]=0,0,IF(Tabla2[[#This Row],[Tipo cliente]]="PJ",Tabla2[[#This Row],[SUBTOTAL]]*0.966%,0))</f>
        <v>217253.27693160003</v>
      </c>
      <c r="S522" s="276">
        <f>IF(Tabla2[[#This Row],[Retiene IVA]]="S",Tabla2[[#This Row],[IVA]]*0.15,0)</f>
        <v>0</v>
      </c>
      <c r="T522" s="265"/>
      <c r="U52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27718909.295531601</v>
      </c>
      <c r="W522" s="23">
        <f>IF(Tabla2[[#This Row],[Fecha F.E.]]="","",YEAR(Tabla2[[#This Row],[Fecha F.E.]]))</f>
        <v>2025</v>
      </c>
      <c r="X522" s="23">
        <f>IF(Tabla2[[#This Row],[Fecha]]="","",YEAR(Tabla2[[#This Row],[Fecha]]))</f>
        <v>2025</v>
      </c>
    </row>
    <row r="523" spans="1:24" x14ac:dyDescent="0.25">
      <c r="A523" s="3">
        <v>524</v>
      </c>
      <c r="B523" s="77" t="s">
        <v>1818</v>
      </c>
      <c r="C523" s="360">
        <v>45769</v>
      </c>
      <c r="D523" s="76" t="s">
        <v>1819</v>
      </c>
      <c r="E523" s="360">
        <v>45761</v>
      </c>
      <c r="F523" s="78" t="s">
        <v>231</v>
      </c>
      <c r="G523" s="85">
        <v>800028768</v>
      </c>
      <c r="H523" s="177" t="str">
        <f>VLOOKUP(Tabla2[[#This Row],[NIT]],Clientes!A:C,2,0)</f>
        <v>Comercializadora ERZ SAS</v>
      </c>
      <c r="I523" s="77" t="str">
        <f>VLOOKUP(Tabla2[[#This Row],[NIT]],Clientes!A:C,3,0)</f>
        <v>PJ</v>
      </c>
      <c r="J523" s="77"/>
      <c r="K523" s="267">
        <f>SUMIFS(Tabla4[Sub Total],Tabla4[Codigo],Tabla2[[#This Row],[Cod]])</f>
        <v>1000000</v>
      </c>
      <c r="L523" s="262">
        <f>SUMPRODUCT((Tabla4[Codigo]=Tabla2[[#This Row],[Cod]])*1,Tabla4[IVA])</f>
        <v>190000</v>
      </c>
      <c r="M523" s="262">
        <f>SUMIFS(Tabla4[Total],Tabla4[Codigo],Tabla2[[#This Row],[Cod]])</f>
        <v>1190000</v>
      </c>
      <c r="N523" s="278">
        <f>SUMPRODUCT((Tabla1[Codigo]=Tabla2[[#This Row],[Cod]])*1,Tabla1[Valor])</f>
        <v>1080000</v>
      </c>
      <c r="O523" s="265">
        <f>IF(AND(Tabla2[[#This Row],[Estado]]="ok",LEFT(Tabla2[[#This Row],['# Factura]],3)="TIS"),Tabla2[[#This Row],[TOTAL]]-Tabla2[[#This Row],[pagado]],0)</f>
        <v>-9660</v>
      </c>
      <c r="P523" s="262">
        <f>Tabla2[[#This Row],[TOTAL]]-Tabla2[[#This Row],[Valor pago]]</f>
        <v>110000</v>
      </c>
      <c r="Q523" s="265">
        <f>IF(Tabla2[[#This Row],[Saldo]]=0,0,IF(Tabla2[[#This Row],[Tipo cliente]]="PJ",Tabla2[[#This Row],[SUBTOTAL]]*11%,0))</f>
        <v>110000</v>
      </c>
      <c r="R523" s="276">
        <f>IF(Tabla2[[#This Row],[Saldo]]=0,0,IF(Tabla2[[#This Row],[Tipo cliente]]="PJ",Tabla2[[#This Row],[SUBTOTAL]]*0.966%,0))</f>
        <v>9660</v>
      </c>
      <c r="S523" s="276">
        <f>IF(Tabla2[[#This Row],[Retiene IVA]]="S",Tabla2[[#This Row],[IVA]]*0.15,0)</f>
        <v>0</v>
      </c>
      <c r="T523" s="265"/>
      <c r="U52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1199660</v>
      </c>
      <c r="W523" s="23">
        <f>IF(Tabla2[[#This Row],[Fecha F.E.]]="","",YEAR(Tabla2[[#This Row],[Fecha F.E.]]))</f>
        <v>2025</v>
      </c>
      <c r="X523" s="23">
        <f>IF(Tabla2[[#This Row],[Fecha]]="","",YEAR(Tabla2[[#This Row],[Fecha]]))</f>
        <v>2025</v>
      </c>
    </row>
    <row r="524" spans="1:24" x14ac:dyDescent="0.25">
      <c r="A524" s="3">
        <v>525</v>
      </c>
      <c r="B524" s="77" t="s">
        <v>1820</v>
      </c>
      <c r="C524" s="360">
        <v>45777</v>
      </c>
      <c r="D524" s="76" t="s">
        <v>1821</v>
      </c>
      <c r="E524" s="360">
        <v>45777</v>
      </c>
      <c r="F524" s="78" t="s">
        <v>231</v>
      </c>
      <c r="G524" s="85">
        <v>830033212</v>
      </c>
      <c r="H524" s="177" t="str">
        <f>VLOOKUP(Tabla2[[#This Row],[NIT]],Clientes!A:C,2,0)</f>
        <v>HUTERCOL S.A.S.</v>
      </c>
      <c r="I524" s="77" t="str">
        <f>VLOOKUP(Tabla2[[#This Row],[NIT]],Clientes!A:C,3,0)</f>
        <v>PJ</v>
      </c>
      <c r="J524" s="77"/>
      <c r="K524" s="267">
        <f>SUMIFS(Tabla4[Sub Total],Tabla4[Codigo],Tabla2[[#This Row],[Cod]])</f>
        <v>1500000</v>
      </c>
      <c r="L524" s="262">
        <f>SUMPRODUCT((Tabla4[Codigo]=Tabla2[[#This Row],[Cod]])*1,Tabla4[IVA])</f>
        <v>285000</v>
      </c>
      <c r="M524" s="262">
        <f>SUMIFS(Tabla4[Total],Tabla4[Codigo],Tabla2[[#This Row],[Cod]])</f>
        <v>1785000</v>
      </c>
      <c r="N524" s="278">
        <f>SUMPRODUCT((Tabla1[Codigo]=Tabla2[[#This Row],[Cod]])*1,Tabla1[Valor])</f>
        <v>1609500</v>
      </c>
      <c r="O524" s="265">
        <f>IF(AND(Tabla2[[#This Row],[Estado]]="ok",LEFT(Tabla2[[#This Row],['# Factura]],3)="TIS"),Tabla2[[#This Row],[TOTAL]]-Tabla2[[#This Row],[pagado]],0)</f>
        <v>-3990</v>
      </c>
      <c r="P524" s="262">
        <f>Tabla2[[#This Row],[TOTAL]]-Tabla2[[#This Row],[Valor pago]]</f>
        <v>175500</v>
      </c>
      <c r="Q524" s="265">
        <f>IF(Tabla2[[#This Row],[Saldo]]=0,0,IF(Tabla2[[#This Row],[Tipo cliente]]="PJ",Tabla2[[#This Row],[SUBTOTAL]]*11%,0))</f>
        <v>165000</v>
      </c>
      <c r="R524" s="276">
        <f>IF(Tabla2[[#This Row],[Saldo]]=0,0,IF(Tabla2[[#This Row],[Tipo cliente]]="PJ",Tabla2[[#This Row],[SUBTOTAL]]*0.966%,0))</f>
        <v>14490</v>
      </c>
      <c r="S524" s="276">
        <f>IF(Tabla2[[#This Row],[Retiene IVA]]="S",Tabla2[[#This Row],[IVA]]*0.15,0)</f>
        <v>0</v>
      </c>
      <c r="T524" s="265"/>
      <c r="U52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1788990</v>
      </c>
      <c r="W524" s="23">
        <f>IF(Tabla2[[#This Row],[Fecha F.E.]]="","",YEAR(Tabla2[[#This Row],[Fecha F.E.]]))</f>
        <v>2025</v>
      </c>
      <c r="X524" s="23">
        <f>IF(Tabla2[[#This Row],[Fecha]]="","",YEAR(Tabla2[[#This Row],[Fecha]]))</f>
        <v>2025</v>
      </c>
    </row>
    <row r="525" spans="1:24" x14ac:dyDescent="0.25">
      <c r="A525" s="3">
        <v>526</v>
      </c>
      <c r="B525" s="77" t="s">
        <v>394</v>
      </c>
      <c r="C525" s="360">
        <v>45784</v>
      </c>
      <c r="D525" s="76"/>
      <c r="E525" s="360">
        <v>45772</v>
      </c>
      <c r="F525" s="78" t="s">
        <v>716</v>
      </c>
      <c r="G525" s="85">
        <v>901700940</v>
      </c>
      <c r="H525" s="177" t="str">
        <f>VLOOKUP(Tabla2[[#This Row],[NIT]],Clientes!A:C,2,0)</f>
        <v>AND TOPOGRAFIA E INGENIERIA SAS</v>
      </c>
      <c r="I525" s="77" t="str">
        <f>VLOOKUP(Tabla2[[#This Row],[NIT]],Clientes!A:C,3,0)</f>
        <v>PJ</v>
      </c>
      <c r="J525" s="77"/>
      <c r="K525" s="267">
        <f>SUMIFS(Tabla4[Sub Total],Tabla4[Codigo],Tabla2[[#This Row],[Cod]])</f>
        <v>900000</v>
      </c>
      <c r="L525" s="262">
        <f>SUMPRODUCT((Tabla4[Codigo]=Tabla2[[#This Row],[Cod]])*1,Tabla4[IVA])</f>
        <v>0</v>
      </c>
      <c r="M525" s="262">
        <f>SUMIFS(Tabla4[Total],Tabla4[Codigo],Tabla2[[#This Row],[Cod]])</f>
        <v>900000</v>
      </c>
      <c r="N525" s="278">
        <f>SUMPRODUCT((Tabla1[Codigo]=Tabla2[[#This Row],[Cod]])*1,Tabla1[Valor])</f>
        <v>0</v>
      </c>
      <c r="O525" s="265">
        <f>IF(AND(Tabla2[[#This Row],[Estado]]="ok",LEFT(Tabla2[[#This Row],['# Factura]],3)="TIS"),Tabla2[[#This Row],[TOTAL]]-Tabla2[[#This Row],[pagado]],0)</f>
        <v>0</v>
      </c>
      <c r="P525" s="262">
        <f>Tabla2[[#This Row],[TOTAL]]-Tabla2[[#This Row],[Valor pago]]</f>
        <v>900000</v>
      </c>
      <c r="Q525" s="265">
        <f>IF(Tabla2[[#This Row],[Saldo]]=0,0,IF(Tabla2[[#This Row],[Tipo cliente]]="PJ",Tabla2[[#This Row],[SUBTOTAL]]*11%,0))</f>
        <v>99000</v>
      </c>
      <c r="R525" s="276">
        <f>IF(Tabla2[[#This Row],[Saldo]]=0,0,IF(Tabla2[[#This Row],[Tipo cliente]]="PJ",Tabla2[[#This Row],[SUBTOTAL]]*0.966%,0))</f>
        <v>8694</v>
      </c>
      <c r="S525" s="276">
        <f>IF(Tabla2[[#This Row],[Retiene IVA]]="S",Tabla2[[#This Row],[IVA]]*0.15,0)</f>
        <v>0</v>
      </c>
      <c r="T525" s="265"/>
      <c r="U52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525" s="23">
        <f>IF(Tabla2[[#This Row],[Fecha F.E.]]="","",YEAR(Tabla2[[#This Row],[Fecha F.E.]]))</f>
        <v>2025</v>
      </c>
      <c r="X525" s="23">
        <f>IF(Tabla2[[#This Row],[Fecha]]="","",YEAR(Tabla2[[#This Row],[Fecha]]))</f>
        <v>2025</v>
      </c>
    </row>
    <row r="526" spans="1:24" x14ac:dyDescent="0.25">
      <c r="A526" s="3">
        <v>527</v>
      </c>
      <c r="B526" s="77" t="s">
        <v>1822</v>
      </c>
      <c r="C526" s="360">
        <v>45791</v>
      </c>
      <c r="D526" s="76" t="s">
        <v>1823</v>
      </c>
      <c r="E526" s="360">
        <v>45784</v>
      </c>
      <c r="F526" s="78" t="s">
        <v>231</v>
      </c>
      <c r="G526" s="85">
        <v>830103479</v>
      </c>
      <c r="H526" s="177" t="str">
        <f>VLOOKUP(Tabla2[[#This Row],[NIT]],Clientes!A:C,2,0)</f>
        <v>CONTROLAR SALUD INTEGRAL SAS</v>
      </c>
      <c r="I526" s="77" t="str">
        <f>VLOOKUP(Tabla2[[#This Row],[NIT]],Clientes!A:C,3,0)</f>
        <v>PJ</v>
      </c>
      <c r="J526" s="77"/>
      <c r="K526" s="267">
        <f>SUMIFS(Tabla4[Sub Total],Tabla4[Codigo],Tabla2[[#This Row],[Cod]])</f>
        <v>3559975</v>
      </c>
      <c r="L526" s="262">
        <f>SUMPRODUCT((Tabla4[Codigo]=Tabla2[[#This Row],[Cod]])*1,Tabla4[IVA])</f>
        <v>0</v>
      </c>
      <c r="M526" s="262">
        <f>SUMIFS(Tabla4[Total],Tabla4[Codigo],Tabla2[[#This Row],[Cod]])</f>
        <v>3559975</v>
      </c>
      <c r="N526" s="278">
        <f>SUMPRODUCT((Tabla1[Codigo]=Tabla2[[#This Row],[Cod]])*1,Tabla1[Valor])</f>
        <v>1584189</v>
      </c>
      <c r="O526" s="265">
        <f>IF(AND(Tabla2[[#This Row],[Estado]]="ok",LEFT(Tabla2[[#This Row],['# Factura]],3)="TIS"),Tabla2[[#This Row],[TOTAL]]-Tabla2[[#This Row],[pagado]],0)</f>
        <v>1549799.3914999999</v>
      </c>
      <c r="P526" s="262">
        <f>Tabla2[[#This Row],[TOTAL]]-Tabla2[[#This Row],[Valor pago]]</f>
        <v>1975786</v>
      </c>
      <c r="Q526" s="265">
        <f>IF(Tabla2[[#This Row],[Saldo]]=0,0,IF(Tabla2[[#This Row],[Tipo cliente]]="PJ",Tabla2[[#This Row],[SUBTOTAL]]*11%,0))</f>
        <v>391597.25</v>
      </c>
      <c r="R526" s="276">
        <f>IF(Tabla2[[#This Row],[Saldo]]=0,0,IF(Tabla2[[#This Row],[Tipo cliente]]="PJ",Tabla2[[#This Row],[SUBTOTAL]]*0.966%,0))</f>
        <v>34389.358500000002</v>
      </c>
      <c r="S526" s="276">
        <f>IF(Tabla2[[#This Row],[Retiene IVA]]="S",Tabla2[[#This Row],[IVA]]*0.15,0)</f>
        <v>0</v>
      </c>
      <c r="T526" s="265"/>
      <c r="U52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2010175.6085000001</v>
      </c>
      <c r="W526" s="23">
        <f>IF(Tabla2[[#This Row],[Fecha F.E.]]="","",YEAR(Tabla2[[#This Row],[Fecha F.E.]]))</f>
        <v>2025</v>
      </c>
      <c r="X526" s="23">
        <f>IF(Tabla2[[#This Row],[Fecha]]="","",YEAR(Tabla2[[#This Row],[Fecha]]))</f>
        <v>2025</v>
      </c>
    </row>
    <row r="527" spans="1:24" x14ac:dyDescent="0.25">
      <c r="A527" s="3">
        <v>528</v>
      </c>
      <c r="B527" s="77" t="s">
        <v>1824</v>
      </c>
      <c r="C527" s="360">
        <v>45791</v>
      </c>
      <c r="D527" s="76" t="s">
        <v>1825</v>
      </c>
      <c r="E527" s="360">
        <v>45784</v>
      </c>
      <c r="F527" s="78" t="s">
        <v>231</v>
      </c>
      <c r="G527" s="85">
        <v>860002964</v>
      </c>
      <c r="H527" s="177" t="str">
        <f>VLOOKUP(Tabla2[[#This Row],[NIT]],Clientes!A:C,2,0)</f>
        <v>Banco de Bogota S.A.</v>
      </c>
      <c r="I527" s="77" t="str">
        <f>VLOOKUP(Tabla2[[#This Row],[NIT]],Clientes!A:C,3,0)</f>
        <v>PJ</v>
      </c>
      <c r="J527" s="77"/>
      <c r="K527" s="267">
        <f>SUMIFS(Tabla4[Sub Total],Tabla4[Codigo],Tabla2[[#This Row],[Cod]])</f>
        <v>26763084.84</v>
      </c>
      <c r="L527" s="262">
        <f>SUMPRODUCT((Tabla4[Codigo]=Tabla2[[#This Row],[Cod]])*1,Tabla4[IVA])</f>
        <v>5084986.1195999999</v>
      </c>
      <c r="M527" s="262">
        <f>SUMIFS(Tabla4[Total],Tabla4[Codigo],Tabla2[[#This Row],[Cod]])</f>
        <v>31848070.959600002</v>
      </c>
      <c r="N527" s="278">
        <f>SUMPRODUCT((Tabla1[Codigo]=Tabla2[[#This Row],[Cod]])*1,Tabla1[Valor])</f>
        <v>29783031.34</v>
      </c>
      <c r="O527" s="265">
        <f>IF(AND(Tabla2[[#This Row],[Estado]]="ok",LEFT(Tabla2[[#This Row],['# Factura]],3)="TIS"),Tabla2[[#This Row],[TOTAL]]-Tabla2[[#This Row],[pagado]],0)</f>
        <v>-1137431.1123544015</v>
      </c>
      <c r="P527" s="262">
        <f>Tabla2[[#This Row],[TOTAL]]-Tabla2[[#This Row],[Valor pago]]</f>
        <v>2065039.6196000017</v>
      </c>
      <c r="Q527" s="265">
        <f>IF(Tabla2[[#This Row],[Saldo]]=0,0,IF(Tabla2[[#This Row],[Tipo cliente]]="PJ",Tabla2[[#This Row],[SUBTOTAL]]*11%,0))</f>
        <v>2943939.3324000002</v>
      </c>
      <c r="R527" s="276">
        <f>IF(Tabla2[[#This Row],[Saldo]]=0,0,IF(Tabla2[[#This Row],[Tipo cliente]]="PJ",Tabla2[[#This Row],[SUBTOTAL]]*0.966%,0))</f>
        <v>258531.39955440001</v>
      </c>
      <c r="S527" s="276">
        <f>IF(Tabla2[[#This Row],[Retiene IVA]]="S",Tabla2[[#This Row],[IVA]]*0.15,0)</f>
        <v>0</v>
      </c>
      <c r="T527" s="265"/>
      <c r="U52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32985502.071954403</v>
      </c>
      <c r="W527" s="23">
        <f>IF(Tabla2[[#This Row],[Fecha F.E.]]="","",YEAR(Tabla2[[#This Row],[Fecha F.E.]]))</f>
        <v>2025</v>
      </c>
      <c r="X527" s="23">
        <f>IF(Tabla2[[#This Row],[Fecha]]="","",YEAR(Tabla2[[#This Row],[Fecha]]))</f>
        <v>2025</v>
      </c>
    </row>
    <row r="528" spans="1:24" x14ac:dyDescent="0.25">
      <c r="A528" s="3">
        <v>529</v>
      </c>
      <c r="B528" s="77" t="s">
        <v>1826</v>
      </c>
      <c r="C528" s="360">
        <v>45797</v>
      </c>
      <c r="D528" s="76" t="s">
        <v>1827</v>
      </c>
      <c r="E528" s="360">
        <v>45796</v>
      </c>
      <c r="F528" s="78" t="s">
        <v>231</v>
      </c>
      <c r="G528" s="85">
        <v>901342609</v>
      </c>
      <c r="H528" s="177" t="str">
        <f>VLOOKUP(Tabla2[[#This Row],[NIT]],Clientes!A:C,2,0)</f>
        <v>ROYCO SOLUCIONES SAS</v>
      </c>
      <c r="I528" s="77" t="str">
        <f>VLOOKUP(Tabla2[[#This Row],[NIT]],Clientes!A:C,3,0)</f>
        <v>PJ</v>
      </c>
      <c r="J528" s="77"/>
      <c r="K528" s="267">
        <f>SUMIFS(Tabla4[Sub Total],Tabla4[Codigo],Tabla2[[#This Row],[Cod]])</f>
        <v>250000</v>
      </c>
      <c r="L528" s="262">
        <f>SUMPRODUCT((Tabla4[Codigo]=Tabla2[[#This Row],[Cod]])*1,Tabla4[IVA])</f>
        <v>47500</v>
      </c>
      <c r="M528" s="262">
        <f>SUMIFS(Tabla4[Total],Tabla4[Codigo],Tabla2[[#This Row],[Cod]])</f>
        <v>297500</v>
      </c>
      <c r="N528" s="278">
        <f>SUMPRODUCT((Tabla1[Codigo]=Tabla2[[#This Row],[Cod]])*1,Tabla1[Valor])</f>
        <v>287500</v>
      </c>
      <c r="O528" s="265">
        <f>IF(AND(Tabla2[[#This Row],[Estado]]="ok",LEFT(Tabla2[[#This Row],['# Factura]],3)="TIS"),Tabla2[[#This Row],[TOTAL]]-Tabla2[[#This Row],[pagado]],0)</f>
        <v>-19915</v>
      </c>
      <c r="P528" s="262">
        <f>Tabla2[[#This Row],[TOTAL]]-Tabla2[[#This Row],[Valor pago]]</f>
        <v>10000</v>
      </c>
      <c r="Q528" s="265">
        <f>IF(Tabla2[[#This Row],[Saldo]]=0,0,IF(Tabla2[[#This Row],[Tipo cliente]]="PJ",Tabla2[[#This Row],[SUBTOTAL]]*11%,0))</f>
        <v>27500</v>
      </c>
      <c r="R528" s="276">
        <f>IF(Tabla2[[#This Row],[Saldo]]=0,0,IF(Tabla2[[#This Row],[Tipo cliente]]="PJ",Tabla2[[#This Row],[SUBTOTAL]]*0.966%,0))</f>
        <v>2415</v>
      </c>
      <c r="S528" s="276">
        <f>IF(Tabla2[[#This Row],[Retiene IVA]]="S",Tabla2[[#This Row],[IVA]]*0.15,0)</f>
        <v>0</v>
      </c>
      <c r="T528" s="265"/>
      <c r="U52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317415</v>
      </c>
      <c r="W528" s="23">
        <f>IF(Tabla2[[#This Row],[Fecha F.E.]]="","",YEAR(Tabla2[[#This Row],[Fecha F.E.]]))</f>
        <v>2025</v>
      </c>
      <c r="X528" s="23">
        <f>IF(Tabla2[[#This Row],[Fecha]]="","",YEAR(Tabla2[[#This Row],[Fecha]]))</f>
        <v>2025</v>
      </c>
    </row>
    <row r="529" spans="1:24" x14ac:dyDescent="0.25">
      <c r="A529" s="3">
        <v>530</v>
      </c>
      <c r="B529" s="77" t="s">
        <v>1828</v>
      </c>
      <c r="C529" s="360">
        <v>45797</v>
      </c>
      <c r="D529" s="76" t="s">
        <v>1829</v>
      </c>
      <c r="E529" s="360">
        <v>45796</v>
      </c>
      <c r="F529" s="78" t="s">
        <v>231</v>
      </c>
      <c r="G529" s="85">
        <v>800028768</v>
      </c>
      <c r="H529" s="177" t="str">
        <f>VLOOKUP(Tabla2[[#This Row],[NIT]],Clientes!A:C,2,0)</f>
        <v>Comercializadora ERZ SAS</v>
      </c>
      <c r="I529" s="77" t="str">
        <f>VLOOKUP(Tabla2[[#This Row],[NIT]],Clientes!A:C,3,0)</f>
        <v>PJ</v>
      </c>
      <c r="J529" s="77"/>
      <c r="K529" s="267">
        <f>SUMIFS(Tabla4[Sub Total],Tabla4[Codigo],Tabla2[[#This Row],[Cod]])</f>
        <v>300000</v>
      </c>
      <c r="L529" s="262">
        <f>SUMPRODUCT((Tabla4[Codigo]=Tabla2[[#This Row],[Cod]])*1,Tabla4[IVA])</f>
        <v>57000</v>
      </c>
      <c r="M529" s="262">
        <f>SUMIFS(Tabla4[Total],Tabla4[Codigo],Tabla2[[#This Row],[Cod]])</f>
        <v>357000</v>
      </c>
      <c r="N529" s="278">
        <f>SUMPRODUCT((Tabla1[Codigo]=Tabla2[[#This Row],[Cod]])*1,Tabla1[Valor])</f>
        <v>324000</v>
      </c>
      <c r="O529" s="265">
        <f>IF(AND(Tabla2[[#This Row],[Estado]]="ok",LEFT(Tabla2[[#This Row],['# Factura]],3)="TIS"),Tabla2[[#This Row],[TOTAL]]-Tabla2[[#This Row],[pagado]],0)</f>
        <v>-2898</v>
      </c>
      <c r="P529" s="262">
        <f>Tabla2[[#This Row],[TOTAL]]-Tabla2[[#This Row],[Valor pago]]</f>
        <v>33000</v>
      </c>
      <c r="Q529" s="265">
        <f>IF(Tabla2[[#This Row],[Saldo]]=0,0,IF(Tabla2[[#This Row],[Tipo cliente]]="PJ",Tabla2[[#This Row],[SUBTOTAL]]*11%,0))</f>
        <v>33000</v>
      </c>
      <c r="R529" s="276">
        <f>IF(Tabla2[[#This Row],[Saldo]]=0,0,IF(Tabla2[[#This Row],[Tipo cliente]]="PJ",Tabla2[[#This Row],[SUBTOTAL]]*0.966%,0))</f>
        <v>2898</v>
      </c>
      <c r="S529" s="276">
        <f>IF(Tabla2[[#This Row],[Retiene IVA]]="S",Tabla2[[#This Row],[IVA]]*0.15,0)</f>
        <v>0</v>
      </c>
      <c r="T529" s="265"/>
      <c r="U52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29" s="23">
        <f>IF(Tabla2[[#This Row],[Fecha F.E.]]="","",YEAR(Tabla2[[#This Row],[Fecha F.E.]]))</f>
        <v>2025</v>
      </c>
      <c r="X529" s="23">
        <f>IF(Tabla2[[#This Row],[Fecha]]="","",YEAR(Tabla2[[#This Row],[Fecha]]))</f>
        <v>2025</v>
      </c>
    </row>
    <row r="530" spans="1:24" x14ac:dyDescent="0.25">
      <c r="A530" s="3">
        <v>531</v>
      </c>
      <c r="B530" s="77" t="s">
        <v>1830</v>
      </c>
      <c r="C530" s="360">
        <v>45797</v>
      </c>
      <c r="D530" s="76" t="s">
        <v>1831</v>
      </c>
      <c r="E530" s="360">
        <v>45796</v>
      </c>
      <c r="F530" s="78" t="s">
        <v>231</v>
      </c>
      <c r="G530" s="85">
        <v>900505660</v>
      </c>
      <c r="H530" s="177" t="str">
        <f>VLOOKUP(Tabla2[[#This Row],[NIT]],Clientes!A:C,2,0)</f>
        <v>DIGITAL MEDIA TECHNOLOGIES COLOMBIA SAS</v>
      </c>
      <c r="I530" s="77" t="str">
        <f>VLOOKUP(Tabla2[[#This Row],[NIT]],Clientes!A:C,3,0)</f>
        <v>PJ</v>
      </c>
      <c r="J530" s="77"/>
      <c r="K530" s="267">
        <f>SUMIFS(Tabla4[Sub Total],Tabla4[Codigo],Tabla2[[#This Row],[Cod]])</f>
        <v>300000</v>
      </c>
      <c r="L530" s="262">
        <f>SUMPRODUCT((Tabla4[Codigo]=Tabla2[[#This Row],[Cod]])*1,Tabla4[IVA])</f>
        <v>57000</v>
      </c>
      <c r="M530" s="262">
        <f>SUMIFS(Tabla4[Total],Tabla4[Codigo],Tabla2[[#This Row],[Cod]])</f>
        <v>357000</v>
      </c>
      <c r="N530" s="278">
        <f>SUMPRODUCT((Tabla1[Codigo]=Tabla2[[#This Row],[Cod]])*1,Tabla1[Valor])</f>
        <v>324000</v>
      </c>
      <c r="O530" s="265">
        <f>IF(AND(Tabla2[[#This Row],[Estado]]="ok",LEFT(Tabla2[[#This Row],['# Factura]],3)="TIS"),Tabla2[[#This Row],[TOTAL]]-Tabla2[[#This Row],[pagado]],0)</f>
        <v>-2898</v>
      </c>
      <c r="P530" s="262">
        <f>Tabla2[[#This Row],[TOTAL]]-Tabla2[[#This Row],[Valor pago]]</f>
        <v>33000</v>
      </c>
      <c r="Q530" s="265">
        <f>IF(Tabla2[[#This Row],[Saldo]]=0,0,IF(Tabla2[[#This Row],[Tipo cliente]]="PJ",Tabla2[[#This Row],[SUBTOTAL]]*11%,0))</f>
        <v>33000</v>
      </c>
      <c r="R530" s="276">
        <f>IF(Tabla2[[#This Row],[Saldo]]=0,0,IF(Tabla2[[#This Row],[Tipo cliente]]="PJ",Tabla2[[#This Row],[SUBTOTAL]]*0.966%,0))</f>
        <v>2898</v>
      </c>
      <c r="S530" s="276">
        <f>IF(Tabla2[[#This Row],[Retiene IVA]]="S",Tabla2[[#This Row],[IVA]]*0.15,0)</f>
        <v>0</v>
      </c>
      <c r="T530" s="265"/>
      <c r="U53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30" s="23">
        <f>IF(Tabla2[[#This Row],[Fecha F.E.]]="","",YEAR(Tabla2[[#This Row],[Fecha F.E.]]))</f>
        <v>2025</v>
      </c>
      <c r="X530" s="23">
        <f>IF(Tabla2[[#This Row],[Fecha]]="","",YEAR(Tabla2[[#This Row],[Fecha]]))</f>
        <v>2025</v>
      </c>
    </row>
    <row r="531" spans="1:24" x14ac:dyDescent="0.25">
      <c r="A531" s="3">
        <v>532</v>
      </c>
      <c r="B531" s="77" t="s">
        <v>1832</v>
      </c>
      <c r="C531" s="360">
        <v>45797</v>
      </c>
      <c r="D531" s="76" t="s">
        <v>1833</v>
      </c>
      <c r="E531" s="360">
        <v>45796</v>
      </c>
      <c r="F531" s="78" t="s">
        <v>231</v>
      </c>
      <c r="G531" s="85">
        <v>901030518</v>
      </c>
      <c r="H531" s="177" t="str">
        <f>VLOOKUP(Tabla2[[#This Row],[NIT]],Clientes!A:C,2,0)</f>
        <v>Inversiones Sajamib SAS</v>
      </c>
      <c r="I531" s="77" t="str">
        <f>VLOOKUP(Tabla2[[#This Row],[NIT]],Clientes!A:C,3,0)</f>
        <v>PJ</v>
      </c>
      <c r="J531" s="77"/>
      <c r="K531" s="267">
        <f>SUMIFS(Tabla4[Sub Total],Tabla4[Codigo],Tabla2[[#This Row],[Cod]])</f>
        <v>480000</v>
      </c>
      <c r="L531" s="262">
        <f>SUMPRODUCT((Tabla4[Codigo]=Tabla2[[#This Row],[Cod]])*1,Tabla4[IVA])</f>
        <v>0</v>
      </c>
      <c r="M531" s="262">
        <f>SUMIFS(Tabla4[Total],Tabla4[Codigo],Tabla2[[#This Row],[Cod]])</f>
        <v>480000</v>
      </c>
      <c r="N531" s="278">
        <f>SUMPRODUCT((Tabla1[Codigo]=Tabla2[[#This Row],[Cod]])*1,Tabla1[Valor])</f>
        <v>480000</v>
      </c>
      <c r="O531" s="265">
        <f>IF(AND(Tabla2[[#This Row],[Estado]]="ok",LEFT(Tabla2[[#This Row],['# Factura]],3)="TIS"),Tabla2[[#This Row],[TOTAL]]-Tabla2[[#This Row],[pagado]],0)</f>
        <v>0</v>
      </c>
      <c r="P531" s="262">
        <f>Tabla2[[#This Row],[TOTAL]]-Tabla2[[#This Row],[Valor pago]]</f>
        <v>0</v>
      </c>
      <c r="Q531" s="265">
        <f>IF(Tabla2[[#This Row],[Saldo]]=0,0,IF(Tabla2[[#This Row],[Tipo cliente]]="PJ",Tabla2[[#This Row],[SUBTOTAL]]*11%,0))</f>
        <v>0</v>
      </c>
      <c r="R531" s="276">
        <f>IF(Tabla2[[#This Row],[Saldo]]=0,0,IF(Tabla2[[#This Row],[Tipo cliente]]="PJ",Tabla2[[#This Row],[SUBTOTAL]]*0.966%,0))</f>
        <v>0</v>
      </c>
      <c r="S531" s="276">
        <f>IF(Tabla2[[#This Row],[Retiene IVA]]="S",Tabla2[[#This Row],[IVA]]*0.15,0)</f>
        <v>0</v>
      </c>
      <c r="T531" s="265"/>
      <c r="U53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531" s="23">
        <f>IF(Tabla2[[#This Row],[Fecha F.E.]]="","",YEAR(Tabla2[[#This Row],[Fecha F.E.]]))</f>
        <v>2025</v>
      </c>
      <c r="X531" s="23">
        <f>IF(Tabla2[[#This Row],[Fecha]]="","",YEAR(Tabla2[[#This Row],[Fecha]]))</f>
        <v>2025</v>
      </c>
    </row>
    <row r="532" spans="1:24" x14ac:dyDescent="0.25">
      <c r="A532" s="3">
        <v>533</v>
      </c>
      <c r="B532" s="77" t="s">
        <v>1834</v>
      </c>
      <c r="C532" s="360">
        <v>45797</v>
      </c>
      <c r="D532" s="76" t="s">
        <v>1835</v>
      </c>
      <c r="E532" s="360">
        <v>45796</v>
      </c>
      <c r="F532" s="78" t="s">
        <v>231</v>
      </c>
      <c r="G532" s="85">
        <v>901587426</v>
      </c>
      <c r="H532" s="177" t="str">
        <f>VLOOKUP(Tabla2[[#This Row],[NIT]],Clientes!A:C,2,0)</f>
        <v>STAFF SEGUROS AGENCIA LTDA</v>
      </c>
      <c r="I532" s="77" t="str">
        <f>VLOOKUP(Tabla2[[#This Row],[NIT]],Clientes!A:C,3,0)</f>
        <v>PJ</v>
      </c>
      <c r="J532" s="77"/>
      <c r="K532" s="267">
        <f>SUMIFS(Tabla4[Sub Total],Tabla4[Codigo],Tabla2[[#This Row],[Cod]])</f>
        <v>2105000</v>
      </c>
      <c r="L532" s="262">
        <f>SUMPRODUCT((Tabla4[Codigo]=Tabla2[[#This Row],[Cod]])*1,Tabla4[IVA])</f>
        <v>0</v>
      </c>
      <c r="M532" s="262">
        <f>SUMIFS(Tabla4[Total],Tabla4[Codigo],Tabla2[[#This Row],[Cod]])</f>
        <v>2105000</v>
      </c>
      <c r="N532" s="278">
        <f>SUMPRODUCT((Tabla1[Codigo]=Tabla2[[#This Row],[Cod]])*1,Tabla1[Valor])</f>
        <v>0</v>
      </c>
      <c r="O532" s="265">
        <f>IF(AND(Tabla2[[#This Row],[Estado]]="ok",LEFT(Tabla2[[#This Row],['# Factura]],3)="TIS"),Tabla2[[#This Row],[TOTAL]]-Tabla2[[#This Row],[pagado]],0)</f>
        <v>2105000</v>
      </c>
      <c r="P532" s="262">
        <f>Tabla2[[#This Row],[TOTAL]]-Tabla2[[#This Row],[Valor pago]]</f>
        <v>2105000</v>
      </c>
      <c r="Q532" s="265">
        <f>IF(Tabla2[[#This Row],[Saldo]]=0,0,IF(Tabla2[[#This Row],[Tipo cliente]]="PJ",Tabla2[[#This Row],[SUBTOTAL]]*11%,0))</f>
        <v>231550</v>
      </c>
      <c r="R532" s="276">
        <f>IF(Tabla2[[#This Row],[Saldo]]=0,0,IF(Tabla2[[#This Row],[Tipo cliente]]="PJ",Tabla2[[#This Row],[SUBTOTAL]]*0.966%,0))</f>
        <v>20334.3</v>
      </c>
      <c r="S532" s="276">
        <f>IF(Tabla2[[#This Row],[Retiene IVA]]="S",Tabla2[[#This Row],[IVA]]*0.15,0)</f>
        <v>0</v>
      </c>
      <c r="T532" s="265"/>
      <c r="U53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532" s="23">
        <f>IF(Tabla2[[#This Row],[Fecha F.E.]]="","",YEAR(Tabla2[[#This Row],[Fecha F.E.]]))</f>
        <v>2025</v>
      </c>
      <c r="X532" s="23">
        <f>IF(Tabla2[[#This Row],[Fecha]]="","",YEAR(Tabla2[[#This Row],[Fecha]]))</f>
        <v>2025</v>
      </c>
    </row>
    <row r="533" spans="1:24" x14ac:dyDescent="0.25">
      <c r="A533" s="3">
        <v>534</v>
      </c>
      <c r="B533" s="77" t="s">
        <v>1836</v>
      </c>
      <c r="C533" s="360">
        <v>45797</v>
      </c>
      <c r="D533" s="76" t="s">
        <v>1837</v>
      </c>
      <c r="E533" s="360">
        <v>45796</v>
      </c>
      <c r="F533" s="78" t="s">
        <v>231</v>
      </c>
      <c r="G533" s="85">
        <v>901330870</v>
      </c>
      <c r="H533" s="177" t="str">
        <f>VLOOKUP(Tabla2[[#This Row],[NIT]],Clientes!A:C,2,0)</f>
        <v>SEGUROS CUBEROS LTDA</v>
      </c>
      <c r="I533" s="77" t="str">
        <f>VLOOKUP(Tabla2[[#This Row],[NIT]],Clientes!A:C,3,0)</f>
        <v>PJ</v>
      </c>
      <c r="J533" s="77"/>
      <c r="K533" s="267">
        <f>SUMIFS(Tabla4[Sub Total],Tabla4[Codigo],Tabla2[[#This Row],[Cod]])</f>
        <v>250000</v>
      </c>
      <c r="L533" s="262">
        <f>SUMPRODUCT((Tabla4[Codigo]=Tabla2[[#This Row],[Cod]])*1,Tabla4[IVA])</f>
        <v>47500</v>
      </c>
      <c r="M533" s="262">
        <f>SUMIFS(Tabla4[Total],Tabla4[Codigo],Tabla2[[#This Row],[Cod]])</f>
        <v>297500</v>
      </c>
      <c r="N533" s="278">
        <f>SUMPRODUCT((Tabla1[Codigo]=Tabla2[[#This Row],[Cod]])*1,Tabla1[Valor])</f>
        <v>267585</v>
      </c>
      <c r="O533" s="265">
        <f>IF(AND(Tabla2[[#This Row],[Estado]]="ok",LEFT(Tabla2[[#This Row],['# Factura]],3)="TIS"),Tabla2[[#This Row],[TOTAL]]-Tabla2[[#This Row],[pagado]],0)</f>
        <v>0</v>
      </c>
      <c r="P533" s="262">
        <f>Tabla2[[#This Row],[TOTAL]]-Tabla2[[#This Row],[Valor pago]]</f>
        <v>29915</v>
      </c>
      <c r="Q533" s="265">
        <f>IF(Tabla2[[#This Row],[Saldo]]=0,0,IF(Tabla2[[#This Row],[Tipo cliente]]="PJ",Tabla2[[#This Row],[SUBTOTAL]]*11%,0))</f>
        <v>27500</v>
      </c>
      <c r="R533" s="276">
        <f>IF(Tabla2[[#This Row],[Saldo]]=0,0,IF(Tabla2[[#This Row],[Tipo cliente]]="PJ",Tabla2[[#This Row],[SUBTOTAL]]*0.966%,0))</f>
        <v>2415</v>
      </c>
      <c r="S533" s="276">
        <f>IF(Tabla2[[#This Row],[Retiene IVA]]="S",Tabla2[[#This Row],[IVA]]*0.15,0)</f>
        <v>0</v>
      </c>
      <c r="T533" s="265"/>
      <c r="U53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297500</v>
      </c>
      <c r="W533" s="23">
        <f>IF(Tabla2[[#This Row],[Fecha F.E.]]="","",YEAR(Tabla2[[#This Row],[Fecha F.E.]]))</f>
        <v>2025</v>
      </c>
      <c r="X533" s="23">
        <f>IF(Tabla2[[#This Row],[Fecha]]="","",YEAR(Tabla2[[#This Row],[Fecha]]))</f>
        <v>2025</v>
      </c>
    </row>
    <row r="534" spans="1:24" x14ac:dyDescent="0.25">
      <c r="A534" s="3">
        <v>535</v>
      </c>
      <c r="B534" s="77" t="s">
        <v>1838</v>
      </c>
      <c r="C534" s="360">
        <v>45804</v>
      </c>
      <c r="D534" s="76" t="s">
        <v>1839</v>
      </c>
      <c r="E534" s="360">
        <v>45803</v>
      </c>
      <c r="F534" s="78" t="s">
        <v>231</v>
      </c>
      <c r="G534" s="85">
        <v>901233425</v>
      </c>
      <c r="H534" s="177" t="str">
        <f>VLOOKUP(Tabla2[[#This Row],[NIT]],Clientes!A:C,2,0)</f>
        <v>EVAL.COM CONSULTING SAS</v>
      </c>
      <c r="I534" s="77" t="str">
        <f>VLOOKUP(Tabla2[[#This Row],[NIT]],Clientes!A:C,3,0)</f>
        <v>PJ</v>
      </c>
      <c r="J534" s="77"/>
      <c r="K534" s="267">
        <f>SUMIFS(Tabla4[Sub Total],Tabla4[Codigo],Tabla2[[#This Row],[Cod]])</f>
        <v>800000</v>
      </c>
      <c r="L534" s="262">
        <f>SUMPRODUCT((Tabla4[Codigo]=Tabla2[[#This Row],[Cod]])*1,Tabla4[IVA])</f>
        <v>152000</v>
      </c>
      <c r="M534" s="262">
        <f>SUMIFS(Tabla4[Total],Tabla4[Codigo],Tabla2[[#This Row],[Cod]])</f>
        <v>952000</v>
      </c>
      <c r="N534" s="278">
        <f>SUMPRODUCT((Tabla1[Codigo]=Tabla2[[#This Row],[Cod]])*1,Tabla1[Valor])</f>
        <v>952000</v>
      </c>
      <c r="O534" s="265">
        <f>IF(AND(Tabla2[[#This Row],[Estado]]="ok",LEFT(Tabla2[[#This Row],['# Factura]],3)="TIS"),Tabla2[[#This Row],[TOTAL]]-Tabla2[[#This Row],[pagado]],0)</f>
        <v>0</v>
      </c>
      <c r="P534" s="262">
        <f>Tabla2[[#This Row],[TOTAL]]-Tabla2[[#This Row],[Valor pago]]</f>
        <v>0</v>
      </c>
      <c r="Q534" s="265">
        <f>IF(Tabla2[[#This Row],[Saldo]]=0,0,IF(Tabla2[[#This Row],[Tipo cliente]]="PJ",Tabla2[[#This Row],[SUBTOTAL]]*11%,0))</f>
        <v>0</v>
      </c>
      <c r="R534" s="276">
        <f>IF(Tabla2[[#This Row],[Saldo]]=0,0,IF(Tabla2[[#This Row],[Tipo cliente]]="PJ",Tabla2[[#This Row],[SUBTOTAL]]*0.966%,0))</f>
        <v>0</v>
      </c>
      <c r="S534" s="276">
        <f>IF(Tabla2[[#This Row],[Retiene IVA]]="S",Tabla2[[#This Row],[IVA]]*0.15,0)</f>
        <v>0</v>
      </c>
      <c r="T534" s="265"/>
      <c r="U53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952000</v>
      </c>
      <c r="W534" s="23">
        <f>IF(Tabla2[[#This Row],[Fecha F.E.]]="","",YEAR(Tabla2[[#This Row],[Fecha F.E.]]))</f>
        <v>2025</v>
      </c>
      <c r="X534" s="23">
        <f>IF(Tabla2[[#This Row],[Fecha]]="","",YEAR(Tabla2[[#This Row],[Fecha]]))</f>
        <v>2025</v>
      </c>
    </row>
    <row r="535" spans="1:24" x14ac:dyDescent="0.25">
      <c r="A535" s="3">
        <v>536</v>
      </c>
      <c r="B535" s="77" t="s">
        <v>1840</v>
      </c>
      <c r="C535" s="360">
        <v>45804</v>
      </c>
      <c r="D535" s="76" t="s">
        <v>1841</v>
      </c>
      <c r="E535" s="360">
        <v>45803</v>
      </c>
      <c r="F535" s="78" t="s">
        <v>231</v>
      </c>
      <c r="G535" s="85">
        <v>800020808</v>
      </c>
      <c r="H535" s="177" t="str">
        <f>VLOOKUP(Tabla2[[#This Row],[NIT]],Clientes!A:C,2,0)</f>
        <v>BLISTECO S.A.S.</v>
      </c>
      <c r="I535" s="77" t="str">
        <f>VLOOKUP(Tabla2[[#This Row],[NIT]],Clientes!A:C,3,0)</f>
        <v>PJ</v>
      </c>
      <c r="J535" s="77"/>
      <c r="K535" s="267">
        <f>SUMIFS(Tabla4[Sub Total],Tabla4[Codigo],Tabla2[[#This Row],[Cod]])</f>
        <v>4650000</v>
      </c>
      <c r="L535" s="262">
        <f>SUMPRODUCT((Tabla4[Codigo]=Tabla2[[#This Row],[Cod]])*1,Tabla4[IVA])</f>
        <v>883500</v>
      </c>
      <c r="M535" s="262">
        <f>SUMIFS(Tabla4[Total],Tabla4[Codigo],Tabla2[[#This Row],[Cod]])</f>
        <v>5533500</v>
      </c>
      <c r="N535" s="278">
        <f>SUMPRODUCT((Tabla1[Codigo]=Tabla2[[#This Row],[Cod]])*1,Tabla1[Valor])</f>
        <v>4981731</v>
      </c>
      <c r="O535" s="265">
        <f>IF(AND(Tabla2[[#This Row],[Estado]]="ok",LEFT(Tabla2[[#This Row],['# Factura]],3)="TIS"),Tabla2[[#This Row],[TOTAL]]-Tabla2[[#This Row],[pagado]],0)</f>
        <v>-4650</v>
      </c>
      <c r="P535" s="262">
        <f>Tabla2[[#This Row],[TOTAL]]-Tabla2[[#This Row],[Valor pago]]</f>
        <v>551769</v>
      </c>
      <c r="Q535" s="265">
        <f>IF(Tabla2[[#This Row],[Saldo]]=0,0,IF(Tabla2[[#This Row],[Tipo cliente]]="PJ",Tabla2[[#This Row],[SUBTOTAL]]*11%,0))</f>
        <v>511500</v>
      </c>
      <c r="R535" s="276">
        <f>IF(Tabla2[[#This Row],[Saldo]]=0,0,IF(Tabla2[[#This Row],[Tipo cliente]]="PJ",Tabla2[[#This Row],[SUBTOTAL]]*0.966%,0))</f>
        <v>44919</v>
      </c>
      <c r="S535" s="276">
        <f>IF(Tabla2[[#This Row],[Retiene IVA]]="S",Tabla2[[#This Row],[IVA]]*0.15,0)</f>
        <v>0</v>
      </c>
      <c r="T535" s="265"/>
      <c r="U53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5538150</v>
      </c>
      <c r="W535" s="23">
        <f>IF(Tabla2[[#This Row],[Fecha F.E.]]="","",YEAR(Tabla2[[#This Row],[Fecha F.E.]]))</f>
        <v>2025</v>
      </c>
      <c r="X535" s="23">
        <f>IF(Tabla2[[#This Row],[Fecha]]="","",YEAR(Tabla2[[#This Row],[Fecha]]))</f>
        <v>2025</v>
      </c>
    </row>
    <row r="536" spans="1:24" ht="26.25" x14ac:dyDescent="0.25">
      <c r="A536" s="3">
        <v>537</v>
      </c>
      <c r="B536" s="77" t="s">
        <v>1842</v>
      </c>
      <c r="C536" s="360">
        <v>45804</v>
      </c>
      <c r="D536" s="76" t="s">
        <v>1843</v>
      </c>
      <c r="E536" s="360">
        <v>45803</v>
      </c>
      <c r="F536" s="78" t="s">
        <v>231</v>
      </c>
      <c r="G536" s="85">
        <v>860524219</v>
      </c>
      <c r="H536" s="177" t="str">
        <f>VLOOKUP(Tabla2[[#This Row],[NIT]],Clientes!A:C,2,0)</f>
        <v>FUNDACION DE EDUCACION SUPERIOR SAN JOSE FESSANJOSE</v>
      </c>
      <c r="I536" s="77" t="str">
        <f>VLOOKUP(Tabla2[[#This Row],[NIT]],Clientes!A:C,3,0)</f>
        <v>PJ</v>
      </c>
      <c r="J536" s="77"/>
      <c r="K536" s="267">
        <f>SUMIFS(Tabla4[Sub Total],Tabla4[Codigo],Tabla2[[#This Row],[Cod]])</f>
        <v>6250000</v>
      </c>
      <c r="L536" s="262">
        <f>SUMPRODUCT((Tabla4[Codigo]=Tabla2[[#This Row],[Cod]])*1,Tabla4[IVA])</f>
        <v>1187500</v>
      </c>
      <c r="M536" s="262">
        <f>SUMIFS(Tabla4[Total],Tabla4[Codigo],Tabla2[[#This Row],[Cod]])</f>
        <v>7437500</v>
      </c>
      <c r="N536" s="278">
        <f>SUMPRODUCT((Tabla1[Codigo]=Tabla2[[#This Row],[Cod]])*1,Tabla1[Valor])</f>
        <v>6695875</v>
      </c>
      <c r="O536" s="265">
        <f>IF(AND(Tabla2[[#This Row],[Estado]]="ok",LEFT(Tabla2[[#This Row],['# Factura]],3)="TIS"),Tabla2[[#This Row],[TOTAL]]-Tabla2[[#This Row],[pagado]],0)</f>
        <v>-6250</v>
      </c>
      <c r="P536" s="262">
        <f>Tabla2[[#This Row],[TOTAL]]-Tabla2[[#This Row],[Valor pago]]</f>
        <v>741625</v>
      </c>
      <c r="Q536" s="265">
        <f>IF(Tabla2[[#This Row],[Saldo]]=0,0,IF(Tabla2[[#This Row],[Tipo cliente]]="PJ",Tabla2[[#This Row],[SUBTOTAL]]*11%,0))</f>
        <v>687500</v>
      </c>
      <c r="R536" s="276">
        <f>IF(Tabla2[[#This Row],[Saldo]]=0,0,IF(Tabla2[[#This Row],[Tipo cliente]]="PJ",Tabla2[[#This Row],[SUBTOTAL]]*0.966%,0))</f>
        <v>60375</v>
      </c>
      <c r="S536" s="276">
        <f>IF(Tabla2[[#This Row],[Retiene IVA]]="S",Tabla2[[#This Row],[IVA]]*0.15,0)</f>
        <v>0</v>
      </c>
      <c r="T536" s="265"/>
      <c r="U53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7443750</v>
      </c>
      <c r="W536" s="23">
        <f>IF(Tabla2[[#This Row],[Fecha F.E.]]="","",YEAR(Tabla2[[#This Row],[Fecha F.E.]]))</f>
        <v>2025</v>
      </c>
      <c r="X536" s="23">
        <f>IF(Tabla2[[#This Row],[Fecha]]="","",YEAR(Tabla2[[#This Row],[Fecha]]))</f>
        <v>2025</v>
      </c>
    </row>
    <row r="537" spans="1:24" x14ac:dyDescent="0.25">
      <c r="A537" s="3">
        <v>538</v>
      </c>
      <c r="B537" s="343" t="s">
        <v>1844</v>
      </c>
      <c r="C537" s="360">
        <v>45804</v>
      </c>
      <c r="D537" s="76"/>
      <c r="E537" s="360">
        <v>45804</v>
      </c>
      <c r="F537" s="78" t="s">
        <v>231</v>
      </c>
      <c r="G537" s="85">
        <v>901293842</v>
      </c>
      <c r="H537" s="343" t="str">
        <f>VLOOKUP(Tabla2[[#This Row],[NIT]],Clientes!A:C,2,0)</f>
        <v>SIMTEC LB S.A.S.</v>
      </c>
      <c r="I537" s="77" t="str">
        <f>VLOOKUP(Tabla2[[#This Row],[NIT]],Clientes!A:C,3,0)</f>
        <v>PJ</v>
      </c>
      <c r="J537" s="77"/>
      <c r="K537" s="344">
        <f>SUMIFS(Tabla4[Sub Total],Tabla4[Codigo],Tabla2[[#This Row],[Cod]])</f>
        <v>700000</v>
      </c>
      <c r="L537" s="262">
        <f>SUMPRODUCT((Tabla4[Codigo]=Tabla2[[#This Row],[Cod]])*1,Tabla4[IVA])</f>
        <v>133000</v>
      </c>
      <c r="M537" s="262">
        <f>SUMIFS(Tabla4[Total],Tabla4[Codigo],Tabla2[[#This Row],[Cod]])</f>
        <v>833000</v>
      </c>
      <c r="N537" s="278">
        <f>SUMPRODUCT((Tabla1[Codigo]=Tabla2[[#This Row],[Cod]])*1,Tabla1[Valor])</f>
        <v>0</v>
      </c>
      <c r="O537" s="265">
        <f>IF(AND(Tabla2[[#This Row],[Estado]]="ok",LEFT(Tabla2[[#This Row],['# Factura]],3)="TIS"),Tabla2[[#This Row],[TOTAL]]-Tabla2[[#This Row],[pagado]],0)</f>
        <v>0</v>
      </c>
      <c r="P537" s="262">
        <f>Tabla2[[#This Row],[TOTAL]]-Tabla2[[#This Row],[Valor pago]]</f>
        <v>833000</v>
      </c>
      <c r="Q537" s="265">
        <f>IF(Tabla2[[#This Row],[Saldo]]=0,0,IF(Tabla2[[#This Row],[Tipo cliente]]="PJ",Tabla2[[#This Row],[SUBTOTAL]]*11%,0))</f>
        <v>77000</v>
      </c>
      <c r="R537" s="276">
        <f>IF(Tabla2[[#This Row],[Saldo]]=0,0,IF(Tabla2[[#This Row],[Tipo cliente]]="PJ",Tabla2[[#This Row],[SUBTOTAL]]*0.966%,0))</f>
        <v>6762</v>
      </c>
      <c r="S537" s="276">
        <f>IF(Tabla2[[#This Row],[Retiene IVA]]="S",Tabla2[[#This Row],[IVA]]*0.15,0)</f>
        <v>0</v>
      </c>
      <c r="T537" s="265"/>
      <c r="U53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537" s="23">
        <f>IF(Tabla2[[#This Row],[Fecha F.E.]]="","",YEAR(Tabla2[[#This Row],[Fecha F.E.]]))</f>
        <v>2025</v>
      </c>
      <c r="X537" s="23">
        <f>IF(Tabla2[[#This Row],[Fecha]]="","",YEAR(Tabla2[[#This Row],[Fecha]]))</f>
        <v>2025</v>
      </c>
    </row>
    <row r="538" spans="1:24" x14ac:dyDescent="0.25">
      <c r="A538" s="3">
        <v>539</v>
      </c>
      <c r="B538" s="77" t="s">
        <v>1845</v>
      </c>
      <c r="C538" s="360">
        <v>45841</v>
      </c>
      <c r="D538" s="76" t="s">
        <v>1846</v>
      </c>
      <c r="E538" s="360">
        <v>45814</v>
      </c>
      <c r="F538" s="78" t="s">
        <v>231</v>
      </c>
      <c r="G538" s="85">
        <v>900505660</v>
      </c>
      <c r="H538" s="177" t="str">
        <f>VLOOKUP(Tabla2[[#This Row],[NIT]],Clientes!A:C,2,0)</f>
        <v>DIGITAL MEDIA TECHNOLOGIES COLOMBIA SAS</v>
      </c>
      <c r="I538" s="77" t="str">
        <f>VLOOKUP(Tabla2[[#This Row],[NIT]],Clientes!A:C,3,0)</f>
        <v>PJ</v>
      </c>
      <c r="J538" s="77"/>
      <c r="K538" s="267">
        <f>SUMIFS(Tabla4[Sub Total],Tabla4[Codigo],Tabla2[[#This Row],[Cod]])</f>
        <v>300000</v>
      </c>
      <c r="L538" s="262">
        <f>SUMPRODUCT((Tabla4[Codigo]=Tabla2[[#This Row],[Cod]])*1,Tabla4[IVA])</f>
        <v>57000</v>
      </c>
      <c r="M538" s="262">
        <f>SUMIFS(Tabla4[Total],Tabla4[Codigo],Tabla2[[#This Row],[Cod]])</f>
        <v>357000</v>
      </c>
      <c r="N538" s="278">
        <f>SUMPRODUCT((Tabla1[Codigo]=Tabla2[[#This Row],[Cod]])*1,Tabla1[Valor])</f>
        <v>324000</v>
      </c>
      <c r="O538" s="265">
        <f>IF(AND(Tabla2[[#This Row],[Estado]]="ok",LEFT(Tabla2[[#This Row],['# Factura]],3)="TIS"),Tabla2[[#This Row],[TOTAL]]-Tabla2[[#This Row],[pagado]],0)</f>
        <v>-2898</v>
      </c>
      <c r="P538" s="262">
        <f>Tabla2[[#This Row],[TOTAL]]-Tabla2[[#This Row],[Valor pago]]</f>
        <v>33000</v>
      </c>
      <c r="Q538" s="265">
        <f>IF(Tabla2[[#This Row],[Saldo]]=0,0,IF(Tabla2[[#This Row],[Tipo cliente]]="PJ",Tabla2[[#This Row],[SUBTOTAL]]*11%,0))</f>
        <v>33000</v>
      </c>
      <c r="R538" s="276">
        <f>IF(Tabla2[[#This Row],[Saldo]]=0,0,IF(Tabla2[[#This Row],[Tipo cliente]]="PJ",Tabla2[[#This Row],[SUBTOTAL]]*0.966%,0))</f>
        <v>2898</v>
      </c>
      <c r="S538" s="276">
        <f>IF(Tabla2[[#This Row],[Retiene IVA]]="S",Tabla2[[#This Row],[IVA]]*0.15,0)</f>
        <v>0</v>
      </c>
      <c r="T538" s="265"/>
      <c r="U53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38" s="23">
        <f>IF(Tabla2[[#This Row],[Fecha F.E.]]="","",YEAR(Tabla2[[#This Row],[Fecha F.E.]]))</f>
        <v>2025</v>
      </c>
      <c r="X538" s="23">
        <f>IF(Tabla2[[#This Row],[Fecha]]="","",YEAR(Tabla2[[#This Row],[Fecha]]))</f>
        <v>2025</v>
      </c>
    </row>
    <row r="539" spans="1:24" x14ac:dyDescent="0.25">
      <c r="A539" s="3">
        <v>540</v>
      </c>
      <c r="B539" s="77" t="s">
        <v>1847</v>
      </c>
      <c r="C539" s="360">
        <v>45841</v>
      </c>
      <c r="D539" s="76" t="s">
        <v>1848</v>
      </c>
      <c r="E539" s="360">
        <v>45817</v>
      </c>
      <c r="F539" s="78" t="s">
        <v>231</v>
      </c>
      <c r="G539" s="85">
        <v>800028768</v>
      </c>
      <c r="H539" s="177" t="str">
        <f>VLOOKUP(Tabla2[[#This Row],[NIT]],Clientes!A:C,2,0)</f>
        <v>Comercializadora ERZ SAS</v>
      </c>
      <c r="I539" s="77" t="str">
        <f>VLOOKUP(Tabla2[[#This Row],[NIT]],Clientes!A:C,3,0)</f>
        <v>PJ</v>
      </c>
      <c r="J539" s="77"/>
      <c r="K539" s="267">
        <f>SUMIFS(Tabla4[Sub Total],Tabla4[Codigo],Tabla2[[#This Row],[Cod]])</f>
        <v>300000</v>
      </c>
      <c r="L539" s="262">
        <f>SUMPRODUCT((Tabla4[Codigo]=Tabla2[[#This Row],[Cod]])*1,Tabla4[IVA])</f>
        <v>57000</v>
      </c>
      <c r="M539" s="262">
        <f>SUMIFS(Tabla4[Total],Tabla4[Codigo],Tabla2[[#This Row],[Cod]])</f>
        <v>357000</v>
      </c>
      <c r="N539" s="278">
        <f>SUMPRODUCT((Tabla1[Codigo]=Tabla2[[#This Row],[Cod]])*1,Tabla1[Valor])</f>
        <v>324000</v>
      </c>
      <c r="O539" s="265">
        <f>IF(AND(Tabla2[[#This Row],[Estado]]="ok",LEFT(Tabla2[[#This Row],['# Factura]],3)="TIS"),Tabla2[[#This Row],[TOTAL]]-Tabla2[[#This Row],[pagado]],0)</f>
        <v>-2898</v>
      </c>
      <c r="P539" s="262">
        <f>Tabla2[[#This Row],[TOTAL]]-Tabla2[[#This Row],[Valor pago]]</f>
        <v>33000</v>
      </c>
      <c r="Q539" s="265">
        <f>IF(Tabla2[[#This Row],[Saldo]]=0,0,IF(Tabla2[[#This Row],[Tipo cliente]]="PJ",Tabla2[[#This Row],[SUBTOTAL]]*11%,0))</f>
        <v>33000</v>
      </c>
      <c r="R539" s="276">
        <f>IF(Tabla2[[#This Row],[Saldo]]=0,0,IF(Tabla2[[#This Row],[Tipo cliente]]="PJ",Tabla2[[#This Row],[SUBTOTAL]]*0.966%,0))</f>
        <v>2898</v>
      </c>
      <c r="S539" s="276">
        <f>IF(Tabla2[[#This Row],[Retiene IVA]]="S",Tabla2[[#This Row],[IVA]]*0.15,0)</f>
        <v>0</v>
      </c>
      <c r="T539" s="265"/>
      <c r="U53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39" s="23">
        <f>IF(Tabla2[[#This Row],[Fecha F.E.]]="","",YEAR(Tabla2[[#This Row],[Fecha F.E.]]))</f>
        <v>2025</v>
      </c>
      <c r="X539" s="23">
        <f>IF(Tabla2[[#This Row],[Fecha]]="","",YEAR(Tabla2[[#This Row],[Fecha]]))</f>
        <v>2025</v>
      </c>
    </row>
    <row r="540" spans="1:24" x14ac:dyDescent="0.25">
      <c r="A540" s="3">
        <v>541</v>
      </c>
      <c r="B540" s="77" t="s">
        <v>1849</v>
      </c>
      <c r="C540" s="360">
        <v>45841</v>
      </c>
      <c r="D540" s="76" t="s">
        <v>1850</v>
      </c>
      <c r="E540" s="360">
        <v>45817</v>
      </c>
      <c r="F540" s="78" t="s">
        <v>231</v>
      </c>
      <c r="G540" s="85">
        <v>901342609</v>
      </c>
      <c r="H540" s="177" t="str">
        <f>VLOOKUP(Tabla2[[#This Row],[NIT]],Clientes!A:C,2,0)</f>
        <v>ROYCO SOLUCIONES SAS</v>
      </c>
      <c r="I540" s="77" t="str">
        <f>VLOOKUP(Tabla2[[#This Row],[NIT]],Clientes!A:C,3,0)</f>
        <v>PJ</v>
      </c>
      <c r="J540" s="77"/>
      <c r="K540" s="267">
        <f>SUMIFS(Tabla4[Sub Total],Tabla4[Codigo],Tabla2[[#This Row],[Cod]])</f>
        <v>300000</v>
      </c>
      <c r="L540" s="262">
        <f>SUMPRODUCT((Tabla4[Codigo]=Tabla2[[#This Row],[Cod]])*1,Tabla4[IVA])</f>
        <v>57000</v>
      </c>
      <c r="M540" s="262">
        <f>SUMIFS(Tabla4[Total],Tabla4[Codigo],Tabla2[[#This Row],[Cod]])</f>
        <v>357000</v>
      </c>
      <c r="N540" s="278">
        <f>SUMPRODUCT((Tabla1[Codigo]=Tabla2[[#This Row],[Cod]])*1,Tabla1[Valor])</f>
        <v>342000</v>
      </c>
      <c r="O540" s="265">
        <f>IF(AND(Tabla2[[#This Row],[Estado]]="ok",LEFT(Tabla2[[#This Row],['# Factura]],3)="TIS"),Tabla2[[#This Row],[TOTAL]]-Tabla2[[#This Row],[pagado]],0)</f>
        <v>-20898</v>
      </c>
      <c r="P540" s="262">
        <f>Tabla2[[#This Row],[TOTAL]]-Tabla2[[#This Row],[Valor pago]]</f>
        <v>15000</v>
      </c>
      <c r="Q540" s="265">
        <f>IF(Tabla2[[#This Row],[Saldo]]=0,0,IF(Tabla2[[#This Row],[Tipo cliente]]="PJ",Tabla2[[#This Row],[SUBTOTAL]]*11%,0))</f>
        <v>33000</v>
      </c>
      <c r="R540" s="276">
        <f>IF(Tabla2[[#This Row],[Saldo]]=0,0,IF(Tabla2[[#This Row],[Tipo cliente]]="PJ",Tabla2[[#This Row],[SUBTOTAL]]*0.966%,0))</f>
        <v>2898</v>
      </c>
      <c r="S540" s="276">
        <f>IF(Tabla2[[#This Row],[Retiene IVA]]="S",Tabla2[[#This Row],[IVA]]*0.15,0)</f>
        <v>0</v>
      </c>
      <c r="T540" s="265"/>
      <c r="U54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377898</v>
      </c>
      <c r="W540" s="23">
        <f>IF(Tabla2[[#This Row],[Fecha F.E.]]="","",YEAR(Tabla2[[#This Row],[Fecha F.E.]]))</f>
        <v>2025</v>
      </c>
      <c r="X540" s="23">
        <f>IF(Tabla2[[#This Row],[Fecha]]="","",YEAR(Tabla2[[#This Row],[Fecha]]))</f>
        <v>2025</v>
      </c>
    </row>
    <row r="541" spans="1:24" x14ac:dyDescent="0.25">
      <c r="A541" s="3">
        <v>542</v>
      </c>
      <c r="B541" s="77" t="s">
        <v>1851</v>
      </c>
      <c r="C541" s="360">
        <v>45841</v>
      </c>
      <c r="D541" s="76" t="s">
        <v>1852</v>
      </c>
      <c r="E541" s="360">
        <v>45817</v>
      </c>
      <c r="F541" s="78" t="s">
        <v>231</v>
      </c>
      <c r="G541" s="85">
        <v>901030518</v>
      </c>
      <c r="H541" s="177" t="str">
        <f>VLOOKUP(Tabla2[[#This Row],[NIT]],Clientes!A:C,2,0)</f>
        <v>Inversiones Sajamib SAS</v>
      </c>
      <c r="I541" s="77" t="str">
        <f>VLOOKUP(Tabla2[[#This Row],[NIT]],Clientes!A:C,3,0)</f>
        <v>PJ</v>
      </c>
      <c r="J541" s="77"/>
      <c r="K541" s="267">
        <f>SUMIFS(Tabla4[Sub Total],Tabla4[Codigo],Tabla2[[#This Row],[Cod]])</f>
        <v>480000</v>
      </c>
      <c r="L541" s="262">
        <f>SUMPRODUCT((Tabla4[Codigo]=Tabla2[[#This Row],[Cod]])*1,Tabla4[IVA])</f>
        <v>0</v>
      </c>
      <c r="M541" s="262">
        <f>SUMIFS(Tabla4[Total],Tabla4[Codigo],Tabla2[[#This Row],[Cod]])</f>
        <v>480000</v>
      </c>
      <c r="N541" s="278">
        <f>SUMPRODUCT((Tabla1[Codigo]=Tabla2[[#This Row],[Cod]])*1,Tabla1[Valor])</f>
        <v>422563</v>
      </c>
      <c r="O541" s="265">
        <f>IF(AND(Tabla2[[#This Row],[Estado]]="ok",LEFT(Tabla2[[#This Row],['# Factura]],3)="TIS"),Tabla2[[#This Row],[TOTAL]]-Tabla2[[#This Row],[pagado]],0)</f>
        <v>0.20000000001164153</v>
      </c>
      <c r="P541" s="262">
        <f>Tabla2[[#This Row],[TOTAL]]-Tabla2[[#This Row],[Valor pago]]</f>
        <v>57437</v>
      </c>
      <c r="Q541" s="265">
        <f>IF(Tabla2[[#This Row],[Saldo]]=0,0,IF(Tabla2[[#This Row],[Tipo cliente]]="PJ",Tabla2[[#This Row],[SUBTOTAL]]*11%,0))</f>
        <v>52800</v>
      </c>
      <c r="R541" s="276">
        <f>IF(Tabla2[[#This Row],[Saldo]]=0,0,IF(Tabla2[[#This Row],[Tipo cliente]]="PJ",Tabla2[[#This Row],[SUBTOTAL]]*0.966%,0))</f>
        <v>4636.8</v>
      </c>
      <c r="S541" s="276">
        <f>IF(Tabla2[[#This Row],[Retiene IVA]]="S",Tabla2[[#This Row],[IVA]]*0.15,0)</f>
        <v>0</v>
      </c>
      <c r="T541" s="265"/>
      <c r="U54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479999.8</v>
      </c>
      <c r="W541" s="23">
        <f>IF(Tabla2[[#This Row],[Fecha F.E.]]="","",YEAR(Tabla2[[#This Row],[Fecha F.E.]]))</f>
        <v>2025</v>
      </c>
      <c r="X541" s="23">
        <f>IF(Tabla2[[#This Row],[Fecha]]="","",YEAR(Tabla2[[#This Row],[Fecha]]))</f>
        <v>2025</v>
      </c>
    </row>
    <row r="542" spans="1:24" x14ac:dyDescent="0.25">
      <c r="A542" s="3">
        <v>543</v>
      </c>
      <c r="B542" s="77" t="s">
        <v>1853</v>
      </c>
      <c r="C542" s="360">
        <v>45841</v>
      </c>
      <c r="D542" s="76" t="s">
        <v>1854</v>
      </c>
      <c r="E542" s="360">
        <v>45817</v>
      </c>
      <c r="F542" s="78" t="s">
        <v>231</v>
      </c>
      <c r="G542" s="85">
        <v>901587426</v>
      </c>
      <c r="H542" s="177" t="str">
        <f>VLOOKUP(Tabla2[[#This Row],[NIT]],Clientes!A:C,2,0)</f>
        <v>STAFF SEGUROS AGENCIA LTDA</v>
      </c>
      <c r="I542" s="77" t="str">
        <f>VLOOKUP(Tabla2[[#This Row],[NIT]],Clientes!A:C,3,0)</f>
        <v>PJ</v>
      </c>
      <c r="J542" s="77"/>
      <c r="K542" s="267">
        <f>SUMIFS(Tabla4[Sub Total],Tabla4[Codigo],Tabla2[[#This Row],[Cod]])</f>
        <v>1200000</v>
      </c>
      <c r="L542" s="262">
        <f>SUMPRODUCT((Tabla4[Codigo]=Tabla2[[#This Row],[Cod]])*1,Tabla4[IVA])</f>
        <v>0</v>
      </c>
      <c r="M542" s="262">
        <f>SUMIFS(Tabla4[Total],Tabla4[Codigo],Tabla2[[#This Row],[Cod]])</f>
        <v>1200000</v>
      </c>
      <c r="N542" s="278">
        <f>SUMPRODUCT((Tabla1[Codigo]=Tabla2[[#This Row],[Cod]])*1,Tabla1[Valor])</f>
        <v>1200000</v>
      </c>
      <c r="O542" s="265">
        <f>IF(AND(Tabla2[[#This Row],[Estado]]="ok",LEFT(Tabla2[[#This Row],['# Factura]],3)="TIS"),Tabla2[[#This Row],[TOTAL]]-Tabla2[[#This Row],[pagado]],0)</f>
        <v>0</v>
      </c>
      <c r="P542" s="262">
        <f>Tabla2[[#This Row],[TOTAL]]-Tabla2[[#This Row],[Valor pago]]</f>
        <v>0</v>
      </c>
      <c r="Q542" s="265">
        <f>IF(Tabla2[[#This Row],[Saldo]]=0,0,IF(Tabla2[[#This Row],[Tipo cliente]]="PJ",Tabla2[[#This Row],[SUBTOTAL]]*11%,0))</f>
        <v>0</v>
      </c>
      <c r="R542" s="276">
        <f>IF(Tabla2[[#This Row],[Saldo]]=0,0,IF(Tabla2[[#This Row],[Tipo cliente]]="PJ",Tabla2[[#This Row],[SUBTOTAL]]*0.966%,0))</f>
        <v>0</v>
      </c>
      <c r="S542" s="276">
        <f>IF(Tabla2[[#This Row],[Retiene IVA]]="S",Tabla2[[#This Row],[IVA]]*0.15,0)</f>
        <v>0</v>
      </c>
      <c r="T542" s="265"/>
      <c r="U54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1200000</v>
      </c>
      <c r="W542" s="23">
        <f>IF(Tabla2[[#This Row],[Fecha F.E.]]="","",YEAR(Tabla2[[#This Row],[Fecha F.E.]]))</f>
        <v>2025</v>
      </c>
      <c r="X542" s="23">
        <f>IF(Tabla2[[#This Row],[Fecha]]="","",YEAR(Tabla2[[#This Row],[Fecha]]))</f>
        <v>2025</v>
      </c>
    </row>
    <row r="543" spans="1:24" x14ac:dyDescent="0.25">
      <c r="A543" s="3">
        <v>544</v>
      </c>
      <c r="B543" s="77" t="s">
        <v>1855</v>
      </c>
      <c r="C543" s="360">
        <v>45841</v>
      </c>
      <c r="D543" s="76" t="s">
        <v>1856</v>
      </c>
      <c r="E543" s="360">
        <v>45817</v>
      </c>
      <c r="F543" s="78" t="s">
        <v>231</v>
      </c>
      <c r="G543" s="85">
        <v>860002964</v>
      </c>
      <c r="H543" s="177" t="str">
        <f>VLOOKUP(Tabla2[[#This Row],[NIT]],Clientes!A:C,2,0)</f>
        <v>Banco de Bogota S.A.</v>
      </c>
      <c r="I543" s="77" t="str">
        <f>VLOOKUP(Tabla2[[#This Row],[NIT]],Clientes!A:C,3,0)</f>
        <v>PJ</v>
      </c>
      <c r="J543" s="77"/>
      <c r="K543" s="267">
        <f>SUMIFS(Tabla4[Sub Total],Tabla4[Codigo],Tabla2[[#This Row],[Cod]])</f>
        <v>26763084.84</v>
      </c>
      <c r="L543" s="262">
        <f>SUMPRODUCT((Tabla4[Codigo]=Tabla2[[#This Row],[Cod]])*1,Tabla4[IVA])</f>
        <v>5084986.1195999999</v>
      </c>
      <c r="M543" s="262">
        <f>SUMIFS(Tabla4[Total],Tabla4[Codigo],Tabla2[[#This Row],[Cod]])</f>
        <v>31848070.959600002</v>
      </c>
      <c r="N543" s="278">
        <f>SUMPRODUCT((Tabla1[Codigo]=Tabla2[[#This Row],[Cod]])*1,Tabla1[Valor])</f>
        <v>29756268</v>
      </c>
      <c r="O543" s="265">
        <f>IF(AND(Tabla2[[#This Row],[Estado]]="ok",LEFT(Tabla2[[#This Row],['# Factura]],3)="TIS"),Tabla2[[#This Row],[TOTAL]]-Tabla2[[#This Row],[pagado]],0)</f>
        <v>-1110667.7723544016</v>
      </c>
      <c r="P543" s="262">
        <f>Tabla2[[#This Row],[TOTAL]]-Tabla2[[#This Row],[Valor pago]]</f>
        <v>2091802.9596000016</v>
      </c>
      <c r="Q543" s="265">
        <f>IF(Tabla2[[#This Row],[Saldo]]=0,0,IF(Tabla2[[#This Row],[Tipo cliente]]="PJ",Tabla2[[#This Row],[SUBTOTAL]]*11%,0))</f>
        <v>2943939.3324000002</v>
      </c>
      <c r="R543" s="276">
        <f>IF(Tabla2[[#This Row],[Saldo]]=0,0,IF(Tabla2[[#This Row],[Tipo cliente]]="PJ",Tabla2[[#This Row],[SUBTOTAL]]*0.966%,0))</f>
        <v>258531.39955440001</v>
      </c>
      <c r="S543" s="276">
        <f>IF(Tabla2[[#This Row],[Retiene IVA]]="S",Tabla2[[#This Row],[IVA]]*0.15,0)</f>
        <v>0</v>
      </c>
      <c r="T543" s="265"/>
      <c r="U54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32958738.731954403</v>
      </c>
      <c r="W543" s="23">
        <f>IF(Tabla2[[#This Row],[Fecha F.E.]]="","",YEAR(Tabla2[[#This Row],[Fecha F.E.]]))</f>
        <v>2025</v>
      </c>
      <c r="X543" s="23">
        <f>IF(Tabla2[[#This Row],[Fecha]]="","",YEAR(Tabla2[[#This Row],[Fecha]]))</f>
        <v>2025</v>
      </c>
    </row>
    <row r="544" spans="1:24" x14ac:dyDescent="0.25">
      <c r="A544" s="3">
        <v>545</v>
      </c>
      <c r="B544" s="77" t="s">
        <v>1857</v>
      </c>
      <c r="C544" s="360">
        <v>45841</v>
      </c>
      <c r="D544" s="76" t="s">
        <v>1858</v>
      </c>
      <c r="E544" s="360">
        <v>45841</v>
      </c>
      <c r="F544" s="78" t="s">
        <v>231</v>
      </c>
      <c r="G544" s="85">
        <v>800028768</v>
      </c>
      <c r="H544" s="177" t="str">
        <f>VLOOKUP(Tabla2[[#This Row],[NIT]],Clientes!A:C,2,0)</f>
        <v>Comercializadora ERZ SAS</v>
      </c>
      <c r="I544" s="77" t="str">
        <f>VLOOKUP(Tabla2[[#This Row],[NIT]],Clientes!A:C,3,0)</f>
        <v>PJ</v>
      </c>
      <c r="J544" s="77"/>
      <c r="K544" s="267">
        <f>SUMIFS(Tabla4[Sub Total],Tabla4[Codigo],Tabla2[[#This Row],[Cod]])</f>
        <v>300000</v>
      </c>
      <c r="L544" s="262">
        <f>SUMPRODUCT((Tabla4[Codigo]=Tabla2[[#This Row],[Cod]])*1,Tabla4[IVA])</f>
        <v>57000</v>
      </c>
      <c r="M544" s="262">
        <f>SUMIFS(Tabla4[Total],Tabla4[Codigo],Tabla2[[#This Row],[Cod]])</f>
        <v>357000</v>
      </c>
      <c r="N544" s="278">
        <f>SUMPRODUCT((Tabla1[Codigo]=Tabla2[[#This Row],[Cod]])*1,Tabla1[Valor])</f>
        <v>324000</v>
      </c>
      <c r="O544" s="265">
        <f>IF(AND(Tabla2[[#This Row],[Estado]]="ok",LEFT(Tabla2[[#This Row],['# Factura]],3)="TIS"),Tabla2[[#This Row],[TOTAL]]-Tabla2[[#This Row],[pagado]],0)</f>
        <v>-2898</v>
      </c>
      <c r="P544" s="262">
        <f>Tabla2[[#This Row],[TOTAL]]-Tabla2[[#This Row],[Valor pago]]</f>
        <v>33000</v>
      </c>
      <c r="Q544" s="265">
        <f>IF(Tabla2[[#This Row],[Saldo]]=0,0,IF(Tabla2[[#This Row],[Tipo cliente]]="PJ",Tabla2[[#This Row],[SUBTOTAL]]*11%,0))</f>
        <v>33000</v>
      </c>
      <c r="R544" s="276">
        <f>IF(Tabla2[[#This Row],[Saldo]]=0,0,IF(Tabla2[[#This Row],[Tipo cliente]]="PJ",Tabla2[[#This Row],[SUBTOTAL]]*0.966%,0))</f>
        <v>2898</v>
      </c>
      <c r="S544" s="276">
        <f>IF(Tabla2[[#This Row],[Retiene IVA]]="S",Tabla2[[#This Row],[IVA]]*0.15,0)</f>
        <v>0</v>
      </c>
      <c r="T544" s="265"/>
      <c r="U54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44" s="23">
        <f>IF(Tabla2[[#This Row],[Fecha F.E.]]="","",YEAR(Tabla2[[#This Row],[Fecha F.E.]]))</f>
        <v>2025</v>
      </c>
      <c r="X544" s="23">
        <f>IF(Tabla2[[#This Row],[Fecha]]="","",YEAR(Tabla2[[#This Row],[Fecha]]))</f>
        <v>2025</v>
      </c>
    </row>
    <row r="545" spans="1:24" x14ac:dyDescent="0.25">
      <c r="A545" s="3">
        <v>546</v>
      </c>
      <c r="B545" s="77" t="s">
        <v>1859</v>
      </c>
      <c r="C545" s="360">
        <v>45841</v>
      </c>
      <c r="D545" s="76" t="s">
        <v>1860</v>
      </c>
      <c r="E545" s="360">
        <v>45841</v>
      </c>
      <c r="F545" s="78" t="s">
        <v>231</v>
      </c>
      <c r="G545" s="85">
        <v>901342609</v>
      </c>
      <c r="H545" s="177" t="str">
        <f>VLOOKUP(Tabla2[[#This Row],[NIT]],Clientes!A:C,2,0)</f>
        <v>ROYCO SOLUCIONES SAS</v>
      </c>
      <c r="I545" s="77" t="str">
        <f>VLOOKUP(Tabla2[[#This Row],[NIT]],Clientes!A:C,3,0)</f>
        <v>PJ</v>
      </c>
      <c r="J545" s="77"/>
      <c r="K545" s="267">
        <f>SUMIFS(Tabla4[Sub Total],Tabla4[Codigo],Tabla2[[#This Row],[Cod]])</f>
        <v>250000</v>
      </c>
      <c r="L545" s="262">
        <f>SUMPRODUCT((Tabla4[Codigo]=Tabla2[[#This Row],[Cod]])*1,Tabla4[IVA])</f>
        <v>47500</v>
      </c>
      <c r="M545" s="262">
        <f>SUMIFS(Tabla4[Total],Tabla4[Codigo],Tabla2[[#This Row],[Cod]])</f>
        <v>297500</v>
      </c>
      <c r="N545" s="278">
        <f>SUMPRODUCT((Tabla1[Codigo]=Tabla2[[#This Row],[Cod]])*1,Tabla1[Valor])</f>
        <v>287500</v>
      </c>
      <c r="O545" s="265">
        <f>IF(AND(Tabla2[[#This Row],[Estado]]="ok",LEFT(Tabla2[[#This Row],['# Factura]],3)="TIS"),Tabla2[[#This Row],[TOTAL]]-Tabla2[[#This Row],[pagado]],0)</f>
        <v>-19915</v>
      </c>
      <c r="P545" s="262">
        <f>Tabla2[[#This Row],[TOTAL]]-Tabla2[[#This Row],[Valor pago]]</f>
        <v>10000</v>
      </c>
      <c r="Q545" s="265">
        <f>IF(Tabla2[[#This Row],[Saldo]]=0,0,IF(Tabla2[[#This Row],[Tipo cliente]]="PJ",Tabla2[[#This Row],[SUBTOTAL]]*11%,0))</f>
        <v>27500</v>
      </c>
      <c r="R545" s="276">
        <f>IF(Tabla2[[#This Row],[Saldo]]=0,0,IF(Tabla2[[#This Row],[Tipo cliente]]="PJ",Tabla2[[#This Row],[SUBTOTAL]]*0.966%,0))</f>
        <v>2415</v>
      </c>
      <c r="S545" s="276">
        <f>IF(Tabla2[[#This Row],[Retiene IVA]]="S",Tabla2[[#This Row],[IVA]]*0.15,0)</f>
        <v>0</v>
      </c>
      <c r="T545" s="265"/>
      <c r="U54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317415</v>
      </c>
      <c r="W545" s="23">
        <f>IF(Tabla2[[#This Row],[Fecha F.E.]]="","",YEAR(Tabla2[[#This Row],[Fecha F.E.]]))</f>
        <v>2025</v>
      </c>
      <c r="X545" s="23">
        <f>IF(Tabla2[[#This Row],[Fecha]]="","",YEAR(Tabla2[[#This Row],[Fecha]]))</f>
        <v>2025</v>
      </c>
    </row>
    <row r="546" spans="1:24" x14ac:dyDescent="0.25">
      <c r="A546" s="3">
        <v>547</v>
      </c>
      <c r="B546" s="77" t="s">
        <v>1861</v>
      </c>
      <c r="C546" s="360">
        <v>45841</v>
      </c>
      <c r="D546" s="76" t="s">
        <v>1862</v>
      </c>
      <c r="E546" s="360">
        <v>45841</v>
      </c>
      <c r="F546" s="78" t="s">
        <v>231</v>
      </c>
      <c r="G546" s="85">
        <v>901030518</v>
      </c>
      <c r="H546" s="177" t="str">
        <f>VLOOKUP(Tabla2[[#This Row],[NIT]],Clientes!A:C,2,0)</f>
        <v>Inversiones Sajamib SAS</v>
      </c>
      <c r="I546" s="77" t="str">
        <f>VLOOKUP(Tabla2[[#This Row],[NIT]],Clientes!A:C,3,0)</f>
        <v>PJ</v>
      </c>
      <c r="J546" s="77"/>
      <c r="K546" s="267">
        <f>SUMIFS(Tabla4[Sub Total],Tabla4[Codigo],Tabla2[[#This Row],[Cod]])</f>
        <v>480000</v>
      </c>
      <c r="L546" s="262">
        <f>SUMPRODUCT((Tabla4[Codigo]=Tabla2[[#This Row],[Cod]])*1,Tabla4[IVA])</f>
        <v>0</v>
      </c>
      <c r="M546" s="262">
        <f>SUMIFS(Tabla4[Total],Tabla4[Codigo],Tabla2[[#This Row],[Cod]])</f>
        <v>480000</v>
      </c>
      <c r="N546" s="278">
        <f>SUMPRODUCT((Tabla1[Codigo]=Tabla2[[#This Row],[Cod]])*1,Tabla1[Valor])</f>
        <v>480000</v>
      </c>
      <c r="O546" s="265">
        <f>IF(AND(Tabla2[[#This Row],[Estado]]="ok",LEFT(Tabla2[[#This Row],['# Factura]],3)="TIS"),Tabla2[[#This Row],[TOTAL]]-Tabla2[[#This Row],[pagado]],0)</f>
        <v>0</v>
      </c>
      <c r="P546" s="262">
        <f>Tabla2[[#This Row],[TOTAL]]-Tabla2[[#This Row],[Valor pago]]</f>
        <v>0</v>
      </c>
      <c r="Q546" s="265">
        <f>IF(Tabla2[[#This Row],[Saldo]]=0,0,IF(Tabla2[[#This Row],[Tipo cliente]]="PJ",Tabla2[[#This Row],[SUBTOTAL]]*11%,0))</f>
        <v>0</v>
      </c>
      <c r="R546" s="276">
        <f>IF(Tabla2[[#This Row],[Saldo]]=0,0,IF(Tabla2[[#This Row],[Tipo cliente]]="PJ",Tabla2[[#This Row],[SUBTOTAL]]*0.966%,0))</f>
        <v>0</v>
      </c>
      <c r="S546" s="276">
        <f>IF(Tabla2[[#This Row],[Retiene IVA]]="S",Tabla2[[#This Row],[IVA]]*0.15,0)</f>
        <v>0</v>
      </c>
      <c r="T546" s="265"/>
      <c r="U54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546" s="23">
        <f>IF(Tabla2[[#This Row],[Fecha F.E.]]="","",YEAR(Tabla2[[#This Row],[Fecha F.E.]]))</f>
        <v>2025</v>
      </c>
      <c r="X546" s="23">
        <f>IF(Tabla2[[#This Row],[Fecha]]="","",YEAR(Tabla2[[#This Row],[Fecha]]))</f>
        <v>2025</v>
      </c>
    </row>
    <row r="547" spans="1:24" x14ac:dyDescent="0.25">
      <c r="A547" s="3">
        <v>548</v>
      </c>
      <c r="B547" s="77" t="s">
        <v>1863</v>
      </c>
      <c r="C547" s="360">
        <v>45841</v>
      </c>
      <c r="D547" s="76" t="s">
        <v>1864</v>
      </c>
      <c r="E547" s="360">
        <v>45841</v>
      </c>
      <c r="F547" s="78" t="s">
        <v>231</v>
      </c>
      <c r="G547" s="85">
        <v>900505660</v>
      </c>
      <c r="H547" s="177" t="str">
        <f>VLOOKUP(Tabla2[[#This Row],[NIT]],Clientes!A:C,2,0)</f>
        <v>DIGITAL MEDIA TECHNOLOGIES COLOMBIA SAS</v>
      </c>
      <c r="I547" s="77" t="str">
        <f>VLOOKUP(Tabla2[[#This Row],[NIT]],Clientes!A:C,3,0)</f>
        <v>PJ</v>
      </c>
      <c r="J547" s="77"/>
      <c r="K547" s="267">
        <f>SUMIFS(Tabla4[Sub Total],Tabla4[Codigo],Tabla2[[#This Row],[Cod]])</f>
        <v>300000</v>
      </c>
      <c r="L547" s="262">
        <f>SUMPRODUCT((Tabla4[Codigo]=Tabla2[[#This Row],[Cod]])*1,Tabla4[IVA])</f>
        <v>57000</v>
      </c>
      <c r="M547" s="262">
        <f>SUMIFS(Tabla4[Total],Tabla4[Codigo],Tabla2[[#This Row],[Cod]])</f>
        <v>357000</v>
      </c>
      <c r="N547" s="278">
        <f>SUMPRODUCT((Tabla1[Codigo]=Tabla2[[#This Row],[Cod]])*1,Tabla1[Valor])</f>
        <v>324000</v>
      </c>
      <c r="O547" s="265">
        <f>IF(AND(Tabla2[[#This Row],[Estado]]="ok",LEFT(Tabla2[[#This Row],['# Factura]],3)="TIS"),Tabla2[[#This Row],[TOTAL]]-Tabla2[[#This Row],[pagado]],0)</f>
        <v>-2898</v>
      </c>
      <c r="P547" s="262">
        <f>Tabla2[[#This Row],[TOTAL]]-Tabla2[[#This Row],[Valor pago]]</f>
        <v>33000</v>
      </c>
      <c r="Q547" s="265">
        <f>IF(Tabla2[[#This Row],[Saldo]]=0,0,IF(Tabla2[[#This Row],[Tipo cliente]]="PJ",Tabla2[[#This Row],[SUBTOTAL]]*11%,0))</f>
        <v>33000</v>
      </c>
      <c r="R547" s="276">
        <f>IF(Tabla2[[#This Row],[Saldo]]=0,0,IF(Tabla2[[#This Row],[Tipo cliente]]="PJ",Tabla2[[#This Row],[SUBTOTAL]]*0.966%,0))</f>
        <v>2898</v>
      </c>
      <c r="S547" s="276">
        <f>IF(Tabla2[[#This Row],[Retiene IVA]]="S",Tabla2[[#This Row],[IVA]]*0.15,0)</f>
        <v>0</v>
      </c>
      <c r="T547" s="265"/>
      <c r="U54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47" s="23">
        <f>IF(Tabla2[[#This Row],[Fecha F.E.]]="","",YEAR(Tabla2[[#This Row],[Fecha F.E.]]))</f>
        <v>2025</v>
      </c>
      <c r="X547" s="23">
        <f>IF(Tabla2[[#This Row],[Fecha]]="","",YEAR(Tabla2[[#This Row],[Fecha]]))</f>
        <v>2025</v>
      </c>
    </row>
    <row r="548" spans="1:24" x14ac:dyDescent="0.25">
      <c r="A548" s="3">
        <v>549</v>
      </c>
      <c r="B548" s="77" t="s">
        <v>1865</v>
      </c>
      <c r="C548" s="360">
        <v>45841</v>
      </c>
      <c r="D548" s="76" t="s">
        <v>1866</v>
      </c>
      <c r="E548" s="360">
        <v>45841</v>
      </c>
      <c r="F548" s="78" t="s">
        <v>231</v>
      </c>
      <c r="G548" s="85">
        <v>901587426</v>
      </c>
      <c r="H548" s="177" t="str">
        <f>VLOOKUP(Tabla2[[#This Row],[NIT]],Clientes!A:C,2,0)</f>
        <v>STAFF SEGUROS AGENCIA LTDA</v>
      </c>
      <c r="I548" s="77" t="str">
        <f>VLOOKUP(Tabla2[[#This Row],[NIT]],Clientes!A:C,3,0)</f>
        <v>PJ</v>
      </c>
      <c r="J548" s="77"/>
      <c r="K548" s="267">
        <f>SUMIFS(Tabla4[Sub Total],Tabla4[Codigo],Tabla2[[#This Row],[Cod]])</f>
        <v>1360000</v>
      </c>
      <c r="L548" s="262">
        <f>SUMPRODUCT((Tabla4[Codigo]=Tabla2[[#This Row],[Cod]])*1,Tabla4[IVA])</f>
        <v>0</v>
      </c>
      <c r="M548" s="262">
        <f>SUMIFS(Tabla4[Total],Tabla4[Codigo],Tabla2[[#This Row],[Cod]])</f>
        <v>1360000</v>
      </c>
      <c r="N548" s="278">
        <f>SUMPRODUCT((Tabla1[Codigo]=Tabla2[[#This Row],[Cod]])*1,Tabla1[Valor])</f>
        <v>1360000</v>
      </c>
      <c r="O548" s="265">
        <f>IF(AND(Tabla2[[#This Row],[Estado]]="ok",LEFT(Tabla2[[#This Row],['# Factura]],3)="TIS"),Tabla2[[#This Row],[TOTAL]]-Tabla2[[#This Row],[pagado]],0)</f>
        <v>0</v>
      </c>
      <c r="P548" s="262">
        <f>Tabla2[[#This Row],[TOTAL]]-Tabla2[[#This Row],[Valor pago]]</f>
        <v>0</v>
      </c>
      <c r="Q548" s="265">
        <f>IF(Tabla2[[#This Row],[Saldo]]=0,0,IF(Tabla2[[#This Row],[Tipo cliente]]="PJ",Tabla2[[#This Row],[SUBTOTAL]]*11%,0))</f>
        <v>0</v>
      </c>
      <c r="R548" s="276">
        <f>IF(Tabla2[[#This Row],[Saldo]]=0,0,IF(Tabla2[[#This Row],[Tipo cliente]]="PJ",Tabla2[[#This Row],[SUBTOTAL]]*0.966%,0))</f>
        <v>0</v>
      </c>
      <c r="S548" s="276">
        <f>IF(Tabla2[[#This Row],[Retiene IVA]]="S",Tabla2[[#This Row],[IVA]]*0.15,0)</f>
        <v>0</v>
      </c>
      <c r="T548" s="265"/>
      <c r="U54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1360000</v>
      </c>
      <c r="W548" s="23">
        <f>IF(Tabla2[[#This Row],[Fecha F.E.]]="","",YEAR(Tabla2[[#This Row],[Fecha F.E.]]))</f>
        <v>2025</v>
      </c>
      <c r="X548" s="23">
        <f>IF(Tabla2[[#This Row],[Fecha]]="","",YEAR(Tabla2[[#This Row],[Fecha]]))</f>
        <v>2025</v>
      </c>
    </row>
    <row r="549" spans="1:24" x14ac:dyDescent="0.25">
      <c r="A549" s="3">
        <v>550</v>
      </c>
      <c r="B549" s="77" t="s">
        <v>1867</v>
      </c>
      <c r="C549" s="360">
        <v>45841</v>
      </c>
      <c r="D549" s="76" t="s">
        <v>1868</v>
      </c>
      <c r="E549" s="360">
        <v>45841</v>
      </c>
      <c r="F549" s="78" t="s">
        <v>231</v>
      </c>
      <c r="G549" s="85">
        <v>901700940</v>
      </c>
      <c r="H549" s="177" t="str">
        <f>VLOOKUP(Tabla2[[#This Row],[NIT]],Clientes!A:C,2,0)</f>
        <v>AND TOPOGRAFIA E INGENIERIA SAS</v>
      </c>
      <c r="I549" s="77" t="str">
        <f>VLOOKUP(Tabla2[[#This Row],[NIT]],Clientes!A:C,3,0)</f>
        <v>PJ</v>
      </c>
      <c r="J549" s="77"/>
      <c r="K549" s="267">
        <f>SUMIFS(Tabla4[Sub Total],Tabla4[Codigo],Tabla2[[#This Row],[Cod]])</f>
        <v>1800000</v>
      </c>
      <c r="L549" s="262">
        <f>SUMPRODUCT((Tabla4[Codigo]=Tabla2[[#This Row],[Cod]])*1,Tabla4[IVA])</f>
        <v>0</v>
      </c>
      <c r="M549" s="262">
        <f>SUMIFS(Tabla4[Total],Tabla4[Codigo],Tabla2[[#This Row],[Cod]])</f>
        <v>1800000</v>
      </c>
      <c r="N549" s="278">
        <f>SUMPRODUCT((Tabla1[Codigo]=Tabla2[[#This Row],[Cod]])*1,Tabla1[Valor])</f>
        <v>1586412</v>
      </c>
      <c r="O549" s="265">
        <f>IF(AND(Tabla2[[#This Row],[Estado]]="ok",LEFT(Tabla2[[#This Row],['# Factura]],3)="TIS"),Tabla2[[#This Row],[TOTAL]]-Tabla2[[#This Row],[pagado]],0)</f>
        <v>-1800</v>
      </c>
      <c r="P549" s="262">
        <f>Tabla2[[#This Row],[TOTAL]]-Tabla2[[#This Row],[Valor pago]]</f>
        <v>213588</v>
      </c>
      <c r="Q549" s="265">
        <f>IF(Tabla2[[#This Row],[Saldo]]=0,0,IF(Tabla2[[#This Row],[Tipo cliente]]="PJ",Tabla2[[#This Row],[SUBTOTAL]]*11%,0))</f>
        <v>198000</v>
      </c>
      <c r="R549" s="276">
        <f>IF(Tabla2[[#This Row],[Saldo]]=0,0,IF(Tabla2[[#This Row],[Tipo cliente]]="PJ",Tabla2[[#This Row],[SUBTOTAL]]*0.966%,0))</f>
        <v>17388</v>
      </c>
      <c r="S549" s="276">
        <f>IF(Tabla2[[#This Row],[Retiene IVA]]="S",Tabla2[[#This Row],[IVA]]*0.15,0)</f>
        <v>0</v>
      </c>
      <c r="T549" s="265"/>
      <c r="U54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1801800</v>
      </c>
      <c r="W549" s="23">
        <f>IF(Tabla2[[#This Row],[Fecha F.E.]]="","",YEAR(Tabla2[[#This Row],[Fecha F.E.]]))</f>
        <v>2025</v>
      </c>
      <c r="X549" s="23">
        <f>IF(Tabla2[[#This Row],[Fecha]]="","",YEAR(Tabla2[[#This Row],[Fecha]]))</f>
        <v>2025</v>
      </c>
    </row>
    <row r="550" spans="1:24" x14ac:dyDescent="0.25">
      <c r="A550" s="3">
        <v>551</v>
      </c>
      <c r="B550" s="77" t="s">
        <v>1869</v>
      </c>
      <c r="C550" s="360">
        <v>45841</v>
      </c>
      <c r="D550" s="76" t="s">
        <v>1870</v>
      </c>
      <c r="E550" s="360">
        <v>45841</v>
      </c>
      <c r="F550" s="78" t="s">
        <v>231</v>
      </c>
      <c r="G550" s="85">
        <v>830103479</v>
      </c>
      <c r="H550" s="177" t="str">
        <f>VLOOKUP(Tabla2[[#This Row],[NIT]],Clientes!A:C,2,0)</f>
        <v>CONTROLAR SALUD INTEGRAL SAS</v>
      </c>
      <c r="I550" s="77" t="str">
        <f>VLOOKUP(Tabla2[[#This Row],[NIT]],Clientes!A:C,3,0)</f>
        <v>PJ</v>
      </c>
      <c r="J550" s="77"/>
      <c r="K550" s="267">
        <f>SUMIFS(Tabla4[Sub Total],Tabla4[Codigo],Tabla2[[#This Row],[Cod]])</f>
        <v>730000</v>
      </c>
      <c r="L550" s="262">
        <f>SUMPRODUCT((Tabla4[Codigo]=Tabla2[[#This Row],[Cod]])*1,Tabla4[IVA])</f>
        <v>0</v>
      </c>
      <c r="M550" s="262">
        <f>SUMIFS(Tabla4[Total],Tabla4[Codigo],Tabla2[[#This Row],[Cod]])</f>
        <v>730000</v>
      </c>
      <c r="N550" s="278">
        <f>SUMPRODUCT((Tabla1[Codigo]=Tabla2[[#This Row],[Cod]])*1,Tabla1[Valor])</f>
        <v>649700</v>
      </c>
      <c r="O550" s="265">
        <f>IF(AND(Tabla2[[#This Row],[Estado]]="ok",LEFT(Tabla2[[#This Row],['# Factura]],3)="TIS"),Tabla2[[#This Row],[TOTAL]]-Tabla2[[#This Row],[pagado]],0)</f>
        <v>-7051.8000000000466</v>
      </c>
      <c r="P550" s="262">
        <f>Tabla2[[#This Row],[TOTAL]]-Tabla2[[#This Row],[Valor pago]]</f>
        <v>80300</v>
      </c>
      <c r="Q550" s="265">
        <f>IF(Tabla2[[#This Row],[Saldo]]=0,0,IF(Tabla2[[#This Row],[Tipo cliente]]="PJ",Tabla2[[#This Row],[SUBTOTAL]]*11%,0))</f>
        <v>80300</v>
      </c>
      <c r="R550" s="276">
        <f>IF(Tabla2[[#This Row],[Saldo]]=0,0,IF(Tabla2[[#This Row],[Tipo cliente]]="PJ",Tabla2[[#This Row],[SUBTOTAL]]*0.966%,0))</f>
        <v>7051.8</v>
      </c>
      <c r="S550" s="276">
        <f>IF(Tabla2[[#This Row],[Retiene IVA]]="S",Tabla2[[#This Row],[IVA]]*0.15,0)</f>
        <v>0</v>
      </c>
      <c r="T550" s="265"/>
      <c r="U55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737051.8</v>
      </c>
      <c r="W550" s="23">
        <f>IF(Tabla2[[#This Row],[Fecha F.E.]]="","",YEAR(Tabla2[[#This Row],[Fecha F.E.]]))</f>
        <v>2025</v>
      </c>
      <c r="X550" s="23">
        <f>IF(Tabla2[[#This Row],[Fecha]]="","",YEAR(Tabla2[[#This Row],[Fecha]]))</f>
        <v>2025</v>
      </c>
    </row>
    <row r="551" spans="1:24" x14ac:dyDescent="0.25">
      <c r="A551" s="3">
        <v>552</v>
      </c>
      <c r="B551" s="77" t="s">
        <v>1871</v>
      </c>
      <c r="C551" s="360">
        <v>45841</v>
      </c>
      <c r="D551" s="76" t="s">
        <v>1872</v>
      </c>
      <c r="E551" s="360">
        <v>45841</v>
      </c>
      <c r="F551" s="78" t="s">
        <v>231</v>
      </c>
      <c r="G551" s="85">
        <v>830078301</v>
      </c>
      <c r="H551" s="177" t="str">
        <f>VLOOKUP(Tabla2[[#This Row],[NIT]],Clientes!A:C,2,0)</f>
        <v>SUPPLYTEC SAS</v>
      </c>
      <c r="I551" s="77" t="str">
        <f>VLOOKUP(Tabla2[[#This Row],[NIT]],Clientes!A:C,3,0)</f>
        <v>PJ</v>
      </c>
      <c r="J551" s="77"/>
      <c r="K551" s="267">
        <f>SUMIFS(Tabla4[Sub Total],Tabla4[Codigo],Tabla2[[#This Row],[Cod]])</f>
        <v>1110000</v>
      </c>
      <c r="L551" s="262">
        <f>SUMPRODUCT((Tabla4[Codigo]=Tabla2[[#This Row],[Cod]])*1,Tabla4[IVA])</f>
        <v>210900</v>
      </c>
      <c r="M551" s="262">
        <f>SUMIFS(Tabla4[Total],Tabla4[Codigo],Tabla2[[#This Row],[Cod]])</f>
        <v>1320900</v>
      </c>
      <c r="N551" s="278">
        <f>SUMPRODUCT((Tabla1[Codigo]=Tabla2[[#This Row],[Cod]])*1,Tabla1[Valor])</f>
        <v>1268841</v>
      </c>
      <c r="O551" s="265">
        <f>IF(AND(Tabla2[[#This Row],[Estado]]="ok",LEFT(Tabla2[[#This Row],['# Factura]],3)="TIS"),Tabla2[[#This Row],[TOTAL]]-Tabla2[[#This Row],[pagado]],0)</f>
        <v>-80763.600000000093</v>
      </c>
      <c r="P551" s="262">
        <f>Tabla2[[#This Row],[TOTAL]]-Tabla2[[#This Row],[Valor pago]]</f>
        <v>52059</v>
      </c>
      <c r="Q551" s="265">
        <f>IF(Tabla2[[#This Row],[Saldo]]=0,0,IF(Tabla2[[#This Row],[Tipo cliente]]="PJ",Tabla2[[#This Row],[SUBTOTAL]]*11%,0))</f>
        <v>122100</v>
      </c>
      <c r="R551" s="276">
        <f>IF(Tabla2[[#This Row],[Saldo]]=0,0,IF(Tabla2[[#This Row],[Tipo cliente]]="PJ",Tabla2[[#This Row],[SUBTOTAL]]*0.966%,0))</f>
        <v>10722.6</v>
      </c>
      <c r="S551" s="276">
        <f>IF(Tabla2[[#This Row],[Retiene IVA]]="S",Tabla2[[#This Row],[IVA]]*0.15,0)</f>
        <v>0</v>
      </c>
      <c r="T551" s="265"/>
      <c r="U55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1401663.6</v>
      </c>
      <c r="W551" s="23">
        <f>IF(Tabla2[[#This Row],[Fecha F.E.]]="","",YEAR(Tabla2[[#This Row],[Fecha F.E.]]))</f>
        <v>2025</v>
      </c>
      <c r="X551" s="23">
        <f>IF(Tabla2[[#This Row],[Fecha]]="","",YEAR(Tabla2[[#This Row],[Fecha]]))</f>
        <v>2025</v>
      </c>
    </row>
    <row r="552" spans="1:24" ht="26.25" x14ac:dyDescent="0.25">
      <c r="A552" s="3">
        <v>553</v>
      </c>
      <c r="B552" s="77" t="s">
        <v>1873</v>
      </c>
      <c r="C552" s="360">
        <v>45841</v>
      </c>
      <c r="D552" s="76" t="s">
        <v>1874</v>
      </c>
      <c r="E552" s="360">
        <v>45841</v>
      </c>
      <c r="F552" s="78" t="s">
        <v>231</v>
      </c>
      <c r="G552" s="85">
        <v>830105194</v>
      </c>
      <c r="H552" s="177" t="str">
        <f>VLOOKUP(Tabla2[[#This Row],[NIT]],Clientes!A:C,2,0)</f>
        <v>COMERCIALIZADORA INTERNACIONAL DYNAMIC TRADING CORPORATION S.A.S</v>
      </c>
      <c r="I552" s="77" t="str">
        <f>VLOOKUP(Tabla2[[#This Row],[NIT]],Clientes!A:C,3,0)</f>
        <v>PJ</v>
      </c>
      <c r="J552" s="77"/>
      <c r="K552" s="267">
        <f>SUMIFS(Tabla4[Sub Total],Tabla4[Codigo],Tabla2[[#This Row],[Cod]])</f>
        <v>300000</v>
      </c>
      <c r="L552" s="262">
        <f>SUMPRODUCT((Tabla4[Codigo]=Tabla2[[#This Row],[Cod]])*1,Tabla4[IVA])</f>
        <v>57000</v>
      </c>
      <c r="M552" s="262">
        <f>SUMIFS(Tabla4[Total],Tabla4[Codigo],Tabla2[[#This Row],[Cod]])</f>
        <v>357000</v>
      </c>
      <c r="N552" s="278">
        <f>SUMPRODUCT((Tabla1[Codigo]=Tabla2[[#This Row],[Cod]])*1,Tabla1[Valor])</f>
        <v>342102</v>
      </c>
      <c r="O552" s="265">
        <f>IF(AND(Tabla2[[#This Row],[Estado]]="ok",LEFT(Tabla2[[#This Row],['# Factura]],3)="TIS"),Tabla2[[#This Row],[TOTAL]]-Tabla2[[#This Row],[pagado]],0)</f>
        <v>-21000</v>
      </c>
      <c r="P552" s="262">
        <f>Tabla2[[#This Row],[TOTAL]]-Tabla2[[#This Row],[Valor pago]]</f>
        <v>14898</v>
      </c>
      <c r="Q552" s="265">
        <f>IF(Tabla2[[#This Row],[Saldo]]=0,0,IF(Tabla2[[#This Row],[Tipo cliente]]="PJ",Tabla2[[#This Row],[SUBTOTAL]]*11%,0))</f>
        <v>33000</v>
      </c>
      <c r="R552" s="276">
        <f>IF(Tabla2[[#This Row],[Saldo]]=0,0,IF(Tabla2[[#This Row],[Tipo cliente]]="PJ",Tabla2[[#This Row],[SUBTOTAL]]*0.966%,0))</f>
        <v>2898</v>
      </c>
      <c r="S552" s="276">
        <f>IF(Tabla2[[#This Row],[Retiene IVA]]="S",Tabla2[[#This Row],[IVA]]*0.15,0)</f>
        <v>0</v>
      </c>
      <c r="T552" s="265"/>
      <c r="U55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378000</v>
      </c>
      <c r="W552" s="23">
        <f>IF(Tabla2[[#This Row],[Fecha F.E.]]="","",YEAR(Tabla2[[#This Row],[Fecha F.E.]]))</f>
        <v>2025</v>
      </c>
      <c r="X552" s="23">
        <f>IF(Tabla2[[#This Row],[Fecha]]="","",YEAR(Tabla2[[#This Row],[Fecha]]))</f>
        <v>2025</v>
      </c>
    </row>
    <row r="553" spans="1:24" x14ac:dyDescent="0.25">
      <c r="A553" s="3">
        <v>554</v>
      </c>
      <c r="B553" s="77" t="s">
        <v>1875</v>
      </c>
      <c r="C553" s="360">
        <v>45852</v>
      </c>
      <c r="D553" s="76" t="s">
        <v>1876</v>
      </c>
      <c r="E553" s="360">
        <v>45847</v>
      </c>
      <c r="F553" s="78" t="s">
        <v>716</v>
      </c>
      <c r="G553" s="85">
        <v>860002964</v>
      </c>
      <c r="H553" s="177" t="str">
        <f>VLOOKUP(Tabla2[[#This Row],[NIT]],Clientes!A:C,2,0)</f>
        <v>Banco de Bogota S.A.</v>
      </c>
      <c r="I553" s="77" t="str">
        <f>VLOOKUP(Tabla2[[#This Row],[NIT]],Clientes!A:C,3,0)</f>
        <v>PJ</v>
      </c>
      <c r="J553" s="77"/>
      <c r="K553" s="267">
        <f>SUMIFS(Tabla4[Sub Total],Tabla4[Codigo],Tabla2[[#This Row],[Cod]])</f>
        <v>26763085</v>
      </c>
      <c r="L553" s="262">
        <f>SUMPRODUCT((Tabla4[Codigo]=Tabla2[[#This Row],[Cod]])*1,Tabla4[IVA])</f>
        <v>5084986.1500000004</v>
      </c>
      <c r="M553" s="262">
        <f>SUMIFS(Tabla4[Total],Tabla4[Codigo],Tabla2[[#This Row],[Cod]])</f>
        <v>31848071.149999999</v>
      </c>
      <c r="N553" s="278">
        <f>SUMPRODUCT((Tabla1[Codigo]=Tabla2[[#This Row],[Cod]])*1,Tabla1[Valor])</f>
        <v>0</v>
      </c>
      <c r="O553" s="265">
        <f>IF(AND(Tabla2[[#This Row],[Estado]]="ok",LEFT(Tabla2[[#This Row],['# Factura]],3)="TIS"),Tabla2[[#This Row],[TOTAL]]-Tabla2[[#This Row],[pagado]],0)</f>
        <v>0</v>
      </c>
      <c r="P553" s="262">
        <f>Tabla2[[#This Row],[TOTAL]]-Tabla2[[#This Row],[Valor pago]]</f>
        <v>31848071.149999999</v>
      </c>
      <c r="Q553" s="265">
        <f>IF(Tabla2[[#This Row],[Saldo]]=0,0,IF(Tabla2[[#This Row],[Tipo cliente]]="PJ",Tabla2[[#This Row],[SUBTOTAL]]*11%,0))</f>
        <v>2943939.35</v>
      </c>
      <c r="R553" s="276">
        <f>IF(Tabla2[[#This Row],[Saldo]]=0,0,IF(Tabla2[[#This Row],[Tipo cliente]]="PJ",Tabla2[[#This Row],[SUBTOTAL]]*0.966%,0))</f>
        <v>258531.40110000002</v>
      </c>
      <c r="S553" s="276">
        <f>IF(Tabla2[[#This Row],[Retiene IVA]]="S",Tabla2[[#This Row],[IVA]]*0.15,0)</f>
        <v>0</v>
      </c>
      <c r="T553" s="265"/>
      <c r="U55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553" s="23">
        <f>IF(Tabla2[[#This Row],[Fecha F.E.]]="","",YEAR(Tabla2[[#This Row],[Fecha F.E.]]))</f>
        <v>2025</v>
      </c>
      <c r="X553" s="23">
        <f>IF(Tabla2[[#This Row],[Fecha]]="","",YEAR(Tabla2[[#This Row],[Fecha]]))</f>
        <v>2025</v>
      </c>
    </row>
    <row r="554" spans="1:24" x14ac:dyDescent="0.25">
      <c r="A554" s="3">
        <v>555</v>
      </c>
      <c r="B554" s="77" t="s">
        <v>1877</v>
      </c>
      <c r="C554" s="360">
        <v>45852</v>
      </c>
      <c r="D554" s="76" t="s">
        <v>1878</v>
      </c>
      <c r="E554" s="360">
        <v>45851</v>
      </c>
      <c r="F554" s="78" t="s">
        <v>231</v>
      </c>
      <c r="G554" s="85">
        <v>860090915</v>
      </c>
      <c r="H554" s="177" t="str">
        <f>VLOOKUP(Tabla2[[#This Row],[NIT]],Clientes!A:C,2,0)</f>
        <v>ACTIVOS SAS</v>
      </c>
      <c r="I554" s="77" t="str">
        <f>VLOOKUP(Tabla2[[#This Row],[NIT]],Clientes!A:C,3,0)</f>
        <v>PJ</v>
      </c>
      <c r="J554" s="77"/>
      <c r="K554" s="267">
        <f>SUMIFS(Tabla4[Sub Total],Tabla4[Codigo],Tabla2[[#This Row],[Cod]])</f>
        <v>19575000</v>
      </c>
      <c r="L554" s="262">
        <f>SUMPRODUCT((Tabla4[Codigo]=Tabla2[[#This Row],[Cod]])*1,Tabla4[IVA])</f>
        <v>3719250</v>
      </c>
      <c r="M554" s="262">
        <f>SUMIFS(Tabla4[Total],Tabla4[Codigo],Tabla2[[#This Row],[Cod]])</f>
        <v>23294250</v>
      </c>
      <c r="N554" s="278">
        <f>SUMPRODUCT((Tabla1[Codigo]=Tabla2[[#This Row],[Cod]])*1,Tabla1[Valor])</f>
        <v>20962150</v>
      </c>
      <c r="O554" s="265">
        <f>IF(AND(Tabla2[[#This Row],[Estado]]="ok",LEFT(Tabla2[[#This Row],['# Factura]],3)="TIS"),Tabla2[[#This Row],[TOTAL]]-Tabla2[[#This Row],[pagado]],0)</f>
        <v>-10244.5</v>
      </c>
      <c r="P554" s="262">
        <f>Tabla2[[#This Row],[TOTAL]]-Tabla2[[#This Row],[Valor pago]]</f>
        <v>2332100</v>
      </c>
      <c r="Q554" s="265">
        <f>IF(Tabla2[[#This Row],[Saldo]]=0,0,IF(Tabla2[[#This Row],[Tipo cliente]]="PJ",Tabla2[[#This Row],[SUBTOTAL]]*11%,0))</f>
        <v>2153250</v>
      </c>
      <c r="R554" s="276">
        <f>IF(Tabla2[[#This Row],[Saldo]]=0,0,IF(Tabla2[[#This Row],[Tipo cliente]]="PJ",Tabla2[[#This Row],[SUBTOTAL]]*0.966%,0))</f>
        <v>189094.5</v>
      </c>
      <c r="S554" s="276">
        <f>IF(Tabla2[[#This Row],[Retiene IVA]]="S",Tabla2[[#This Row],[IVA]]*0.15,0)</f>
        <v>0</v>
      </c>
      <c r="T554" s="265"/>
      <c r="U55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23304494.5</v>
      </c>
      <c r="W554" s="23">
        <f>IF(Tabla2[[#This Row],[Fecha F.E.]]="","",YEAR(Tabla2[[#This Row],[Fecha F.E.]]))</f>
        <v>2025</v>
      </c>
      <c r="X554" s="23">
        <f>IF(Tabla2[[#This Row],[Fecha]]="","",YEAR(Tabla2[[#This Row],[Fecha]]))</f>
        <v>2025</v>
      </c>
    </row>
    <row r="555" spans="1:24" x14ac:dyDescent="0.25">
      <c r="A555" s="3">
        <v>556</v>
      </c>
      <c r="B555" s="77" t="s">
        <v>1879</v>
      </c>
      <c r="C555" s="360">
        <v>45855</v>
      </c>
      <c r="D555" s="76" t="s">
        <v>1880</v>
      </c>
      <c r="E555" s="360">
        <v>45852</v>
      </c>
      <c r="F555" s="78" t="s">
        <v>231</v>
      </c>
      <c r="G555" s="85">
        <v>830058959</v>
      </c>
      <c r="H555" s="177" t="str">
        <f>VLOOKUP(Tabla2[[#This Row],[NIT]],Clientes!A:C,2,0)</f>
        <v>CHECOREPUESTOS S A S</v>
      </c>
      <c r="I555" s="77" t="str">
        <f>VLOOKUP(Tabla2[[#This Row],[NIT]],Clientes!A:C,3,0)</f>
        <v>PJ</v>
      </c>
      <c r="J555" s="77"/>
      <c r="K555" s="267">
        <f>SUMIFS(Tabla4[Sub Total],Tabla4[Codigo],Tabla2[[#This Row],[Cod]])</f>
        <v>1060000</v>
      </c>
      <c r="L555" s="262">
        <f>SUMPRODUCT((Tabla4[Codigo]=Tabla2[[#This Row],[Cod]])*1,Tabla4[IVA])</f>
        <v>201400</v>
      </c>
      <c r="M555" s="262">
        <f>SUMIFS(Tabla4[Total],Tabla4[Codigo],Tabla2[[#This Row],[Cod]])</f>
        <v>1261400</v>
      </c>
      <c r="N555" s="278">
        <f>SUMPRODUCT((Tabla1[Codigo]=Tabla2[[#This Row],[Cod]])*1,Tabla1[Valor])</f>
        <v>1219000</v>
      </c>
      <c r="O555" s="265">
        <f>IF(AND(Tabla2[[#This Row],[Estado]]="ok",LEFT(Tabla2[[#This Row],['# Factura]],3)="TIS"),Tabla2[[#This Row],[TOTAL]]-Tabla2[[#This Row],[pagado]],0)</f>
        <v>-84439.600000000093</v>
      </c>
      <c r="P555" s="262">
        <f>Tabla2[[#This Row],[TOTAL]]-Tabla2[[#This Row],[Valor pago]]</f>
        <v>42400</v>
      </c>
      <c r="Q555" s="265">
        <f>IF(Tabla2[[#This Row],[Saldo]]=0,0,IF(Tabla2[[#This Row],[Tipo cliente]]="PJ",Tabla2[[#This Row],[SUBTOTAL]]*11%,0))</f>
        <v>116600</v>
      </c>
      <c r="R555" s="276">
        <f>IF(Tabla2[[#This Row],[Saldo]]=0,0,IF(Tabla2[[#This Row],[Tipo cliente]]="PJ",Tabla2[[#This Row],[SUBTOTAL]]*0.966%,0))</f>
        <v>10239.6</v>
      </c>
      <c r="S555" s="276">
        <f>IF(Tabla2[[#This Row],[Retiene IVA]]="S",Tabla2[[#This Row],[IVA]]*0.15,0)</f>
        <v>0</v>
      </c>
      <c r="T555" s="265"/>
      <c r="U55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1345839.6</v>
      </c>
      <c r="W555" s="23">
        <f>IF(Tabla2[[#This Row],[Fecha F.E.]]="","",YEAR(Tabla2[[#This Row],[Fecha F.E.]]))</f>
        <v>2025</v>
      </c>
      <c r="X555" s="23">
        <f>IF(Tabla2[[#This Row],[Fecha]]="","",YEAR(Tabla2[[#This Row],[Fecha]]))</f>
        <v>2025</v>
      </c>
    </row>
    <row r="556" spans="1:24" x14ac:dyDescent="0.25">
      <c r="A556" s="3">
        <v>557</v>
      </c>
      <c r="B556" s="77" t="s">
        <v>1881</v>
      </c>
      <c r="C556" s="360">
        <v>45855</v>
      </c>
      <c r="D556" s="76" t="s">
        <v>1882</v>
      </c>
      <c r="E556" s="360">
        <v>45852</v>
      </c>
      <c r="F556" s="78" t="s">
        <v>231</v>
      </c>
      <c r="G556" s="85">
        <v>900794234</v>
      </c>
      <c r="H556" s="177" t="str">
        <f>VLOOKUP(Tabla2[[#This Row],[NIT]],Clientes!A:C,2,0)</f>
        <v>AEQUALES SAS</v>
      </c>
      <c r="I556" s="77" t="str">
        <f>VLOOKUP(Tabla2[[#This Row],[NIT]],Clientes!A:C,3,0)</f>
        <v>PJ</v>
      </c>
      <c r="J556" s="77"/>
      <c r="K556" s="267">
        <f>SUMIFS(Tabla4[Sub Total],Tabla4[Codigo],Tabla2[[#This Row],[Cod]])</f>
        <v>1400000</v>
      </c>
      <c r="L556" s="262">
        <f>SUMPRODUCT((Tabla4[Codigo]=Tabla2[[#This Row],[Cod]])*1,Tabla4[IVA])</f>
        <v>266000</v>
      </c>
      <c r="M556" s="262">
        <f>SUMIFS(Tabla4[Total],Tabla4[Codigo],Tabla2[[#This Row],[Cod]])</f>
        <v>1666000</v>
      </c>
      <c r="N556" s="278">
        <f>SUMPRODUCT((Tabla1[Codigo]=Tabla2[[#This Row],[Cod]])*1,Tabla1[Valor])</f>
        <v>1610000</v>
      </c>
      <c r="O556" s="265">
        <f>IF(AND(Tabla2[[#This Row],[Estado]]="ok",LEFT(Tabla2[[#This Row],['# Factura]],3)="TIS"),Tabla2[[#This Row],[TOTAL]]-Tabla2[[#This Row],[pagado]],0)</f>
        <v>-111524</v>
      </c>
      <c r="P556" s="262">
        <f>Tabla2[[#This Row],[TOTAL]]-Tabla2[[#This Row],[Valor pago]]</f>
        <v>56000</v>
      </c>
      <c r="Q556" s="265">
        <f>IF(Tabla2[[#This Row],[Saldo]]=0,0,IF(Tabla2[[#This Row],[Tipo cliente]]="PJ",Tabla2[[#This Row],[SUBTOTAL]]*11%,0))</f>
        <v>154000</v>
      </c>
      <c r="R556" s="276">
        <f>IF(Tabla2[[#This Row],[Saldo]]=0,0,IF(Tabla2[[#This Row],[Tipo cliente]]="PJ",Tabla2[[#This Row],[SUBTOTAL]]*0.966%,0))</f>
        <v>13524</v>
      </c>
      <c r="S556" s="276">
        <f>IF(Tabla2[[#This Row],[Retiene IVA]]="S",Tabla2[[#This Row],[IVA]]*0.15,0)</f>
        <v>0</v>
      </c>
      <c r="T556" s="265"/>
      <c r="U55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1777524</v>
      </c>
      <c r="W556" s="23">
        <f>IF(Tabla2[[#This Row],[Fecha F.E.]]="","",YEAR(Tabla2[[#This Row],[Fecha F.E.]]))</f>
        <v>2025</v>
      </c>
      <c r="X556" s="23">
        <f>IF(Tabla2[[#This Row],[Fecha]]="","",YEAR(Tabla2[[#This Row],[Fecha]]))</f>
        <v>2025</v>
      </c>
    </row>
    <row r="557" spans="1:24" x14ac:dyDescent="0.25">
      <c r="A557" s="3">
        <v>558</v>
      </c>
      <c r="B557" s="77" t="s">
        <v>1883</v>
      </c>
      <c r="C557" s="360">
        <v>45863</v>
      </c>
      <c r="D557" s="76" t="s">
        <v>1882</v>
      </c>
      <c r="E557" s="360">
        <v>45852</v>
      </c>
      <c r="F557" s="78" t="s">
        <v>716</v>
      </c>
      <c r="G557" s="85">
        <v>900794234</v>
      </c>
      <c r="H557" s="177" t="str">
        <f>VLOOKUP(Tabla2[[#This Row],[NIT]],Clientes!A:C,2,0)</f>
        <v>AEQUALES SAS</v>
      </c>
      <c r="I557" s="77" t="str">
        <f>VLOOKUP(Tabla2[[#This Row],[NIT]],Clientes!A:C,3,0)</f>
        <v>PJ</v>
      </c>
      <c r="J557" s="77"/>
      <c r="K557" s="267">
        <f>SUMIFS(Tabla4[Sub Total],Tabla4[Codigo],Tabla2[[#This Row],[Cod]])</f>
        <v>1400000</v>
      </c>
      <c r="L557" s="262">
        <f>SUMPRODUCT((Tabla4[Codigo]=Tabla2[[#This Row],[Cod]])*1,Tabla4[IVA])</f>
        <v>266000</v>
      </c>
      <c r="M557" s="262">
        <f>SUMIFS(Tabla4[Total],Tabla4[Codigo],Tabla2[[#This Row],[Cod]])</f>
        <v>1666000</v>
      </c>
      <c r="N557" s="278">
        <f>SUMPRODUCT((Tabla1[Codigo]=Tabla2[[#This Row],[Cod]])*1,Tabla1[Valor])</f>
        <v>0</v>
      </c>
      <c r="O557" s="265">
        <f>IF(AND(Tabla2[[#This Row],[Estado]]="ok",LEFT(Tabla2[[#This Row],['# Factura]],3)="TIS"),Tabla2[[#This Row],[TOTAL]]-Tabla2[[#This Row],[pagado]],0)</f>
        <v>0</v>
      </c>
      <c r="P557" s="262">
        <f>Tabla2[[#This Row],[TOTAL]]-Tabla2[[#This Row],[Valor pago]]</f>
        <v>1666000</v>
      </c>
      <c r="Q557" s="265">
        <f>IF(Tabla2[[#This Row],[Saldo]]=0,0,IF(Tabla2[[#This Row],[Tipo cliente]]="PJ",Tabla2[[#This Row],[SUBTOTAL]]*11%,0))</f>
        <v>154000</v>
      </c>
      <c r="R557" s="276">
        <f>IF(Tabla2[[#This Row],[Saldo]]=0,0,IF(Tabla2[[#This Row],[Tipo cliente]]="PJ",Tabla2[[#This Row],[SUBTOTAL]]*0.966%,0))</f>
        <v>13524</v>
      </c>
      <c r="S557" s="276">
        <f>IF(Tabla2[[#This Row],[Retiene IVA]]="S",Tabla2[[#This Row],[IVA]]*0.15,0)</f>
        <v>0</v>
      </c>
      <c r="T557" s="265"/>
      <c r="U55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557" s="23">
        <f>IF(Tabla2[[#This Row],[Fecha F.E.]]="","",YEAR(Tabla2[[#This Row],[Fecha F.E.]]))</f>
        <v>2025</v>
      </c>
      <c r="X557" s="23">
        <f>IF(Tabla2[[#This Row],[Fecha]]="","",YEAR(Tabla2[[#This Row],[Fecha]]))</f>
        <v>2025</v>
      </c>
    </row>
    <row r="558" spans="1:24" x14ac:dyDescent="0.25">
      <c r="A558" s="3">
        <v>559</v>
      </c>
      <c r="B558" s="77" t="s">
        <v>1884</v>
      </c>
      <c r="C558" s="360">
        <v>45877</v>
      </c>
      <c r="D558" s="76" t="s">
        <v>1885</v>
      </c>
      <c r="E558" s="360">
        <v>45875</v>
      </c>
      <c r="F558" s="78" t="s">
        <v>231</v>
      </c>
      <c r="G558" s="85">
        <v>800028768</v>
      </c>
      <c r="H558" s="177" t="str">
        <f>VLOOKUP(Tabla2[[#This Row],[NIT]],Clientes!A:C,2,0)</f>
        <v>Comercializadora ERZ SAS</v>
      </c>
      <c r="I558" s="77" t="str">
        <f>VLOOKUP(Tabla2[[#This Row],[NIT]],Clientes!A:C,3,0)</f>
        <v>PJ</v>
      </c>
      <c r="J558" s="77"/>
      <c r="K558" s="267">
        <f>SUMIFS(Tabla4[Sub Total],Tabla4[Codigo],Tabla2[[#This Row],[Cod]])</f>
        <v>300000</v>
      </c>
      <c r="L558" s="262">
        <f>SUMPRODUCT((Tabla4[Codigo]=Tabla2[[#This Row],[Cod]])*1,Tabla4[IVA])</f>
        <v>57000</v>
      </c>
      <c r="M558" s="262">
        <f>SUMIFS(Tabla4[Total],Tabla4[Codigo],Tabla2[[#This Row],[Cod]])</f>
        <v>357000</v>
      </c>
      <c r="N558" s="278">
        <f>SUMPRODUCT((Tabla1[Codigo]=Tabla2[[#This Row],[Cod]])*1,Tabla1[Valor])</f>
        <v>324000</v>
      </c>
      <c r="O558" s="265">
        <f>IF(AND(Tabla2[[#This Row],[Estado]]="ok",LEFT(Tabla2[[#This Row],['# Factura]],3)="TIS"),Tabla2[[#This Row],[TOTAL]]-Tabla2[[#This Row],[pagado]],0)</f>
        <v>-2898</v>
      </c>
      <c r="P558" s="262">
        <f>Tabla2[[#This Row],[TOTAL]]-Tabla2[[#This Row],[Valor pago]]</f>
        <v>33000</v>
      </c>
      <c r="Q558" s="265">
        <f>IF(Tabla2[[#This Row],[Saldo]]=0,0,IF(Tabla2[[#This Row],[Tipo cliente]]="PJ",Tabla2[[#This Row],[SUBTOTAL]]*11%,0))</f>
        <v>33000</v>
      </c>
      <c r="R558" s="276">
        <f>IF(Tabla2[[#This Row],[Saldo]]=0,0,IF(Tabla2[[#This Row],[Tipo cliente]]="PJ",Tabla2[[#This Row],[SUBTOTAL]]*0.966%,0))</f>
        <v>2898</v>
      </c>
      <c r="S558" s="276">
        <f>IF(Tabla2[[#This Row],[Retiene IVA]]="S",Tabla2[[#This Row],[IVA]]*0.15,0)</f>
        <v>0</v>
      </c>
      <c r="T558" s="265"/>
      <c r="U55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58" s="23">
        <f>IF(Tabla2[[#This Row],[Fecha F.E.]]="","",YEAR(Tabla2[[#This Row],[Fecha F.E.]]))</f>
        <v>2025</v>
      </c>
      <c r="X558" s="23">
        <f>IF(Tabla2[[#This Row],[Fecha]]="","",YEAR(Tabla2[[#This Row],[Fecha]]))</f>
        <v>2025</v>
      </c>
    </row>
    <row r="559" spans="1:24" x14ac:dyDescent="0.25">
      <c r="A559" s="3">
        <v>560</v>
      </c>
      <c r="B559" s="77" t="s">
        <v>1886</v>
      </c>
      <c r="C559" s="360">
        <v>45877</v>
      </c>
      <c r="D559" s="76" t="s">
        <v>1887</v>
      </c>
      <c r="E559" s="360">
        <v>45875</v>
      </c>
      <c r="F559" s="78" t="s">
        <v>231</v>
      </c>
      <c r="G559" s="85">
        <v>900505660</v>
      </c>
      <c r="H559" s="177" t="str">
        <f>VLOOKUP(Tabla2[[#This Row],[NIT]],Clientes!A:C,2,0)</f>
        <v>DIGITAL MEDIA TECHNOLOGIES COLOMBIA SAS</v>
      </c>
      <c r="I559" s="77" t="str">
        <f>VLOOKUP(Tabla2[[#This Row],[NIT]],Clientes!A:C,3,0)</f>
        <v>PJ</v>
      </c>
      <c r="J559" s="77"/>
      <c r="K559" s="267">
        <f>SUMIFS(Tabla4[Sub Total],Tabla4[Codigo],Tabla2[[#This Row],[Cod]])</f>
        <v>300000</v>
      </c>
      <c r="L559" s="262">
        <f>SUMPRODUCT((Tabla4[Codigo]=Tabla2[[#This Row],[Cod]])*1,Tabla4[IVA])</f>
        <v>57000</v>
      </c>
      <c r="M559" s="262">
        <f>SUMIFS(Tabla4[Total],Tabla4[Codigo],Tabla2[[#This Row],[Cod]])</f>
        <v>357000</v>
      </c>
      <c r="N559" s="278">
        <f>SUMPRODUCT((Tabla1[Codigo]=Tabla2[[#This Row],[Cod]])*1,Tabla1[Valor])</f>
        <v>324000</v>
      </c>
      <c r="O559" s="265">
        <f>IF(AND(Tabla2[[#This Row],[Estado]]="ok",LEFT(Tabla2[[#This Row],['# Factura]],3)="TIS"),Tabla2[[#This Row],[TOTAL]]-Tabla2[[#This Row],[pagado]],0)</f>
        <v>-2898</v>
      </c>
      <c r="P559" s="262">
        <f>Tabla2[[#This Row],[TOTAL]]-Tabla2[[#This Row],[Valor pago]]</f>
        <v>33000</v>
      </c>
      <c r="Q559" s="265">
        <f>IF(Tabla2[[#This Row],[Saldo]]=0,0,IF(Tabla2[[#This Row],[Tipo cliente]]="PJ",Tabla2[[#This Row],[SUBTOTAL]]*11%,0))</f>
        <v>33000</v>
      </c>
      <c r="R559" s="276">
        <f>IF(Tabla2[[#This Row],[Saldo]]=0,0,IF(Tabla2[[#This Row],[Tipo cliente]]="PJ",Tabla2[[#This Row],[SUBTOTAL]]*0.966%,0))</f>
        <v>2898</v>
      </c>
      <c r="S559" s="276">
        <f>IF(Tabla2[[#This Row],[Retiene IVA]]="S",Tabla2[[#This Row],[IVA]]*0.15,0)</f>
        <v>0</v>
      </c>
      <c r="T559" s="265"/>
      <c r="U55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59" s="23">
        <f>IF(Tabla2[[#This Row],[Fecha F.E.]]="","",YEAR(Tabla2[[#This Row],[Fecha F.E.]]))</f>
        <v>2025</v>
      </c>
      <c r="X559" s="23">
        <f>IF(Tabla2[[#This Row],[Fecha]]="","",YEAR(Tabla2[[#This Row],[Fecha]]))</f>
        <v>2025</v>
      </c>
    </row>
    <row r="560" spans="1:24" x14ac:dyDescent="0.25">
      <c r="A560" s="3">
        <v>561</v>
      </c>
      <c r="B560" s="77" t="s">
        <v>1888</v>
      </c>
      <c r="C560" s="360">
        <v>45877</v>
      </c>
      <c r="D560" s="76" t="s">
        <v>1889</v>
      </c>
      <c r="E560" s="360">
        <v>45875</v>
      </c>
      <c r="F560" s="78" t="s">
        <v>231</v>
      </c>
      <c r="G560" s="85">
        <v>901342609</v>
      </c>
      <c r="H560" s="177" t="str">
        <f>VLOOKUP(Tabla2[[#This Row],[NIT]],Clientes!A:C,2,0)</f>
        <v>ROYCO SOLUCIONES SAS</v>
      </c>
      <c r="I560" s="77" t="str">
        <f>VLOOKUP(Tabla2[[#This Row],[NIT]],Clientes!A:C,3,0)</f>
        <v>PJ</v>
      </c>
      <c r="J560" s="77"/>
      <c r="K560" s="267">
        <f>SUMIFS(Tabla4[Sub Total],Tabla4[Codigo],Tabla2[[#This Row],[Cod]])</f>
        <v>200000</v>
      </c>
      <c r="L560" s="262">
        <f>SUMPRODUCT((Tabla4[Codigo]=Tabla2[[#This Row],[Cod]])*1,Tabla4[IVA])</f>
        <v>38000</v>
      </c>
      <c r="M560" s="262">
        <f>SUMIFS(Tabla4[Total],Tabla4[Codigo],Tabla2[[#This Row],[Cod]])</f>
        <v>238000</v>
      </c>
      <c r="N560" s="278">
        <f>SUMPRODUCT((Tabla1[Codigo]=Tabla2[[#This Row],[Cod]])*1,Tabla1[Valor])</f>
        <v>233000</v>
      </c>
      <c r="O560" s="265">
        <f>IF(AND(Tabla2[[#This Row],[Estado]]="ok",LEFT(Tabla2[[#This Row],['# Factura]],3)="TIS"),Tabla2[[#This Row],[TOTAL]]-Tabla2[[#This Row],[pagado]],0)</f>
        <v>-18932</v>
      </c>
      <c r="P560" s="262">
        <f>Tabla2[[#This Row],[TOTAL]]-Tabla2[[#This Row],[Valor pago]]</f>
        <v>5000</v>
      </c>
      <c r="Q560" s="265">
        <f>IF(Tabla2[[#This Row],[Saldo]]=0,0,IF(Tabla2[[#This Row],[Tipo cliente]]="PJ",Tabla2[[#This Row],[SUBTOTAL]]*11%,0))</f>
        <v>22000</v>
      </c>
      <c r="R560" s="276">
        <f>IF(Tabla2[[#This Row],[Saldo]]=0,0,IF(Tabla2[[#This Row],[Tipo cliente]]="PJ",Tabla2[[#This Row],[SUBTOTAL]]*0.966%,0))</f>
        <v>1932</v>
      </c>
      <c r="S560" s="276">
        <f>IF(Tabla2[[#This Row],[Retiene IVA]]="S",Tabla2[[#This Row],[IVA]]*0.15,0)</f>
        <v>0</v>
      </c>
      <c r="T560" s="265"/>
      <c r="U56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256932</v>
      </c>
      <c r="W560" s="23">
        <f>IF(Tabla2[[#This Row],[Fecha F.E.]]="","",YEAR(Tabla2[[#This Row],[Fecha F.E.]]))</f>
        <v>2025</v>
      </c>
      <c r="X560" s="23">
        <f>IF(Tabla2[[#This Row],[Fecha]]="","",YEAR(Tabla2[[#This Row],[Fecha]]))</f>
        <v>2025</v>
      </c>
    </row>
    <row r="561" spans="1:24" x14ac:dyDescent="0.25">
      <c r="A561" s="3">
        <v>562</v>
      </c>
      <c r="B561" s="77" t="s">
        <v>1890</v>
      </c>
      <c r="C561" s="360">
        <v>45877</v>
      </c>
      <c r="D561" s="76" t="s">
        <v>1891</v>
      </c>
      <c r="E561" s="360">
        <v>45875</v>
      </c>
      <c r="F561" s="78" t="s">
        <v>231</v>
      </c>
      <c r="G561" s="85">
        <v>901700940</v>
      </c>
      <c r="H561" s="177" t="str">
        <f>VLOOKUP(Tabla2[[#This Row],[NIT]],Clientes!A:C,2,0)</f>
        <v>AND TOPOGRAFIA E INGENIERIA SAS</v>
      </c>
      <c r="I561" s="77" t="str">
        <f>VLOOKUP(Tabla2[[#This Row],[NIT]],Clientes!A:C,3,0)</f>
        <v>PJ</v>
      </c>
      <c r="J561" s="77"/>
      <c r="K561" s="267">
        <f>SUMIFS(Tabla4[Sub Total],Tabla4[Codigo],Tabla2[[#This Row],[Cod]])</f>
        <v>300000</v>
      </c>
      <c r="L561" s="262">
        <f>SUMPRODUCT((Tabla4[Codigo]=Tabla2[[#This Row],[Cod]])*1,Tabla4[IVA])</f>
        <v>0</v>
      </c>
      <c r="M561" s="262">
        <f>SUMIFS(Tabla4[Total],Tabla4[Codigo],Tabla2[[#This Row],[Cod]])</f>
        <v>300000</v>
      </c>
      <c r="N561" s="278">
        <f>SUMPRODUCT((Tabla1[Codigo]=Tabla2[[#This Row],[Cod]])*1,Tabla1[Valor])</f>
        <v>300000</v>
      </c>
      <c r="O561" s="265">
        <f>IF(AND(Tabla2[[#This Row],[Estado]]="ok",LEFT(Tabla2[[#This Row],['# Factura]],3)="TIS"),Tabla2[[#This Row],[TOTAL]]-Tabla2[[#This Row],[pagado]],0)</f>
        <v>0</v>
      </c>
      <c r="P561" s="262">
        <f>Tabla2[[#This Row],[TOTAL]]-Tabla2[[#This Row],[Valor pago]]</f>
        <v>0</v>
      </c>
      <c r="Q561" s="265">
        <f>IF(Tabla2[[#This Row],[Saldo]]=0,0,IF(Tabla2[[#This Row],[Tipo cliente]]="PJ",Tabla2[[#This Row],[SUBTOTAL]]*11%,0))</f>
        <v>0</v>
      </c>
      <c r="R561" s="276">
        <f>IF(Tabla2[[#This Row],[Saldo]]=0,0,IF(Tabla2[[#This Row],[Tipo cliente]]="PJ",Tabla2[[#This Row],[SUBTOTAL]]*0.966%,0))</f>
        <v>0</v>
      </c>
      <c r="S561" s="276">
        <f>IF(Tabla2[[#This Row],[Retiene IVA]]="S",Tabla2[[#This Row],[IVA]]*0.15,0)</f>
        <v>0</v>
      </c>
      <c r="T561" s="265"/>
      <c r="U56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300000</v>
      </c>
      <c r="W561" s="23">
        <f>IF(Tabla2[[#This Row],[Fecha F.E.]]="","",YEAR(Tabla2[[#This Row],[Fecha F.E.]]))</f>
        <v>2025</v>
      </c>
      <c r="X561" s="23">
        <f>IF(Tabla2[[#This Row],[Fecha]]="","",YEAR(Tabla2[[#This Row],[Fecha]]))</f>
        <v>2025</v>
      </c>
    </row>
    <row r="562" spans="1:24" x14ac:dyDescent="0.25">
      <c r="A562" s="3">
        <v>563</v>
      </c>
      <c r="B562" s="77" t="s">
        <v>1892</v>
      </c>
      <c r="C562" s="360">
        <v>45877</v>
      </c>
      <c r="D562" s="76" t="s">
        <v>1893</v>
      </c>
      <c r="E562" s="360">
        <v>45875</v>
      </c>
      <c r="F562" s="78" t="s">
        <v>231</v>
      </c>
      <c r="G562" s="85">
        <v>901030518</v>
      </c>
      <c r="H562" s="177" t="str">
        <f>VLOOKUP(Tabla2[[#This Row],[NIT]],Clientes!A:C,2,0)</f>
        <v>Inversiones Sajamib SAS</v>
      </c>
      <c r="I562" s="77" t="str">
        <f>VLOOKUP(Tabla2[[#This Row],[NIT]],Clientes!A:C,3,0)</f>
        <v>PJ</v>
      </c>
      <c r="J562" s="77"/>
      <c r="K562" s="267">
        <f>SUMIFS(Tabla4[Sub Total],Tabla4[Codigo],Tabla2[[#This Row],[Cod]])</f>
        <v>480000</v>
      </c>
      <c r="L562" s="262">
        <f>SUMPRODUCT((Tabla4[Codigo]=Tabla2[[#This Row],[Cod]])*1,Tabla4[IVA])</f>
        <v>0</v>
      </c>
      <c r="M562" s="262">
        <f>SUMIFS(Tabla4[Total],Tabla4[Codigo],Tabla2[[#This Row],[Cod]])</f>
        <v>480000</v>
      </c>
      <c r="N562" s="278">
        <f>SUMPRODUCT((Tabla1[Codigo]=Tabla2[[#This Row],[Cod]])*1,Tabla1[Valor])</f>
        <v>480000</v>
      </c>
      <c r="O562" s="265">
        <f>IF(AND(Tabla2[[#This Row],[Estado]]="ok",LEFT(Tabla2[[#This Row],['# Factura]],3)="TIS"),Tabla2[[#This Row],[TOTAL]]-Tabla2[[#This Row],[pagado]],0)</f>
        <v>0</v>
      </c>
      <c r="P562" s="262">
        <f>Tabla2[[#This Row],[TOTAL]]-Tabla2[[#This Row],[Valor pago]]</f>
        <v>0</v>
      </c>
      <c r="Q562" s="265">
        <f>IF(Tabla2[[#This Row],[Saldo]]=0,0,IF(Tabla2[[#This Row],[Tipo cliente]]="PJ",Tabla2[[#This Row],[SUBTOTAL]]*11%,0))</f>
        <v>0</v>
      </c>
      <c r="R562" s="276">
        <f>IF(Tabla2[[#This Row],[Saldo]]=0,0,IF(Tabla2[[#This Row],[Tipo cliente]]="PJ",Tabla2[[#This Row],[SUBTOTAL]]*0.966%,0))</f>
        <v>0</v>
      </c>
      <c r="S562" s="276">
        <f>IF(Tabla2[[#This Row],[Retiene IVA]]="S",Tabla2[[#This Row],[IVA]]*0.15,0)</f>
        <v>0</v>
      </c>
      <c r="T562" s="265"/>
      <c r="U56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562" s="23">
        <f>IF(Tabla2[[#This Row],[Fecha F.E.]]="","",YEAR(Tabla2[[#This Row],[Fecha F.E.]]))</f>
        <v>2025</v>
      </c>
      <c r="X562" s="23">
        <f>IF(Tabla2[[#This Row],[Fecha]]="","",YEAR(Tabla2[[#This Row],[Fecha]]))</f>
        <v>2025</v>
      </c>
    </row>
    <row r="563" spans="1:24" x14ac:dyDescent="0.25">
      <c r="A563" s="3">
        <v>564</v>
      </c>
      <c r="B563" s="77" t="s">
        <v>1894</v>
      </c>
      <c r="C563" s="360">
        <v>45877</v>
      </c>
      <c r="D563" s="76" t="s">
        <v>1895</v>
      </c>
      <c r="E563" s="360">
        <v>45875</v>
      </c>
      <c r="F563" s="78" t="s">
        <v>231</v>
      </c>
      <c r="G563" s="85">
        <v>901587426</v>
      </c>
      <c r="H563" s="177" t="str">
        <f>VLOOKUP(Tabla2[[#This Row],[NIT]],Clientes!A:C,2,0)</f>
        <v>STAFF SEGUROS AGENCIA LTDA</v>
      </c>
      <c r="I563" s="77" t="str">
        <f>VLOOKUP(Tabla2[[#This Row],[NIT]],Clientes!A:C,3,0)</f>
        <v>PJ</v>
      </c>
      <c r="J563" s="77"/>
      <c r="K563" s="267">
        <f>SUMIFS(Tabla4[Sub Total],Tabla4[Codigo],Tabla2[[#This Row],[Cod]])</f>
        <v>1790000</v>
      </c>
      <c r="L563" s="262">
        <f>SUMPRODUCT((Tabla4[Codigo]=Tabla2[[#This Row],[Cod]])*1,Tabla4[IVA])</f>
        <v>0</v>
      </c>
      <c r="M563" s="262">
        <f>SUMIFS(Tabla4[Total],Tabla4[Codigo],Tabla2[[#This Row],[Cod]])</f>
        <v>1790000</v>
      </c>
      <c r="N563" s="278">
        <f>SUMPRODUCT((Tabla1[Codigo]=Tabla2[[#This Row],[Cod]])*1,Tabla1[Valor])</f>
        <v>1701108</v>
      </c>
      <c r="O563" s="265">
        <f>IF(AND(Tabla2[[#This Row],[Estado]]="ok",LEFT(Tabla2[[#This Row],['# Factura]],3)="TIS"),Tabla2[[#This Row],[TOTAL]]-Tabla2[[#This Row],[pagado]],0)</f>
        <v>-125299.39999999991</v>
      </c>
      <c r="P563" s="262">
        <f>Tabla2[[#This Row],[TOTAL]]-Tabla2[[#This Row],[Valor pago]]</f>
        <v>88892</v>
      </c>
      <c r="Q563" s="265">
        <f>IF(Tabla2[[#This Row],[Saldo]]=0,0,IF(Tabla2[[#This Row],[Tipo cliente]]="PJ",Tabla2[[#This Row],[SUBTOTAL]]*11%,0))</f>
        <v>196900</v>
      </c>
      <c r="R563" s="276">
        <f>IF(Tabla2[[#This Row],[Saldo]]=0,0,IF(Tabla2[[#This Row],[Tipo cliente]]="PJ",Tabla2[[#This Row],[SUBTOTAL]]*0.966%,0))</f>
        <v>17291.400000000001</v>
      </c>
      <c r="S563" s="276">
        <f>IF(Tabla2[[#This Row],[Retiene IVA]]="S",Tabla2[[#This Row],[IVA]]*0.15,0)</f>
        <v>0</v>
      </c>
      <c r="T563" s="265"/>
      <c r="U56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1915299.4</v>
      </c>
      <c r="W563" s="23">
        <f>IF(Tabla2[[#This Row],[Fecha F.E.]]="","",YEAR(Tabla2[[#This Row],[Fecha F.E.]]))</f>
        <v>2025</v>
      </c>
      <c r="X563" s="23">
        <f>IF(Tabla2[[#This Row],[Fecha]]="","",YEAR(Tabla2[[#This Row],[Fecha]]))</f>
        <v>2025</v>
      </c>
    </row>
    <row r="564" spans="1:24" ht="26.25" x14ac:dyDescent="0.25">
      <c r="A564" s="3">
        <v>565</v>
      </c>
      <c r="B564" s="77" t="s">
        <v>1896</v>
      </c>
      <c r="C564" s="360">
        <v>45877</v>
      </c>
      <c r="D564" s="76" t="s">
        <v>1897</v>
      </c>
      <c r="E564" s="360">
        <v>45875</v>
      </c>
      <c r="F564" s="78" t="s">
        <v>231</v>
      </c>
      <c r="G564" s="85">
        <v>900187738</v>
      </c>
      <c r="H564" s="177" t="str">
        <f>VLOOKUP(Tabla2[[#This Row],[NIT]],Clientes!A:C,2,0)</f>
        <v>CENTRO DE ATENCION E INVESTIGACION MEDICA S.A.S.</v>
      </c>
      <c r="I564" s="77" t="str">
        <f>VLOOKUP(Tabla2[[#This Row],[NIT]],Clientes!A:C,3,0)</f>
        <v>PJ</v>
      </c>
      <c r="J564" s="77"/>
      <c r="K564" s="267">
        <f>SUMIFS(Tabla4[Sub Total],Tabla4[Codigo],Tabla2[[#This Row],[Cod]])</f>
        <v>1500000</v>
      </c>
      <c r="L564" s="262">
        <f>SUMPRODUCT((Tabla4[Codigo]=Tabla2[[#This Row],[Cod]])*1,Tabla4[IVA])</f>
        <v>285000</v>
      </c>
      <c r="M564" s="262">
        <f>SUMIFS(Tabla4[Total],Tabla4[Codigo],Tabla2[[#This Row],[Cod]])</f>
        <v>1785000</v>
      </c>
      <c r="N564" s="278">
        <f>SUMPRODUCT((Tabla1[Codigo]=Tabla2[[#This Row],[Cod]])*1,Tabla1[Valor])</f>
        <v>1723500</v>
      </c>
      <c r="O564" s="265">
        <f>IF(AND(Tabla2[[#This Row],[Estado]]="ok",LEFT(Tabla2[[#This Row],['# Factura]],3)="TIS"),Tabla2[[#This Row],[TOTAL]]-Tabla2[[#This Row],[pagado]],0)</f>
        <v>-117990</v>
      </c>
      <c r="P564" s="262">
        <f>Tabla2[[#This Row],[TOTAL]]-Tabla2[[#This Row],[Valor pago]]</f>
        <v>61500</v>
      </c>
      <c r="Q564" s="265">
        <f>IF(Tabla2[[#This Row],[Saldo]]=0,0,IF(Tabla2[[#This Row],[Tipo cliente]]="PJ",Tabla2[[#This Row],[SUBTOTAL]]*11%,0))</f>
        <v>165000</v>
      </c>
      <c r="R564" s="276">
        <f>IF(Tabla2[[#This Row],[Saldo]]=0,0,IF(Tabla2[[#This Row],[Tipo cliente]]="PJ",Tabla2[[#This Row],[SUBTOTAL]]*0.966%,0))</f>
        <v>14490</v>
      </c>
      <c r="S564" s="276">
        <f>IF(Tabla2[[#This Row],[Retiene IVA]]="S",Tabla2[[#This Row],[IVA]]*0.15,0)</f>
        <v>0</v>
      </c>
      <c r="T564" s="265"/>
      <c r="U56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1902990</v>
      </c>
      <c r="W564" s="23">
        <f>IF(Tabla2[[#This Row],[Fecha F.E.]]="","",YEAR(Tabla2[[#This Row],[Fecha F.E.]]))</f>
        <v>2025</v>
      </c>
      <c r="X564" s="23">
        <f>IF(Tabla2[[#This Row],[Fecha]]="","",YEAR(Tabla2[[#This Row],[Fecha]]))</f>
        <v>2025</v>
      </c>
    </row>
    <row r="565" spans="1:24" x14ac:dyDescent="0.25">
      <c r="A565" s="3">
        <v>566</v>
      </c>
      <c r="B565" s="77" t="s">
        <v>1898</v>
      </c>
      <c r="C565" s="360">
        <v>45884</v>
      </c>
      <c r="D565" s="76" t="s">
        <v>1899</v>
      </c>
      <c r="E565" s="360">
        <v>45882</v>
      </c>
      <c r="F565" s="78" t="s">
        <v>231</v>
      </c>
      <c r="G565" s="85">
        <v>901293842</v>
      </c>
      <c r="H565" s="177" t="str">
        <f>VLOOKUP(Tabla2[[#This Row],[NIT]],Clientes!A:C,2,0)</f>
        <v>SIMTEC LB S.A.S.</v>
      </c>
      <c r="I565" s="77" t="str">
        <f>VLOOKUP(Tabla2[[#This Row],[NIT]],Clientes!A:C,3,0)</f>
        <v>PJ</v>
      </c>
      <c r="J565" s="77"/>
      <c r="K565" s="267">
        <f>SUMIFS(Tabla4[Sub Total],Tabla4[Codigo],Tabla2[[#This Row],[Cod]])</f>
        <v>1225000</v>
      </c>
      <c r="L565" s="262">
        <f>SUMPRODUCT((Tabla4[Codigo]=Tabla2[[#This Row],[Cod]])*1,Tabla4[IVA])</f>
        <v>232750</v>
      </c>
      <c r="M565" s="262">
        <f>SUMIFS(Tabla4[Total],Tabla4[Codigo],Tabla2[[#This Row],[Cod]])</f>
        <v>1457750</v>
      </c>
      <c r="N565" s="278">
        <f>SUMPRODUCT((Tabla1[Codigo]=Tabla2[[#This Row],[Cod]])*1,Tabla1[Valor])</f>
        <v>1457750</v>
      </c>
      <c r="O565" s="265">
        <f>IF(AND(Tabla2[[#This Row],[Estado]]="ok",LEFT(Tabla2[[#This Row],['# Factura]],3)="TIS"),Tabla2[[#This Row],[TOTAL]]-Tabla2[[#This Row],[pagado]],0)</f>
        <v>0</v>
      </c>
      <c r="P565" s="262">
        <f>Tabla2[[#This Row],[TOTAL]]-Tabla2[[#This Row],[Valor pago]]</f>
        <v>0</v>
      </c>
      <c r="Q565" s="265">
        <f>IF(Tabla2[[#This Row],[Saldo]]=0,0,IF(Tabla2[[#This Row],[Tipo cliente]]="PJ",Tabla2[[#This Row],[SUBTOTAL]]*11%,0))</f>
        <v>0</v>
      </c>
      <c r="R565" s="276">
        <f>IF(Tabla2[[#This Row],[Saldo]]=0,0,IF(Tabla2[[#This Row],[Tipo cliente]]="PJ",Tabla2[[#This Row],[SUBTOTAL]]*0.966%,0))</f>
        <v>0</v>
      </c>
      <c r="S565" s="276">
        <f>IF(Tabla2[[#This Row],[Retiene IVA]]="S",Tabla2[[#This Row],[IVA]]*0.15,0)</f>
        <v>0</v>
      </c>
      <c r="T565" s="265"/>
      <c r="U56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1457750</v>
      </c>
      <c r="W565" s="23">
        <f>IF(Tabla2[[#This Row],[Fecha F.E.]]="","",YEAR(Tabla2[[#This Row],[Fecha F.E.]]))</f>
        <v>2025</v>
      </c>
      <c r="X565" s="23">
        <f>IF(Tabla2[[#This Row],[Fecha]]="","",YEAR(Tabla2[[#This Row],[Fecha]]))</f>
        <v>2025</v>
      </c>
    </row>
    <row r="566" spans="1:24" x14ac:dyDescent="0.25">
      <c r="A566" s="3">
        <v>567</v>
      </c>
      <c r="B566" s="77" t="s">
        <v>1900</v>
      </c>
      <c r="C566" s="360">
        <v>45884</v>
      </c>
      <c r="D566" s="76" t="s">
        <v>1901</v>
      </c>
      <c r="E566" s="360">
        <v>45882</v>
      </c>
      <c r="F566" s="78" t="s">
        <v>231</v>
      </c>
      <c r="G566" s="85">
        <v>830143066</v>
      </c>
      <c r="H566" s="177" t="str">
        <f>VLOOKUP(Tabla2[[#This Row],[NIT]],Clientes!A:C,2,0)</f>
        <v>CHOHO COLOMBIA SAS</v>
      </c>
      <c r="I566" s="77" t="str">
        <f>VLOOKUP(Tabla2[[#This Row],[NIT]],Clientes!A:C,3,0)</f>
        <v>PJ</v>
      </c>
      <c r="J566" s="77"/>
      <c r="K566" s="267">
        <f>SUMIFS(Tabla4[Sub Total],Tabla4[Codigo],Tabla2[[#This Row],[Cod]])</f>
        <v>825000</v>
      </c>
      <c r="L566" s="262">
        <f>SUMPRODUCT((Tabla4[Codigo]=Tabla2[[#This Row],[Cod]])*1,Tabla4[IVA])</f>
        <v>156750</v>
      </c>
      <c r="M566" s="262">
        <f>SUMIFS(Tabla4[Total],Tabla4[Codigo],Tabla2[[#This Row],[Cod]])</f>
        <v>981750</v>
      </c>
      <c r="N566" s="278">
        <f>SUMPRODUCT((Tabla1[Codigo]=Tabla2[[#This Row],[Cod]])*1,Tabla1[Valor])</f>
        <v>883885</v>
      </c>
      <c r="O566" s="265">
        <f>IF(AND(Tabla2[[#This Row],[Estado]]="ok",LEFT(Tabla2[[#This Row],['# Factura]],3)="TIS"),Tabla2[[#This Row],[TOTAL]]-Tabla2[[#This Row],[pagado]],0)</f>
        <v>-854.5</v>
      </c>
      <c r="P566" s="262">
        <f>Tabla2[[#This Row],[TOTAL]]-Tabla2[[#This Row],[Valor pago]]</f>
        <v>97865</v>
      </c>
      <c r="Q566" s="265">
        <f>IF(Tabla2[[#This Row],[Saldo]]=0,0,IF(Tabla2[[#This Row],[Tipo cliente]]="PJ",Tabla2[[#This Row],[SUBTOTAL]]*11%,0))</f>
        <v>90750</v>
      </c>
      <c r="R566" s="276">
        <f>IF(Tabla2[[#This Row],[Saldo]]=0,0,IF(Tabla2[[#This Row],[Tipo cliente]]="PJ",Tabla2[[#This Row],[SUBTOTAL]]*0.966%,0))</f>
        <v>7969.5</v>
      </c>
      <c r="S566" s="276">
        <f>IF(Tabla2[[#This Row],[Retiene IVA]]="S",Tabla2[[#This Row],[IVA]]*0.15,0)</f>
        <v>0</v>
      </c>
      <c r="T566" s="265"/>
      <c r="U56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982604.5</v>
      </c>
      <c r="W566" s="23">
        <f>IF(Tabla2[[#This Row],[Fecha F.E.]]="","",YEAR(Tabla2[[#This Row],[Fecha F.E.]]))</f>
        <v>2025</v>
      </c>
      <c r="X566" s="23">
        <f>IF(Tabla2[[#This Row],[Fecha]]="","",YEAR(Tabla2[[#This Row],[Fecha]]))</f>
        <v>2025</v>
      </c>
    </row>
    <row r="567" spans="1:24" x14ac:dyDescent="0.25">
      <c r="A567" s="3">
        <v>568</v>
      </c>
      <c r="B567" s="77" t="s">
        <v>1902</v>
      </c>
      <c r="C567" s="360">
        <v>45884</v>
      </c>
      <c r="D567" s="76" t="s">
        <v>1903</v>
      </c>
      <c r="E567" s="360">
        <v>45882</v>
      </c>
      <c r="F567" s="78" t="s">
        <v>231</v>
      </c>
      <c r="G567" s="85">
        <v>860041367</v>
      </c>
      <c r="H567" s="177" t="str">
        <f>VLOOKUP(Tabla2[[#This Row],[NIT]],Clientes!A:C,2,0)</f>
        <v>CAVELIER ABOGADOS S.A.S.</v>
      </c>
      <c r="I567" s="77" t="str">
        <f>VLOOKUP(Tabla2[[#This Row],[NIT]],Clientes!A:C,3,0)</f>
        <v>PJ</v>
      </c>
      <c r="J567" s="77"/>
      <c r="K567" s="267">
        <f>SUMIFS(Tabla4[Sub Total],Tabla4[Codigo],Tabla2[[#This Row],[Cod]])</f>
        <v>2340000</v>
      </c>
      <c r="L567" s="262">
        <f>SUMPRODUCT((Tabla4[Codigo]=Tabla2[[#This Row],[Cod]])*1,Tabla4[IVA])</f>
        <v>444600</v>
      </c>
      <c r="M567" s="262">
        <f>SUMIFS(Tabla4[Total],Tabla4[Codigo],Tabla2[[#This Row],[Cod]])</f>
        <v>2784600</v>
      </c>
      <c r="N567" s="278">
        <f>SUMPRODUCT((Tabla1[Codigo]=Tabla2[[#This Row],[Cod]])*1,Tabla1[Valor])</f>
        <v>2511054</v>
      </c>
      <c r="O567" s="265">
        <f>IF(AND(Tabla2[[#This Row],[Estado]]="ok",LEFT(Tabla2[[#This Row],['# Factura]],3)="TIS"),Tabla2[[#This Row],[TOTAL]]-Tabla2[[#This Row],[pagado]],0)</f>
        <v>-6458.3999999999069</v>
      </c>
      <c r="P567" s="262">
        <f>Tabla2[[#This Row],[TOTAL]]-Tabla2[[#This Row],[Valor pago]]</f>
        <v>273546</v>
      </c>
      <c r="Q567" s="265">
        <f>IF(Tabla2[[#This Row],[Saldo]]=0,0,IF(Tabla2[[#This Row],[Tipo cliente]]="PJ",Tabla2[[#This Row],[SUBTOTAL]]*11%,0))</f>
        <v>257400</v>
      </c>
      <c r="R567" s="276">
        <f>IF(Tabla2[[#This Row],[Saldo]]=0,0,IF(Tabla2[[#This Row],[Tipo cliente]]="PJ",Tabla2[[#This Row],[SUBTOTAL]]*0.966%,0))</f>
        <v>22604.400000000001</v>
      </c>
      <c r="S567" s="276">
        <f>IF(Tabla2[[#This Row],[Retiene IVA]]="S",Tabla2[[#This Row],[IVA]]*0.15,0)</f>
        <v>0</v>
      </c>
      <c r="T567" s="265"/>
      <c r="U56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2791058.4</v>
      </c>
      <c r="W567" s="23">
        <f>IF(Tabla2[[#This Row],[Fecha F.E.]]="","",YEAR(Tabla2[[#This Row],[Fecha F.E.]]))</f>
        <v>2025</v>
      </c>
      <c r="X567" s="23">
        <f>IF(Tabla2[[#This Row],[Fecha]]="","",YEAR(Tabla2[[#This Row],[Fecha]]))</f>
        <v>2025</v>
      </c>
    </row>
    <row r="568" spans="1:24" x14ac:dyDescent="0.25">
      <c r="A568" s="3">
        <v>569</v>
      </c>
      <c r="B568" s="77" t="s">
        <v>1904</v>
      </c>
      <c r="C568" s="360">
        <v>45884</v>
      </c>
      <c r="D568" s="76" t="s">
        <v>1905</v>
      </c>
      <c r="E568" s="360">
        <v>45884</v>
      </c>
      <c r="F568" s="78" t="s">
        <v>231</v>
      </c>
      <c r="G568" s="85">
        <v>860002964</v>
      </c>
      <c r="H568" s="177" t="str">
        <f>VLOOKUP(Tabla2[[#This Row],[NIT]],Clientes!A:C,2,0)</f>
        <v>Banco de Bogota S.A.</v>
      </c>
      <c r="I568" s="77" t="str">
        <f>VLOOKUP(Tabla2[[#This Row],[NIT]],Clientes!A:C,3,0)</f>
        <v>PJ</v>
      </c>
      <c r="J568" s="77"/>
      <c r="K568" s="267">
        <f>SUMIFS(Tabla4[Sub Total],Tabla4[Codigo],Tabla2[[#This Row],[Cod]])</f>
        <v>-26763084.84</v>
      </c>
      <c r="L568" s="262">
        <f>SUMPRODUCT((Tabla4[Codigo]=Tabla2[[#This Row],[Cod]])*1,Tabla4[IVA])</f>
        <v>-5084986.1195999999</v>
      </c>
      <c r="M568" s="262">
        <f>SUMIFS(Tabla4[Total],Tabla4[Codigo],Tabla2[[#This Row],[Cod]])</f>
        <v>-31848070.959600002</v>
      </c>
      <c r="N568" s="278">
        <f>SUMPRODUCT((Tabla1[Codigo]=Tabla2[[#This Row],[Cod]])*1,Tabla1[Valor])</f>
        <v>0</v>
      </c>
      <c r="O568" s="265">
        <f>IF(AND(Tabla2[[#This Row],[Estado]]="ok",LEFT(Tabla2[[#This Row],['# Factura]],3)="TIS"),Tabla2[[#This Row],[TOTAL]]-Tabla2[[#This Row],[pagado]],0)</f>
        <v>0</v>
      </c>
      <c r="P568" s="262">
        <f>Tabla2[[#This Row],[TOTAL]]-Tabla2[[#This Row],[Valor pago]]</f>
        <v>-31848070.959600002</v>
      </c>
      <c r="Q568" s="265">
        <f>IF(Tabla2[[#This Row],[Saldo]]=0,0,IF(Tabla2[[#This Row],[Tipo cliente]]="PJ",Tabla2[[#This Row],[SUBTOTAL]]*11%,0))</f>
        <v>-2943939.3324000002</v>
      </c>
      <c r="R568" s="276">
        <f>IF(Tabla2[[#This Row],[Saldo]]=0,0,IF(Tabla2[[#This Row],[Tipo cliente]]="PJ",Tabla2[[#This Row],[SUBTOTAL]]*0.966%,0))</f>
        <v>-258531.39955440001</v>
      </c>
      <c r="S568" s="276">
        <f>IF(Tabla2[[#This Row],[Retiene IVA]]="S",Tabla2[[#This Row],[IVA]]*0.15,0)</f>
        <v>0</v>
      </c>
      <c r="T568" s="265"/>
      <c r="U56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568" s="23">
        <f>IF(Tabla2[[#This Row],[Fecha F.E.]]="","",YEAR(Tabla2[[#This Row],[Fecha F.E.]]))</f>
        <v>2025</v>
      </c>
      <c r="X568" s="23">
        <f>IF(Tabla2[[#This Row],[Fecha]]="","",YEAR(Tabla2[[#This Row],[Fecha]]))</f>
        <v>2025</v>
      </c>
    </row>
    <row r="569" spans="1:24" x14ac:dyDescent="0.25">
      <c r="A569" s="3">
        <v>570</v>
      </c>
      <c r="B569" s="77" t="s">
        <v>1906</v>
      </c>
      <c r="C569" s="360">
        <v>45884</v>
      </c>
      <c r="D569" s="76" t="s">
        <v>1907</v>
      </c>
      <c r="E569" s="360">
        <v>45884</v>
      </c>
      <c r="F569" s="78" t="s">
        <v>231</v>
      </c>
      <c r="G569" s="85">
        <v>860002964</v>
      </c>
      <c r="H569" s="177" t="str">
        <f>VLOOKUP(Tabla2[[#This Row],[NIT]],Clientes!A:C,2,0)</f>
        <v>Banco de Bogota S.A.</v>
      </c>
      <c r="I569" s="77" t="str">
        <f>VLOOKUP(Tabla2[[#This Row],[NIT]],Clientes!A:C,3,0)</f>
        <v>PJ</v>
      </c>
      <c r="J569" s="77"/>
      <c r="K569" s="267">
        <f>SUMIFS(Tabla4[Sub Total],Tabla4[Codigo],Tabla2[[#This Row],[Cod]])</f>
        <v>56000000</v>
      </c>
      <c r="L569" s="262">
        <f>SUMPRODUCT((Tabla4[Codigo]=Tabla2[[#This Row],[Cod]])*1,Tabla4[IVA])</f>
        <v>10640000</v>
      </c>
      <c r="M569" s="262">
        <f>SUMIFS(Tabla4[Total],Tabla4[Codigo],Tabla2[[#This Row],[Cod]])</f>
        <v>66640000</v>
      </c>
      <c r="N569" s="278">
        <f>SUMPRODUCT((Tabla1[Codigo]=Tabla2[[#This Row],[Cod]])*1,Tabla1[Valor])</f>
        <v>62263040</v>
      </c>
      <c r="O569" s="265">
        <f>IF(AND(Tabla2[[#This Row],[Estado]]="ok",LEFT(Tabla2[[#This Row],['# Factura]],3)="TIS"),Tabla2[[#This Row],[TOTAL]]-Tabla2[[#This Row],[pagado]],0)</f>
        <v>-2324000</v>
      </c>
      <c r="P569" s="262">
        <f>Tabla2[[#This Row],[TOTAL]]-Tabla2[[#This Row],[Valor pago]]</f>
        <v>4376960</v>
      </c>
      <c r="Q569" s="265">
        <f>IF(Tabla2[[#This Row],[Saldo]]=0,0,IF(Tabla2[[#This Row],[Tipo cliente]]="PJ",Tabla2[[#This Row],[SUBTOTAL]]*11%,0))</f>
        <v>6160000</v>
      </c>
      <c r="R569" s="276">
        <f>IF(Tabla2[[#This Row],[Saldo]]=0,0,IF(Tabla2[[#This Row],[Tipo cliente]]="PJ",Tabla2[[#This Row],[SUBTOTAL]]*0.966%,0))</f>
        <v>540960</v>
      </c>
      <c r="S569" s="276">
        <f>IF(Tabla2[[#This Row],[Retiene IVA]]="S",Tabla2[[#This Row],[IVA]]*0.15,0)</f>
        <v>0</v>
      </c>
      <c r="T569" s="265"/>
      <c r="U56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68964000</v>
      </c>
      <c r="W569" s="23">
        <f>IF(Tabla2[[#This Row],[Fecha F.E.]]="","",YEAR(Tabla2[[#This Row],[Fecha F.E.]]))</f>
        <v>2025</v>
      </c>
      <c r="X569" s="23">
        <f>IF(Tabla2[[#This Row],[Fecha]]="","",YEAR(Tabla2[[#This Row],[Fecha]]))</f>
        <v>2025</v>
      </c>
    </row>
    <row r="570" spans="1:24" x14ac:dyDescent="0.25">
      <c r="A570" s="3">
        <v>571</v>
      </c>
      <c r="B570" s="77" t="s">
        <v>1908</v>
      </c>
      <c r="C570" s="360">
        <v>45884</v>
      </c>
      <c r="D570" s="76" t="s">
        <v>1909</v>
      </c>
      <c r="E570" s="360">
        <v>45882</v>
      </c>
      <c r="F570" s="78" t="s">
        <v>716</v>
      </c>
      <c r="G570" s="85">
        <v>901293842</v>
      </c>
      <c r="H570" s="177" t="str">
        <f>VLOOKUP(Tabla2[[#This Row],[NIT]],Clientes!A:C,2,0)</f>
        <v>SIMTEC LB S.A.S.</v>
      </c>
      <c r="I570" s="77" t="str">
        <f>VLOOKUP(Tabla2[[#This Row],[NIT]],Clientes!A:C,3,0)</f>
        <v>PJ</v>
      </c>
      <c r="J570" s="77"/>
      <c r="K570" s="267">
        <f>SUMIFS(Tabla4[Sub Total],Tabla4[Codigo],Tabla2[[#This Row],[Cod]])</f>
        <v>1225000</v>
      </c>
      <c r="L570" s="262">
        <f>SUMPRODUCT((Tabla4[Codigo]=Tabla2[[#This Row],[Cod]])*1,Tabla4[IVA])</f>
        <v>232750</v>
      </c>
      <c r="M570" s="262">
        <f>SUMIFS(Tabla4[Total],Tabla4[Codigo],Tabla2[[#This Row],[Cod]])</f>
        <v>1457750</v>
      </c>
      <c r="N570" s="278">
        <f>SUMPRODUCT((Tabla1[Codigo]=Tabla2[[#This Row],[Cod]])*1,Tabla1[Valor])</f>
        <v>0</v>
      </c>
      <c r="O570" s="265">
        <f>IF(AND(Tabla2[[#This Row],[Estado]]="ok",LEFT(Tabla2[[#This Row],['# Factura]],3)="TIS"),Tabla2[[#This Row],[TOTAL]]-Tabla2[[#This Row],[pagado]],0)</f>
        <v>0</v>
      </c>
      <c r="P570" s="262">
        <f>Tabla2[[#This Row],[TOTAL]]-Tabla2[[#This Row],[Valor pago]]</f>
        <v>1457750</v>
      </c>
      <c r="Q570" s="265">
        <f>IF(Tabla2[[#This Row],[Saldo]]=0,0,IF(Tabla2[[#This Row],[Tipo cliente]]="PJ",Tabla2[[#This Row],[SUBTOTAL]]*11%,0))</f>
        <v>134750</v>
      </c>
      <c r="R570" s="276">
        <f>IF(Tabla2[[#This Row],[Saldo]]=0,0,IF(Tabla2[[#This Row],[Tipo cliente]]="PJ",Tabla2[[#This Row],[SUBTOTAL]]*0.966%,0))</f>
        <v>11833.5</v>
      </c>
      <c r="S570" s="276">
        <f>IF(Tabla2[[#This Row],[Retiene IVA]]="S",Tabla2[[#This Row],[IVA]]*0.15,0)</f>
        <v>0</v>
      </c>
      <c r="T570" s="265"/>
      <c r="U57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570" s="23">
        <f>IF(Tabla2[[#This Row],[Fecha F.E.]]="","",YEAR(Tabla2[[#This Row],[Fecha F.E.]]))</f>
        <v>2025</v>
      </c>
      <c r="X570" s="23">
        <f>IF(Tabla2[[#This Row],[Fecha]]="","",YEAR(Tabla2[[#This Row],[Fecha]]))</f>
        <v>2025</v>
      </c>
    </row>
    <row r="571" spans="1:24" x14ac:dyDescent="0.25">
      <c r="A571" s="3">
        <v>572</v>
      </c>
      <c r="B571" s="77" t="s">
        <v>1910</v>
      </c>
      <c r="C571" s="360">
        <v>45884</v>
      </c>
      <c r="D571" s="76" t="s">
        <v>1911</v>
      </c>
      <c r="E571" s="360">
        <v>45882</v>
      </c>
      <c r="F571" s="78" t="s">
        <v>231</v>
      </c>
      <c r="G571" s="85">
        <v>901293842</v>
      </c>
      <c r="H571" s="177" t="str">
        <f>VLOOKUP(Tabla2[[#This Row],[NIT]],Clientes!A:C,2,0)</f>
        <v>SIMTEC LB S.A.S.</v>
      </c>
      <c r="I571" s="77" t="str">
        <f>VLOOKUP(Tabla2[[#This Row],[NIT]],Clientes!A:C,3,0)</f>
        <v>PJ</v>
      </c>
      <c r="J571" s="77"/>
      <c r="K571" s="267">
        <f>SUMIFS(Tabla4[Sub Total],Tabla4[Codigo],Tabla2[[#This Row],[Cod]])</f>
        <v>-1225000</v>
      </c>
      <c r="L571" s="262">
        <f>SUMPRODUCT((Tabla4[Codigo]=Tabla2[[#This Row],[Cod]])*1,Tabla4[IVA])</f>
        <v>-232750</v>
      </c>
      <c r="M571" s="262">
        <f>SUMIFS(Tabla4[Total],Tabla4[Codigo],Tabla2[[#This Row],[Cod]])</f>
        <v>-1457750</v>
      </c>
      <c r="N571" s="278">
        <f>SUMPRODUCT((Tabla1[Codigo]=Tabla2[[#This Row],[Cod]])*1,Tabla1[Valor])</f>
        <v>0</v>
      </c>
      <c r="O571" s="265">
        <f>IF(AND(Tabla2[[#This Row],[Estado]]="ok",LEFT(Tabla2[[#This Row],['# Factura]],3)="TIS"),Tabla2[[#This Row],[TOTAL]]-Tabla2[[#This Row],[pagado]],0)</f>
        <v>0</v>
      </c>
      <c r="P571" s="262">
        <f>Tabla2[[#This Row],[TOTAL]]-Tabla2[[#This Row],[Valor pago]]</f>
        <v>-1457750</v>
      </c>
      <c r="Q571" s="265">
        <f>IF(Tabla2[[#This Row],[Saldo]]=0,0,IF(Tabla2[[#This Row],[Tipo cliente]]="PJ",Tabla2[[#This Row],[SUBTOTAL]]*11%,0))</f>
        <v>-134750</v>
      </c>
      <c r="R571" s="276">
        <f>IF(Tabla2[[#This Row],[Saldo]]=0,0,IF(Tabla2[[#This Row],[Tipo cliente]]="PJ",Tabla2[[#This Row],[SUBTOTAL]]*0.966%,0))</f>
        <v>-11833.5</v>
      </c>
      <c r="S571" s="276">
        <f>IF(Tabla2[[#This Row],[Retiene IVA]]="S",Tabla2[[#This Row],[IVA]]*0.15,0)</f>
        <v>0</v>
      </c>
      <c r="T571" s="265"/>
      <c r="U57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571" s="23">
        <f>IF(Tabla2[[#This Row],[Fecha F.E.]]="","",YEAR(Tabla2[[#This Row],[Fecha F.E.]]))</f>
        <v>2025</v>
      </c>
      <c r="X571" s="23">
        <f>IF(Tabla2[[#This Row],[Fecha]]="","",YEAR(Tabla2[[#This Row],[Fecha]]))</f>
        <v>2025</v>
      </c>
    </row>
    <row r="572" spans="1:24" x14ac:dyDescent="0.25">
      <c r="A572" s="3">
        <v>573</v>
      </c>
      <c r="B572" s="77" t="s">
        <v>1912</v>
      </c>
      <c r="C572" s="360">
        <v>45903</v>
      </c>
      <c r="D572" s="76" t="s">
        <v>1913</v>
      </c>
      <c r="E572" s="360">
        <v>45903</v>
      </c>
      <c r="F572" s="78" t="s">
        <v>231</v>
      </c>
      <c r="G572" s="85">
        <v>800028768</v>
      </c>
      <c r="H572" s="177" t="str">
        <f>VLOOKUP(Tabla2[[#This Row],[NIT]],Clientes!A:C,2,0)</f>
        <v>Comercializadora ERZ SAS</v>
      </c>
      <c r="I572" s="77" t="str">
        <f>VLOOKUP(Tabla2[[#This Row],[NIT]],Clientes!A:C,3,0)</f>
        <v>PJ</v>
      </c>
      <c r="J572" s="77"/>
      <c r="K572" s="267">
        <f>SUMIFS(Tabla4[Sub Total],Tabla4[Codigo],Tabla2[[#This Row],[Cod]])</f>
        <v>300000</v>
      </c>
      <c r="L572" s="262">
        <f>SUMPRODUCT((Tabla4[Codigo]=Tabla2[[#This Row],[Cod]])*1,Tabla4[IVA])</f>
        <v>57000</v>
      </c>
      <c r="M572" s="262">
        <f>SUMIFS(Tabla4[Total],Tabla4[Codigo],Tabla2[[#This Row],[Cod]])</f>
        <v>357000</v>
      </c>
      <c r="N572" s="278">
        <f>SUMPRODUCT((Tabla1[Codigo]=Tabla2[[#This Row],[Cod]])*1,Tabla1[Valor])</f>
        <v>324000</v>
      </c>
      <c r="O572" s="265">
        <f>IF(AND(Tabla2[[#This Row],[Estado]]="ok",LEFT(Tabla2[[#This Row],['# Factura]],3)="TIS"),Tabla2[[#This Row],[TOTAL]]-Tabla2[[#This Row],[pagado]],0)</f>
        <v>-2898</v>
      </c>
      <c r="P572" s="262">
        <f>Tabla2[[#This Row],[TOTAL]]-Tabla2[[#This Row],[Valor pago]]</f>
        <v>33000</v>
      </c>
      <c r="Q572" s="265">
        <f>IF(Tabla2[[#This Row],[Saldo]]=0,0,IF(Tabla2[[#This Row],[Tipo cliente]]="PJ",Tabla2[[#This Row],[SUBTOTAL]]*11%,0))</f>
        <v>33000</v>
      </c>
      <c r="R572" s="276">
        <f>IF(Tabla2[[#This Row],[Saldo]]=0,0,IF(Tabla2[[#This Row],[Tipo cliente]]="PJ",Tabla2[[#This Row],[SUBTOTAL]]*0.966%,0))</f>
        <v>2898</v>
      </c>
      <c r="S572" s="276">
        <f>IF(Tabla2[[#This Row],[Retiene IVA]]="S",Tabla2[[#This Row],[IVA]]*0.15,0)</f>
        <v>0</v>
      </c>
      <c r="T572" s="265"/>
      <c r="U57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72" s="23">
        <f>IF(Tabla2[[#This Row],[Fecha F.E.]]="","",YEAR(Tabla2[[#This Row],[Fecha F.E.]]))</f>
        <v>2025</v>
      </c>
      <c r="X572" s="23">
        <f>IF(Tabla2[[#This Row],[Fecha]]="","",YEAR(Tabla2[[#This Row],[Fecha]]))</f>
        <v>2025</v>
      </c>
    </row>
    <row r="573" spans="1:24" x14ac:dyDescent="0.25">
      <c r="A573" s="3">
        <v>574</v>
      </c>
      <c r="B573" s="77" t="s">
        <v>1914</v>
      </c>
      <c r="C573" s="360">
        <v>45903</v>
      </c>
      <c r="D573" s="76" t="s">
        <v>1915</v>
      </c>
      <c r="E573" s="360">
        <v>45903</v>
      </c>
      <c r="F573" s="78" t="s">
        <v>231</v>
      </c>
      <c r="G573" s="85">
        <v>900505660</v>
      </c>
      <c r="H573" s="177" t="str">
        <f>VLOOKUP(Tabla2[[#This Row],[NIT]],Clientes!A:C,2,0)</f>
        <v>DIGITAL MEDIA TECHNOLOGIES COLOMBIA SAS</v>
      </c>
      <c r="I573" s="77" t="str">
        <f>VLOOKUP(Tabla2[[#This Row],[NIT]],Clientes!A:C,3,0)</f>
        <v>PJ</v>
      </c>
      <c r="J573" s="77"/>
      <c r="K573" s="267">
        <f>SUMIFS(Tabla4[Sub Total],Tabla4[Codigo],Tabla2[[#This Row],[Cod]])</f>
        <v>300000</v>
      </c>
      <c r="L573" s="262">
        <f>SUMPRODUCT((Tabla4[Codigo]=Tabla2[[#This Row],[Cod]])*1,Tabla4[IVA])</f>
        <v>57000</v>
      </c>
      <c r="M573" s="262">
        <f>SUMIFS(Tabla4[Total],Tabla4[Codigo],Tabla2[[#This Row],[Cod]])</f>
        <v>357000</v>
      </c>
      <c r="N573" s="278">
        <f>SUMPRODUCT((Tabla1[Codigo]=Tabla2[[#This Row],[Cod]])*1,Tabla1[Valor])</f>
        <v>324000</v>
      </c>
      <c r="O573" s="265">
        <f>IF(AND(Tabla2[[#This Row],[Estado]]="ok",LEFT(Tabla2[[#This Row],['# Factura]],3)="TIS"),Tabla2[[#This Row],[TOTAL]]-Tabla2[[#This Row],[pagado]],0)</f>
        <v>-2898</v>
      </c>
      <c r="P573" s="262">
        <f>Tabla2[[#This Row],[TOTAL]]-Tabla2[[#This Row],[Valor pago]]</f>
        <v>33000</v>
      </c>
      <c r="Q573" s="265">
        <f>IF(Tabla2[[#This Row],[Saldo]]=0,0,IF(Tabla2[[#This Row],[Tipo cliente]]="PJ",Tabla2[[#This Row],[SUBTOTAL]]*11%,0))</f>
        <v>33000</v>
      </c>
      <c r="R573" s="276">
        <f>IF(Tabla2[[#This Row],[Saldo]]=0,0,IF(Tabla2[[#This Row],[Tipo cliente]]="PJ",Tabla2[[#This Row],[SUBTOTAL]]*0.966%,0))</f>
        <v>2898</v>
      </c>
      <c r="S573" s="276">
        <f>IF(Tabla2[[#This Row],[Retiene IVA]]="S",Tabla2[[#This Row],[IVA]]*0.15,0)</f>
        <v>0</v>
      </c>
      <c r="T573" s="265"/>
      <c r="U57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73" s="23">
        <f>IF(Tabla2[[#This Row],[Fecha F.E.]]="","",YEAR(Tabla2[[#This Row],[Fecha F.E.]]))</f>
        <v>2025</v>
      </c>
      <c r="X573" s="23">
        <f>IF(Tabla2[[#This Row],[Fecha]]="","",YEAR(Tabla2[[#This Row],[Fecha]]))</f>
        <v>2025</v>
      </c>
    </row>
    <row r="574" spans="1:24" x14ac:dyDescent="0.25">
      <c r="A574" s="3">
        <v>575</v>
      </c>
      <c r="B574" s="77" t="s">
        <v>1916</v>
      </c>
      <c r="C574" s="360">
        <v>45903</v>
      </c>
      <c r="D574" s="76" t="s">
        <v>1917</v>
      </c>
      <c r="E574" s="360">
        <v>45903</v>
      </c>
      <c r="F574" s="78" t="s">
        <v>231</v>
      </c>
      <c r="G574" s="85">
        <v>901700940</v>
      </c>
      <c r="H574" s="177" t="str">
        <f>VLOOKUP(Tabla2[[#This Row],[NIT]],Clientes!A:C,2,0)</f>
        <v>AND TOPOGRAFIA E INGENIERIA SAS</v>
      </c>
      <c r="I574" s="77" t="str">
        <f>VLOOKUP(Tabla2[[#This Row],[NIT]],Clientes!A:C,3,0)</f>
        <v>PJ</v>
      </c>
      <c r="J574" s="77"/>
      <c r="K574" s="267">
        <f>SUMIFS(Tabla4[Sub Total],Tabla4[Codigo],Tabla2[[#This Row],[Cod]])</f>
        <v>300000</v>
      </c>
      <c r="L574" s="262">
        <f>SUMPRODUCT((Tabla4[Codigo]=Tabla2[[#This Row],[Cod]])*1,Tabla4[IVA])</f>
        <v>0</v>
      </c>
      <c r="M574" s="262">
        <f>SUMIFS(Tabla4[Total],Tabla4[Codigo],Tabla2[[#This Row],[Cod]])</f>
        <v>300000</v>
      </c>
      <c r="N574" s="278">
        <f>SUMPRODUCT((Tabla1[Codigo]=Tabla2[[#This Row],[Cod]])*1,Tabla1[Valor])</f>
        <v>300000</v>
      </c>
      <c r="O574" s="265">
        <f>IF(AND(Tabla2[[#This Row],[Estado]]="ok",LEFT(Tabla2[[#This Row],['# Factura]],3)="TIS"),Tabla2[[#This Row],[TOTAL]]-Tabla2[[#This Row],[pagado]],0)</f>
        <v>0</v>
      </c>
      <c r="P574" s="262">
        <f>Tabla2[[#This Row],[TOTAL]]-Tabla2[[#This Row],[Valor pago]]</f>
        <v>0</v>
      </c>
      <c r="Q574" s="265">
        <f>IF(Tabla2[[#This Row],[Saldo]]=0,0,IF(Tabla2[[#This Row],[Tipo cliente]]="PJ",Tabla2[[#This Row],[SUBTOTAL]]*11%,0))</f>
        <v>0</v>
      </c>
      <c r="R574" s="276">
        <f>IF(Tabla2[[#This Row],[Saldo]]=0,0,IF(Tabla2[[#This Row],[Tipo cliente]]="PJ",Tabla2[[#This Row],[SUBTOTAL]]*0.966%,0))</f>
        <v>0</v>
      </c>
      <c r="S574" s="276">
        <f>IF(Tabla2[[#This Row],[Retiene IVA]]="S",Tabla2[[#This Row],[IVA]]*0.15,0)</f>
        <v>0</v>
      </c>
      <c r="T574" s="265"/>
      <c r="U57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300000</v>
      </c>
      <c r="W574" s="23">
        <f>IF(Tabla2[[#This Row],[Fecha F.E.]]="","",YEAR(Tabla2[[#This Row],[Fecha F.E.]]))</f>
        <v>2025</v>
      </c>
      <c r="X574" s="23">
        <f>IF(Tabla2[[#This Row],[Fecha]]="","",YEAR(Tabla2[[#This Row],[Fecha]]))</f>
        <v>2025</v>
      </c>
    </row>
    <row r="575" spans="1:24" x14ac:dyDescent="0.25">
      <c r="A575" s="3">
        <v>576</v>
      </c>
      <c r="B575" s="77" t="s">
        <v>1918</v>
      </c>
      <c r="C575" s="360">
        <v>45903</v>
      </c>
      <c r="D575" s="76" t="s">
        <v>1919</v>
      </c>
      <c r="E575" s="360">
        <v>45903</v>
      </c>
      <c r="F575" s="78"/>
      <c r="G575" s="85">
        <v>901342609</v>
      </c>
      <c r="H575" s="177" t="str">
        <f>VLOOKUP(Tabla2[[#This Row],[NIT]],Clientes!A:C,2,0)</f>
        <v>ROYCO SOLUCIONES SAS</v>
      </c>
      <c r="I575" s="77" t="str">
        <f>VLOOKUP(Tabla2[[#This Row],[NIT]],Clientes!A:C,3,0)</f>
        <v>PJ</v>
      </c>
      <c r="J575" s="77"/>
      <c r="K575" s="267">
        <f>SUMIFS(Tabla4[Sub Total],Tabla4[Codigo],Tabla2[[#This Row],[Cod]])</f>
        <v>250000</v>
      </c>
      <c r="L575" s="262">
        <f>SUMPRODUCT((Tabla4[Codigo]=Tabla2[[#This Row],[Cod]])*1,Tabla4[IVA])</f>
        <v>47500</v>
      </c>
      <c r="M575" s="262">
        <f>SUMIFS(Tabla4[Total],Tabla4[Codigo],Tabla2[[#This Row],[Cod]])</f>
        <v>297500</v>
      </c>
      <c r="N575" s="278">
        <f>SUMPRODUCT((Tabla1[Codigo]=Tabla2[[#This Row],[Cod]])*1,Tabla1[Valor])</f>
        <v>287500</v>
      </c>
      <c r="O575" s="265">
        <f>IF(AND(Tabla2[[#This Row],[Estado]]="ok",LEFT(Tabla2[[#This Row],['# Factura]],3)="TIS"),Tabla2[[#This Row],[TOTAL]]-Tabla2[[#This Row],[pagado]],0)</f>
        <v>0</v>
      </c>
      <c r="P575" s="262">
        <f>Tabla2[[#This Row],[TOTAL]]-Tabla2[[#This Row],[Valor pago]]</f>
        <v>10000</v>
      </c>
      <c r="Q575" s="265">
        <f>IF(Tabla2[[#This Row],[Saldo]]=0,0,IF(Tabla2[[#This Row],[Tipo cliente]]="PJ",Tabla2[[#This Row],[SUBTOTAL]]*11%,0))</f>
        <v>27500</v>
      </c>
      <c r="R575" s="276">
        <f>IF(Tabla2[[#This Row],[Saldo]]=0,0,IF(Tabla2[[#This Row],[Tipo cliente]]="PJ",Tabla2[[#This Row],[SUBTOTAL]]*0.966%,0))</f>
        <v>2415</v>
      </c>
      <c r="S575" s="276">
        <f>IF(Tabla2[[#This Row],[Retiene IVA]]="S",Tabla2[[#This Row],[IVA]]*0.15,0)</f>
        <v>0</v>
      </c>
      <c r="T575" s="265"/>
      <c r="U57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575" s="23">
        <f>IF(Tabla2[[#This Row],[Fecha F.E.]]="","",YEAR(Tabla2[[#This Row],[Fecha F.E.]]))</f>
        <v>2025</v>
      </c>
      <c r="X575" s="23">
        <f>IF(Tabla2[[#This Row],[Fecha]]="","",YEAR(Tabla2[[#This Row],[Fecha]]))</f>
        <v>2025</v>
      </c>
    </row>
    <row r="576" spans="1:24" x14ac:dyDescent="0.25">
      <c r="A576" s="3">
        <v>577</v>
      </c>
      <c r="B576" s="77" t="s">
        <v>1920</v>
      </c>
      <c r="C576" s="360">
        <v>45903</v>
      </c>
      <c r="D576" s="76" t="s">
        <v>1921</v>
      </c>
      <c r="E576" s="360">
        <v>45903</v>
      </c>
      <c r="F576" s="78" t="s">
        <v>231</v>
      </c>
      <c r="G576" s="85">
        <v>901030518</v>
      </c>
      <c r="H576" s="177" t="str">
        <f>VLOOKUP(Tabla2[[#This Row],[NIT]],Clientes!A:C,2,0)</f>
        <v>Inversiones Sajamib SAS</v>
      </c>
      <c r="I576" s="77" t="str">
        <f>VLOOKUP(Tabla2[[#This Row],[NIT]],Clientes!A:C,3,0)</f>
        <v>PJ</v>
      </c>
      <c r="J576" s="77"/>
      <c r="K576" s="267">
        <f>SUMIFS(Tabla4[Sub Total],Tabla4[Codigo],Tabla2[[#This Row],[Cod]])</f>
        <v>480000</v>
      </c>
      <c r="L576" s="262">
        <f>SUMPRODUCT((Tabla4[Codigo]=Tabla2[[#This Row],[Cod]])*1,Tabla4[IVA])</f>
        <v>0</v>
      </c>
      <c r="M576" s="262">
        <f>SUMIFS(Tabla4[Total],Tabla4[Codigo],Tabla2[[#This Row],[Cod]])</f>
        <v>480000</v>
      </c>
      <c r="N576" s="278">
        <f>SUMPRODUCT((Tabla1[Codigo]=Tabla2[[#This Row],[Cod]])*1,Tabla1[Valor])</f>
        <v>480000</v>
      </c>
      <c r="O576" s="265">
        <f>IF(AND(Tabla2[[#This Row],[Estado]]="ok",LEFT(Tabla2[[#This Row],['# Factura]],3)="TIS"),Tabla2[[#This Row],[TOTAL]]-Tabla2[[#This Row],[pagado]],0)</f>
        <v>0</v>
      </c>
      <c r="P576" s="262">
        <f>Tabla2[[#This Row],[TOTAL]]-Tabla2[[#This Row],[Valor pago]]</f>
        <v>0</v>
      </c>
      <c r="Q576" s="265">
        <f>IF(Tabla2[[#This Row],[Saldo]]=0,0,IF(Tabla2[[#This Row],[Tipo cliente]]="PJ",Tabla2[[#This Row],[SUBTOTAL]]*11%,0))</f>
        <v>0</v>
      </c>
      <c r="R576" s="276">
        <f>IF(Tabla2[[#This Row],[Saldo]]=0,0,IF(Tabla2[[#This Row],[Tipo cliente]]="PJ",Tabla2[[#This Row],[SUBTOTAL]]*0.966%,0))</f>
        <v>0</v>
      </c>
      <c r="S576" s="276">
        <f>IF(Tabla2[[#This Row],[Retiene IVA]]="S",Tabla2[[#This Row],[IVA]]*0.15,0)</f>
        <v>0</v>
      </c>
      <c r="T576" s="265"/>
      <c r="U57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576" s="23">
        <f>IF(Tabla2[[#This Row],[Fecha F.E.]]="","",YEAR(Tabla2[[#This Row],[Fecha F.E.]]))</f>
        <v>2025</v>
      </c>
      <c r="X576" s="23">
        <f>IF(Tabla2[[#This Row],[Fecha]]="","",YEAR(Tabla2[[#This Row],[Fecha]]))</f>
        <v>2025</v>
      </c>
    </row>
    <row r="577" spans="1:24" x14ac:dyDescent="0.25">
      <c r="A577" s="3">
        <v>578</v>
      </c>
      <c r="B577" s="77" t="s">
        <v>1922</v>
      </c>
      <c r="C577" s="360">
        <v>45903</v>
      </c>
      <c r="D577" s="76" t="s">
        <v>1923</v>
      </c>
      <c r="E577" s="360">
        <v>45903</v>
      </c>
      <c r="F577" s="78" t="s">
        <v>231</v>
      </c>
      <c r="G577" s="85">
        <v>901587426</v>
      </c>
      <c r="H577" s="177" t="str">
        <f>VLOOKUP(Tabla2[[#This Row],[NIT]],Clientes!A:C,2,0)</f>
        <v>STAFF SEGUROS AGENCIA LTDA</v>
      </c>
      <c r="I577" s="77" t="str">
        <f>VLOOKUP(Tabla2[[#This Row],[NIT]],Clientes!A:C,3,0)</f>
        <v>PJ</v>
      </c>
      <c r="J577" s="77"/>
      <c r="K577" s="267">
        <f>SUMIFS(Tabla4[Sub Total],Tabla4[Codigo],Tabla2[[#This Row],[Cod]])</f>
        <v>1495000</v>
      </c>
      <c r="L577" s="262">
        <f>SUMPRODUCT((Tabla4[Codigo]=Tabla2[[#This Row],[Cod]])*1,Tabla4[IVA])</f>
        <v>0</v>
      </c>
      <c r="M577" s="262">
        <f>SUMIFS(Tabla4[Total],Tabla4[Codigo],Tabla2[[#This Row],[Cod]])</f>
        <v>1495000</v>
      </c>
      <c r="N577" s="278">
        <f>SUMPRODUCT((Tabla1[Codigo]=Tabla2[[#This Row],[Cod]])*1,Tabla1[Valor])</f>
        <v>0</v>
      </c>
      <c r="O577" s="265">
        <f>IF(AND(Tabla2[[#This Row],[Estado]]="ok",LEFT(Tabla2[[#This Row],['# Factura]],3)="TIS"),Tabla2[[#This Row],[TOTAL]]-Tabla2[[#This Row],[pagado]],0)</f>
        <v>1495000</v>
      </c>
      <c r="P577" s="262">
        <f>Tabla2[[#This Row],[TOTAL]]-Tabla2[[#This Row],[Valor pago]]</f>
        <v>1495000</v>
      </c>
      <c r="Q577" s="265">
        <f>IF(Tabla2[[#This Row],[Saldo]]=0,0,IF(Tabla2[[#This Row],[Tipo cliente]]="PJ",Tabla2[[#This Row],[SUBTOTAL]]*11%,0))</f>
        <v>164450</v>
      </c>
      <c r="R577" s="276">
        <f>IF(Tabla2[[#This Row],[Saldo]]=0,0,IF(Tabla2[[#This Row],[Tipo cliente]]="PJ",Tabla2[[#This Row],[SUBTOTAL]]*0.966%,0))</f>
        <v>14441.7</v>
      </c>
      <c r="S577" s="276">
        <f>IF(Tabla2[[#This Row],[Retiene IVA]]="S",Tabla2[[#This Row],[IVA]]*0.15,0)</f>
        <v>0</v>
      </c>
      <c r="T577" s="265"/>
      <c r="U57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577" s="23">
        <f>IF(Tabla2[[#This Row],[Fecha F.E.]]="","",YEAR(Tabla2[[#This Row],[Fecha F.E.]]))</f>
        <v>2025</v>
      </c>
      <c r="X577" s="23">
        <f>IF(Tabla2[[#This Row],[Fecha]]="","",YEAR(Tabla2[[#This Row],[Fecha]]))</f>
        <v>2025</v>
      </c>
    </row>
    <row r="578" spans="1:24" ht="26.25" x14ac:dyDescent="0.25">
      <c r="A578" s="3">
        <v>579</v>
      </c>
      <c r="B578" s="77" t="s">
        <v>1924</v>
      </c>
      <c r="C578" s="360">
        <v>45903</v>
      </c>
      <c r="D578" s="76" t="s">
        <v>1925</v>
      </c>
      <c r="E578" s="360">
        <v>45903</v>
      </c>
      <c r="F578" s="78" t="s">
        <v>231</v>
      </c>
      <c r="G578" s="85">
        <v>900187738</v>
      </c>
      <c r="H578" s="177" t="str">
        <f>VLOOKUP(Tabla2[[#This Row],[NIT]],Clientes!A:C,2,0)</f>
        <v>CENTRO DE ATENCION E INVESTIGACION MEDICA S.A.S.</v>
      </c>
      <c r="I578" s="77" t="str">
        <f>VLOOKUP(Tabla2[[#This Row],[NIT]],Clientes!A:C,3,0)</f>
        <v>PJ</v>
      </c>
      <c r="J578" s="77"/>
      <c r="K578" s="267">
        <f>SUMIFS(Tabla4[Sub Total],Tabla4[Codigo],Tabla2[[#This Row],[Cod]])</f>
        <v>1500000</v>
      </c>
      <c r="L578" s="262">
        <f>SUMPRODUCT((Tabla4[Codigo]=Tabla2[[#This Row],[Cod]])*1,Tabla4[IVA])</f>
        <v>285000</v>
      </c>
      <c r="M578" s="262">
        <f>SUMIFS(Tabla4[Total],Tabla4[Codigo],Tabla2[[#This Row],[Cod]])</f>
        <v>1785000</v>
      </c>
      <c r="N578" s="278">
        <f>SUMPRODUCT((Tabla1[Codigo]=Tabla2[[#This Row],[Cod]])*1,Tabla1[Valor])</f>
        <v>1723500</v>
      </c>
      <c r="O578" s="265">
        <f>IF(AND(Tabla2[[#This Row],[Estado]]="ok",LEFT(Tabla2[[#This Row],['# Factura]],3)="TIS"),Tabla2[[#This Row],[TOTAL]]-Tabla2[[#This Row],[pagado]],0)</f>
        <v>-117990</v>
      </c>
      <c r="P578" s="262">
        <f>Tabla2[[#This Row],[TOTAL]]-Tabla2[[#This Row],[Valor pago]]</f>
        <v>61500</v>
      </c>
      <c r="Q578" s="265">
        <f>IF(Tabla2[[#This Row],[Saldo]]=0,0,IF(Tabla2[[#This Row],[Tipo cliente]]="PJ",Tabla2[[#This Row],[SUBTOTAL]]*11%,0))</f>
        <v>165000</v>
      </c>
      <c r="R578" s="276">
        <f>IF(Tabla2[[#This Row],[Saldo]]=0,0,IF(Tabla2[[#This Row],[Tipo cliente]]="PJ",Tabla2[[#This Row],[SUBTOTAL]]*0.966%,0))</f>
        <v>14490</v>
      </c>
      <c r="S578" s="276">
        <f>IF(Tabla2[[#This Row],[Retiene IVA]]="S",Tabla2[[#This Row],[IVA]]*0.15,0)</f>
        <v>0</v>
      </c>
      <c r="T578" s="265"/>
      <c r="U57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1902990</v>
      </c>
      <c r="W578" s="23">
        <f>IF(Tabla2[[#This Row],[Fecha F.E.]]="","",YEAR(Tabla2[[#This Row],[Fecha F.E.]]))</f>
        <v>2025</v>
      </c>
      <c r="X578" s="23">
        <f>IF(Tabla2[[#This Row],[Fecha]]="","",YEAR(Tabla2[[#This Row],[Fecha]]))</f>
        <v>2025</v>
      </c>
    </row>
    <row r="579" spans="1:24" x14ac:dyDescent="0.25">
      <c r="A579" s="3">
        <v>580</v>
      </c>
      <c r="B579" s="77" t="s">
        <v>1926</v>
      </c>
      <c r="C579" s="360">
        <v>45904</v>
      </c>
      <c r="D579" s="76" t="s">
        <v>396</v>
      </c>
      <c r="E579" s="360">
        <v>45891</v>
      </c>
      <c r="F579" s="78" t="s">
        <v>231</v>
      </c>
      <c r="G579" s="85">
        <v>901843713</v>
      </c>
      <c r="H579" s="177" t="str">
        <f>VLOOKUP(Tabla2[[#This Row],[NIT]],Clientes!A:C,2,0)</f>
        <v>GENUINE LAB S.A.S.</v>
      </c>
      <c r="I579" s="77" t="str">
        <f>VLOOKUP(Tabla2[[#This Row],[NIT]],Clientes!A:C,3,0)</f>
        <v>PJ</v>
      </c>
      <c r="J579" s="77"/>
      <c r="K579" s="267">
        <f>SUMIFS(Tabla4[Sub Total],Tabla4[Codigo],Tabla2[[#This Row],[Cod]])</f>
        <v>900000</v>
      </c>
      <c r="L579" s="262">
        <f>SUMPRODUCT((Tabla4[Codigo]=Tabla2[[#This Row],[Cod]])*1,Tabla4[IVA])</f>
        <v>171000</v>
      </c>
      <c r="M579" s="262">
        <f>SUMIFS(Tabla4[Total],Tabla4[Codigo],Tabla2[[#This Row],[Cod]])</f>
        <v>1071000</v>
      </c>
      <c r="N579" s="278">
        <f>SUMPRODUCT((Tabla1[Codigo]=Tabla2[[#This Row],[Cod]])*1,Tabla1[Valor])</f>
        <v>1035000</v>
      </c>
      <c r="O579" s="265">
        <f>IF(AND(Tabla2[[#This Row],[Estado]]="ok",LEFT(Tabla2[[#This Row],['# Factura]],3)="TIS"),Tabla2[[#This Row],[TOTAL]]-Tabla2[[#This Row],[pagado]],0)</f>
        <v>-71694</v>
      </c>
      <c r="P579" s="262">
        <f>Tabla2[[#This Row],[TOTAL]]-Tabla2[[#This Row],[Valor pago]]</f>
        <v>36000</v>
      </c>
      <c r="Q579" s="265">
        <f>IF(Tabla2[[#This Row],[Saldo]]=0,0,IF(Tabla2[[#This Row],[Tipo cliente]]="PJ",Tabla2[[#This Row],[SUBTOTAL]]*11%,0))</f>
        <v>99000</v>
      </c>
      <c r="R579" s="276">
        <f>IF(Tabla2[[#This Row],[Saldo]]=0,0,IF(Tabla2[[#This Row],[Tipo cliente]]="PJ",Tabla2[[#This Row],[SUBTOTAL]]*0.966%,0))</f>
        <v>8694</v>
      </c>
      <c r="S579" s="276">
        <f>IF(Tabla2[[#This Row],[Retiene IVA]]="S",Tabla2[[#This Row],[IVA]]*0.15,0)</f>
        <v>0</v>
      </c>
      <c r="T579" s="265"/>
      <c r="U57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1142694</v>
      </c>
      <c r="W579" s="23">
        <f>IF(Tabla2[[#This Row],[Fecha F.E.]]="","",YEAR(Tabla2[[#This Row],[Fecha F.E.]]))</f>
        <v>2025</v>
      </c>
      <c r="X579" s="23">
        <f>IF(Tabla2[[#This Row],[Fecha]]="","",YEAR(Tabla2[[#This Row],[Fecha]]))</f>
        <v>2025</v>
      </c>
    </row>
    <row r="580" spans="1:24" x14ac:dyDescent="0.25">
      <c r="A580" s="3">
        <v>581</v>
      </c>
      <c r="B580" s="77" t="s">
        <v>1927</v>
      </c>
      <c r="C580" s="360">
        <v>45904</v>
      </c>
      <c r="D580" s="76" t="s">
        <v>1928</v>
      </c>
      <c r="E580" s="360">
        <v>45890</v>
      </c>
      <c r="F580" s="78" t="s">
        <v>231</v>
      </c>
      <c r="G580" s="85">
        <v>900903463</v>
      </c>
      <c r="H580" s="177" t="str">
        <f>VLOOKUP(Tabla2[[#This Row],[NIT]],Clientes!A:C,2,0)</f>
        <v>SOLUCIONES CREATIVAS Y TURÍSTICAS</v>
      </c>
      <c r="I580" s="77" t="str">
        <f>VLOOKUP(Tabla2[[#This Row],[NIT]],Clientes!A:C,3,0)</f>
        <v>PJ</v>
      </c>
      <c r="J580" s="77"/>
      <c r="K580" s="267">
        <f>SUMIFS(Tabla4[Sub Total],Tabla4[Codigo],Tabla2[[#This Row],[Cod]])</f>
        <v>1260505</v>
      </c>
      <c r="L580" s="262">
        <f>SUMPRODUCT((Tabla4[Codigo]=Tabla2[[#This Row],[Cod]])*1,Tabla4[IVA])</f>
        <v>239495.95</v>
      </c>
      <c r="M580" s="262">
        <f>SUMIFS(Tabla4[Total],Tabla4[Codigo],Tabla2[[#This Row],[Cod]])</f>
        <v>1500000.95</v>
      </c>
      <c r="N580" s="278">
        <f>SUMPRODUCT((Tabla1[Codigo]=Tabla2[[#This Row],[Cod]])*1,Tabla1[Valor])</f>
        <v>1500000</v>
      </c>
      <c r="O580" s="265">
        <f>IF(AND(Tabla2[[#This Row],[Estado]]="ok",LEFT(Tabla2[[#This Row],['# Factura]],3)="TIS"),Tabla2[[#This Row],[TOTAL]]-Tabla2[[#This Row],[pagado]],0)</f>
        <v>-150831.07830000017</v>
      </c>
      <c r="P580" s="262">
        <f>Tabla2[[#This Row],[TOTAL]]-Tabla2[[#This Row],[Valor pago]]</f>
        <v>0.94999999995343387</v>
      </c>
      <c r="Q580" s="265">
        <f>IF(Tabla2[[#This Row],[Saldo]]=0,0,IF(Tabla2[[#This Row],[Tipo cliente]]="PJ",Tabla2[[#This Row],[SUBTOTAL]]*11%,0))</f>
        <v>138655.54999999999</v>
      </c>
      <c r="R580" s="276">
        <f>IF(Tabla2[[#This Row],[Saldo]]=0,0,IF(Tabla2[[#This Row],[Tipo cliente]]="PJ",Tabla2[[#This Row],[SUBTOTAL]]*0.966%,0))</f>
        <v>12176.478300000001</v>
      </c>
      <c r="S580" s="276">
        <f>IF(Tabla2[[#This Row],[Retiene IVA]]="S",Tabla2[[#This Row],[IVA]]*0.15,0)</f>
        <v>0</v>
      </c>
      <c r="T580" s="265"/>
      <c r="U58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1650832.0283000001</v>
      </c>
      <c r="W580" s="23">
        <f>IF(Tabla2[[#This Row],[Fecha F.E.]]="","",YEAR(Tabla2[[#This Row],[Fecha F.E.]]))</f>
        <v>2025</v>
      </c>
      <c r="X580" s="23">
        <f>IF(Tabla2[[#This Row],[Fecha]]="","",YEAR(Tabla2[[#This Row],[Fecha]]))</f>
        <v>2025</v>
      </c>
    </row>
    <row r="581" spans="1:24" x14ac:dyDescent="0.25">
      <c r="A581" s="3">
        <v>582</v>
      </c>
      <c r="B581" s="77" t="s">
        <v>1929</v>
      </c>
      <c r="C581" s="360">
        <v>45910</v>
      </c>
      <c r="D581" s="76" t="s">
        <v>1930</v>
      </c>
      <c r="E581" s="360">
        <v>45932</v>
      </c>
      <c r="F581" s="78" t="s">
        <v>231</v>
      </c>
      <c r="G581" s="85">
        <v>4446779</v>
      </c>
      <c r="H581" s="177" t="str">
        <f>VLOOKUP(Tabla2[[#This Row],[NIT]],Clientes!A:C,2,0)</f>
        <v>ELKIN EDUARDO ORTIZ ORTIZ</v>
      </c>
      <c r="I581" s="77" t="str">
        <f>VLOOKUP(Tabla2[[#This Row],[NIT]],Clientes!A:C,3,0)</f>
        <v>PN</v>
      </c>
      <c r="J581" s="77"/>
      <c r="K581" s="267">
        <f>SUMIFS(Tabla4[Sub Total],Tabla4[Codigo],Tabla2[[#This Row],[Cod]])</f>
        <v>4950000</v>
      </c>
      <c r="L581" s="262">
        <f>SUMPRODUCT((Tabla4[Codigo]=Tabla2[[#This Row],[Cod]])*1,Tabla4[IVA])</f>
        <v>940500</v>
      </c>
      <c r="M581" s="262">
        <f>SUMIFS(Tabla4[Total],Tabla4[Codigo],Tabla2[[#This Row],[Cod]])</f>
        <v>5890500</v>
      </c>
      <c r="N581" s="278">
        <f>SUMPRODUCT((Tabla1[Codigo]=Tabla2[[#This Row],[Cod]])*1,Tabla1[Valor])</f>
        <v>5890500</v>
      </c>
      <c r="O581" s="265">
        <f>IF(AND(Tabla2[[#This Row],[Estado]]="ok",LEFT(Tabla2[[#This Row],['# Factura]],3)="TIS"),Tabla2[[#This Row],[TOTAL]]-Tabla2[[#This Row],[pagado]],0)</f>
        <v>0</v>
      </c>
      <c r="P581" s="262">
        <f>Tabla2[[#This Row],[TOTAL]]-Tabla2[[#This Row],[Valor pago]]</f>
        <v>0</v>
      </c>
      <c r="Q581" s="265">
        <f>IF(Tabla2[[#This Row],[Saldo]]=0,0,IF(Tabla2[[#This Row],[Tipo cliente]]="PJ",Tabla2[[#This Row],[SUBTOTAL]]*11%,0))</f>
        <v>0</v>
      </c>
      <c r="R581" s="276">
        <f>IF(Tabla2[[#This Row],[Saldo]]=0,0,IF(Tabla2[[#This Row],[Tipo cliente]]="PJ",Tabla2[[#This Row],[SUBTOTAL]]*0.966%,0))</f>
        <v>0</v>
      </c>
      <c r="S581" s="276">
        <f>IF(Tabla2[[#This Row],[Retiene IVA]]="S",Tabla2[[#This Row],[IVA]]*0.15,0)</f>
        <v>0</v>
      </c>
      <c r="T581" s="265"/>
      <c r="U58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5890500</v>
      </c>
      <c r="W581" s="23">
        <f>IF(Tabla2[[#This Row],[Fecha F.E.]]="","",YEAR(Tabla2[[#This Row],[Fecha F.E.]]))</f>
        <v>2025</v>
      </c>
      <c r="X581" s="23">
        <f>IF(Tabla2[[#This Row],[Fecha]]="","",YEAR(Tabla2[[#This Row],[Fecha]]))</f>
        <v>2025</v>
      </c>
    </row>
    <row r="582" spans="1:24" x14ac:dyDescent="0.25">
      <c r="A582" s="3">
        <v>583</v>
      </c>
      <c r="B582" s="77" t="s">
        <v>1931</v>
      </c>
      <c r="C582" s="360">
        <v>45910</v>
      </c>
      <c r="D582" s="76" t="s">
        <v>1932</v>
      </c>
      <c r="E582" s="360">
        <v>45791</v>
      </c>
      <c r="F582" s="78" t="s">
        <v>231</v>
      </c>
      <c r="G582" s="85">
        <v>900072275</v>
      </c>
      <c r="H582" s="177" t="str">
        <f>VLOOKUP(Tabla2[[#This Row],[NIT]],Clientes!A:C,2,0)</f>
        <v>GAMBLER GROUP S.A.S.</v>
      </c>
      <c r="I582" s="77" t="str">
        <f>VLOOKUP(Tabla2[[#This Row],[NIT]],Clientes!A:C,3,0)</f>
        <v>PJ</v>
      </c>
      <c r="J582" s="77"/>
      <c r="K582" s="267">
        <f>SUMIFS(Tabla4[Sub Total],Tabla4[Codigo],Tabla2[[#This Row],[Cod]])</f>
        <v>2132000</v>
      </c>
      <c r="L582" s="262">
        <f>SUMPRODUCT((Tabla4[Codigo]=Tabla2[[#This Row],[Cod]])*1,Tabla4[IVA])</f>
        <v>405080</v>
      </c>
      <c r="M582" s="262">
        <f>SUMIFS(Tabla4[Total],Tabla4[Codigo],Tabla2[[#This Row],[Cod]])</f>
        <v>2537080</v>
      </c>
      <c r="N582" s="278">
        <f>SUMPRODUCT((Tabla1[Codigo]=Tabla2[[#This Row],[Cod]])*1,Tabla1[Valor])</f>
        <v>2431205</v>
      </c>
      <c r="O582" s="265">
        <f>IF(AND(Tabla2[[#This Row],[Estado]]="ok",LEFT(Tabla2[[#This Row],['# Factura]],3)="TIS"),Tabla2[[#This Row],[TOTAL]]-Tabla2[[#This Row],[pagado]],0)</f>
        <v>-149240.12000000011</v>
      </c>
      <c r="P582" s="262">
        <f>Tabla2[[#This Row],[TOTAL]]-Tabla2[[#This Row],[Valor pago]]</f>
        <v>105875</v>
      </c>
      <c r="Q582" s="265">
        <f>IF(Tabla2[[#This Row],[Saldo]]=0,0,IF(Tabla2[[#This Row],[Tipo cliente]]="PJ",Tabla2[[#This Row],[SUBTOTAL]]*11%,0))</f>
        <v>234520</v>
      </c>
      <c r="R582" s="276">
        <f>IF(Tabla2[[#This Row],[Saldo]]=0,0,IF(Tabla2[[#This Row],[Tipo cliente]]="PJ",Tabla2[[#This Row],[SUBTOTAL]]*0.966%,0))</f>
        <v>20595.12</v>
      </c>
      <c r="S582" s="276">
        <f>IF(Tabla2[[#This Row],[Retiene IVA]]="S",Tabla2[[#This Row],[IVA]]*0.15,0)</f>
        <v>0</v>
      </c>
      <c r="T582" s="265"/>
      <c r="U58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2686320.12</v>
      </c>
      <c r="W582" s="23">
        <f>IF(Tabla2[[#This Row],[Fecha F.E.]]="","",YEAR(Tabla2[[#This Row],[Fecha F.E.]]))</f>
        <v>2025</v>
      </c>
      <c r="X582" s="23">
        <f>IF(Tabla2[[#This Row],[Fecha]]="","",YEAR(Tabla2[[#This Row],[Fecha]]))</f>
        <v>2025</v>
      </c>
    </row>
    <row r="583" spans="1:24" x14ac:dyDescent="0.25">
      <c r="A583" s="3">
        <v>584</v>
      </c>
      <c r="B583" s="77" t="s">
        <v>1933</v>
      </c>
      <c r="C583" s="360">
        <v>45915</v>
      </c>
      <c r="D583" s="76"/>
      <c r="E583" s="360"/>
      <c r="F583" s="78" t="s">
        <v>231</v>
      </c>
      <c r="G583" s="85">
        <v>900566071</v>
      </c>
      <c r="H583" s="177" t="str">
        <f>VLOOKUP(Tabla2[[#This Row],[NIT]],Clientes!A:C,2,0)</f>
        <v>BIENESTAR SEGUROS &amp; CIA LTDA</v>
      </c>
      <c r="I583" s="77" t="str">
        <f>VLOOKUP(Tabla2[[#This Row],[NIT]],Clientes!A:C,3,0)</f>
        <v>PJ</v>
      </c>
      <c r="J583" s="77"/>
      <c r="K583" s="267">
        <f>SUMIFS(Tabla4[Sub Total],Tabla4[Codigo],Tabla2[[#This Row],[Cod]])</f>
        <v>1890000</v>
      </c>
      <c r="L583" s="262">
        <f>SUMPRODUCT((Tabla4[Codigo]=Tabla2[[#This Row],[Cod]])*1,Tabla4[IVA])</f>
        <v>359100</v>
      </c>
      <c r="M583" s="262">
        <f>SUMIFS(Tabla4[Total],Tabla4[Codigo],Tabla2[[#This Row],[Cod]])</f>
        <v>2249100</v>
      </c>
      <c r="N583" s="278">
        <f>SUMPRODUCT((Tabla1[Codigo]=Tabla2[[#This Row],[Cod]])*1,Tabla1[Valor])</f>
        <v>2211300</v>
      </c>
      <c r="O583" s="265">
        <f>IF(AND(Tabla2[[#This Row],[Estado]]="ok",LEFT(Tabla2[[#This Row],['# Factura]],3)="TIS"),Tabla2[[#This Row],[TOTAL]]-Tabla2[[#This Row],[pagado]],0)</f>
        <v>0</v>
      </c>
      <c r="P583" s="262">
        <f>Tabla2[[#This Row],[TOTAL]]-Tabla2[[#This Row],[Valor pago]]</f>
        <v>37800</v>
      </c>
      <c r="Q583" s="265">
        <f>IF(Tabla2[[#This Row],[Saldo]]=0,0,IF(Tabla2[[#This Row],[Tipo cliente]]="PJ",Tabla2[[#This Row],[SUBTOTAL]]*11%,0))</f>
        <v>207900</v>
      </c>
      <c r="R583" s="276">
        <f>IF(Tabla2[[#This Row],[Saldo]]=0,0,IF(Tabla2[[#This Row],[Tipo cliente]]="PJ",Tabla2[[#This Row],[SUBTOTAL]]*0.966%,0))</f>
        <v>18257.400000000001</v>
      </c>
      <c r="S583" s="276">
        <f>IF(Tabla2[[#This Row],[Retiene IVA]]="S",Tabla2[[#This Row],[IVA]]*0.15,0)</f>
        <v>0</v>
      </c>
      <c r="T583" s="265"/>
      <c r="U58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2437457.4</v>
      </c>
      <c r="W583" s="23" t="str">
        <f>IF(Tabla2[[#This Row],[Fecha F.E.]]="","",YEAR(Tabla2[[#This Row],[Fecha F.E.]]))</f>
        <v/>
      </c>
      <c r="X583" s="23">
        <f>IF(Tabla2[[#This Row],[Fecha]]="","",YEAR(Tabla2[[#This Row],[Fecha]]))</f>
        <v>2025</v>
      </c>
    </row>
    <row r="584" spans="1:24" x14ac:dyDescent="0.25">
      <c r="A584" s="3">
        <v>585</v>
      </c>
      <c r="B584" s="77" t="s">
        <v>1934</v>
      </c>
      <c r="C584" s="360">
        <v>45918</v>
      </c>
      <c r="D584" s="76" t="s">
        <v>1935</v>
      </c>
      <c r="E584" s="360">
        <v>45918</v>
      </c>
      <c r="F584" s="78" t="s">
        <v>231</v>
      </c>
      <c r="G584" s="85">
        <v>800233648</v>
      </c>
      <c r="H584" s="177" t="str">
        <f>VLOOKUP(Tabla2[[#This Row],[NIT]],Clientes!A:C,2,0)</f>
        <v>MARKET TEAM S.A.S.</v>
      </c>
      <c r="I584" s="77" t="str">
        <f>VLOOKUP(Tabla2[[#This Row],[NIT]],Clientes!A:C,3,0)</f>
        <v>PJ</v>
      </c>
      <c r="J584" s="77"/>
      <c r="K584" s="267">
        <f>SUMIFS(Tabla4[Sub Total],Tabla4[Codigo],Tabla2[[#This Row],[Cod]])</f>
        <v>3750000</v>
      </c>
      <c r="L584" s="262">
        <f>SUMPRODUCT((Tabla4[Codigo]=Tabla2[[#This Row],[Cod]])*1,Tabla4[IVA])</f>
        <v>712500</v>
      </c>
      <c r="M584" s="262">
        <f>SUMIFS(Tabla4[Total],Tabla4[Codigo],Tabla2[[#This Row],[Cod]])</f>
        <v>4462500</v>
      </c>
      <c r="N584" s="278">
        <f>SUMPRODUCT((Tabla1[Codigo]=Tabla2[[#This Row],[Cod]])*1,Tabla1[Valor])</f>
        <v>4286625</v>
      </c>
      <c r="O584" s="265">
        <f>IF(AND(Tabla2[[#This Row],[Estado]]="ok",LEFT(Tabla2[[#This Row],['# Factura]],3)="TIS"),Tabla2[[#This Row],[TOTAL]]-Tabla2[[#This Row],[pagado]],0)</f>
        <v>-272850</v>
      </c>
      <c r="P584" s="262">
        <f>Tabla2[[#This Row],[TOTAL]]-Tabla2[[#This Row],[Valor pago]]</f>
        <v>175875</v>
      </c>
      <c r="Q584" s="265">
        <f>IF(Tabla2[[#This Row],[Saldo]]=0,0,IF(Tabla2[[#This Row],[Tipo cliente]]="PJ",Tabla2[[#This Row],[SUBTOTAL]]*11%,0))</f>
        <v>412500</v>
      </c>
      <c r="R584" s="276">
        <f>IF(Tabla2[[#This Row],[Saldo]]=0,0,IF(Tabla2[[#This Row],[Tipo cliente]]="PJ",Tabla2[[#This Row],[SUBTOTAL]]*0.966%,0))</f>
        <v>36225</v>
      </c>
      <c r="S584" s="276">
        <f>IF(Tabla2[[#This Row],[Retiene IVA]]="S",Tabla2[[#This Row],[IVA]]*0.15,0)</f>
        <v>0</v>
      </c>
      <c r="T584" s="265"/>
      <c r="U58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4735350</v>
      </c>
      <c r="W584" s="23">
        <f>IF(Tabla2[[#This Row],[Fecha F.E.]]="","",YEAR(Tabla2[[#This Row],[Fecha F.E.]]))</f>
        <v>2025</v>
      </c>
      <c r="X584" s="23">
        <f>IF(Tabla2[[#This Row],[Fecha]]="","",YEAR(Tabla2[[#This Row],[Fecha]]))</f>
        <v>2025</v>
      </c>
    </row>
    <row r="585" spans="1:24" x14ac:dyDescent="0.25">
      <c r="A585" s="3">
        <v>586</v>
      </c>
      <c r="B585" s="77" t="s">
        <v>1936</v>
      </c>
      <c r="C585" s="360">
        <v>45931</v>
      </c>
      <c r="D585" s="76" t="s">
        <v>1937</v>
      </c>
      <c r="E585" s="360">
        <v>45931</v>
      </c>
      <c r="F585" s="78" t="s">
        <v>231</v>
      </c>
      <c r="G585" s="85">
        <v>800028768</v>
      </c>
      <c r="H585" s="177" t="str">
        <f>VLOOKUP(Tabla2[[#This Row],[NIT]],Clientes!A:C,2,0)</f>
        <v>Comercializadora ERZ SAS</v>
      </c>
      <c r="I585" s="77" t="str">
        <f>VLOOKUP(Tabla2[[#This Row],[NIT]],Clientes!A:C,3,0)</f>
        <v>PJ</v>
      </c>
      <c r="J585" s="77"/>
      <c r="K585" s="267">
        <f>SUMIFS(Tabla4[Sub Total],Tabla4[Codigo],Tabla2[[#This Row],[Cod]])</f>
        <v>300000</v>
      </c>
      <c r="L585" s="262">
        <f>SUMPRODUCT((Tabla4[Codigo]=Tabla2[[#This Row],[Cod]])*1,Tabla4[IVA])</f>
        <v>57000</v>
      </c>
      <c r="M585" s="262">
        <f>SUMIFS(Tabla4[Total],Tabla4[Codigo],Tabla2[[#This Row],[Cod]])</f>
        <v>357000</v>
      </c>
      <c r="N585" s="278">
        <f>SUMPRODUCT((Tabla1[Codigo]=Tabla2[[#This Row],[Cod]])*1,Tabla1[Valor])</f>
        <v>324000</v>
      </c>
      <c r="O585" s="265">
        <f>IF(AND(Tabla2[[#This Row],[Estado]]="ok",LEFT(Tabla2[[#This Row],['# Factura]],3)="TIS"),Tabla2[[#This Row],[TOTAL]]-Tabla2[[#This Row],[pagado]],0)</f>
        <v>-2898</v>
      </c>
      <c r="P585" s="262">
        <f>Tabla2[[#This Row],[TOTAL]]-Tabla2[[#This Row],[Valor pago]]</f>
        <v>33000</v>
      </c>
      <c r="Q585" s="265">
        <f>IF(Tabla2[[#This Row],[Saldo]]=0,0,IF(Tabla2[[#This Row],[Tipo cliente]]="PJ",Tabla2[[#This Row],[SUBTOTAL]]*11%,0))</f>
        <v>33000</v>
      </c>
      <c r="R585" s="276">
        <f>IF(Tabla2[[#This Row],[Saldo]]=0,0,IF(Tabla2[[#This Row],[Tipo cliente]]="PJ",Tabla2[[#This Row],[SUBTOTAL]]*0.966%,0))</f>
        <v>2898</v>
      </c>
      <c r="S585" s="276">
        <f>IF(Tabla2[[#This Row],[Retiene IVA]]="S",Tabla2[[#This Row],[IVA]]*0.15,0)</f>
        <v>0</v>
      </c>
      <c r="T585" s="265"/>
      <c r="U58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85" s="23">
        <f>IF(Tabla2[[#This Row],[Fecha F.E.]]="","",YEAR(Tabla2[[#This Row],[Fecha F.E.]]))</f>
        <v>2025</v>
      </c>
      <c r="X585" s="23">
        <f>IF(Tabla2[[#This Row],[Fecha]]="","",YEAR(Tabla2[[#This Row],[Fecha]]))</f>
        <v>2025</v>
      </c>
    </row>
    <row r="586" spans="1:24" x14ac:dyDescent="0.25">
      <c r="A586" s="3">
        <v>587</v>
      </c>
      <c r="B586" s="77" t="s">
        <v>1938</v>
      </c>
      <c r="C586" s="360">
        <v>45931</v>
      </c>
      <c r="D586" s="76" t="s">
        <v>1939</v>
      </c>
      <c r="E586" s="360">
        <v>45931</v>
      </c>
      <c r="F586" s="78" t="s">
        <v>231</v>
      </c>
      <c r="G586" s="85">
        <v>900505660</v>
      </c>
      <c r="H586" s="177" t="str">
        <f>VLOOKUP(Tabla2[[#This Row],[NIT]],Clientes!A:C,2,0)</f>
        <v>DIGITAL MEDIA TECHNOLOGIES COLOMBIA SAS</v>
      </c>
      <c r="I586" s="77" t="str">
        <f>VLOOKUP(Tabla2[[#This Row],[NIT]],Clientes!A:C,3,0)</f>
        <v>PJ</v>
      </c>
      <c r="J586" s="77"/>
      <c r="K586" s="267">
        <f>SUMIFS(Tabla4[Sub Total],Tabla4[Codigo],Tabla2[[#This Row],[Cod]])</f>
        <v>300000</v>
      </c>
      <c r="L586" s="262">
        <f>SUMPRODUCT((Tabla4[Codigo]=Tabla2[[#This Row],[Cod]])*1,Tabla4[IVA])</f>
        <v>57000</v>
      </c>
      <c r="M586" s="262">
        <f>SUMIFS(Tabla4[Total],Tabla4[Codigo],Tabla2[[#This Row],[Cod]])</f>
        <v>357000</v>
      </c>
      <c r="N586" s="278">
        <f>SUMPRODUCT((Tabla1[Codigo]=Tabla2[[#This Row],[Cod]])*1,Tabla1[Valor])</f>
        <v>324000</v>
      </c>
      <c r="O586" s="265">
        <f>IF(AND(Tabla2[[#This Row],[Estado]]="ok",LEFT(Tabla2[[#This Row],['# Factura]],3)="TIS"),Tabla2[[#This Row],[TOTAL]]-Tabla2[[#This Row],[pagado]],0)</f>
        <v>-2898</v>
      </c>
      <c r="P586" s="262">
        <f>Tabla2[[#This Row],[TOTAL]]-Tabla2[[#This Row],[Valor pago]]</f>
        <v>33000</v>
      </c>
      <c r="Q586" s="265">
        <f>IF(Tabla2[[#This Row],[Saldo]]=0,0,IF(Tabla2[[#This Row],[Tipo cliente]]="PJ",Tabla2[[#This Row],[SUBTOTAL]]*11%,0))</f>
        <v>33000</v>
      </c>
      <c r="R586" s="276">
        <f>IF(Tabla2[[#This Row],[Saldo]]=0,0,IF(Tabla2[[#This Row],[Tipo cliente]]="PJ",Tabla2[[#This Row],[SUBTOTAL]]*0.966%,0))</f>
        <v>2898</v>
      </c>
      <c r="S586" s="276">
        <f>IF(Tabla2[[#This Row],[Retiene IVA]]="S",Tabla2[[#This Row],[IVA]]*0.15,0)</f>
        <v>0</v>
      </c>
      <c r="T586" s="265"/>
      <c r="U58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86" s="23">
        <f>IF(Tabla2[[#This Row],[Fecha F.E.]]="","",YEAR(Tabla2[[#This Row],[Fecha F.E.]]))</f>
        <v>2025</v>
      </c>
      <c r="X586" s="23">
        <f>IF(Tabla2[[#This Row],[Fecha]]="","",YEAR(Tabla2[[#This Row],[Fecha]]))</f>
        <v>2025</v>
      </c>
    </row>
    <row r="587" spans="1:24" x14ac:dyDescent="0.25">
      <c r="A587" s="3">
        <v>588</v>
      </c>
      <c r="B587" s="77" t="s">
        <v>1940</v>
      </c>
      <c r="C587" s="360">
        <v>45931</v>
      </c>
      <c r="D587" s="76" t="s">
        <v>1941</v>
      </c>
      <c r="E587" s="360">
        <v>45931</v>
      </c>
      <c r="F587" s="78" t="s">
        <v>231</v>
      </c>
      <c r="G587" s="85">
        <v>901342609</v>
      </c>
      <c r="H587" s="177" t="str">
        <f>VLOOKUP(Tabla2[[#This Row],[NIT]],Clientes!A:C,2,0)</f>
        <v>ROYCO SOLUCIONES SAS</v>
      </c>
      <c r="I587" s="77" t="str">
        <f>VLOOKUP(Tabla2[[#This Row],[NIT]],Clientes!A:C,3,0)</f>
        <v>PJ</v>
      </c>
      <c r="J587" s="77"/>
      <c r="K587" s="267">
        <f>SUMIFS(Tabla4[Sub Total],Tabla4[Codigo],Tabla2[[#This Row],[Cod]])</f>
        <v>250000</v>
      </c>
      <c r="L587" s="262">
        <f>SUMPRODUCT((Tabla4[Codigo]=Tabla2[[#This Row],[Cod]])*1,Tabla4[IVA])</f>
        <v>47500</v>
      </c>
      <c r="M587" s="262">
        <f>SUMIFS(Tabla4[Total],Tabla4[Codigo],Tabla2[[#This Row],[Cod]])</f>
        <v>297500</v>
      </c>
      <c r="N587" s="278">
        <f>SUMPRODUCT((Tabla1[Codigo]=Tabla2[[#This Row],[Cod]])*1,Tabla1[Valor])</f>
        <v>287500</v>
      </c>
      <c r="O587" s="265">
        <f>IF(AND(Tabla2[[#This Row],[Estado]]="ok",LEFT(Tabla2[[#This Row],['# Factura]],3)="TIS"),Tabla2[[#This Row],[TOTAL]]-Tabla2[[#This Row],[pagado]],0)</f>
        <v>-19915</v>
      </c>
      <c r="P587" s="262">
        <f>Tabla2[[#This Row],[TOTAL]]-Tabla2[[#This Row],[Valor pago]]</f>
        <v>10000</v>
      </c>
      <c r="Q587" s="265">
        <f>IF(Tabla2[[#This Row],[Saldo]]=0,0,IF(Tabla2[[#This Row],[Tipo cliente]]="PJ",Tabla2[[#This Row],[SUBTOTAL]]*11%,0))</f>
        <v>27500</v>
      </c>
      <c r="R587" s="276">
        <f>IF(Tabla2[[#This Row],[Saldo]]=0,0,IF(Tabla2[[#This Row],[Tipo cliente]]="PJ",Tabla2[[#This Row],[SUBTOTAL]]*0.966%,0))</f>
        <v>2415</v>
      </c>
      <c r="S587" s="276">
        <f>IF(Tabla2[[#This Row],[Retiene IVA]]="S",Tabla2[[#This Row],[IVA]]*0.15,0)</f>
        <v>0</v>
      </c>
      <c r="T587" s="265"/>
      <c r="U58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317415</v>
      </c>
      <c r="W587" s="23">
        <f>IF(Tabla2[[#This Row],[Fecha F.E.]]="","",YEAR(Tabla2[[#This Row],[Fecha F.E.]]))</f>
        <v>2025</v>
      </c>
      <c r="X587" s="23">
        <f>IF(Tabla2[[#This Row],[Fecha]]="","",YEAR(Tabla2[[#This Row],[Fecha]]))</f>
        <v>2025</v>
      </c>
    </row>
    <row r="588" spans="1:24" x14ac:dyDescent="0.25">
      <c r="A588" s="3">
        <v>589</v>
      </c>
      <c r="B588" s="77" t="s">
        <v>1942</v>
      </c>
      <c r="C588" s="360">
        <v>45931</v>
      </c>
      <c r="D588" s="76" t="s">
        <v>1943</v>
      </c>
      <c r="E588" s="360">
        <v>45931</v>
      </c>
      <c r="F588" s="78" t="s">
        <v>231</v>
      </c>
      <c r="G588" s="85">
        <v>830033212</v>
      </c>
      <c r="H588" s="177" t="str">
        <f>VLOOKUP(Tabla2[[#This Row],[NIT]],Clientes!A:C,2,0)</f>
        <v>HUTERCOL S.A.S.</v>
      </c>
      <c r="I588" s="77" t="str">
        <f>VLOOKUP(Tabla2[[#This Row],[NIT]],Clientes!A:C,3,0)</f>
        <v>PJ</v>
      </c>
      <c r="J588" s="77"/>
      <c r="K588" s="267">
        <f>SUMIFS(Tabla4[Sub Total],Tabla4[Codigo],Tabla2[[#This Row],[Cod]])</f>
        <v>1500000</v>
      </c>
      <c r="L588" s="262">
        <f>SUMPRODUCT((Tabla4[Codigo]=Tabla2[[#This Row],[Cod]])*1,Tabla4[IVA])</f>
        <v>285000</v>
      </c>
      <c r="M588" s="262">
        <f>SUMIFS(Tabla4[Total],Tabla4[Codigo],Tabla2[[#This Row],[Cod]])</f>
        <v>1785000</v>
      </c>
      <c r="N588" s="278">
        <f>SUMPRODUCT((Tabla1[Codigo]=Tabla2[[#This Row],[Cod]])*1,Tabla1[Valor])</f>
        <v>1609500</v>
      </c>
      <c r="O588" s="265">
        <f>IF(AND(Tabla2[[#This Row],[Estado]]="ok",LEFT(Tabla2[[#This Row],['# Factura]],3)="TIS"),Tabla2[[#This Row],[TOTAL]]-Tabla2[[#This Row],[pagado]],0)</f>
        <v>-3990</v>
      </c>
      <c r="P588" s="262">
        <f>Tabla2[[#This Row],[TOTAL]]-Tabla2[[#This Row],[Valor pago]]</f>
        <v>175500</v>
      </c>
      <c r="Q588" s="265">
        <f>IF(Tabla2[[#This Row],[Saldo]]=0,0,IF(Tabla2[[#This Row],[Tipo cliente]]="PJ",Tabla2[[#This Row],[SUBTOTAL]]*11%,0))</f>
        <v>165000</v>
      </c>
      <c r="R588" s="276">
        <f>IF(Tabla2[[#This Row],[Saldo]]=0,0,IF(Tabla2[[#This Row],[Tipo cliente]]="PJ",Tabla2[[#This Row],[SUBTOTAL]]*0.966%,0))</f>
        <v>14490</v>
      </c>
      <c r="S588" s="276">
        <f>IF(Tabla2[[#This Row],[Retiene IVA]]="S",Tabla2[[#This Row],[IVA]]*0.15,0)</f>
        <v>0</v>
      </c>
      <c r="T588" s="265"/>
      <c r="U58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1788990</v>
      </c>
      <c r="W588" s="23">
        <f>IF(Tabla2[[#This Row],[Fecha F.E.]]="","",YEAR(Tabla2[[#This Row],[Fecha F.E.]]))</f>
        <v>2025</v>
      </c>
      <c r="X588" s="23">
        <f>IF(Tabla2[[#This Row],[Fecha]]="","",YEAR(Tabla2[[#This Row],[Fecha]]))</f>
        <v>2025</v>
      </c>
    </row>
    <row r="589" spans="1:24" x14ac:dyDescent="0.25">
      <c r="A589" s="3">
        <v>590</v>
      </c>
      <c r="B589" s="77" t="s">
        <v>1944</v>
      </c>
      <c r="C589" s="360">
        <v>45931</v>
      </c>
      <c r="D589" s="76" t="s">
        <v>1945</v>
      </c>
      <c r="E589" s="360">
        <v>45931</v>
      </c>
      <c r="F589" s="78" t="s">
        <v>231</v>
      </c>
      <c r="G589" s="85">
        <v>901030518</v>
      </c>
      <c r="H589" s="177" t="str">
        <f>VLOOKUP(Tabla2[[#This Row],[NIT]],Clientes!A:C,2,0)</f>
        <v>Inversiones Sajamib SAS</v>
      </c>
      <c r="I589" s="77" t="str">
        <f>VLOOKUP(Tabla2[[#This Row],[NIT]],Clientes!A:C,3,0)</f>
        <v>PJ</v>
      </c>
      <c r="J589" s="77"/>
      <c r="K589" s="267">
        <f>SUMIFS(Tabla4[Sub Total],Tabla4[Codigo],Tabla2[[#This Row],[Cod]])</f>
        <v>480000</v>
      </c>
      <c r="L589" s="262">
        <f>SUMPRODUCT((Tabla4[Codigo]=Tabla2[[#This Row],[Cod]])*1,Tabla4[IVA])</f>
        <v>0</v>
      </c>
      <c r="M589" s="262">
        <f>SUMIFS(Tabla4[Total],Tabla4[Codigo],Tabla2[[#This Row],[Cod]])</f>
        <v>480000</v>
      </c>
      <c r="N589" s="278">
        <f>SUMPRODUCT((Tabla1[Codigo]=Tabla2[[#This Row],[Cod]])*1,Tabla1[Valor])</f>
        <v>480000</v>
      </c>
      <c r="O589" s="265">
        <f>IF(AND(Tabla2[[#This Row],[Estado]]="ok",LEFT(Tabla2[[#This Row],['# Factura]],3)="TIS"),Tabla2[[#This Row],[TOTAL]]-Tabla2[[#This Row],[pagado]],0)</f>
        <v>0</v>
      </c>
      <c r="P589" s="262">
        <f>Tabla2[[#This Row],[TOTAL]]-Tabla2[[#This Row],[Valor pago]]</f>
        <v>0</v>
      </c>
      <c r="Q589" s="265">
        <f>IF(Tabla2[[#This Row],[Saldo]]=0,0,IF(Tabla2[[#This Row],[Tipo cliente]]="PJ",Tabla2[[#This Row],[SUBTOTAL]]*11%,0))</f>
        <v>0</v>
      </c>
      <c r="R589" s="276">
        <f>IF(Tabla2[[#This Row],[Saldo]]=0,0,IF(Tabla2[[#This Row],[Tipo cliente]]="PJ",Tabla2[[#This Row],[SUBTOTAL]]*0.966%,0))</f>
        <v>0</v>
      </c>
      <c r="S589" s="276">
        <f>IF(Tabla2[[#This Row],[Retiene IVA]]="S",Tabla2[[#This Row],[IVA]]*0.15,0)</f>
        <v>0</v>
      </c>
      <c r="T589" s="265"/>
      <c r="U58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589" s="23">
        <f>IF(Tabla2[[#This Row],[Fecha F.E.]]="","",YEAR(Tabla2[[#This Row],[Fecha F.E.]]))</f>
        <v>2025</v>
      </c>
      <c r="X589" s="23">
        <f>IF(Tabla2[[#This Row],[Fecha]]="","",YEAR(Tabla2[[#This Row],[Fecha]]))</f>
        <v>2025</v>
      </c>
    </row>
    <row r="590" spans="1:24" x14ac:dyDescent="0.25">
      <c r="A590" s="3">
        <v>591</v>
      </c>
      <c r="B590" s="77" t="s">
        <v>1946</v>
      </c>
      <c r="C590" s="360">
        <v>45931</v>
      </c>
      <c r="D590" s="76" t="s">
        <v>1947</v>
      </c>
      <c r="E590" s="360">
        <v>45931</v>
      </c>
      <c r="F590" s="78" t="s">
        <v>231</v>
      </c>
      <c r="G590" s="85">
        <v>900903463</v>
      </c>
      <c r="H590" s="177" t="str">
        <f>VLOOKUP(Tabla2[[#This Row],[NIT]],Clientes!A:C,2,0)</f>
        <v>SOLUCIONES CREATIVAS Y TURÍSTICAS</v>
      </c>
      <c r="I590" s="77" t="str">
        <f>VLOOKUP(Tabla2[[#This Row],[NIT]],Clientes!A:C,3,0)</f>
        <v>PJ</v>
      </c>
      <c r="J590" s="77"/>
      <c r="K590" s="267">
        <f>SUMIFS(Tabla4[Sub Total],Tabla4[Codigo],Tabla2[[#This Row],[Cod]])</f>
        <v>934874</v>
      </c>
      <c r="L590" s="262">
        <f>SUMPRODUCT((Tabla4[Codigo]=Tabla2[[#This Row],[Cod]])*1,Tabla4[IVA])</f>
        <v>177626.06</v>
      </c>
      <c r="M590" s="262">
        <f>SUMIFS(Tabla4[Total],Tabla4[Codigo],Tabla2[[#This Row],[Cod]])</f>
        <v>1112500.06</v>
      </c>
      <c r="N590" s="278">
        <f>SUMPRODUCT((Tabla1[Codigo]=Tabla2[[#This Row],[Cod]])*1,Tabla1[Valor])</f>
        <v>1009664</v>
      </c>
      <c r="O590" s="265">
        <f>IF(AND(Tabla2[[#This Row],[Estado]]="ok",LEFT(Tabla2[[#This Row],['# Factura]],3)="TIS"),Tabla2[[#This Row],[TOTAL]]-Tabla2[[#This Row],[pagado]],0)</f>
        <v>-9030.9628399999347</v>
      </c>
      <c r="P590" s="262">
        <f>Tabla2[[#This Row],[TOTAL]]-Tabla2[[#This Row],[Valor pago]]</f>
        <v>102836.06000000006</v>
      </c>
      <c r="Q590" s="265">
        <f>IF(Tabla2[[#This Row],[Saldo]]=0,0,IF(Tabla2[[#This Row],[Tipo cliente]]="PJ",Tabla2[[#This Row],[SUBTOTAL]]*11%,0))</f>
        <v>102836.14</v>
      </c>
      <c r="R590" s="276">
        <f>IF(Tabla2[[#This Row],[Saldo]]=0,0,IF(Tabla2[[#This Row],[Tipo cliente]]="PJ",Tabla2[[#This Row],[SUBTOTAL]]*0.966%,0))</f>
        <v>9030.8828400000002</v>
      </c>
      <c r="S590" s="276">
        <f>IF(Tabla2[[#This Row],[Retiene IVA]]="S",Tabla2[[#This Row],[IVA]]*0.15,0)</f>
        <v>0</v>
      </c>
      <c r="T590" s="265"/>
      <c r="U59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1121531.02284</v>
      </c>
      <c r="W590" s="23">
        <f>IF(Tabla2[[#This Row],[Fecha F.E.]]="","",YEAR(Tabla2[[#This Row],[Fecha F.E.]]))</f>
        <v>2025</v>
      </c>
      <c r="X590" s="23">
        <f>IF(Tabla2[[#This Row],[Fecha]]="","",YEAR(Tabla2[[#This Row],[Fecha]]))</f>
        <v>2025</v>
      </c>
    </row>
    <row r="591" spans="1:24" ht="26.25" x14ac:dyDescent="0.25">
      <c r="A591" s="3">
        <v>592</v>
      </c>
      <c r="B591" s="77" t="s">
        <v>1948</v>
      </c>
      <c r="C591" s="360">
        <v>45931</v>
      </c>
      <c r="D591" s="76" t="s">
        <v>1949</v>
      </c>
      <c r="E591" s="360">
        <v>45931</v>
      </c>
      <c r="F591" s="78" t="s">
        <v>231</v>
      </c>
      <c r="G591" s="85">
        <v>900187738</v>
      </c>
      <c r="H591" s="177" t="str">
        <f>VLOOKUP(Tabla2[[#This Row],[NIT]],Clientes!A:C,2,0)</f>
        <v>CENTRO DE ATENCION E INVESTIGACION MEDICA S.A.S.</v>
      </c>
      <c r="I591" s="77" t="str">
        <f>VLOOKUP(Tabla2[[#This Row],[NIT]],Clientes!A:C,3,0)</f>
        <v>PJ</v>
      </c>
      <c r="J591" s="77"/>
      <c r="K591" s="267">
        <f>SUMIFS(Tabla4[Sub Total],Tabla4[Codigo],Tabla2[[#This Row],[Cod]])</f>
        <v>1500000</v>
      </c>
      <c r="L591" s="262">
        <f>SUMPRODUCT((Tabla4[Codigo]=Tabla2[[#This Row],[Cod]])*1,Tabla4[IVA])</f>
        <v>285000</v>
      </c>
      <c r="M591" s="262">
        <f>SUMIFS(Tabla4[Total],Tabla4[Codigo],Tabla2[[#This Row],[Cod]])</f>
        <v>1785000</v>
      </c>
      <c r="N591" s="278">
        <f>SUMPRODUCT((Tabla1[Codigo]=Tabla2[[#This Row],[Cod]])*1,Tabla1[Valor])</f>
        <v>1723500</v>
      </c>
      <c r="O591" s="265">
        <f>IF(AND(Tabla2[[#This Row],[Estado]]="ok",LEFT(Tabla2[[#This Row],['# Factura]],3)="TIS"),Tabla2[[#This Row],[TOTAL]]-Tabla2[[#This Row],[pagado]],0)</f>
        <v>-117990</v>
      </c>
      <c r="P591" s="262">
        <f>Tabla2[[#This Row],[TOTAL]]-Tabla2[[#This Row],[Valor pago]]</f>
        <v>61500</v>
      </c>
      <c r="Q591" s="265">
        <f>IF(Tabla2[[#This Row],[Saldo]]=0,0,IF(Tabla2[[#This Row],[Tipo cliente]]="PJ",Tabla2[[#This Row],[SUBTOTAL]]*11%,0))</f>
        <v>165000</v>
      </c>
      <c r="R591" s="276">
        <f>IF(Tabla2[[#This Row],[Saldo]]=0,0,IF(Tabla2[[#This Row],[Tipo cliente]]="PJ",Tabla2[[#This Row],[SUBTOTAL]]*0.966%,0))</f>
        <v>14490</v>
      </c>
      <c r="S591" s="276">
        <f>IF(Tabla2[[#This Row],[Retiene IVA]]="S",Tabla2[[#This Row],[IVA]]*0.15,0)</f>
        <v>0</v>
      </c>
      <c r="T591" s="265"/>
      <c r="U59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1902990</v>
      </c>
      <c r="W591" s="23">
        <f>IF(Tabla2[[#This Row],[Fecha F.E.]]="","",YEAR(Tabla2[[#This Row],[Fecha F.E.]]))</f>
        <v>2025</v>
      </c>
      <c r="X591" s="23">
        <f>IF(Tabla2[[#This Row],[Fecha]]="","",YEAR(Tabla2[[#This Row],[Fecha]]))</f>
        <v>2025</v>
      </c>
    </row>
    <row r="592" spans="1:24" ht="26.25" x14ac:dyDescent="0.25">
      <c r="A592" s="3">
        <v>593</v>
      </c>
      <c r="B592" s="77" t="s">
        <v>1950</v>
      </c>
      <c r="C592" s="360">
        <v>45946</v>
      </c>
      <c r="D592" s="76" t="s">
        <v>1951</v>
      </c>
      <c r="E592" s="360">
        <v>45945</v>
      </c>
      <c r="F592" s="78" t="s">
        <v>231</v>
      </c>
      <c r="G592" s="85">
        <v>830054076</v>
      </c>
      <c r="H592" s="177" t="str">
        <f>VLOOKUP(Tabla2[[#This Row],[NIT]],Clientes!A:C,2,0)</f>
        <v>FIDEICOMISOS SOCIEDAD FIDUCIARIA DE OCCIDENTE SA</v>
      </c>
      <c r="I592" s="77" t="str">
        <f>VLOOKUP(Tabla2[[#This Row],[NIT]],Clientes!A:C,3,0)</f>
        <v>PJ</v>
      </c>
      <c r="J592" s="77"/>
      <c r="K592" s="267">
        <f>SUMIFS(Tabla4[Sub Total],Tabla4[Codigo],Tabla2[[#This Row],[Cod]])</f>
        <v>9830000</v>
      </c>
      <c r="L592" s="262">
        <f>SUMPRODUCT((Tabla4[Codigo]=Tabla2[[#This Row],[Cod]])*1,Tabla4[IVA])</f>
        <v>1867700</v>
      </c>
      <c r="M592" s="262">
        <f>SUMIFS(Tabla4[Total],Tabla4[Codigo],Tabla2[[#This Row],[Cod]])</f>
        <v>11697700</v>
      </c>
      <c r="N592" s="278">
        <f>SUMPRODUCT((Tabla1[Codigo]=Tabla2[[#This Row],[Cod]])*1,Tabla1[Valor])</f>
        <v>10241287</v>
      </c>
      <c r="O592" s="265">
        <f>IF(AND(Tabla2[[#This Row],[Estado]]="ok",LEFT(Tabla2[[#This Row],['# Factura]],3)="TIS"),Tabla2[[#This Row],[TOTAL]]-Tabla2[[#This Row],[pagado]],0)</f>
        <v>280155.19999999925</v>
      </c>
      <c r="P592" s="262">
        <f>Tabla2[[#This Row],[TOTAL]]-Tabla2[[#This Row],[Valor pago]]</f>
        <v>1456413</v>
      </c>
      <c r="Q592" s="265">
        <f>IF(Tabla2[[#This Row],[Saldo]]=0,0,IF(Tabla2[[#This Row],[Tipo cliente]]="PJ",Tabla2[[#This Row],[SUBTOTAL]]*11%,0))</f>
        <v>1081300</v>
      </c>
      <c r="R592" s="276">
        <f>IF(Tabla2[[#This Row],[Saldo]]=0,0,IF(Tabla2[[#This Row],[Tipo cliente]]="PJ",Tabla2[[#This Row],[SUBTOTAL]]*0.966%,0))</f>
        <v>94957.8</v>
      </c>
      <c r="S592" s="276">
        <f>IF(Tabla2[[#This Row],[Retiene IVA]]="S",Tabla2[[#This Row],[IVA]]*0.15,0)</f>
        <v>0</v>
      </c>
      <c r="T592" s="265"/>
      <c r="U59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11417544.800000001</v>
      </c>
      <c r="W592" s="23">
        <f>IF(Tabla2[[#This Row],[Fecha F.E.]]="","",YEAR(Tabla2[[#This Row],[Fecha F.E.]]))</f>
        <v>2025</v>
      </c>
      <c r="X592" s="23">
        <f>IF(Tabla2[[#This Row],[Fecha]]="","",YEAR(Tabla2[[#This Row],[Fecha]]))</f>
        <v>2025</v>
      </c>
    </row>
    <row r="593" spans="1:24" x14ac:dyDescent="0.25">
      <c r="A593" s="3">
        <v>594</v>
      </c>
      <c r="B593" s="77" t="s">
        <v>1952</v>
      </c>
      <c r="C593" s="360">
        <v>45912</v>
      </c>
      <c r="D593" s="76" t="s">
        <v>1953</v>
      </c>
      <c r="E593" s="360">
        <v>45912</v>
      </c>
      <c r="F593" s="78" t="s">
        <v>231</v>
      </c>
      <c r="G593" s="85">
        <v>860002964</v>
      </c>
      <c r="H593" s="177" t="str">
        <f>VLOOKUP(Tabla2[[#This Row],[NIT]],Clientes!A:C,2,0)</f>
        <v>Banco de Bogota S.A.</v>
      </c>
      <c r="I593" s="77" t="str">
        <f>VLOOKUP(Tabla2[[#This Row],[NIT]],Clientes!A:C,3,0)</f>
        <v>PJ</v>
      </c>
      <c r="J593" s="77"/>
      <c r="K593" s="267">
        <f>SUMIFS(Tabla4[Sub Total],Tabla4[Codigo],Tabla2[[#This Row],[Cod]])</f>
        <v>56000000</v>
      </c>
      <c r="L593" s="262">
        <f>SUMPRODUCT((Tabla4[Codigo]=Tabla2[[#This Row],[Cod]])*1,Tabla4[IVA])</f>
        <v>10640000</v>
      </c>
      <c r="M593" s="262">
        <f>SUMIFS(Tabla4[Total],Tabla4[Codigo],Tabla2[[#This Row],[Cod]])</f>
        <v>66640000</v>
      </c>
      <c r="N593" s="278">
        <f>SUMPRODUCT((Tabla1[Codigo]=Tabla2[[#This Row],[Cod]])*1,Tabla1[Valor])</f>
        <v>62263040</v>
      </c>
      <c r="O593" s="265">
        <f>IF(AND(Tabla2[[#This Row],[Estado]]="ok",LEFT(Tabla2[[#This Row],['# Factura]],3)="TIS"),Tabla2[[#This Row],[TOTAL]]-Tabla2[[#This Row],[pagado]],0)</f>
        <v>-2324000</v>
      </c>
      <c r="P593" s="262">
        <f>Tabla2[[#This Row],[TOTAL]]-Tabla2[[#This Row],[Valor pago]]</f>
        <v>4376960</v>
      </c>
      <c r="Q593" s="265">
        <f>IF(Tabla2[[#This Row],[Saldo]]=0,0,IF(Tabla2[[#This Row],[Tipo cliente]]="PJ",Tabla2[[#This Row],[SUBTOTAL]]*11%,0))</f>
        <v>6160000</v>
      </c>
      <c r="R593" s="276">
        <f>IF(Tabla2[[#This Row],[Saldo]]=0,0,IF(Tabla2[[#This Row],[Tipo cliente]]="PJ",Tabla2[[#This Row],[SUBTOTAL]]*0.966%,0))</f>
        <v>540960</v>
      </c>
      <c r="S593" s="276">
        <f>IF(Tabla2[[#This Row],[Retiene IVA]]="S",Tabla2[[#This Row],[IVA]]*0.15,0)</f>
        <v>0</v>
      </c>
      <c r="T593" s="265"/>
      <c r="U59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68964000</v>
      </c>
      <c r="W593" s="23">
        <f>IF(Tabla2[[#This Row],[Fecha F.E.]]="","",YEAR(Tabla2[[#This Row],[Fecha F.E.]]))</f>
        <v>2025</v>
      </c>
      <c r="X593" s="23">
        <f>IF(Tabla2[[#This Row],[Fecha]]="","",YEAR(Tabla2[[#This Row],[Fecha]]))</f>
        <v>2025</v>
      </c>
    </row>
    <row r="594" spans="1:24" x14ac:dyDescent="0.25">
      <c r="A594" s="3">
        <v>595</v>
      </c>
      <c r="B594" s="77" t="s">
        <v>1954</v>
      </c>
      <c r="C594" s="360">
        <v>45947</v>
      </c>
      <c r="D594" s="76" t="s">
        <v>1955</v>
      </c>
      <c r="E594" s="360">
        <v>45947</v>
      </c>
      <c r="F594" s="78" t="s">
        <v>231</v>
      </c>
      <c r="G594" s="85">
        <v>860002964</v>
      </c>
      <c r="H594" s="177" t="str">
        <f>VLOOKUP(Tabla2[[#This Row],[NIT]],Clientes!A:C,2,0)</f>
        <v>Banco de Bogota S.A.</v>
      </c>
      <c r="I594" s="77" t="str">
        <f>VLOOKUP(Tabla2[[#This Row],[NIT]],Clientes!A:C,3,0)</f>
        <v>PJ</v>
      </c>
      <c r="J594" s="77"/>
      <c r="K594" s="267">
        <f>SUMIFS(Tabla4[Sub Total],Tabla4[Codigo],Tabla2[[#This Row],[Cod]])</f>
        <v>56000000</v>
      </c>
      <c r="L594" s="262">
        <f>SUMPRODUCT((Tabla4[Codigo]=Tabla2[[#This Row],[Cod]])*1,Tabla4[IVA])</f>
        <v>10640000</v>
      </c>
      <c r="M594" s="262">
        <f>SUMIFS(Tabla4[Total],Tabla4[Codigo],Tabla2[[#This Row],[Cod]])</f>
        <v>66640000</v>
      </c>
      <c r="N594" s="278">
        <f>SUMPRODUCT((Tabla1[Codigo]=Tabla2[[#This Row],[Cod]])*1,Tabla1[Valor])</f>
        <v>62263040</v>
      </c>
      <c r="O594" s="265">
        <f>IF(AND(Tabla2[[#This Row],[Estado]]="ok",LEFT(Tabla2[[#This Row],['# Factura]],3)="TIS"),Tabla2[[#This Row],[TOTAL]]-Tabla2[[#This Row],[pagado]],0)</f>
        <v>-2324000</v>
      </c>
      <c r="P594" s="262">
        <f>Tabla2[[#This Row],[TOTAL]]-Tabla2[[#This Row],[Valor pago]]</f>
        <v>4376960</v>
      </c>
      <c r="Q594" s="265">
        <f>IF(Tabla2[[#This Row],[Saldo]]=0,0,IF(Tabla2[[#This Row],[Tipo cliente]]="PJ",Tabla2[[#This Row],[SUBTOTAL]]*11%,0))</f>
        <v>6160000</v>
      </c>
      <c r="R594" s="276">
        <f>IF(Tabla2[[#This Row],[Saldo]]=0,0,IF(Tabla2[[#This Row],[Tipo cliente]]="PJ",Tabla2[[#This Row],[SUBTOTAL]]*0.966%,0))</f>
        <v>540960</v>
      </c>
      <c r="S594" s="276">
        <f>IF(Tabla2[[#This Row],[Retiene IVA]]="S",Tabla2[[#This Row],[IVA]]*0.15,0)</f>
        <v>0</v>
      </c>
      <c r="T594" s="265"/>
      <c r="U59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68964000</v>
      </c>
      <c r="W594" s="23">
        <f>IF(Tabla2[[#This Row],[Fecha F.E.]]="","",YEAR(Tabla2[[#This Row],[Fecha F.E.]]))</f>
        <v>2025</v>
      </c>
      <c r="X594" s="23">
        <f>IF(Tabla2[[#This Row],[Fecha]]="","",YEAR(Tabla2[[#This Row],[Fecha]]))</f>
        <v>2025</v>
      </c>
    </row>
    <row r="595" spans="1:24" x14ac:dyDescent="0.25">
      <c r="A595" s="3">
        <v>596</v>
      </c>
      <c r="B595" s="77" t="s">
        <v>1956</v>
      </c>
      <c r="C595" s="360">
        <v>45960</v>
      </c>
      <c r="D595" s="76" t="s">
        <v>1957</v>
      </c>
      <c r="E595" s="360">
        <v>45947</v>
      </c>
      <c r="F595" s="78" t="s">
        <v>231</v>
      </c>
      <c r="G595" s="85">
        <v>860090915</v>
      </c>
      <c r="H595" s="177" t="str">
        <f>VLOOKUP(Tabla2[[#This Row],[NIT]],Clientes!A:C,2,0)</f>
        <v>ACTIVOS SAS</v>
      </c>
      <c r="I595" s="77" t="str">
        <f>VLOOKUP(Tabla2[[#This Row],[NIT]],Clientes!A:C,3,0)</f>
        <v>PJ</v>
      </c>
      <c r="J595" s="77"/>
      <c r="K595" s="267">
        <f>SUMIFS(Tabla4[Sub Total],Tabla4[Codigo],Tabla2[[#This Row],[Cod]])</f>
        <v>19050000</v>
      </c>
      <c r="L595" s="262">
        <f>SUMPRODUCT((Tabla4[Codigo]=Tabla2[[#This Row],[Cod]])*1,Tabla4[IVA])</f>
        <v>3619500</v>
      </c>
      <c r="M595" s="262">
        <f>SUMIFS(Tabla4[Total],Tabla4[Codigo],Tabla2[[#This Row],[Cod]])</f>
        <v>22669500</v>
      </c>
      <c r="N595" s="278">
        <f>SUMPRODUCT((Tabla1[Codigo]=Tabla2[[#This Row],[Cod]])*1,Tabla1[Valor])</f>
        <v>21364575</v>
      </c>
      <c r="O595" s="265">
        <f>IF(AND(Tabla2[[#This Row],[Estado]]="ok",LEFT(Tabla2[[#This Row],['# Factura]],3)="TIS"),Tabla2[[#This Row],[TOTAL]]-Tabla2[[#This Row],[pagado]],0)</f>
        <v>-974598</v>
      </c>
      <c r="P595" s="262">
        <f>Tabla2[[#This Row],[TOTAL]]-Tabla2[[#This Row],[Valor pago]]</f>
        <v>1304925</v>
      </c>
      <c r="Q595" s="265">
        <f>IF(Tabla2[[#This Row],[Saldo]]=0,0,IF(Tabla2[[#This Row],[Tipo cliente]]="PJ",Tabla2[[#This Row],[SUBTOTAL]]*11%,0))</f>
        <v>2095500</v>
      </c>
      <c r="R595" s="276">
        <f>IF(Tabla2[[#This Row],[Saldo]]=0,0,IF(Tabla2[[#This Row],[Tipo cliente]]="PJ",Tabla2[[#This Row],[SUBTOTAL]]*0.966%,0))</f>
        <v>184023</v>
      </c>
      <c r="S595" s="276">
        <f>IF(Tabla2[[#This Row],[Retiene IVA]]="S",Tabla2[[#This Row],[IVA]]*0.15,0)</f>
        <v>0</v>
      </c>
      <c r="T595" s="265"/>
      <c r="U59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23644098</v>
      </c>
      <c r="W595" s="23">
        <f>IF(Tabla2[[#This Row],[Fecha F.E.]]="","",YEAR(Tabla2[[#This Row],[Fecha F.E.]]))</f>
        <v>2025</v>
      </c>
      <c r="X595" s="23">
        <f>IF(Tabla2[[#This Row],[Fecha]]="","",YEAR(Tabla2[[#This Row],[Fecha]]))</f>
        <v>2025</v>
      </c>
    </row>
    <row r="596" spans="1:24" x14ac:dyDescent="0.25">
      <c r="A596" s="3">
        <v>597</v>
      </c>
      <c r="B596" s="77" t="s">
        <v>1958</v>
      </c>
      <c r="C596" s="360">
        <v>45960</v>
      </c>
      <c r="D596" s="76" t="s">
        <v>1959</v>
      </c>
      <c r="E596" s="360">
        <v>45959</v>
      </c>
      <c r="F596" s="78" t="s">
        <v>231</v>
      </c>
      <c r="G596" s="85">
        <v>900456485</v>
      </c>
      <c r="H596" s="177" t="str">
        <f>VLOOKUP(Tabla2[[#This Row],[NIT]],Clientes!A:C,2,0)</f>
        <v>JIREH SHAMMAH SAS</v>
      </c>
      <c r="I596" s="77" t="s">
        <v>1960</v>
      </c>
      <c r="J596" s="77"/>
      <c r="K596" s="267">
        <f>SUMIFS(Tabla4[Sub Total],Tabla4[Codigo],Tabla2[[#This Row],[Cod]])</f>
        <v>140000</v>
      </c>
      <c r="L596" s="262">
        <f>SUMPRODUCT((Tabla4[Codigo]=Tabla2[[#This Row],[Cod]])*1,Tabla4[IVA])</f>
        <v>26600</v>
      </c>
      <c r="M596" s="262">
        <f>SUMIFS(Tabla4[Total],Tabla4[Codigo],Tabla2[[#This Row],[Cod]])</f>
        <v>166600</v>
      </c>
      <c r="N596" s="278">
        <f>SUMPRODUCT((Tabla1[Codigo]=Tabla2[[#This Row],[Cod]])*1,Tabla1[Valor])</f>
        <v>0</v>
      </c>
      <c r="O596" s="265">
        <f>IF(AND(Tabla2[[#This Row],[Estado]]="ok",LEFT(Tabla2[[#This Row],['# Factura]],3)="TIS"),Tabla2[[#This Row],[TOTAL]]-Tabla2[[#This Row],[pagado]],0)</f>
        <v>166600</v>
      </c>
      <c r="P596" s="262">
        <f>Tabla2[[#This Row],[TOTAL]]-Tabla2[[#This Row],[Valor pago]]</f>
        <v>166600</v>
      </c>
      <c r="Q596" s="265">
        <f>IF(Tabla2[[#This Row],[Saldo]]=0,0,IF(Tabla2[[#This Row],[Tipo cliente]]="PJ",Tabla2[[#This Row],[SUBTOTAL]]*11%,0))</f>
        <v>15400</v>
      </c>
      <c r="R596" s="276">
        <f>IF(Tabla2[[#This Row],[Saldo]]=0,0,IF(Tabla2[[#This Row],[Tipo cliente]]="PJ",Tabla2[[#This Row],[SUBTOTAL]]*0.966%,0))</f>
        <v>1352.4</v>
      </c>
      <c r="S596" s="276">
        <f>IF(Tabla2[[#This Row],[Retiene IVA]]="S",Tabla2[[#This Row],[IVA]]*0.15,0)</f>
        <v>0</v>
      </c>
      <c r="T596" s="265"/>
      <c r="U59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596" s="23">
        <f>IF(Tabla2[[#This Row],[Fecha F.E.]]="","",YEAR(Tabla2[[#This Row],[Fecha F.E.]]))</f>
        <v>2025</v>
      </c>
      <c r="X596" s="23">
        <f>IF(Tabla2[[#This Row],[Fecha]]="","",YEAR(Tabla2[[#This Row],[Fecha]]))</f>
        <v>2025</v>
      </c>
    </row>
    <row r="597" spans="1:24" x14ac:dyDescent="0.25">
      <c r="A597" s="3">
        <v>598</v>
      </c>
      <c r="B597" s="77" t="s">
        <v>1961</v>
      </c>
      <c r="C597" s="360">
        <v>45960</v>
      </c>
      <c r="D597" s="76" t="s">
        <v>1962</v>
      </c>
      <c r="E597" s="360">
        <v>45959</v>
      </c>
      <c r="F597" s="78" t="s">
        <v>231</v>
      </c>
      <c r="G597" s="85">
        <v>901541715</v>
      </c>
      <c r="H597" s="177" t="str">
        <f>VLOOKUP(Tabla2[[#This Row],[NIT]],Clientes!A:C,2,0)</f>
        <v>VALGASIN SAS ESP</v>
      </c>
      <c r="I597" s="77" t="str">
        <f>VLOOKUP(Tabla2[[#This Row],[NIT]],Clientes!A:C,3,0)</f>
        <v>PJ</v>
      </c>
      <c r="J597" s="77"/>
      <c r="K597" s="267">
        <f>SUMIFS(Tabla4[Sub Total],Tabla4[Codigo],Tabla2[[#This Row],[Cod]])</f>
        <v>805000</v>
      </c>
      <c r="L597" s="262">
        <f>SUMPRODUCT((Tabla4[Codigo]=Tabla2[[#This Row],[Cod]])*1,Tabla4[IVA])</f>
        <v>152950</v>
      </c>
      <c r="M597" s="262">
        <f>SUMIFS(Tabla4[Total],Tabla4[Codigo],Tabla2[[#This Row],[Cod]])</f>
        <v>957950</v>
      </c>
      <c r="N597" s="278">
        <f>SUMPRODUCT((Tabla1[Codigo]=Tabla2[[#This Row],[Cod]])*1,Tabla1[Valor])</f>
        <v>1078567</v>
      </c>
      <c r="O597" s="265">
        <f>IF(AND(Tabla2[[#This Row],[Estado]]="ok",LEFT(Tabla2[[#This Row],['# Factura]],3)="TIS"),Tabla2[[#This Row],[TOTAL]]-Tabla2[[#This Row],[pagado]],0)</f>
        <v>-216943.30000000005</v>
      </c>
      <c r="P597" s="262">
        <f>Tabla2[[#This Row],[TOTAL]]-Tabla2[[#This Row],[Valor pago]]</f>
        <v>-120617</v>
      </c>
      <c r="Q597" s="265">
        <f>IF(Tabla2[[#This Row],[Saldo]]=0,0,IF(Tabla2[[#This Row],[Tipo cliente]]="PJ",Tabla2[[#This Row],[SUBTOTAL]]*11%,0))</f>
        <v>88550</v>
      </c>
      <c r="R597" s="276">
        <f>IF(Tabla2[[#This Row],[Saldo]]=0,0,IF(Tabla2[[#This Row],[Tipo cliente]]="PJ",Tabla2[[#This Row],[SUBTOTAL]]*0.966%,0))</f>
        <v>7776.3</v>
      </c>
      <c r="S597" s="276">
        <f>IF(Tabla2[[#This Row],[Retiene IVA]]="S",Tabla2[[#This Row],[IVA]]*0.15,0)</f>
        <v>0</v>
      </c>
      <c r="T597" s="265"/>
      <c r="U59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1174893.3</v>
      </c>
      <c r="W597" s="23">
        <f>IF(Tabla2[[#This Row],[Fecha F.E.]]="","",YEAR(Tabla2[[#This Row],[Fecha F.E.]]))</f>
        <v>2025</v>
      </c>
      <c r="X597" s="23">
        <f>IF(Tabla2[[#This Row],[Fecha]]="","",YEAR(Tabla2[[#This Row],[Fecha]]))</f>
        <v>2025</v>
      </c>
    </row>
    <row r="598" spans="1:24" x14ac:dyDescent="0.25">
      <c r="A598" s="3">
        <v>599</v>
      </c>
      <c r="B598" s="77" t="s">
        <v>1963</v>
      </c>
      <c r="C598" s="360">
        <v>45968</v>
      </c>
      <c r="D598" s="76" t="s">
        <v>1964</v>
      </c>
      <c r="E598" s="360">
        <v>45966</v>
      </c>
      <c r="F598" s="78" t="s">
        <v>231</v>
      </c>
      <c r="G598" s="85">
        <v>900505660</v>
      </c>
      <c r="H598" s="177" t="str">
        <f>VLOOKUP(Tabla2[[#This Row],[NIT]],Clientes!A:C,2,0)</f>
        <v>DIGITAL MEDIA TECHNOLOGIES COLOMBIA SAS</v>
      </c>
      <c r="I598" s="77" t="str">
        <f>VLOOKUP(Tabla2[[#This Row],[NIT]],Clientes!A:C,3,0)</f>
        <v>PJ</v>
      </c>
      <c r="J598" s="77"/>
      <c r="K598" s="267">
        <f>SUMIFS(Tabla4[Sub Total],Tabla4[Codigo],Tabla2[[#This Row],[Cod]])</f>
        <v>300000</v>
      </c>
      <c r="L598" s="262">
        <f>SUMPRODUCT((Tabla4[Codigo]=Tabla2[[#This Row],[Cod]])*1,Tabla4[IVA])</f>
        <v>57000</v>
      </c>
      <c r="M598" s="262">
        <f>SUMIFS(Tabla4[Total],Tabla4[Codigo],Tabla2[[#This Row],[Cod]])</f>
        <v>357000</v>
      </c>
      <c r="N598" s="278">
        <f>SUMPRODUCT((Tabla1[Codigo]=Tabla2[[#This Row],[Cod]])*1,Tabla1[Valor])</f>
        <v>324000</v>
      </c>
      <c r="O598" s="265">
        <f>IF(AND(Tabla2[[#This Row],[Estado]]="ok",LEFT(Tabla2[[#This Row],['# Factura]],3)="TIS"),Tabla2[[#This Row],[TOTAL]]-Tabla2[[#This Row],[pagado]],0)</f>
        <v>-2898</v>
      </c>
      <c r="P598" s="262">
        <f>Tabla2[[#This Row],[TOTAL]]-Tabla2[[#This Row],[Valor pago]]</f>
        <v>33000</v>
      </c>
      <c r="Q598" s="265">
        <f>IF(Tabla2[[#This Row],[Saldo]]=0,0,IF(Tabla2[[#This Row],[Tipo cliente]]="PJ",Tabla2[[#This Row],[SUBTOTAL]]*11%,0))</f>
        <v>33000</v>
      </c>
      <c r="R598" s="276">
        <f>IF(Tabla2[[#This Row],[Saldo]]=0,0,IF(Tabla2[[#This Row],[Tipo cliente]]="PJ",Tabla2[[#This Row],[SUBTOTAL]]*0.966%,0))</f>
        <v>2898</v>
      </c>
      <c r="S598" s="276">
        <f>IF(Tabla2[[#This Row],[Retiene IVA]]="S",Tabla2[[#This Row],[IVA]]*0.15,0)</f>
        <v>0</v>
      </c>
      <c r="T598" s="265"/>
      <c r="U59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598" s="23">
        <f>IF(Tabla2[[#This Row],[Fecha F.E.]]="","",YEAR(Tabla2[[#This Row],[Fecha F.E.]]))</f>
        <v>2025</v>
      </c>
      <c r="X598" s="23">
        <f>IF(Tabla2[[#This Row],[Fecha]]="","",YEAR(Tabla2[[#This Row],[Fecha]]))</f>
        <v>2025</v>
      </c>
    </row>
    <row r="599" spans="1:24" x14ac:dyDescent="0.25">
      <c r="A599" s="3">
        <v>600</v>
      </c>
      <c r="B599" s="77" t="s">
        <v>1965</v>
      </c>
      <c r="C599" s="360">
        <v>45968</v>
      </c>
      <c r="D599" s="76" t="s">
        <v>1966</v>
      </c>
      <c r="E599" s="360">
        <v>45966</v>
      </c>
      <c r="F599" s="78" t="s">
        <v>231</v>
      </c>
      <c r="G599" s="85">
        <v>901342609</v>
      </c>
      <c r="H599" s="177" t="str">
        <f>VLOOKUP(Tabla2[[#This Row],[NIT]],Clientes!A:C,2,0)</f>
        <v>ROYCO SOLUCIONES SAS</v>
      </c>
      <c r="I599" s="77" t="str">
        <f>VLOOKUP(Tabla2[[#This Row],[NIT]],Clientes!A:C,3,0)</f>
        <v>PJ</v>
      </c>
      <c r="J599" s="77"/>
      <c r="K599" s="267">
        <f>SUMIFS(Tabla4[Sub Total],Tabla4[Codigo],Tabla2[[#This Row],[Cod]])</f>
        <v>250000</v>
      </c>
      <c r="L599" s="262">
        <f>SUMPRODUCT((Tabla4[Codigo]=Tabla2[[#This Row],[Cod]])*1,Tabla4[IVA])</f>
        <v>47500</v>
      </c>
      <c r="M599" s="262">
        <f>SUMIFS(Tabla4[Total],Tabla4[Codigo],Tabla2[[#This Row],[Cod]])</f>
        <v>297500</v>
      </c>
      <c r="N599" s="278">
        <f>SUMPRODUCT((Tabla1[Codigo]=Tabla2[[#This Row],[Cod]])*1,Tabla1[Valor])</f>
        <v>287500</v>
      </c>
      <c r="O599" s="265">
        <f>IF(AND(Tabla2[[#This Row],[Estado]]="ok",LEFT(Tabla2[[#This Row],['# Factura]],3)="TIS"),Tabla2[[#This Row],[TOTAL]]-Tabla2[[#This Row],[pagado]],0)</f>
        <v>-19915</v>
      </c>
      <c r="P599" s="262">
        <f>Tabla2[[#This Row],[TOTAL]]-Tabla2[[#This Row],[Valor pago]]</f>
        <v>10000</v>
      </c>
      <c r="Q599" s="265">
        <f>IF(Tabla2[[#This Row],[Saldo]]=0,0,IF(Tabla2[[#This Row],[Tipo cliente]]="PJ",Tabla2[[#This Row],[SUBTOTAL]]*11%,0))</f>
        <v>27500</v>
      </c>
      <c r="R599" s="276">
        <f>IF(Tabla2[[#This Row],[Saldo]]=0,0,IF(Tabla2[[#This Row],[Tipo cliente]]="PJ",Tabla2[[#This Row],[SUBTOTAL]]*0.966%,0))</f>
        <v>2415</v>
      </c>
      <c r="S599" s="276">
        <f>IF(Tabla2[[#This Row],[Retiene IVA]]="S",Tabla2[[#This Row],[IVA]]*0.15,0)</f>
        <v>0</v>
      </c>
      <c r="T599" s="265"/>
      <c r="U59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317415</v>
      </c>
      <c r="W599" s="23">
        <f>IF(Tabla2[[#This Row],[Fecha F.E.]]="","",YEAR(Tabla2[[#This Row],[Fecha F.E.]]))</f>
        <v>2025</v>
      </c>
      <c r="X599" s="23">
        <f>IF(Tabla2[[#This Row],[Fecha]]="","",YEAR(Tabla2[[#This Row],[Fecha]]))</f>
        <v>2025</v>
      </c>
    </row>
    <row r="600" spans="1:24" x14ac:dyDescent="0.25">
      <c r="A600" s="3">
        <v>601</v>
      </c>
      <c r="B600" s="77" t="s">
        <v>1967</v>
      </c>
      <c r="C600" s="360">
        <v>45968</v>
      </c>
      <c r="D600" s="76" t="s">
        <v>1968</v>
      </c>
      <c r="E600" s="360">
        <v>45966</v>
      </c>
      <c r="F600" s="78" t="s">
        <v>231</v>
      </c>
      <c r="G600" s="85">
        <v>901030518</v>
      </c>
      <c r="H600" s="177" t="str">
        <f>VLOOKUP(Tabla2[[#This Row],[NIT]],Clientes!A:C,2,0)</f>
        <v>Inversiones Sajamib SAS</v>
      </c>
      <c r="I600" s="77" t="str">
        <f>VLOOKUP(Tabla2[[#This Row],[NIT]],Clientes!A:C,3,0)</f>
        <v>PJ</v>
      </c>
      <c r="J600" s="77"/>
      <c r="K600" s="267">
        <f>SUMIFS(Tabla4[Sub Total],Tabla4[Codigo],Tabla2[[#This Row],[Cod]])</f>
        <v>480000</v>
      </c>
      <c r="L600" s="262">
        <f>SUMPRODUCT((Tabla4[Codigo]=Tabla2[[#This Row],[Cod]])*1,Tabla4[IVA])</f>
        <v>0</v>
      </c>
      <c r="M600" s="262">
        <f>SUMIFS(Tabla4[Total],Tabla4[Codigo],Tabla2[[#This Row],[Cod]])</f>
        <v>480000</v>
      </c>
      <c r="N600" s="278">
        <f>SUMPRODUCT((Tabla1[Codigo]=Tabla2[[#This Row],[Cod]])*1,Tabla1[Valor])</f>
        <v>480000</v>
      </c>
      <c r="O600" s="265">
        <f>IF(AND(Tabla2[[#This Row],[Estado]]="ok",LEFT(Tabla2[[#This Row],['# Factura]],3)="TIS"),Tabla2[[#This Row],[TOTAL]]-Tabla2[[#This Row],[pagado]],0)</f>
        <v>0</v>
      </c>
      <c r="P600" s="262">
        <f>Tabla2[[#This Row],[TOTAL]]-Tabla2[[#This Row],[Valor pago]]</f>
        <v>0</v>
      </c>
      <c r="Q600" s="265">
        <f>IF(Tabla2[[#This Row],[Saldo]]=0,0,IF(Tabla2[[#This Row],[Tipo cliente]]="PJ",Tabla2[[#This Row],[SUBTOTAL]]*11%,0))</f>
        <v>0</v>
      </c>
      <c r="R600" s="276">
        <f>IF(Tabla2[[#This Row],[Saldo]]=0,0,IF(Tabla2[[#This Row],[Tipo cliente]]="PJ",Tabla2[[#This Row],[SUBTOTAL]]*0.966%,0))</f>
        <v>0</v>
      </c>
      <c r="S600" s="276">
        <f>IF(Tabla2[[#This Row],[Retiene IVA]]="S",Tabla2[[#This Row],[IVA]]*0.15,0)</f>
        <v>0</v>
      </c>
      <c r="T600" s="265"/>
      <c r="U60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480000</v>
      </c>
      <c r="W600" s="23">
        <f>IF(Tabla2[[#This Row],[Fecha F.E.]]="","",YEAR(Tabla2[[#This Row],[Fecha F.E.]]))</f>
        <v>2025</v>
      </c>
      <c r="X600" s="23">
        <f>IF(Tabla2[[#This Row],[Fecha]]="","",YEAR(Tabla2[[#This Row],[Fecha]]))</f>
        <v>2025</v>
      </c>
    </row>
    <row r="601" spans="1:24" ht="26.25" x14ac:dyDescent="0.25">
      <c r="A601" s="3">
        <v>602</v>
      </c>
      <c r="B601" s="77" t="s">
        <v>1969</v>
      </c>
      <c r="C601" s="360">
        <v>45968</v>
      </c>
      <c r="D601" s="76" t="s">
        <v>1970</v>
      </c>
      <c r="E601" s="360">
        <v>45966</v>
      </c>
      <c r="F601" s="78" t="s">
        <v>231</v>
      </c>
      <c r="G601" s="85">
        <v>900187738</v>
      </c>
      <c r="H601" s="177" t="str">
        <f>VLOOKUP(Tabla2[[#This Row],[NIT]],Clientes!A:C,2,0)</f>
        <v>CENTRO DE ATENCION E INVESTIGACION MEDICA S.A.S.</v>
      </c>
      <c r="I601" s="77" t="str">
        <f>VLOOKUP(Tabla2[[#This Row],[NIT]],Clientes!A:C,3,0)</f>
        <v>PJ</v>
      </c>
      <c r="J601" s="77"/>
      <c r="K601" s="267">
        <f>SUMIFS(Tabla4[Sub Total],Tabla4[Codigo],Tabla2[[#This Row],[Cod]])</f>
        <v>1500000</v>
      </c>
      <c r="L601" s="262">
        <f>SUMPRODUCT((Tabla4[Codigo]=Tabla2[[#This Row],[Cod]])*1,Tabla4[IVA])</f>
        <v>285000</v>
      </c>
      <c r="M601" s="262">
        <f>SUMIFS(Tabla4[Total],Tabla4[Codigo],Tabla2[[#This Row],[Cod]])</f>
        <v>1785000</v>
      </c>
      <c r="N601" s="278">
        <f>SUMPRODUCT((Tabla1[Codigo]=Tabla2[[#This Row],[Cod]])*1,Tabla1[Valor])</f>
        <v>1723500</v>
      </c>
      <c r="O601" s="265">
        <f>IF(AND(Tabla2[[#This Row],[Estado]]="ok",LEFT(Tabla2[[#This Row],['# Factura]],3)="TIS"),Tabla2[[#This Row],[TOTAL]]-Tabla2[[#This Row],[pagado]],0)</f>
        <v>-117990</v>
      </c>
      <c r="P601" s="262">
        <f>Tabla2[[#This Row],[TOTAL]]-Tabla2[[#This Row],[Valor pago]]</f>
        <v>61500</v>
      </c>
      <c r="Q601" s="265">
        <f>IF(Tabla2[[#This Row],[Saldo]]=0,0,IF(Tabla2[[#This Row],[Tipo cliente]]="PJ",Tabla2[[#This Row],[SUBTOTAL]]*11%,0))</f>
        <v>165000</v>
      </c>
      <c r="R601" s="276">
        <f>IF(Tabla2[[#This Row],[Saldo]]=0,0,IF(Tabla2[[#This Row],[Tipo cliente]]="PJ",Tabla2[[#This Row],[SUBTOTAL]]*0.966%,0))</f>
        <v>14490</v>
      </c>
      <c r="S601" s="276">
        <f>IF(Tabla2[[#This Row],[Retiene IVA]]="S",Tabla2[[#This Row],[IVA]]*0.15,0)</f>
        <v>0</v>
      </c>
      <c r="T601" s="265"/>
      <c r="U60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1902990</v>
      </c>
      <c r="W601" s="23">
        <f>IF(Tabla2[[#This Row],[Fecha F.E.]]="","",YEAR(Tabla2[[#This Row],[Fecha F.E.]]))</f>
        <v>2025</v>
      </c>
      <c r="X601" s="23">
        <f>IF(Tabla2[[#This Row],[Fecha]]="","",YEAR(Tabla2[[#This Row],[Fecha]]))</f>
        <v>2025</v>
      </c>
    </row>
    <row r="602" spans="1:24" x14ac:dyDescent="0.25">
      <c r="A602" s="3">
        <v>603</v>
      </c>
      <c r="B602" s="77" t="s">
        <v>1971</v>
      </c>
      <c r="C602" s="360">
        <v>45968</v>
      </c>
      <c r="D602" s="76" t="s">
        <v>1972</v>
      </c>
      <c r="E602" s="360">
        <v>45966</v>
      </c>
      <c r="F602" s="78" t="s">
        <v>231</v>
      </c>
      <c r="G602" s="85">
        <v>901700940</v>
      </c>
      <c r="H602" s="177" t="str">
        <f>VLOOKUP(Tabla2[[#This Row],[NIT]],Clientes!A:C,2,0)</f>
        <v>AND TOPOGRAFIA E INGENIERIA SAS</v>
      </c>
      <c r="I602" s="77" t="str">
        <f>VLOOKUP(Tabla2[[#This Row],[NIT]],Clientes!A:C,3,0)</f>
        <v>PJ</v>
      </c>
      <c r="J602" s="77"/>
      <c r="K602" s="267">
        <f>SUMIFS(Tabla4[Sub Total],Tabla4[Codigo],Tabla2[[#This Row],[Cod]])</f>
        <v>300000</v>
      </c>
      <c r="L602" s="262">
        <f>SUMPRODUCT((Tabla4[Codigo]=Tabla2[[#This Row],[Cod]])*1,Tabla4[IVA])</f>
        <v>0</v>
      </c>
      <c r="M602" s="262">
        <f>SUMIFS(Tabla4[Total],Tabla4[Codigo],Tabla2[[#This Row],[Cod]])</f>
        <v>300000</v>
      </c>
      <c r="N602" s="278">
        <f>SUMPRODUCT((Tabla1[Codigo]=Tabla2[[#This Row],[Cod]])*1,Tabla1[Valor])</f>
        <v>0</v>
      </c>
      <c r="O602" s="265">
        <f>IF(AND(Tabla2[[#This Row],[Estado]]="ok",LEFT(Tabla2[[#This Row],['# Factura]],3)="TIS"),Tabla2[[#This Row],[TOTAL]]-Tabla2[[#This Row],[pagado]],0)</f>
        <v>300000</v>
      </c>
      <c r="P602" s="262">
        <f>Tabla2[[#This Row],[TOTAL]]-Tabla2[[#This Row],[Valor pago]]</f>
        <v>300000</v>
      </c>
      <c r="Q602" s="265">
        <f>IF(Tabla2[[#This Row],[Saldo]]=0,0,IF(Tabla2[[#This Row],[Tipo cliente]]="PJ",Tabla2[[#This Row],[SUBTOTAL]]*11%,0))</f>
        <v>33000</v>
      </c>
      <c r="R602" s="276">
        <f>IF(Tabla2[[#This Row],[Saldo]]=0,0,IF(Tabla2[[#This Row],[Tipo cliente]]="PJ",Tabla2[[#This Row],[SUBTOTAL]]*0.966%,0))</f>
        <v>2898</v>
      </c>
      <c r="S602" s="276">
        <f>IF(Tabla2[[#This Row],[Retiene IVA]]="S",Tabla2[[#This Row],[IVA]]*0.15,0)</f>
        <v>0</v>
      </c>
      <c r="T602" s="265"/>
      <c r="U60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02" s="23">
        <f>IF(Tabla2[[#This Row],[Fecha F.E.]]="","",YEAR(Tabla2[[#This Row],[Fecha F.E.]]))</f>
        <v>2025</v>
      </c>
      <c r="X602" s="23">
        <f>IF(Tabla2[[#This Row],[Fecha]]="","",YEAR(Tabla2[[#This Row],[Fecha]]))</f>
        <v>2025</v>
      </c>
    </row>
    <row r="603" spans="1:24" x14ac:dyDescent="0.25">
      <c r="A603" s="3">
        <v>604</v>
      </c>
      <c r="B603" s="77" t="s">
        <v>1973</v>
      </c>
      <c r="C603" s="360">
        <v>45968</v>
      </c>
      <c r="D603" s="76" t="s">
        <v>1974</v>
      </c>
      <c r="E603" s="360">
        <v>45966</v>
      </c>
      <c r="F603" s="78" t="s">
        <v>231</v>
      </c>
      <c r="G603" s="85">
        <v>900903463</v>
      </c>
      <c r="H603" s="177" t="str">
        <f>VLOOKUP(Tabla2[[#This Row],[NIT]],Clientes!A:C,2,0)</f>
        <v>SOLUCIONES CREATIVAS Y TURÍSTICAS</v>
      </c>
      <c r="I603" s="77" t="str">
        <f>VLOOKUP(Tabla2[[#This Row],[NIT]],Clientes!A:C,3,0)</f>
        <v>PJ</v>
      </c>
      <c r="J603" s="77"/>
      <c r="K603" s="267">
        <f>SUMIFS(Tabla4[Sub Total],Tabla4[Codigo],Tabla2[[#This Row],[Cod]])</f>
        <v>934874</v>
      </c>
      <c r="L603" s="262">
        <f>SUMPRODUCT((Tabla4[Codigo]=Tabla2[[#This Row],[Cod]])*1,Tabla4[IVA])</f>
        <v>177626.06</v>
      </c>
      <c r="M603" s="262">
        <f>SUMIFS(Tabla4[Total],Tabla4[Codigo],Tabla2[[#This Row],[Cod]])</f>
        <v>1112500.06</v>
      </c>
      <c r="N603" s="278">
        <f>SUMPRODUCT((Tabla1[Codigo]=Tabla2[[#This Row],[Cod]])*1,Tabla1[Valor])</f>
        <v>1009664</v>
      </c>
      <c r="O603" s="265">
        <f>IF(AND(Tabla2[[#This Row],[Estado]]="ok",LEFT(Tabla2[[#This Row],['# Factura]],3)="TIS"),Tabla2[[#This Row],[TOTAL]]-Tabla2[[#This Row],[pagado]],0)</f>
        <v>-9030.9628399999347</v>
      </c>
      <c r="P603" s="262">
        <f>Tabla2[[#This Row],[TOTAL]]-Tabla2[[#This Row],[Valor pago]]</f>
        <v>102836.06000000006</v>
      </c>
      <c r="Q603" s="265">
        <f>IF(Tabla2[[#This Row],[Saldo]]=0,0,IF(Tabla2[[#This Row],[Tipo cliente]]="PJ",Tabla2[[#This Row],[SUBTOTAL]]*11%,0))</f>
        <v>102836.14</v>
      </c>
      <c r="R603" s="276">
        <f>IF(Tabla2[[#This Row],[Saldo]]=0,0,IF(Tabla2[[#This Row],[Tipo cliente]]="PJ",Tabla2[[#This Row],[SUBTOTAL]]*0.966%,0))</f>
        <v>9030.8828400000002</v>
      </c>
      <c r="S603" s="276">
        <f>IF(Tabla2[[#This Row],[Retiene IVA]]="S",Tabla2[[#This Row],[IVA]]*0.15,0)</f>
        <v>0</v>
      </c>
      <c r="T603" s="265"/>
      <c r="U60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1121531.02284</v>
      </c>
      <c r="W603" s="23">
        <f>IF(Tabla2[[#This Row],[Fecha F.E.]]="","",YEAR(Tabla2[[#This Row],[Fecha F.E.]]))</f>
        <v>2025</v>
      </c>
      <c r="X603" s="23">
        <f>IF(Tabla2[[#This Row],[Fecha]]="","",YEAR(Tabla2[[#This Row],[Fecha]]))</f>
        <v>2025</v>
      </c>
    </row>
    <row r="604" spans="1:24" x14ac:dyDescent="0.25">
      <c r="A604" s="3">
        <v>605</v>
      </c>
      <c r="B604" s="77" t="s">
        <v>1975</v>
      </c>
      <c r="C604" s="360">
        <v>45968</v>
      </c>
      <c r="D604" s="76" t="s">
        <v>1976</v>
      </c>
      <c r="E604" s="360">
        <v>45966</v>
      </c>
      <c r="F604" s="78" t="s">
        <v>231</v>
      </c>
      <c r="G604" s="85">
        <v>901843713</v>
      </c>
      <c r="H604" s="177" t="str">
        <f>VLOOKUP(Tabla2[[#This Row],[NIT]],Clientes!A:C,2,0)</f>
        <v>GENUINE LAB S.A.S.</v>
      </c>
      <c r="I604" s="77" t="str">
        <f>VLOOKUP(Tabla2[[#This Row],[NIT]],Clientes!A:C,3,0)</f>
        <v>PJ</v>
      </c>
      <c r="J604" s="77"/>
      <c r="K604" s="267">
        <f>SUMIFS(Tabla4[Sub Total],Tabla4[Codigo],Tabla2[[#This Row],[Cod]])</f>
        <v>442500</v>
      </c>
      <c r="L604" s="262">
        <f>SUMPRODUCT((Tabla4[Codigo]=Tabla2[[#This Row],[Cod]])*1,Tabla4[IVA])</f>
        <v>84075</v>
      </c>
      <c r="M604" s="262">
        <f>SUMIFS(Tabla4[Total],Tabla4[Codigo],Tabla2[[#This Row],[Cod]])</f>
        <v>526575</v>
      </c>
      <c r="N604" s="278">
        <f>SUMPRODUCT((Tabla1[Codigo]=Tabla2[[#This Row],[Cod]])*1,Tabla1[Valor])</f>
        <v>508875</v>
      </c>
      <c r="O604" s="265">
        <f>IF(AND(Tabla2[[#This Row],[Estado]]="ok",LEFT(Tabla2[[#This Row],['# Factura]],3)="TIS"),Tabla2[[#This Row],[TOTAL]]-Tabla2[[#This Row],[pagado]],0)</f>
        <v>-35249.550000000047</v>
      </c>
      <c r="P604" s="262">
        <f>Tabla2[[#This Row],[TOTAL]]-Tabla2[[#This Row],[Valor pago]]</f>
        <v>17700</v>
      </c>
      <c r="Q604" s="265">
        <f>IF(Tabla2[[#This Row],[Saldo]]=0,0,IF(Tabla2[[#This Row],[Tipo cliente]]="PJ",Tabla2[[#This Row],[SUBTOTAL]]*11%,0))</f>
        <v>48675</v>
      </c>
      <c r="R604" s="276">
        <f>IF(Tabla2[[#This Row],[Saldo]]=0,0,IF(Tabla2[[#This Row],[Tipo cliente]]="PJ",Tabla2[[#This Row],[SUBTOTAL]]*0.966%,0))</f>
        <v>4274.55</v>
      </c>
      <c r="S604" s="276">
        <f>IF(Tabla2[[#This Row],[Retiene IVA]]="S",Tabla2[[#This Row],[IVA]]*0.15,0)</f>
        <v>0</v>
      </c>
      <c r="T604" s="265"/>
      <c r="U60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561824.55000000005</v>
      </c>
      <c r="W604" s="23">
        <f>IF(Tabla2[[#This Row],[Fecha F.E.]]="","",YEAR(Tabla2[[#This Row],[Fecha F.E.]]))</f>
        <v>2025</v>
      </c>
      <c r="X604" s="23">
        <f>IF(Tabla2[[#This Row],[Fecha]]="","",YEAR(Tabla2[[#This Row],[Fecha]]))</f>
        <v>2025</v>
      </c>
    </row>
    <row r="605" spans="1:24" x14ac:dyDescent="0.25">
      <c r="A605" s="3">
        <v>606</v>
      </c>
      <c r="B605" s="77" t="s">
        <v>1977</v>
      </c>
      <c r="C605" s="360">
        <v>45968</v>
      </c>
      <c r="D605" s="76" t="s">
        <v>1978</v>
      </c>
      <c r="E605" s="360">
        <v>45966</v>
      </c>
      <c r="F605" s="78" t="s">
        <v>231</v>
      </c>
      <c r="G605" s="85">
        <v>901587426</v>
      </c>
      <c r="H605" s="177" t="str">
        <f>VLOOKUP(Tabla2[[#This Row],[NIT]],Clientes!A:C,2,0)</f>
        <v>STAFF SEGUROS AGENCIA LTDA</v>
      </c>
      <c r="I605" s="77" t="str">
        <f>VLOOKUP(Tabla2[[#This Row],[NIT]],Clientes!A:C,3,0)</f>
        <v>PJ</v>
      </c>
      <c r="J605" s="77"/>
      <c r="K605" s="267">
        <f>SUMIFS(Tabla4[Sub Total],Tabla4[Codigo],Tabla2[[#This Row],[Cod]])</f>
        <v>1572500</v>
      </c>
      <c r="L605" s="262">
        <f>SUMPRODUCT((Tabla4[Codigo]=Tabla2[[#This Row],[Cod]])*1,Tabla4[IVA])</f>
        <v>0</v>
      </c>
      <c r="M605" s="262">
        <f>SUMIFS(Tabla4[Total],Tabla4[Codigo],Tabla2[[#This Row],[Cod]])</f>
        <v>1572500</v>
      </c>
      <c r="N605" s="278">
        <f>SUMPRODUCT((Tabla1[Codigo]=Tabla2[[#This Row],[Cod]])*1,Tabla1[Valor])</f>
        <v>0</v>
      </c>
      <c r="O605" s="265">
        <f>IF(AND(Tabla2[[#This Row],[Estado]]="ok",LEFT(Tabla2[[#This Row],['# Factura]],3)="TIS"),Tabla2[[#This Row],[TOTAL]]-Tabla2[[#This Row],[pagado]],0)</f>
        <v>1572500</v>
      </c>
      <c r="P605" s="262">
        <f>Tabla2[[#This Row],[TOTAL]]-Tabla2[[#This Row],[Valor pago]]</f>
        <v>1572500</v>
      </c>
      <c r="Q605" s="265">
        <f>IF(Tabla2[[#This Row],[Saldo]]=0,0,IF(Tabla2[[#This Row],[Tipo cliente]]="PJ",Tabla2[[#This Row],[SUBTOTAL]]*11%,0))</f>
        <v>172975</v>
      </c>
      <c r="R605" s="276">
        <f>IF(Tabla2[[#This Row],[Saldo]]=0,0,IF(Tabla2[[#This Row],[Tipo cliente]]="PJ",Tabla2[[#This Row],[SUBTOTAL]]*0.966%,0))</f>
        <v>15190.35</v>
      </c>
      <c r="S605" s="276">
        <f>IF(Tabla2[[#This Row],[Retiene IVA]]="S",Tabla2[[#This Row],[IVA]]*0.15,0)</f>
        <v>0</v>
      </c>
      <c r="T605" s="265"/>
      <c r="U60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05" s="23">
        <f>IF(Tabla2[[#This Row],[Fecha F.E.]]="","",YEAR(Tabla2[[#This Row],[Fecha F.E.]]))</f>
        <v>2025</v>
      </c>
      <c r="X605" s="23">
        <f>IF(Tabla2[[#This Row],[Fecha]]="","",YEAR(Tabla2[[#This Row],[Fecha]]))</f>
        <v>2025</v>
      </c>
    </row>
    <row r="606" spans="1:24" x14ac:dyDescent="0.25">
      <c r="A606" s="3">
        <v>607</v>
      </c>
      <c r="B606" s="77" t="s">
        <v>1979</v>
      </c>
      <c r="C606" s="360">
        <v>45974</v>
      </c>
      <c r="D606" s="76" t="s">
        <v>1980</v>
      </c>
      <c r="E606" s="360">
        <v>46010</v>
      </c>
      <c r="F606" s="78" t="s">
        <v>231</v>
      </c>
      <c r="G606" s="85" t="s">
        <v>1981</v>
      </c>
      <c r="H606" s="177" t="str">
        <f>VLOOKUP(Tabla2[[#This Row],[NIT]],Clientes!A:C,2,0)</f>
        <v>VORTICE S.A.S.</v>
      </c>
      <c r="I606" s="77" t="str">
        <f>VLOOKUP(Tabla2[[#This Row],[NIT]],Clientes!A:C,3,0)</f>
        <v>PJ</v>
      </c>
      <c r="J606" s="77"/>
      <c r="K606" s="267">
        <f>SUMIFS(Tabla4[Sub Total],Tabla4[Codigo],Tabla2[[#This Row],[Cod]])</f>
        <v>1320000</v>
      </c>
      <c r="L606" s="262">
        <f>SUMPRODUCT((Tabla4[Codigo]=Tabla2[[#This Row],[Cod]])*1,Tabla4[IVA])</f>
        <v>250800</v>
      </c>
      <c r="M606" s="262">
        <f>SUMIFS(Tabla4[Total],Tabla4[Codigo],Tabla2[[#This Row],[Cod]])</f>
        <v>1570800</v>
      </c>
      <c r="N606" s="278">
        <f>SUMPRODUCT((Tabla1[Codigo]=Tabla2[[#This Row],[Cod]])*1,Tabla1[Valor])</f>
        <v>1414168</v>
      </c>
      <c r="O606" s="265">
        <f>IF(AND(Tabla2[[#This Row],[Estado]]="ok",LEFT(Tabla2[[#This Row],['# Factura]],3)="TIS"),Tabla2[[#This Row],[TOTAL]]-Tabla2[[#This Row],[pagado]],0)</f>
        <v>-1319.1999999999534</v>
      </c>
      <c r="P606" s="262">
        <f>Tabla2[[#This Row],[TOTAL]]-Tabla2[[#This Row],[Valor pago]]</f>
        <v>156632</v>
      </c>
      <c r="Q606" s="265">
        <f>IF(Tabla2[[#This Row],[Saldo]]=0,0,IF(Tabla2[[#This Row],[Tipo cliente]]="PJ",Tabla2[[#This Row],[SUBTOTAL]]*11%,0))</f>
        <v>145200</v>
      </c>
      <c r="R606" s="276">
        <f>IF(Tabla2[[#This Row],[Saldo]]=0,0,IF(Tabla2[[#This Row],[Tipo cliente]]="PJ",Tabla2[[#This Row],[SUBTOTAL]]*0.966%,0))</f>
        <v>12751.2</v>
      </c>
      <c r="S606" s="276">
        <f>IF(Tabla2[[#This Row],[Retiene IVA]]="S",Tabla2[[#This Row],[IVA]]*0.15,0)</f>
        <v>0</v>
      </c>
      <c r="T606" s="265"/>
      <c r="U60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1572119.2</v>
      </c>
      <c r="W606" s="23">
        <f>IF(Tabla2[[#This Row],[Fecha F.E.]]="","",YEAR(Tabla2[[#This Row],[Fecha F.E.]]))</f>
        <v>2025</v>
      </c>
      <c r="X606" s="23">
        <f>IF(Tabla2[[#This Row],[Fecha]]="","",YEAR(Tabla2[[#This Row],[Fecha]]))</f>
        <v>2025</v>
      </c>
    </row>
    <row r="607" spans="1:24" x14ac:dyDescent="0.25">
      <c r="A607" s="3">
        <v>608</v>
      </c>
      <c r="B607" s="77" t="s">
        <v>1982</v>
      </c>
      <c r="C607" s="360">
        <v>45974</v>
      </c>
      <c r="D607" s="76" t="s">
        <v>1983</v>
      </c>
      <c r="E607" s="360">
        <v>45974</v>
      </c>
      <c r="F607" s="78" t="s">
        <v>231</v>
      </c>
      <c r="G607" s="85">
        <v>901312915</v>
      </c>
      <c r="H607" s="177" t="str">
        <f>VLOOKUP(Tabla2[[#This Row],[NIT]],Clientes!A:C,2,0)</f>
        <v>DIPREM CO S.A.S.</v>
      </c>
      <c r="I607" s="77" t="str">
        <f>VLOOKUP(Tabla2[[#This Row],[NIT]],Clientes!A:C,3,0)</f>
        <v>PJ</v>
      </c>
      <c r="J607" s="77"/>
      <c r="K607" s="267">
        <f>SUMIFS(Tabla4[Sub Total],Tabla4[Codigo],Tabla2[[#This Row],[Cod]])</f>
        <v>1100000</v>
      </c>
      <c r="L607" s="262">
        <f>SUMPRODUCT((Tabla4[Codigo]=Tabla2[[#This Row],[Cod]])*1,Tabla4[IVA])</f>
        <v>209000</v>
      </c>
      <c r="M607" s="262">
        <f>SUMIFS(Tabla4[Total],Tabla4[Codigo],Tabla2[[#This Row],[Cod]])</f>
        <v>1309000</v>
      </c>
      <c r="N607" s="348">
        <f>SUMPRODUCT((Tabla1[Codigo]=Tabla2[[#This Row],[Cod]])*1,Tabla1[Valor])</f>
        <v>1309000</v>
      </c>
      <c r="O607" s="265">
        <f>IF(AND(Tabla2[[#This Row],[Estado]]="ok",LEFT(Tabla2[[#This Row],['# Factura]],3)="TIS"),Tabla2[[#This Row],[TOTAL]]-Tabla2[[#This Row],[pagado]],0)</f>
        <v>0</v>
      </c>
      <c r="P607" s="262">
        <f>Tabla2[[#This Row],[TOTAL]]-Tabla2[[#This Row],[Valor pago]]</f>
        <v>0</v>
      </c>
      <c r="Q607" s="265">
        <f>IF(Tabla2[[#This Row],[Saldo]]=0,0,IF(Tabla2[[#This Row],[Tipo cliente]]="PJ",Tabla2[[#This Row],[SUBTOTAL]]*11%,0))</f>
        <v>0</v>
      </c>
      <c r="R607" s="276">
        <f>IF(Tabla2[[#This Row],[Saldo]]=0,0,IF(Tabla2[[#This Row],[Tipo cliente]]="PJ",Tabla2[[#This Row],[SUBTOTAL]]*0.966%,0))</f>
        <v>0</v>
      </c>
      <c r="S607" s="276">
        <f>IF(Tabla2[[#This Row],[Retiene IVA]]="S",Tabla2[[#This Row],[IVA]]*0.15,0)</f>
        <v>0</v>
      </c>
      <c r="T607" s="265"/>
      <c r="U60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1309000</v>
      </c>
      <c r="W607" s="23">
        <f>IF(Tabla2[[#This Row],[Fecha F.E.]]="","",YEAR(Tabla2[[#This Row],[Fecha F.E.]]))</f>
        <v>2025</v>
      </c>
      <c r="X607" s="23">
        <f>IF(Tabla2[[#This Row],[Fecha]]="","",YEAR(Tabla2[[#This Row],[Fecha]]))</f>
        <v>2025</v>
      </c>
    </row>
    <row r="608" spans="1:24" x14ac:dyDescent="0.25">
      <c r="A608" s="3">
        <v>609</v>
      </c>
      <c r="B608" s="77" t="s">
        <v>1984</v>
      </c>
      <c r="C608" s="360">
        <v>45979</v>
      </c>
      <c r="D608" s="76" t="s">
        <v>1985</v>
      </c>
      <c r="E608" s="360">
        <v>45979</v>
      </c>
      <c r="F608" s="78" t="s">
        <v>231</v>
      </c>
      <c r="G608" s="85">
        <v>860002964</v>
      </c>
      <c r="H608" s="177" t="str">
        <f>VLOOKUP(Tabla2[[#This Row],[NIT]],Clientes!A:C,2,0)</f>
        <v>Banco de Bogota S.A.</v>
      </c>
      <c r="I608" s="77" t="str">
        <f>VLOOKUP(Tabla2[[#This Row],[NIT]],Clientes!A:C,3,0)</f>
        <v>PJ</v>
      </c>
      <c r="J608" s="77"/>
      <c r="K608" s="267">
        <f>SUMIFS(Tabla4[Sub Total],Tabla4[Codigo],Tabla2[[#This Row],[Cod]])</f>
        <v>9214843</v>
      </c>
      <c r="L608" s="262">
        <f>SUMPRODUCT((Tabla4[Codigo]=Tabla2[[#This Row],[Cod]])*1,Tabla4[IVA])</f>
        <v>1750820.17</v>
      </c>
      <c r="M608" s="262">
        <f>SUMIFS(Tabla4[Total],Tabla4[Codigo],Tabla2[[#This Row],[Cod]])</f>
        <v>10965663.17</v>
      </c>
      <c r="N608" s="278">
        <f>SUMPRODUCT((Tabla1[Codigo]=Tabla2[[#This Row],[Cod]])*1,Tabla1[Valor])</f>
        <v>10255758</v>
      </c>
      <c r="O608" s="265">
        <f>IF(AND(Tabla2[[#This Row],[Estado]]="ok",LEFT(Tabla2[[#This Row],['# Factura]],3)="TIS"),Tabla2[[#This Row],[TOTAL]]-Tabla2[[#This Row],[pagado]],0)</f>
        <v>-392742.94338000007</v>
      </c>
      <c r="P608" s="262">
        <f>Tabla2[[#This Row],[TOTAL]]-Tabla2[[#This Row],[Valor pago]]</f>
        <v>709905.16999999993</v>
      </c>
      <c r="Q608" s="265">
        <f>IF(Tabla2[[#This Row],[Saldo]]=0,0,IF(Tabla2[[#This Row],[Tipo cliente]]="PJ",Tabla2[[#This Row],[SUBTOTAL]]*11%,0))</f>
        <v>1013632.73</v>
      </c>
      <c r="R608" s="276">
        <f>IF(Tabla2[[#This Row],[Saldo]]=0,0,IF(Tabla2[[#This Row],[Tipo cliente]]="PJ",Tabla2[[#This Row],[SUBTOTAL]]*0.966%,0))</f>
        <v>89015.383379999999</v>
      </c>
      <c r="S608" s="276">
        <f>IF(Tabla2[[#This Row],[Retiene IVA]]="S",Tabla2[[#This Row],[IVA]]*0.15,0)</f>
        <v>0</v>
      </c>
      <c r="T608" s="265"/>
      <c r="U60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11358406.11338</v>
      </c>
      <c r="W608" s="23">
        <f>IF(Tabla2[[#This Row],[Fecha F.E.]]="","",YEAR(Tabla2[[#This Row],[Fecha F.E.]]))</f>
        <v>2025</v>
      </c>
      <c r="X608" s="23">
        <f>IF(Tabla2[[#This Row],[Fecha]]="","",YEAR(Tabla2[[#This Row],[Fecha]]))</f>
        <v>2025</v>
      </c>
    </row>
    <row r="609" spans="1:24" x14ac:dyDescent="0.25">
      <c r="A609" s="3">
        <v>611</v>
      </c>
      <c r="B609" s="77" t="s">
        <v>1986</v>
      </c>
      <c r="C609" s="360">
        <v>45982</v>
      </c>
      <c r="D609" s="76" t="s">
        <v>1987</v>
      </c>
      <c r="E609" s="360">
        <v>45812</v>
      </c>
      <c r="F609" s="78" t="s">
        <v>231</v>
      </c>
      <c r="G609" s="85">
        <v>830103479</v>
      </c>
      <c r="H609" s="177" t="str">
        <f>VLOOKUP(Tabla2[[#This Row],[NIT]],Clientes!A:C,2,0)</f>
        <v>CONTROLAR SALUD INTEGRAL SAS</v>
      </c>
      <c r="I609" s="77" t="str">
        <f>VLOOKUP(Tabla2[[#This Row],[NIT]],Clientes!A:C,3,0)</f>
        <v>PJ</v>
      </c>
      <c r="J609" s="77"/>
      <c r="K609" s="267">
        <f>SUMIFS(Tabla4[Sub Total],Tabla4[Codigo],Tabla2[[#This Row],[Cod]])</f>
        <v>2000000</v>
      </c>
      <c r="L609" s="262">
        <f>SUMPRODUCT((Tabla4[Codigo]=Tabla2[[#This Row],[Cod]])*1,Tabla4[IVA])</f>
        <v>0</v>
      </c>
      <c r="M609" s="262">
        <f>SUMIFS(Tabla4[Total],Tabla4[Codigo],Tabla2[[#This Row],[Cod]])</f>
        <v>2000000</v>
      </c>
      <c r="N609" s="278">
        <f>SUMPRODUCT((Tabla1[Codigo]=Tabla2[[#This Row],[Cod]])*1,Tabla1[Valor])</f>
        <v>0</v>
      </c>
      <c r="O609" s="265">
        <f>IF(AND(Tabla2[[#This Row],[Estado]]="ok",LEFT(Tabla2[[#This Row],['# Factura]],3)="TIS"),Tabla2[[#This Row],[TOTAL]]-Tabla2[[#This Row],[pagado]],0)</f>
        <v>2000000</v>
      </c>
      <c r="P609" s="262">
        <f>Tabla2[[#This Row],[TOTAL]]-Tabla2[[#This Row],[Valor pago]]</f>
        <v>2000000</v>
      </c>
      <c r="Q609" s="265">
        <f>IF(Tabla2[[#This Row],[Saldo]]=0,0,IF(Tabla2[[#This Row],[Tipo cliente]]="PJ",Tabla2[[#This Row],[SUBTOTAL]]*11%,0))</f>
        <v>220000</v>
      </c>
      <c r="R609" s="276">
        <f>IF(Tabla2[[#This Row],[Saldo]]=0,0,IF(Tabla2[[#This Row],[Tipo cliente]]="PJ",Tabla2[[#This Row],[SUBTOTAL]]*0.966%,0))</f>
        <v>19320</v>
      </c>
      <c r="S609" s="276">
        <f>IF(Tabla2[[#This Row],[Retiene IVA]]="S",Tabla2[[#This Row],[IVA]]*0.15,0)</f>
        <v>0</v>
      </c>
      <c r="T609" s="265"/>
      <c r="U60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09" s="23">
        <f>IF(Tabla2[[#This Row],[Fecha F.E.]]="","",YEAR(Tabla2[[#This Row],[Fecha F.E.]]))</f>
        <v>2025</v>
      </c>
      <c r="X609" s="23">
        <f>IF(Tabla2[[#This Row],[Fecha]]="","",YEAR(Tabla2[[#This Row],[Fecha]]))</f>
        <v>2025</v>
      </c>
    </row>
    <row r="610" spans="1:24" x14ac:dyDescent="0.25">
      <c r="A610" s="3">
        <v>612</v>
      </c>
      <c r="B610" s="77" t="s">
        <v>1988</v>
      </c>
      <c r="C610" s="360">
        <v>45982</v>
      </c>
      <c r="D610" s="76" t="s">
        <v>1989</v>
      </c>
      <c r="E610" s="360">
        <v>45882</v>
      </c>
      <c r="F610" s="78" t="s">
        <v>231</v>
      </c>
      <c r="G610" s="85">
        <v>830103479</v>
      </c>
      <c r="H610" s="177" t="str">
        <f>VLOOKUP(Tabla2[[#This Row],[NIT]],Clientes!A:C,2,0)</f>
        <v>CONTROLAR SALUD INTEGRAL SAS</v>
      </c>
      <c r="I610" s="77" t="str">
        <f>VLOOKUP(Tabla2[[#This Row],[NIT]],Clientes!A:C,3,0)</f>
        <v>PJ</v>
      </c>
      <c r="J610" s="77"/>
      <c r="K610" s="267">
        <f>SUMIFS(Tabla4[Sub Total],Tabla4[Codigo],Tabla2[[#This Row],[Cod]])</f>
        <v>600000</v>
      </c>
      <c r="L610" s="262">
        <f>SUMPRODUCT((Tabla4[Codigo]=Tabla2[[#This Row],[Cod]])*1,Tabla4[IVA])</f>
        <v>0</v>
      </c>
      <c r="M610" s="262">
        <f>SUMIFS(Tabla4[Total],Tabla4[Codigo],Tabla2[[#This Row],[Cod]])</f>
        <v>600000</v>
      </c>
      <c r="N610" s="278">
        <f>SUMPRODUCT((Tabla1[Codigo]=Tabla2[[#This Row],[Cod]])*1,Tabla1[Valor])</f>
        <v>0</v>
      </c>
      <c r="O610" s="265">
        <f>IF(AND(Tabla2[[#This Row],[Estado]]="ok",LEFT(Tabla2[[#This Row],['# Factura]],3)="TIS"),Tabla2[[#This Row],[TOTAL]]-Tabla2[[#This Row],[pagado]],0)</f>
        <v>600000</v>
      </c>
      <c r="P610" s="262">
        <f>Tabla2[[#This Row],[TOTAL]]-Tabla2[[#This Row],[Valor pago]]</f>
        <v>600000</v>
      </c>
      <c r="Q610" s="265">
        <f>IF(Tabla2[[#This Row],[Saldo]]=0,0,IF(Tabla2[[#This Row],[Tipo cliente]]="PJ",Tabla2[[#This Row],[SUBTOTAL]]*11%,0))</f>
        <v>66000</v>
      </c>
      <c r="R610" s="276">
        <f>IF(Tabla2[[#This Row],[Saldo]]=0,0,IF(Tabla2[[#This Row],[Tipo cliente]]="PJ",Tabla2[[#This Row],[SUBTOTAL]]*0.966%,0))</f>
        <v>5796</v>
      </c>
      <c r="S610" s="276">
        <f>IF(Tabla2[[#This Row],[Retiene IVA]]="S",Tabla2[[#This Row],[IVA]]*0.15,0)</f>
        <v>0</v>
      </c>
      <c r="T610" s="265"/>
      <c r="U61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10" s="23">
        <f>IF(Tabla2[[#This Row],[Fecha F.E.]]="","",YEAR(Tabla2[[#This Row],[Fecha F.E.]]))</f>
        <v>2025</v>
      </c>
      <c r="X610" s="23">
        <f>IF(Tabla2[[#This Row],[Fecha]]="","",YEAR(Tabla2[[#This Row],[Fecha]]))</f>
        <v>2025</v>
      </c>
    </row>
    <row r="611" spans="1:24" x14ac:dyDescent="0.25">
      <c r="A611" s="3">
        <v>613</v>
      </c>
      <c r="B611" s="77" t="s">
        <v>1990</v>
      </c>
      <c r="C611" s="360">
        <v>45988</v>
      </c>
      <c r="D611" s="76" t="s">
        <v>1991</v>
      </c>
      <c r="E611" s="360">
        <v>45988</v>
      </c>
      <c r="F611" s="78" t="s">
        <v>231</v>
      </c>
      <c r="G611" s="85">
        <v>900728801</v>
      </c>
      <c r="H611" s="177" t="str">
        <f>VLOOKUP(Tabla2[[#This Row],[NIT]],Clientes!A:C,2,0)</f>
        <v>SMART ENERGY SOLUTIONS SAS</v>
      </c>
      <c r="I611" s="77" t="str">
        <f>VLOOKUP(Tabla2[[#This Row],[NIT]],Clientes!A:C,3,0)</f>
        <v>PJ</v>
      </c>
      <c r="J611" s="77"/>
      <c r="K611" s="267">
        <f>SUMIFS(Tabla4[Sub Total],Tabla4[Codigo],Tabla2[[#This Row],[Cod]])</f>
        <v>800000</v>
      </c>
      <c r="L611" s="262">
        <f>SUMPRODUCT((Tabla4[Codigo]=Tabla2[[#This Row],[Cod]])*1,Tabla4[IVA])</f>
        <v>152000</v>
      </c>
      <c r="M611" s="262">
        <f>SUMIFS(Tabla4[Total],Tabla4[Codigo],Tabla2[[#This Row],[Cod]])</f>
        <v>952000</v>
      </c>
      <c r="N611" s="278">
        <f>SUMPRODUCT((Tabla1[Codigo]=Tabla2[[#This Row],[Cod]])*1,Tabla1[Valor])</f>
        <v>913072</v>
      </c>
      <c r="O611" s="265">
        <f>IF(AND(Tabla2[[#This Row],[Estado]]="ok",LEFT(Tabla2[[#This Row],['# Factura]],3)="TIS"),Tabla2[[#This Row],[TOTAL]]-Tabla2[[#This Row],[pagado]],0)</f>
        <v>-56800</v>
      </c>
      <c r="P611" s="262">
        <f>Tabla2[[#This Row],[TOTAL]]-Tabla2[[#This Row],[Valor pago]]</f>
        <v>38928</v>
      </c>
      <c r="Q611" s="265">
        <f>IF(Tabla2[[#This Row],[Saldo]]=0,0,IF(Tabla2[[#This Row],[Tipo cliente]]="PJ",Tabla2[[#This Row],[SUBTOTAL]]*11%,0))</f>
        <v>88000</v>
      </c>
      <c r="R611" s="276">
        <f>IF(Tabla2[[#This Row],[Saldo]]=0,0,IF(Tabla2[[#This Row],[Tipo cliente]]="PJ",Tabla2[[#This Row],[SUBTOTAL]]*0.966%,0))</f>
        <v>7728</v>
      </c>
      <c r="S611" s="276">
        <f>IF(Tabla2[[#This Row],[Retiene IVA]]="S",Tabla2[[#This Row],[IVA]]*0.15,0)</f>
        <v>0</v>
      </c>
      <c r="T611" s="265"/>
      <c r="U61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1008800</v>
      </c>
      <c r="W611" s="23">
        <f>IF(Tabla2[[#This Row],[Fecha F.E.]]="","",YEAR(Tabla2[[#This Row],[Fecha F.E.]]))</f>
        <v>2025</v>
      </c>
      <c r="X611" s="23">
        <f>IF(Tabla2[[#This Row],[Fecha]]="","",YEAR(Tabla2[[#This Row],[Fecha]]))</f>
        <v>2025</v>
      </c>
    </row>
    <row r="612" spans="1:24" x14ac:dyDescent="0.25">
      <c r="A612" s="3">
        <v>614</v>
      </c>
      <c r="B612" s="77" t="s">
        <v>1992</v>
      </c>
      <c r="C612" s="360">
        <v>45992</v>
      </c>
      <c r="D612" s="76" t="s">
        <v>1993</v>
      </c>
      <c r="E612" s="360">
        <v>45988</v>
      </c>
      <c r="F612" s="78" t="s">
        <v>231</v>
      </c>
      <c r="G612" s="85">
        <v>860090915</v>
      </c>
      <c r="H612" s="177" t="str">
        <f>VLOOKUP(Tabla2[[#This Row],[NIT]],Clientes!A:C,2,0)</f>
        <v>ACTIVOS SAS</v>
      </c>
      <c r="I612" s="77" t="str">
        <f>VLOOKUP(Tabla2[[#This Row],[NIT]],Clientes!A:C,3,0)</f>
        <v>PJ</v>
      </c>
      <c r="J612" s="77"/>
      <c r="K612" s="267">
        <f>SUMIFS(Tabla4[Sub Total],Tabla4[Codigo],Tabla2[[#This Row],[Cod]])</f>
        <v>1350000</v>
      </c>
      <c r="L612" s="262">
        <f>SUMPRODUCT((Tabla4[Codigo]=Tabla2[[#This Row],[Cod]])*1,Tabla4[IVA])</f>
        <v>256500</v>
      </c>
      <c r="M612" s="262">
        <f>SUMIFS(Tabla4[Total],Tabla4[Codigo],Tabla2[[#This Row],[Cod]])</f>
        <v>1606500</v>
      </c>
      <c r="N612" s="278">
        <f>SUMPRODUCT((Tabla1[Codigo]=Tabla2[[#This Row],[Cod]])*1,Tabla1[Valor])</f>
        <v>1514025</v>
      </c>
      <c r="O612" s="265">
        <f>IF(AND(Tabla2[[#This Row],[Estado]]="ok",LEFT(Tabla2[[#This Row],['# Factura]],3)="TIS"),Tabla2[[#This Row],[TOTAL]]-Tabla2[[#This Row],[pagado]],0)</f>
        <v>-69066</v>
      </c>
      <c r="P612" s="262">
        <f>Tabla2[[#This Row],[TOTAL]]-Tabla2[[#This Row],[Valor pago]]</f>
        <v>92475</v>
      </c>
      <c r="Q612" s="265">
        <f>IF(Tabla2[[#This Row],[Saldo]]=0,0,IF(Tabla2[[#This Row],[Tipo cliente]]="PJ",Tabla2[[#This Row],[SUBTOTAL]]*11%,0))</f>
        <v>148500</v>
      </c>
      <c r="R612" s="276">
        <f>IF(Tabla2[[#This Row],[Saldo]]=0,0,IF(Tabla2[[#This Row],[Tipo cliente]]="PJ",Tabla2[[#This Row],[SUBTOTAL]]*0.966%,0))</f>
        <v>13041</v>
      </c>
      <c r="S612" s="276">
        <f>IF(Tabla2[[#This Row],[Retiene IVA]]="S",Tabla2[[#This Row],[IVA]]*0.15,0)</f>
        <v>0</v>
      </c>
      <c r="T612" s="265"/>
      <c r="U61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1675566</v>
      </c>
      <c r="W612" s="23">
        <f>IF(Tabla2[[#This Row],[Fecha F.E.]]="","",YEAR(Tabla2[[#This Row],[Fecha F.E.]]))</f>
        <v>2025</v>
      </c>
      <c r="X612" s="23">
        <f>IF(Tabla2[[#This Row],[Fecha]]="","",YEAR(Tabla2[[#This Row],[Fecha]]))</f>
        <v>2025</v>
      </c>
    </row>
    <row r="613" spans="1:24" x14ac:dyDescent="0.25">
      <c r="A613" s="3">
        <v>615</v>
      </c>
      <c r="B613" s="77" t="s">
        <v>1994</v>
      </c>
      <c r="C613" s="360">
        <v>45992</v>
      </c>
      <c r="D613" s="76" t="s">
        <v>1995</v>
      </c>
      <c r="E613" s="360">
        <v>45992</v>
      </c>
      <c r="F613" s="78" t="s">
        <v>231</v>
      </c>
      <c r="G613" s="85">
        <v>900505660</v>
      </c>
      <c r="H613" s="177" t="str">
        <f>VLOOKUP(Tabla2[[#This Row],[NIT]],Clientes!A:C,2,0)</f>
        <v>DIGITAL MEDIA TECHNOLOGIES COLOMBIA SAS</v>
      </c>
      <c r="I613" s="77" t="str">
        <f>VLOOKUP(Tabla2[[#This Row],[NIT]],Clientes!A:C,3,0)</f>
        <v>PJ</v>
      </c>
      <c r="J613" s="77"/>
      <c r="K613" s="267">
        <f>SUMIFS(Tabla4[Sub Total],Tabla4[Codigo],Tabla2[[#This Row],[Cod]])</f>
        <v>300000</v>
      </c>
      <c r="L613" s="262">
        <f>SUMPRODUCT((Tabla4[Codigo]=Tabla2[[#This Row],[Cod]])*1,Tabla4[IVA])</f>
        <v>57000</v>
      </c>
      <c r="M613" s="262">
        <f>SUMIFS(Tabla4[Total],Tabla4[Codigo],Tabla2[[#This Row],[Cod]])</f>
        <v>357000</v>
      </c>
      <c r="N613" s="278">
        <f>SUMPRODUCT((Tabla1[Codigo]=Tabla2[[#This Row],[Cod]])*1,Tabla1[Valor])</f>
        <v>324000</v>
      </c>
      <c r="O613" s="265">
        <f>IF(AND(Tabla2[[#This Row],[Estado]]="ok",LEFT(Tabla2[[#This Row],['# Factura]],3)="TIS"),Tabla2[[#This Row],[TOTAL]]-Tabla2[[#This Row],[pagado]],0)</f>
        <v>-2898</v>
      </c>
      <c r="P613" s="262">
        <f>Tabla2[[#This Row],[TOTAL]]-Tabla2[[#This Row],[Valor pago]]</f>
        <v>33000</v>
      </c>
      <c r="Q613" s="265">
        <f>IF(Tabla2[[#This Row],[Saldo]]=0,0,IF(Tabla2[[#This Row],[Tipo cliente]]="PJ",Tabla2[[#This Row],[SUBTOTAL]]*11%,0))</f>
        <v>33000</v>
      </c>
      <c r="R613" s="276">
        <f>IF(Tabla2[[#This Row],[Saldo]]=0,0,IF(Tabla2[[#This Row],[Tipo cliente]]="PJ",Tabla2[[#This Row],[SUBTOTAL]]*0.966%,0))</f>
        <v>2898</v>
      </c>
      <c r="S613" s="276">
        <f>IF(Tabla2[[#This Row],[Retiene IVA]]="S",Tabla2[[#This Row],[IVA]]*0.15,0)</f>
        <v>0</v>
      </c>
      <c r="T613" s="265"/>
      <c r="U61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613" s="23">
        <f>IF(Tabla2[[#This Row],[Fecha F.E.]]="","",YEAR(Tabla2[[#This Row],[Fecha F.E.]]))</f>
        <v>2025</v>
      </c>
      <c r="X613" s="23">
        <f>IF(Tabla2[[#This Row],[Fecha]]="","",YEAR(Tabla2[[#This Row],[Fecha]]))</f>
        <v>2025</v>
      </c>
    </row>
    <row r="614" spans="1:24" x14ac:dyDescent="0.25">
      <c r="A614" s="3">
        <v>616</v>
      </c>
      <c r="B614" s="77" t="s">
        <v>1996</v>
      </c>
      <c r="C614" s="360">
        <v>45992</v>
      </c>
      <c r="D614" s="76" t="s">
        <v>1997</v>
      </c>
      <c r="E614" s="360">
        <v>45992</v>
      </c>
      <c r="F614" s="78" t="s">
        <v>231</v>
      </c>
      <c r="G614" s="85">
        <v>800028768</v>
      </c>
      <c r="H614" s="177" t="str">
        <f>VLOOKUP(Tabla2[[#This Row],[NIT]],Clientes!A:C,2,0)</f>
        <v>Comercializadora ERZ SAS</v>
      </c>
      <c r="I614" s="77" t="str">
        <f>VLOOKUP(Tabla2[[#This Row],[NIT]],Clientes!A:C,3,0)</f>
        <v>PJ</v>
      </c>
      <c r="J614" s="77"/>
      <c r="K614" s="267">
        <f>SUMIFS(Tabla4[Sub Total],Tabla4[Codigo],Tabla2[[#This Row],[Cod]])</f>
        <v>300000</v>
      </c>
      <c r="L614" s="262">
        <f>SUMPRODUCT((Tabla4[Codigo]=Tabla2[[#This Row],[Cod]])*1,Tabla4[IVA])</f>
        <v>57000</v>
      </c>
      <c r="M614" s="262">
        <f>SUMIFS(Tabla4[Total],Tabla4[Codigo],Tabla2[[#This Row],[Cod]])</f>
        <v>357000</v>
      </c>
      <c r="N614" s="278">
        <f>SUMPRODUCT((Tabla1[Codigo]=Tabla2[[#This Row],[Cod]])*1,Tabla1[Valor])</f>
        <v>324000</v>
      </c>
      <c r="O614" s="265">
        <f>IF(AND(Tabla2[[#This Row],[Estado]]="ok",LEFT(Tabla2[[#This Row],['# Factura]],3)="TIS"),Tabla2[[#This Row],[TOTAL]]-Tabla2[[#This Row],[pagado]],0)</f>
        <v>-2898</v>
      </c>
      <c r="P614" s="262">
        <f>Tabla2[[#This Row],[TOTAL]]-Tabla2[[#This Row],[Valor pago]]</f>
        <v>33000</v>
      </c>
      <c r="Q614" s="265">
        <f>IF(Tabla2[[#This Row],[Saldo]]=0,0,IF(Tabla2[[#This Row],[Tipo cliente]]="PJ",Tabla2[[#This Row],[SUBTOTAL]]*11%,0))</f>
        <v>33000</v>
      </c>
      <c r="R614" s="276">
        <f>IF(Tabla2[[#This Row],[Saldo]]=0,0,IF(Tabla2[[#This Row],[Tipo cliente]]="PJ",Tabla2[[#This Row],[SUBTOTAL]]*0.966%,0))</f>
        <v>2898</v>
      </c>
      <c r="S614" s="276">
        <f>IF(Tabla2[[#This Row],[Retiene IVA]]="S",Tabla2[[#This Row],[IVA]]*0.15,0)</f>
        <v>0</v>
      </c>
      <c r="T614" s="265"/>
      <c r="U61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614" s="23">
        <f>IF(Tabla2[[#This Row],[Fecha F.E.]]="","",YEAR(Tabla2[[#This Row],[Fecha F.E.]]))</f>
        <v>2025</v>
      </c>
      <c r="X614" s="23">
        <f>IF(Tabla2[[#This Row],[Fecha]]="","",YEAR(Tabla2[[#This Row],[Fecha]]))</f>
        <v>2025</v>
      </c>
    </row>
    <row r="615" spans="1:24" ht="26.25" x14ac:dyDescent="0.25">
      <c r="A615" s="3">
        <v>617</v>
      </c>
      <c r="B615" s="77" t="s">
        <v>1998</v>
      </c>
      <c r="C615" s="360">
        <v>45992</v>
      </c>
      <c r="D615" s="76" t="s">
        <v>1999</v>
      </c>
      <c r="E615" s="360">
        <v>45992</v>
      </c>
      <c r="F615" s="78" t="s">
        <v>231</v>
      </c>
      <c r="G615" s="85">
        <v>900187738</v>
      </c>
      <c r="H615" s="177" t="str">
        <f>VLOOKUP(Tabla2[[#This Row],[NIT]],Clientes!A:C,2,0)</f>
        <v>CENTRO DE ATENCION E INVESTIGACION MEDICA S.A.S.</v>
      </c>
      <c r="I615" s="77" t="str">
        <f>VLOOKUP(Tabla2[[#This Row],[NIT]],Clientes!A:C,3,0)</f>
        <v>PJ</v>
      </c>
      <c r="J615" s="77"/>
      <c r="K615" s="267">
        <f>SUMIFS(Tabla4[Sub Total],Tabla4[Codigo],Tabla2[[#This Row],[Cod]])</f>
        <v>1500000</v>
      </c>
      <c r="L615" s="262">
        <f>SUMPRODUCT((Tabla4[Codigo]=Tabla2[[#This Row],[Cod]])*1,Tabla4[IVA])</f>
        <v>285000</v>
      </c>
      <c r="M615" s="262">
        <f>SUMIFS(Tabla4[Total],Tabla4[Codigo],Tabla2[[#This Row],[Cod]])</f>
        <v>1785000</v>
      </c>
      <c r="N615" s="278">
        <f>SUMPRODUCT((Tabla1[Codigo]=Tabla2[[#This Row],[Cod]])*1,Tabla1[Valor])</f>
        <v>1723500</v>
      </c>
      <c r="O615" s="265">
        <f>IF(AND(Tabla2[[#This Row],[Estado]]="ok",LEFT(Tabla2[[#This Row],['# Factura]],3)="TIS"),Tabla2[[#This Row],[TOTAL]]-Tabla2[[#This Row],[pagado]],0)</f>
        <v>-117990</v>
      </c>
      <c r="P615" s="262">
        <f>Tabla2[[#This Row],[TOTAL]]-Tabla2[[#This Row],[Valor pago]]</f>
        <v>61500</v>
      </c>
      <c r="Q615" s="265">
        <f>IF(Tabla2[[#This Row],[Saldo]]=0,0,IF(Tabla2[[#This Row],[Tipo cliente]]="PJ",Tabla2[[#This Row],[SUBTOTAL]]*11%,0))</f>
        <v>165000</v>
      </c>
      <c r="R615" s="276">
        <f>IF(Tabla2[[#This Row],[Saldo]]=0,0,IF(Tabla2[[#This Row],[Tipo cliente]]="PJ",Tabla2[[#This Row],[SUBTOTAL]]*0.966%,0))</f>
        <v>14490</v>
      </c>
      <c r="S615" s="276">
        <f>IF(Tabla2[[#This Row],[Retiene IVA]]="S",Tabla2[[#This Row],[IVA]]*0.15,0)</f>
        <v>0</v>
      </c>
      <c r="T615" s="265"/>
      <c r="U61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1902990</v>
      </c>
      <c r="W615" s="23">
        <f>IF(Tabla2[[#This Row],[Fecha F.E.]]="","",YEAR(Tabla2[[#This Row],[Fecha F.E.]]))</f>
        <v>2025</v>
      </c>
      <c r="X615" s="23">
        <f>IF(Tabla2[[#This Row],[Fecha]]="","",YEAR(Tabla2[[#This Row],[Fecha]]))</f>
        <v>2025</v>
      </c>
    </row>
    <row r="616" spans="1:24" x14ac:dyDescent="0.25">
      <c r="A616" s="3">
        <v>618</v>
      </c>
      <c r="B616" s="77" t="s">
        <v>2000</v>
      </c>
      <c r="C616" s="360">
        <v>45992</v>
      </c>
      <c r="D616" s="76" t="s">
        <v>2001</v>
      </c>
      <c r="E616" s="360">
        <v>45992</v>
      </c>
      <c r="F616" s="78" t="s">
        <v>231</v>
      </c>
      <c r="G616" s="85">
        <v>901030518</v>
      </c>
      <c r="H616" s="177" t="str">
        <f>VLOOKUP(Tabla2[[#This Row],[NIT]],Clientes!A:C,2,0)</f>
        <v>Inversiones Sajamib SAS</v>
      </c>
      <c r="I616" s="77" t="str">
        <f>VLOOKUP(Tabla2[[#This Row],[NIT]],Clientes!A:C,3,0)</f>
        <v>PJ</v>
      </c>
      <c r="J616" s="77"/>
      <c r="K616" s="267">
        <f>SUMIFS(Tabla4[Sub Total],Tabla4[Codigo],Tabla2[[#This Row],[Cod]])</f>
        <v>480000</v>
      </c>
      <c r="L616" s="262">
        <f>SUMPRODUCT((Tabla4[Codigo]=Tabla2[[#This Row],[Cod]])*1,Tabla4[IVA])</f>
        <v>0</v>
      </c>
      <c r="M616" s="262">
        <f>SUMIFS(Tabla4[Total],Tabla4[Codigo],Tabla2[[#This Row],[Cod]])</f>
        <v>480000</v>
      </c>
      <c r="N616" s="278">
        <f>SUMPRODUCT((Tabla1[Codigo]=Tabla2[[#This Row],[Cod]])*1,Tabla1[Valor])</f>
        <v>0</v>
      </c>
      <c r="O616" s="265">
        <f>IF(AND(Tabla2[[#This Row],[Estado]]="ok",LEFT(Tabla2[[#This Row],['# Factura]],3)="TIS"),Tabla2[[#This Row],[TOTAL]]-Tabla2[[#This Row],[pagado]],0)</f>
        <v>480000</v>
      </c>
      <c r="P616" s="262">
        <f>Tabla2[[#This Row],[TOTAL]]-Tabla2[[#This Row],[Valor pago]]</f>
        <v>480000</v>
      </c>
      <c r="Q616" s="265">
        <f>IF(Tabla2[[#This Row],[Saldo]]=0,0,IF(Tabla2[[#This Row],[Tipo cliente]]="PJ",Tabla2[[#This Row],[SUBTOTAL]]*11%,0))</f>
        <v>52800</v>
      </c>
      <c r="R616" s="276">
        <f>IF(Tabla2[[#This Row],[Saldo]]=0,0,IF(Tabla2[[#This Row],[Tipo cliente]]="PJ",Tabla2[[#This Row],[SUBTOTAL]]*0.966%,0))</f>
        <v>4636.8</v>
      </c>
      <c r="S616" s="276">
        <f>IF(Tabla2[[#This Row],[Retiene IVA]]="S",Tabla2[[#This Row],[IVA]]*0.15,0)</f>
        <v>0</v>
      </c>
      <c r="T616" s="265"/>
      <c r="U61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16" s="23">
        <f>IF(Tabla2[[#This Row],[Fecha F.E.]]="","",YEAR(Tabla2[[#This Row],[Fecha F.E.]]))</f>
        <v>2025</v>
      </c>
      <c r="X616" s="23">
        <f>IF(Tabla2[[#This Row],[Fecha]]="","",YEAR(Tabla2[[#This Row],[Fecha]]))</f>
        <v>2025</v>
      </c>
    </row>
    <row r="617" spans="1:24" x14ac:dyDescent="0.25">
      <c r="A617" s="3">
        <v>619</v>
      </c>
      <c r="B617" s="77" t="s">
        <v>2002</v>
      </c>
      <c r="C617" s="360">
        <v>45992</v>
      </c>
      <c r="D617" s="76" t="s">
        <v>2003</v>
      </c>
      <c r="E617" s="360">
        <v>45992</v>
      </c>
      <c r="F617" s="78" t="s">
        <v>231</v>
      </c>
      <c r="G617" s="85">
        <v>901700940</v>
      </c>
      <c r="H617" s="177" t="str">
        <f>VLOOKUP(Tabla2[[#This Row],[NIT]],Clientes!A:C,2,0)</f>
        <v>AND TOPOGRAFIA E INGENIERIA SAS</v>
      </c>
      <c r="I617" s="77" t="str">
        <f>VLOOKUP(Tabla2[[#This Row],[NIT]],Clientes!A:C,3,0)</f>
        <v>PJ</v>
      </c>
      <c r="J617" s="77"/>
      <c r="K617" s="267">
        <f>SUMIFS(Tabla4[Sub Total],Tabla4[Codigo],Tabla2[[#This Row],[Cod]])</f>
        <v>300000</v>
      </c>
      <c r="L617" s="262">
        <f>SUMPRODUCT((Tabla4[Codigo]=Tabla2[[#This Row],[Cod]])*1,Tabla4[IVA])</f>
        <v>0</v>
      </c>
      <c r="M617" s="262">
        <f>SUMIFS(Tabla4[Total],Tabla4[Codigo],Tabla2[[#This Row],[Cod]])</f>
        <v>300000</v>
      </c>
      <c r="N617" s="278">
        <f>SUMPRODUCT((Tabla1[Codigo]=Tabla2[[#This Row],[Cod]])*1,Tabla1[Valor])</f>
        <v>300000</v>
      </c>
      <c r="O617" s="265">
        <f>IF(AND(Tabla2[[#This Row],[Estado]]="ok",LEFT(Tabla2[[#This Row],['# Factura]],3)="TIS"),Tabla2[[#This Row],[TOTAL]]-Tabla2[[#This Row],[pagado]],0)</f>
        <v>0</v>
      </c>
      <c r="P617" s="262">
        <f>Tabla2[[#This Row],[TOTAL]]-Tabla2[[#This Row],[Valor pago]]</f>
        <v>0</v>
      </c>
      <c r="Q617" s="265">
        <f>IF(Tabla2[[#This Row],[Saldo]]=0,0,IF(Tabla2[[#This Row],[Tipo cliente]]="PJ",Tabla2[[#This Row],[SUBTOTAL]]*11%,0))</f>
        <v>0</v>
      </c>
      <c r="R617" s="276">
        <f>IF(Tabla2[[#This Row],[Saldo]]=0,0,IF(Tabla2[[#This Row],[Tipo cliente]]="PJ",Tabla2[[#This Row],[SUBTOTAL]]*0.966%,0))</f>
        <v>0</v>
      </c>
      <c r="S617" s="276">
        <f>IF(Tabla2[[#This Row],[Retiene IVA]]="S",Tabla2[[#This Row],[IVA]]*0.15,0)</f>
        <v>0</v>
      </c>
      <c r="T617" s="265"/>
      <c r="U61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300000</v>
      </c>
      <c r="W617" s="23">
        <f>IF(Tabla2[[#This Row],[Fecha F.E.]]="","",YEAR(Tabla2[[#This Row],[Fecha F.E.]]))</f>
        <v>2025</v>
      </c>
      <c r="X617" s="23">
        <f>IF(Tabla2[[#This Row],[Fecha]]="","",YEAR(Tabla2[[#This Row],[Fecha]]))</f>
        <v>2025</v>
      </c>
    </row>
    <row r="618" spans="1:24" x14ac:dyDescent="0.25">
      <c r="A618" s="3">
        <v>620</v>
      </c>
      <c r="B618" s="77" t="s">
        <v>2004</v>
      </c>
      <c r="C618" s="360">
        <v>45992</v>
      </c>
      <c r="D618" s="76" t="s">
        <v>2005</v>
      </c>
      <c r="E618" s="360">
        <v>45992</v>
      </c>
      <c r="F618" s="78" t="s">
        <v>231</v>
      </c>
      <c r="G618" s="85">
        <v>900903463</v>
      </c>
      <c r="H618" s="177" t="str">
        <f>VLOOKUP(Tabla2[[#This Row],[NIT]],Clientes!A:C,2,0)</f>
        <v>SOLUCIONES CREATIVAS Y TURÍSTICAS</v>
      </c>
      <c r="I618" s="77" t="str">
        <f>VLOOKUP(Tabla2[[#This Row],[NIT]],Clientes!A:C,3,0)</f>
        <v>PJ</v>
      </c>
      <c r="J618" s="77"/>
      <c r="K618" s="267">
        <f>SUMIFS(Tabla4[Sub Total],Tabla4[Codigo],Tabla2[[#This Row],[Cod]])</f>
        <v>934874</v>
      </c>
      <c r="L618" s="262">
        <f>SUMPRODUCT((Tabla4[Codigo]=Tabla2[[#This Row],[Cod]])*1,Tabla4[IVA])</f>
        <v>177626.06</v>
      </c>
      <c r="M618" s="262">
        <f>SUMIFS(Tabla4[Total],Tabla4[Codigo],Tabla2[[#This Row],[Cod]])</f>
        <v>1112500.06</v>
      </c>
      <c r="N618" s="278">
        <f>SUMPRODUCT((Tabla1[Codigo]=Tabla2[[#This Row],[Cod]])*1,Tabla1[Valor])</f>
        <v>1009663</v>
      </c>
      <c r="O618" s="265">
        <f>IF(AND(Tabla2[[#This Row],[Estado]]="ok",LEFT(Tabla2[[#This Row],['# Factura]],3)="TIS"),Tabla2[[#This Row],[TOTAL]]-Tabla2[[#This Row],[pagado]],0)</f>
        <v>-9029.9628399999347</v>
      </c>
      <c r="P618" s="262">
        <f>Tabla2[[#This Row],[TOTAL]]-Tabla2[[#This Row],[Valor pago]]</f>
        <v>102837.06000000006</v>
      </c>
      <c r="Q618" s="265">
        <f>IF(Tabla2[[#This Row],[Saldo]]=0,0,IF(Tabla2[[#This Row],[Tipo cliente]]="PJ",Tabla2[[#This Row],[SUBTOTAL]]*11%,0))</f>
        <v>102836.14</v>
      </c>
      <c r="R618" s="276">
        <f>IF(Tabla2[[#This Row],[Saldo]]=0,0,IF(Tabla2[[#This Row],[Tipo cliente]]="PJ",Tabla2[[#This Row],[SUBTOTAL]]*0.966%,0))</f>
        <v>9030.8828400000002</v>
      </c>
      <c r="S618" s="276">
        <f>IF(Tabla2[[#This Row],[Retiene IVA]]="S",Tabla2[[#This Row],[IVA]]*0.15,0)</f>
        <v>0</v>
      </c>
      <c r="T618" s="265"/>
      <c r="U61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1121530.02284</v>
      </c>
      <c r="W618" s="23">
        <f>IF(Tabla2[[#This Row],[Fecha F.E.]]="","",YEAR(Tabla2[[#This Row],[Fecha F.E.]]))</f>
        <v>2025</v>
      </c>
      <c r="X618" s="23">
        <f>IF(Tabla2[[#This Row],[Fecha]]="","",YEAR(Tabla2[[#This Row],[Fecha]]))</f>
        <v>2025</v>
      </c>
    </row>
    <row r="619" spans="1:24" x14ac:dyDescent="0.25">
      <c r="A619" s="3">
        <v>621</v>
      </c>
      <c r="B619" s="77" t="s">
        <v>2006</v>
      </c>
      <c r="C619" s="360">
        <v>45992</v>
      </c>
      <c r="D619" s="76" t="s">
        <v>2007</v>
      </c>
      <c r="E619" s="360">
        <v>45992</v>
      </c>
      <c r="F619" s="78" t="s">
        <v>231</v>
      </c>
      <c r="G619" s="85">
        <v>901587426</v>
      </c>
      <c r="H619" s="177" t="str">
        <f>VLOOKUP(Tabla2[[#This Row],[NIT]],Clientes!A:C,2,0)</f>
        <v>STAFF SEGUROS AGENCIA LTDA</v>
      </c>
      <c r="I619" s="77" t="str">
        <f>VLOOKUP(Tabla2[[#This Row],[NIT]],Clientes!A:C,3,0)</f>
        <v>PJ</v>
      </c>
      <c r="J619" s="77"/>
      <c r="K619" s="267">
        <f>SUMIFS(Tabla4[Sub Total],Tabla4[Codigo],Tabla2[[#This Row],[Cod]])</f>
        <v>3210000</v>
      </c>
      <c r="L619" s="262">
        <f>SUMPRODUCT((Tabla4[Codigo]=Tabla2[[#This Row],[Cod]])*1,Tabla4[IVA])</f>
        <v>0</v>
      </c>
      <c r="M619" s="262">
        <f>SUMIFS(Tabla4[Total],Tabla4[Codigo],Tabla2[[#This Row],[Cod]])</f>
        <v>3210000</v>
      </c>
      <c r="N619" s="278">
        <f>SUMPRODUCT((Tabla1[Codigo]=Tabla2[[#This Row],[Cod]])*1,Tabla1[Valor])</f>
        <v>0</v>
      </c>
      <c r="O619" s="265">
        <f>IF(AND(Tabla2[[#This Row],[Estado]]="ok",LEFT(Tabla2[[#This Row],['# Factura]],3)="TIS"),Tabla2[[#This Row],[TOTAL]]-Tabla2[[#This Row],[pagado]],0)</f>
        <v>3210000</v>
      </c>
      <c r="P619" s="262">
        <f>Tabla2[[#This Row],[TOTAL]]-Tabla2[[#This Row],[Valor pago]]</f>
        <v>3210000</v>
      </c>
      <c r="Q619" s="265">
        <f>IF(Tabla2[[#This Row],[Saldo]]=0,0,IF(Tabla2[[#This Row],[Tipo cliente]]="PJ",Tabla2[[#This Row],[SUBTOTAL]]*11%,0))</f>
        <v>353100</v>
      </c>
      <c r="R619" s="276">
        <f>IF(Tabla2[[#This Row],[Saldo]]=0,0,IF(Tabla2[[#This Row],[Tipo cliente]]="PJ",Tabla2[[#This Row],[SUBTOTAL]]*0.966%,0))</f>
        <v>31008.600000000002</v>
      </c>
      <c r="S619" s="276">
        <f>IF(Tabla2[[#This Row],[Retiene IVA]]="S",Tabla2[[#This Row],[IVA]]*0.15,0)</f>
        <v>0</v>
      </c>
      <c r="T619" s="265"/>
      <c r="U61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19" s="23">
        <f>IF(Tabla2[[#This Row],[Fecha F.E.]]="","",YEAR(Tabla2[[#This Row],[Fecha F.E.]]))</f>
        <v>2025</v>
      </c>
      <c r="X619" s="23">
        <f>IF(Tabla2[[#This Row],[Fecha]]="","",YEAR(Tabla2[[#This Row],[Fecha]]))</f>
        <v>2025</v>
      </c>
    </row>
    <row r="620" spans="1:24" x14ac:dyDescent="0.25">
      <c r="A620" s="3">
        <v>622</v>
      </c>
      <c r="B620" s="77" t="s">
        <v>2008</v>
      </c>
      <c r="C620" s="360">
        <v>45992</v>
      </c>
      <c r="D620" s="76" t="s">
        <v>2009</v>
      </c>
      <c r="E620" s="360">
        <v>45992</v>
      </c>
      <c r="F620" s="78" t="s">
        <v>231</v>
      </c>
      <c r="G620" s="85">
        <v>901843713</v>
      </c>
      <c r="H620" s="177" t="str">
        <f>VLOOKUP(Tabla2[[#This Row],[NIT]],Clientes!A:C,2,0)</f>
        <v>GENUINE LAB S.A.S.</v>
      </c>
      <c r="I620" s="77" t="str">
        <f>VLOOKUP(Tabla2[[#This Row],[NIT]],Clientes!A:C,3,0)</f>
        <v>PJ</v>
      </c>
      <c r="J620" s="77"/>
      <c r="K620" s="267">
        <f>SUMIFS(Tabla4[Sub Total],Tabla4[Codigo],Tabla2[[#This Row],[Cod]])</f>
        <v>442500</v>
      </c>
      <c r="L620" s="262">
        <f>SUMPRODUCT((Tabla4[Codigo]=Tabla2[[#This Row],[Cod]])*1,Tabla4[IVA])</f>
        <v>84075</v>
      </c>
      <c r="M620" s="262">
        <f>SUMIFS(Tabla4[Total],Tabla4[Codigo],Tabla2[[#This Row],[Cod]])</f>
        <v>526575</v>
      </c>
      <c r="N620" s="278">
        <f>SUMPRODUCT((Tabla1[Codigo]=Tabla2[[#This Row],[Cod]])*1,Tabla1[Valor])</f>
        <v>526575</v>
      </c>
      <c r="O620" s="265">
        <f>IF(AND(Tabla2[[#This Row],[Estado]]="ok",LEFT(Tabla2[[#This Row],['# Factura]],3)="TIS"),Tabla2[[#This Row],[TOTAL]]-Tabla2[[#This Row],[pagado]],0)</f>
        <v>0</v>
      </c>
      <c r="P620" s="262">
        <f>Tabla2[[#This Row],[TOTAL]]-Tabla2[[#This Row],[Valor pago]]</f>
        <v>0</v>
      </c>
      <c r="Q620" s="265">
        <f>IF(Tabla2[[#This Row],[Saldo]]=0,0,IF(Tabla2[[#This Row],[Tipo cliente]]="PJ",Tabla2[[#This Row],[SUBTOTAL]]*11%,0))</f>
        <v>0</v>
      </c>
      <c r="R620" s="276">
        <f>IF(Tabla2[[#This Row],[Saldo]]=0,0,IF(Tabla2[[#This Row],[Tipo cliente]]="PJ",Tabla2[[#This Row],[SUBTOTAL]]*0.966%,0))</f>
        <v>0</v>
      </c>
      <c r="S620" s="276">
        <f>IF(Tabla2[[#This Row],[Retiene IVA]]="S",Tabla2[[#This Row],[IVA]]*0.15,0)</f>
        <v>0</v>
      </c>
      <c r="T620" s="265"/>
      <c r="U62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526575</v>
      </c>
      <c r="W620" s="23">
        <f>IF(Tabla2[[#This Row],[Fecha F.E.]]="","",YEAR(Tabla2[[#This Row],[Fecha F.E.]]))</f>
        <v>2025</v>
      </c>
      <c r="X620" s="23">
        <f>IF(Tabla2[[#This Row],[Fecha]]="","",YEAR(Tabla2[[#This Row],[Fecha]]))</f>
        <v>2025</v>
      </c>
    </row>
    <row r="621" spans="1:24" x14ac:dyDescent="0.25">
      <c r="A621" s="3">
        <v>623</v>
      </c>
      <c r="B621" s="77" t="s">
        <v>2010</v>
      </c>
      <c r="C621" s="360">
        <v>45992</v>
      </c>
      <c r="D621" s="76" t="s">
        <v>2011</v>
      </c>
      <c r="E621" s="360">
        <v>45992</v>
      </c>
      <c r="F621" s="78" t="s">
        <v>231</v>
      </c>
      <c r="G621" s="85">
        <v>901342609</v>
      </c>
      <c r="H621" s="177" t="str">
        <f>VLOOKUP(Tabla2[[#This Row],[NIT]],Clientes!A:C,2,0)</f>
        <v>ROYCO SOLUCIONES SAS</v>
      </c>
      <c r="I621" s="77" t="str">
        <f>VLOOKUP(Tabla2[[#This Row],[NIT]],Clientes!A:C,3,0)</f>
        <v>PJ</v>
      </c>
      <c r="J621" s="77"/>
      <c r="K621" s="267">
        <f>SUMIFS(Tabla4[Sub Total],Tabla4[Codigo],Tabla2[[#This Row],[Cod]])</f>
        <v>250000</v>
      </c>
      <c r="L621" s="262">
        <f>SUMPRODUCT((Tabla4[Codigo]=Tabla2[[#This Row],[Cod]])*1,Tabla4[IVA])</f>
        <v>47500</v>
      </c>
      <c r="M621" s="262">
        <f>SUMIFS(Tabla4[Total],Tabla4[Codigo],Tabla2[[#This Row],[Cod]])</f>
        <v>297500</v>
      </c>
      <c r="N621" s="278">
        <f>SUMPRODUCT((Tabla1[Codigo]=Tabla2[[#This Row],[Cod]])*1,Tabla1[Valor])</f>
        <v>287500</v>
      </c>
      <c r="O621" s="265">
        <f>IF(AND(Tabla2[[#This Row],[Estado]]="ok",LEFT(Tabla2[[#This Row],['# Factura]],3)="TIS"),Tabla2[[#This Row],[TOTAL]]-Tabla2[[#This Row],[pagado]],0)</f>
        <v>-19915</v>
      </c>
      <c r="P621" s="262">
        <f>Tabla2[[#This Row],[TOTAL]]-Tabla2[[#This Row],[Valor pago]]</f>
        <v>10000</v>
      </c>
      <c r="Q621" s="265">
        <f>IF(Tabla2[[#This Row],[Saldo]]=0,0,IF(Tabla2[[#This Row],[Tipo cliente]]="PJ",Tabla2[[#This Row],[SUBTOTAL]]*11%,0))</f>
        <v>27500</v>
      </c>
      <c r="R621" s="276">
        <f>IF(Tabla2[[#This Row],[Saldo]]=0,0,IF(Tabla2[[#This Row],[Tipo cliente]]="PJ",Tabla2[[#This Row],[SUBTOTAL]]*0.966%,0))</f>
        <v>2415</v>
      </c>
      <c r="S621" s="276">
        <f>IF(Tabla2[[#This Row],[Retiene IVA]]="S",Tabla2[[#This Row],[IVA]]*0.15,0)</f>
        <v>0</v>
      </c>
      <c r="T621" s="265"/>
      <c r="U62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317415</v>
      </c>
      <c r="W621" s="23">
        <f>IF(Tabla2[[#This Row],[Fecha F.E.]]="","",YEAR(Tabla2[[#This Row],[Fecha F.E.]]))</f>
        <v>2025</v>
      </c>
      <c r="X621" s="23">
        <f>IF(Tabla2[[#This Row],[Fecha]]="","",YEAR(Tabla2[[#This Row],[Fecha]]))</f>
        <v>2025</v>
      </c>
    </row>
    <row r="622" spans="1:24" x14ac:dyDescent="0.25">
      <c r="A622" s="3">
        <v>624</v>
      </c>
      <c r="B622" s="77" t="s">
        <v>2012</v>
      </c>
      <c r="C622" s="360">
        <v>45994</v>
      </c>
      <c r="D622" s="76" t="s">
        <v>2013</v>
      </c>
      <c r="E622" s="360">
        <v>45994</v>
      </c>
      <c r="F622" s="78" t="s">
        <v>231</v>
      </c>
      <c r="G622" s="85">
        <v>901388588</v>
      </c>
      <c r="H622" s="177" t="str">
        <f>VLOOKUP(Tabla2[[#This Row],[NIT]],Clientes!A:C,2,0)</f>
        <v>GEARFORM S.A.S.</v>
      </c>
      <c r="I622" s="77" t="str">
        <f>VLOOKUP(Tabla2[[#This Row],[NIT]],Clientes!A:C,3,0)</f>
        <v>PJ</v>
      </c>
      <c r="J622" s="77"/>
      <c r="K622" s="267">
        <f>SUMIFS(Tabla4[Sub Total],Tabla4[Codigo],Tabla2[[#This Row],[Cod]])</f>
        <v>3060000</v>
      </c>
      <c r="L622" s="262">
        <f>SUMPRODUCT((Tabla4[Codigo]=Tabla2[[#This Row],[Cod]])*1,Tabla4[IVA])</f>
        <v>581400</v>
      </c>
      <c r="M622" s="262">
        <f>SUMIFS(Tabla4[Total],Tabla4[Codigo],Tabla2[[#This Row],[Cod]])</f>
        <v>3641400</v>
      </c>
      <c r="N622" s="278">
        <f>SUMPRODUCT((Tabla1[Codigo]=Tabla2[[#This Row],[Cod]])*1,Tabla1[Valor])</f>
        <v>3278300</v>
      </c>
      <c r="O622" s="265">
        <f>IF(AND(Tabla2[[#This Row],[Estado]]="ok",LEFT(Tabla2[[#This Row],['# Factura]],3)="TIS"),Tabla2[[#This Row],[TOTAL]]-Tabla2[[#This Row],[pagado]],0)</f>
        <v>-3059.6000000000931</v>
      </c>
      <c r="P622" s="262">
        <f>Tabla2[[#This Row],[TOTAL]]-Tabla2[[#This Row],[Valor pago]]</f>
        <v>363100</v>
      </c>
      <c r="Q622" s="265">
        <f>IF(Tabla2[[#This Row],[Saldo]]=0,0,IF(Tabla2[[#This Row],[Tipo cliente]]="PJ",Tabla2[[#This Row],[SUBTOTAL]]*11%,0))</f>
        <v>336600</v>
      </c>
      <c r="R622" s="276">
        <f>IF(Tabla2[[#This Row],[Saldo]]=0,0,IF(Tabla2[[#This Row],[Tipo cliente]]="PJ",Tabla2[[#This Row],[SUBTOTAL]]*0.966%,0))</f>
        <v>29559.600000000002</v>
      </c>
      <c r="S622" s="276">
        <f>IF(Tabla2[[#This Row],[Retiene IVA]]="S",Tabla2[[#This Row],[IVA]]*0.15,0)</f>
        <v>0</v>
      </c>
      <c r="T622" s="265"/>
      <c r="U62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3644459.6</v>
      </c>
      <c r="W622" s="23">
        <f>IF(Tabla2[[#This Row],[Fecha F.E.]]="","",YEAR(Tabla2[[#This Row],[Fecha F.E.]]))</f>
        <v>2025</v>
      </c>
      <c r="X622" s="23">
        <f>IF(Tabla2[[#This Row],[Fecha]]="","",YEAR(Tabla2[[#This Row],[Fecha]]))</f>
        <v>2025</v>
      </c>
    </row>
    <row r="623" spans="1:24" x14ac:dyDescent="0.25">
      <c r="A623" s="3">
        <v>625</v>
      </c>
      <c r="B623" s="77" t="s">
        <v>2014</v>
      </c>
      <c r="C623" s="360">
        <v>45994</v>
      </c>
      <c r="D623" s="76" t="s">
        <v>2015</v>
      </c>
      <c r="E623" s="360">
        <v>45994</v>
      </c>
      <c r="F623" s="78" t="s">
        <v>231</v>
      </c>
      <c r="G623" s="85" t="s">
        <v>2016</v>
      </c>
      <c r="H623" s="177" t="str">
        <f>VLOOKUP(Tabla2[[#This Row],[NIT]],Clientes!A:C,2,0)</f>
        <v>PROASCOL S.A.</v>
      </c>
      <c r="I623" s="77" t="str">
        <f>VLOOKUP(Tabla2[[#This Row],[NIT]],Clientes!A:C,3,0)</f>
        <v>PJ</v>
      </c>
      <c r="J623" s="77"/>
      <c r="K623" s="267">
        <f>SUMIFS(Tabla4[Sub Total],Tabla4[Codigo],Tabla2[[#This Row],[Cod]])</f>
        <v>650000</v>
      </c>
      <c r="L623" s="262">
        <f>SUMPRODUCT((Tabla4[Codigo]=Tabla2[[#This Row],[Cod]])*1,Tabla4[IVA])</f>
        <v>123500</v>
      </c>
      <c r="M623" s="262">
        <f>SUMIFS(Tabla4[Total],Tabla4[Codigo],Tabla2[[#This Row],[Cod]])</f>
        <v>773500</v>
      </c>
      <c r="N623" s="278">
        <f>SUMPRODUCT((Tabla1[Codigo]=Tabla2[[#This Row],[Cod]])*1,Tabla1[Valor])</f>
        <v>707452</v>
      </c>
      <c r="O623" s="265">
        <f>IF(AND(Tabla2[[#This Row],[Estado]]="ok",LEFT(Tabla2[[#This Row],['# Factura]],3)="TIS"),Tabla2[[#This Row],[TOTAL]]-Tabla2[[#This Row],[pagado]],0)</f>
        <v>-11731</v>
      </c>
      <c r="P623" s="262">
        <f>Tabla2[[#This Row],[TOTAL]]-Tabla2[[#This Row],[Valor pago]]</f>
        <v>66048</v>
      </c>
      <c r="Q623" s="265">
        <f>IF(Tabla2[[#This Row],[Saldo]]=0,0,IF(Tabla2[[#This Row],[Tipo cliente]]="PJ",Tabla2[[#This Row],[SUBTOTAL]]*11%,0))</f>
        <v>71500</v>
      </c>
      <c r="R623" s="276">
        <f>IF(Tabla2[[#This Row],[Saldo]]=0,0,IF(Tabla2[[#This Row],[Tipo cliente]]="PJ",Tabla2[[#This Row],[SUBTOTAL]]*0.966%,0))</f>
        <v>6279</v>
      </c>
      <c r="S623" s="276">
        <f>IF(Tabla2[[#This Row],[Retiene IVA]]="S",Tabla2[[#This Row],[IVA]]*0.15,0)</f>
        <v>0</v>
      </c>
      <c r="T623" s="265"/>
      <c r="U62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785231</v>
      </c>
      <c r="W623" s="23">
        <f>IF(Tabla2[[#This Row],[Fecha F.E.]]="","",YEAR(Tabla2[[#This Row],[Fecha F.E.]]))</f>
        <v>2025</v>
      </c>
      <c r="X623" s="23">
        <f>IF(Tabla2[[#This Row],[Fecha]]="","",YEAR(Tabla2[[#This Row],[Fecha]]))</f>
        <v>2025</v>
      </c>
    </row>
    <row r="624" spans="1:24" x14ac:dyDescent="0.25">
      <c r="A624" s="3">
        <v>626</v>
      </c>
      <c r="B624" s="77" t="s">
        <v>843</v>
      </c>
      <c r="C624" s="360">
        <v>46007</v>
      </c>
      <c r="D624" s="76" t="s">
        <v>2017</v>
      </c>
      <c r="E624" s="360">
        <v>45994</v>
      </c>
      <c r="F624" s="78" t="s">
        <v>231</v>
      </c>
      <c r="G624" s="85">
        <v>900728801</v>
      </c>
      <c r="H624" s="177" t="str">
        <f>VLOOKUP(Tabla2[[#This Row],[NIT]],Clientes!A:C,2,0)</f>
        <v>SMART ENERGY SOLUTIONS SAS</v>
      </c>
      <c r="I624" s="77" t="str">
        <f>VLOOKUP(Tabla2[[#This Row],[NIT]],Clientes!A:C,3,0)</f>
        <v>PJ</v>
      </c>
      <c r="J624" s="77"/>
      <c r="K624" s="267">
        <f>SUMIFS(Tabla4[Sub Total],Tabla4[Codigo],Tabla2[[#This Row],[Cod]])</f>
        <v>1730000</v>
      </c>
      <c r="L624" s="262">
        <f>SUMPRODUCT((Tabla4[Codigo]=Tabla2[[#This Row],[Cod]])*1,Tabla4[IVA])</f>
        <v>328700</v>
      </c>
      <c r="M624" s="262">
        <f>SUMIFS(Tabla4[Total],Tabla4[Codigo],Tabla2[[#This Row],[Cod]])</f>
        <v>2058700</v>
      </c>
      <c r="N624" s="278">
        <f>SUMPRODUCT((Tabla1[Codigo]=Tabla2[[#This Row],[Cod]])*1,Tabla1[Valor])</f>
        <v>1977563</v>
      </c>
      <c r="O624" s="265">
        <f>IF(AND(Tabla2[[#This Row],[Estado]]="ok",LEFT(Tabla2[[#This Row],['# Factura]],3)="TIS"),Tabla2[[#This Row],[TOTAL]]-Tabla2[[#This Row],[pagado]],0)</f>
        <v>-125874.79999999981</v>
      </c>
      <c r="P624" s="262">
        <f>Tabla2[[#This Row],[TOTAL]]-Tabla2[[#This Row],[Valor pago]]</f>
        <v>81137</v>
      </c>
      <c r="Q624" s="265">
        <f>IF(Tabla2[[#This Row],[Saldo]]=0,0,IF(Tabla2[[#This Row],[Tipo cliente]]="PJ",Tabla2[[#This Row],[SUBTOTAL]]*11%,0))</f>
        <v>190300</v>
      </c>
      <c r="R624" s="276">
        <f>IF(Tabla2[[#This Row],[Saldo]]=0,0,IF(Tabla2[[#This Row],[Tipo cliente]]="PJ",Tabla2[[#This Row],[SUBTOTAL]]*0.966%,0))</f>
        <v>16711.8</v>
      </c>
      <c r="S624" s="276">
        <f>IF(Tabla2[[#This Row],[Retiene IVA]]="S",Tabla2[[#This Row],[IVA]]*0.15,0)</f>
        <v>0</v>
      </c>
      <c r="T624" s="265"/>
      <c r="U62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2184574.7999999998</v>
      </c>
      <c r="W624" s="23">
        <f>IF(Tabla2[[#This Row],[Fecha F.E.]]="","",YEAR(Tabla2[[#This Row],[Fecha F.E.]]))</f>
        <v>2025</v>
      </c>
      <c r="X624" s="23">
        <f>IF(Tabla2[[#This Row],[Fecha]]="","",YEAR(Tabla2[[#This Row],[Fecha]]))</f>
        <v>2025</v>
      </c>
    </row>
    <row r="625" spans="1:24" x14ac:dyDescent="0.25">
      <c r="A625" s="3">
        <v>627</v>
      </c>
      <c r="B625" s="77" t="s">
        <v>845</v>
      </c>
      <c r="C625" s="360">
        <v>46007</v>
      </c>
      <c r="D625" s="76" t="s">
        <v>2018</v>
      </c>
      <c r="E625" s="360">
        <v>46007</v>
      </c>
      <c r="F625" s="78" t="s">
        <v>231</v>
      </c>
      <c r="G625" s="85">
        <v>900693605</v>
      </c>
      <c r="H625" s="177" t="str">
        <f>VLOOKUP(Tabla2[[#This Row],[NIT]],Clientes!A:C,2,0)</f>
        <v>CONSTRUCCIONES CIVILES JMR S.A.S</v>
      </c>
      <c r="I625" s="77" t="str">
        <f>VLOOKUP(Tabla2[[#This Row],[NIT]],Clientes!A:C,3,0)</f>
        <v>PJ</v>
      </c>
      <c r="J625" s="77"/>
      <c r="K625" s="267">
        <f>SUMIFS(Tabla4[Sub Total],Tabla4[Codigo],Tabla2[[#This Row],[Cod]])</f>
        <v>2800000</v>
      </c>
      <c r="L625" s="262">
        <f>SUMPRODUCT((Tabla4[Codigo]=Tabla2[[#This Row],[Cod]])*1,Tabla4[IVA])</f>
        <v>532000</v>
      </c>
      <c r="M625" s="262">
        <f>SUMIFS(Tabla4[Total],Tabla4[Codigo],Tabla2[[#This Row],[Cod]])</f>
        <v>3332000</v>
      </c>
      <c r="N625" s="278">
        <f>SUMPRODUCT((Tabla1[Codigo]=Tabla2[[#This Row],[Cod]])*1,Tabla1[Valor])</f>
        <v>1500000</v>
      </c>
      <c r="O625" s="265">
        <f>IF(AND(Tabla2[[#This Row],[Estado]]="ok",LEFT(Tabla2[[#This Row],['# Factura]],3)="TIS"),Tabla2[[#This Row],[TOTAL]]-Tabla2[[#This Row],[pagado]],0)</f>
        <v>1496952</v>
      </c>
      <c r="P625" s="262">
        <f>Tabla2[[#This Row],[TOTAL]]-Tabla2[[#This Row],[Valor pago]]</f>
        <v>1832000</v>
      </c>
      <c r="Q625" s="265">
        <f>IF(Tabla2[[#This Row],[Saldo]]=0,0,IF(Tabla2[[#This Row],[Tipo cliente]]="PJ",Tabla2[[#This Row],[SUBTOTAL]]*11%,0))</f>
        <v>308000</v>
      </c>
      <c r="R625" s="276">
        <f>IF(Tabla2[[#This Row],[Saldo]]=0,0,IF(Tabla2[[#This Row],[Tipo cliente]]="PJ",Tabla2[[#This Row],[SUBTOTAL]]*0.966%,0))</f>
        <v>27048</v>
      </c>
      <c r="S625" s="276">
        <f>IF(Tabla2[[#This Row],[Retiene IVA]]="S",Tabla2[[#This Row],[IVA]]*0.15,0)</f>
        <v>0</v>
      </c>
      <c r="T625" s="265"/>
      <c r="U62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1835048</v>
      </c>
      <c r="W625" s="23">
        <f>IF(Tabla2[[#This Row],[Fecha F.E.]]="","",YEAR(Tabla2[[#This Row],[Fecha F.E.]]))</f>
        <v>2025</v>
      </c>
      <c r="X625" s="23">
        <f>IF(Tabla2[[#This Row],[Fecha]]="","",YEAR(Tabla2[[#This Row],[Fecha]]))</f>
        <v>2025</v>
      </c>
    </row>
    <row r="626" spans="1:24" x14ac:dyDescent="0.25">
      <c r="A626" s="3">
        <v>628</v>
      </c>
      <c r="B626" s="77" t="s">
        <v>847</v>
      </c>
      <c r="C626" s="360">
        <v>46007</v>
      </c>
      <c r="D626" s="76" t="s">
        <v>2019</v>
      </c>
      <c r="E626" s="360">
        <v>46007</v>
      </c>
      <c r="F626" s="78" t="s">
        <v>231</v>
      </c>
      <c r="G626" s="85">
        <v>900694193</v>
      </c>
      <c r="H626" s="177" t="str">
        <f>VLOOKUP(Tabla2[[#This Row],[NIT]],Clientes!A:C,2,0)</f>
        <v>ALVEAR ESCOBAR ASOCIADOS S.A.S</v>
      </c>
      <c r="I626" s="77">
        <f>VLOOKUP(Tabla2[[#This Row],[NIT]],Clientes!A:C,3,0)</f>
        <v>0</v>
      </c>
      <c r="J626" s="77"/>
      <c r="K626" s="267">
        <f>SUMIFS(Tabla4[Sub Total],Tabla4[Codigo],Tabla2[[#This Row],[Cod]])</f>
        <v>1000000</v>
      </c>
      <c r="L626" s="262">
        <f>SUMPRODUCT((Tabla4[Codigo]=Tabla2[[#This Row],[Cod]])*1,Tabla4[IVA])</f>
        <v>190000</v>
      </c>
      <c r="M626" s="262">
        <f>SUMIFS(Tabla4[Total],Tabla4[Codigo],Tabla2[[#This Row],[Cod]])</f>
        <v>1190000</v>
      </c>
      <c r="N626" s="278">
        <f>SUMPRODUCT((Tabla1[Codigo]=Tabla2[[#This Row],[Cod]])*1,Tabla1[Valor])</f>
        <v>1150000</v>
      </c>
      <c r="O626" s="265">
        <f>IF(AND(Tabla2[[#This Row],[Estado]]="ok",LEFT(Tabla2[[#This Row],['# Factura]],3)="TIS"),Tabla2[[#This Row],[TOTAL]]-Tabla2[[#This Row],[pagado]],0)</f>
        <v>40000</v>
      </c>
      <c r="P626" s="262">
        <f>Tabla2[[#This Row],[TOTAL]]-Tabla2[[#This Row],[Valor pago]]</f>
        <v>40000</v>
      </c>
      <c r="Q626" s="265">
        <f>IF(Tabla2[[#This Row],[Saldo]]=0,0,IF(Tabla2[[#This Row],[Tipo cliente]]="PJ",Tabla2[[#This Row],[SUBTOTAL]]*11%,0))</f>
        <v>0</v>
      </c>
      <c r="R626" s="276">
        <f>IF(Tabla2[[#This Row],[Saldo]]=0,0,IF(Tabla2[[#This Row],[Tipo cliente]]="PJ",Tabla2[[#This Row],[SUBTOTAL]]*0.966%,0))</f>
        <v>0</v>
      </c>
      <c r="S626" s="276">
        <f>IF(Tabla2[[#This Row],[Retiene IVA]]="S",Tabla2[[#This Row],[IVA]]*0.15,0)</f>
        <v>0</v>
      </c>
      <c r="T626" s="265"/>
      <c r="U62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1150000</v>
      </c>
      <c r="W626" s="23">
        <f>IF(Tabla2[[#This Row],[Fecha F.E.]]="","",YEAR(Tabla2[[#This Row],[Fecha F.E.]]))</f>
        <v>2025</v>
      </c>
      <c r="X626" s="23">
        <f>IF(Tabla2[[#This Row],[Fecha]]="","",YEAR(Tabla2[[#This Row],[Fecha]]))</f>
        <v>2025</v>
      </c>
    </row>
    <row r="627" spans="1:24" x14ac:dyDescent="0.25">
      <c r="A627" s="3">
        <v>630</v>
      </c>
      <c r="B627" s="77" t="s">
        <v>857</v>
      </c>
      <c r="C627" s="360">
        <v>46007</v>
      </c>
      <c r="D627" s="76" t="s">
        <v>2020</v>
      </c>
      <c r="E627" s="360">
        <v>46007</v>
      </c>
      <c r="F627" s="78" t="s">
        <v>231</v>
      </c>
      <c r="G627" s="85">
        <v>860057131</v>
      </c>
      <c r="H627" s="177" t="str">
        <f>VLOOKUP(Tabla2[[#This Row],[NIT]],Clientes!A:C,2,0)</f>
        <v>TISANAS ORQUIDEAS S.A.S.</v>
      </c>
      <c r="I627" s="77" t="str">
        <f>VLOOKUP(Tabla2[[#This Row],[NIT]],Clientes!A:C,3,0)</f>
        <v>PJ</v>
      </c>
      <c r="J627" s="77"/>
      <c r="K627" s="267">
        <f>SUMIFS(Tabla4[Sub Total],Tabla4[Codigo],Tabla2[[#This Row],[Cod]])</f>
        <v>3150000</v>
      </c>
      <c r="L627" s="262">
        <f>SUMPRODUCT((Tabla4[Codigo]=Tabla2[[#This Row],[Cod]])*1,Tabla4[IVA])</f>
        <v>598500</v>
      </c>
      <c r="M627" s="262">
        <f>SUMIFS(Tabla4[Total],Tabla4[Codigo],Tabla2[[#This Row],[Cod]])</f>
        <v>3748500</v>
      </c>
      <c r="N627" s="278">
        <f>SUMPRODUCT((Tabla1[Codigo]=Tabla2[[#This Row],[Cod]])*1,Tabla1[Valor])</f>
        <v>3367224</v>
      </c>
      <c r="O627" s="265">
        <f>IF(AND(Tabla2[[#This Row],[Estado]]="ok",LEFT(Tabla2[[#This Row],['# Factura]],3)="TIS"),Tabla2[[#This Row],[TOTAL]]-Tabla2[[#This Row],[pagado]],0)</f>
        <v>4347</v>
      </c>
      <c r="P627" s="262">
        <f>Tabla2[[#This Row],[TOTAL]]-Tabla2[[#This Row],[Valor pago]]</f>
        <v>381276</v>
      </c>
      <c r="Q627" s="265">
        <f>IF(Tabla2[[#This Row],[Saldo]]=0,0,IF(Tabla2[[#This Row],[Tipo cliente]]="PJ",Tabla2[[#This Row],[SUBTOTAL]]*11%,0))</f>
        <v>346500</v>
      </c>
      <c r="R627" s="276">
        <f>IF(Tabla2[[#This Row],[Saldo]]=0,0,IF(Tabla2[[#This Row],[Tipo cliente]]="PJ",Tabla2[[#This Row],[SUBTOTAL]]*0.966%,0))</f>
        <v>30429</v>
      </c>
      <c r="S627" s="276">
        <f>IF(Tabla2[[#This Row],[Retiene IVA]]="S",Tabla2[[#This Row],[IVA]]*0.15,0)</f>
        <v>0</v>
      </c>
      <c r="T627" s="265"/>
      <c r="U62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3744153</v>
      </c>
      <c r="W627" s="23">
        <f>IF(Tabla2[[#This Row],[Fecha F.E.]]="","",YEAR(Tabla2[[#This Row],[Fecha F.E.]]))</f>
        <v>2025</v>
      </c>
      <c r="X627" s="23">
        <f>IF(Tabla2[[#This Row],[Fecha]]="","",YEAR(Tabla2[[#This Row],[Fecha]]))</f>
        <v>2025</v>
      </c>
    </row>
    <row r="628" spans="1:24" x14ac:dyDescent="0.25">
      <c r="A628" s="3">
        <v>631</v>
      </c>
      <c r="B628" s="77" t="s">
        <v>861</v>
      </c>
      <c r="C628" s="360">
        <v>46029</v>
      </c>
      <c r="D628" s="76" t="s">
        <v>2021</v>
      </c>
      <c r="E628" s="360">
        <v>46015</v>
      </c>
      <c r="F628" s="78" t="s">
        <v>231</v>
      </c>
      <c r="G628" s="85">
        <v>800028768</v>
      </c>
      <c r="H628" s="177" t="str">
        <f>VLOOKUP(Tabla2[[#This Row],[NIT]],Clientes!A:C,2,0)</f>
        <v>Comercializadora ERZ SAS</v>
      </c>
      <c r="I628" s="77" t="str">
        <f>VLOOKUP(Tabla2[[#This Row],[NIT]],Clientes!A:C,3,0)</f>
        <v>PJ</v>
      </c>
      <c r="J628" s="77"/>
      <c r="K628" s="267">
        <f>SUMIFS(Tabla4[Sub Total],Tabla4[Codigo],Tabla2[[#This Row],[Cod]])</f>
        <v>360000</v>
      </c>
      <c r="L628" s="262">
        <f>SUMPRODUCT((Tabla4[Codigo]=Tabla2[[#This Row],[Cod]])*1,Tabla4[IVA])</f>
        <v>68400</v>
      </c>
      <c r="M628" s="262">
        <f>SUMIFS(Tabla4[Total],Tabla4[Codigo],Tabla2[[#This Row],[Cod]])</f>
        <v>428400</v>
      </c>
      <c r="N628" s="278">
        <f>SUMPRODUCT((Tabla1[Codigo]=Tabla2[[#This Row],[Cod]])*1,Tabla1[Valor])</f>
        <v>388800</v>
      </c>
      <c r="O628" s="265">
        <f>IF(AND(Tabla2[[#This Row],[Estado]]="ok",LEFT(Tabla2[[#This Row],['# Factura]],3)="TIS"),Tabla2[[#This Row],[TOTAL]]-Tabla2[[#This Row],[pagado]],0)</f>
        <v>-3477.5999999999767</v>
      </c>
      <c r="P628" s="262">
        <f>Tabla2[[#This Row],[TOTAL]]-Tabla2[[#This Row],[Valor pago]]</f>
        <v>39600</v>
      </c>
      <c r="Q628" s="265">
        <f>IF(Tabla2[[#This Row],[Saldo]]=0,0,IF(Tabla2[[#This Row],[Tipo cliente]]="PJ",Tabla2[[#This Row],[SUBTOTAL]]*11%,0))</f>
        <v>39600</v>
      </c>
      <c r="R628" s="276">
        <f>IF(Tabla2[[#This Row],[Saldo]]=0,0,IF(Tabla2[[#This Row],[Tipo cliente]]="PJ",Tabla2[[#This Row],[SUBTOTAL]]*0.966%,0))</f>
        <v>3477.6</v>
      </c>
      <c r="S628" s="276">
        <f>IF(Tabla2[[#This Row],[Retiene IVA]]="S",Tabla2[[#This Row],[IVA]]*0.15,0)</f>
        <v>0</v>
      </c>
      <c r="T628" s="265"/>
      <c r="U62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431877.6</v>
      </c>
      <c r="W628" s="23">
        <f>IF(Tabla2[[#This Row],[Fecha F.E.]]="","",YEAR(Tabla2[[#This Row],[Fecha F.E.]]))</f>
        <v>2025</v>
      </c>
      <c r="X628" s="23">
        <f>IF(Tabla2[[#This Row],[Fecha]]="","",YEAR(Tabla2[[#This Row],[Fecha]]))</f>
        <v>2026</v>
      </c>
    </row>
    <row r="629" spans="1:24" x14ac:dyDescent="0.25">
      <c r="A629" s="3">
        <v>632</v>
      </c>
      <c r="B629" s="77" t="s">
        <v>859</v>
      </c>
      <c r="C629" s="360">
        <v>46029</v>
      </c>
      <c r="D629" s="76" t="s">
        <v>401</v>
      </c>
      <c r="E629" s="360">
        <v>46017</v>
      </c>
      <c r="F629" s="78" t="s">
        <v>231</v>
      </c>
      <c r="G629" s="85">
        <v>830050882</v>
      </c>
      <c r="H629" s="177" t="str">
        <f>VLOOKUP(Tabla2[[#This Row],[NIT]],Clientes!A:C,2,0)</f>
        <v>HF DOTACIONES SAS</v>
      </c>
      <c r="I629" s="77" t="str">
        <f>VLOOKUP(Tabla2[[#This Row],[NIT]],Clientes!A:C,3,0)</f>
        <v>PJ</v>
      </c>
      <c r="J629" s="77"/>
      <c r="K629" s="267">
        <f>SUMIFS(Tabla4[Sub Total],Tabla4[Codigo],Tabla2[[#This Row],[Cod]])</f>
        <v>900000</v>
      </c>
      <c r="L629" s="262">
        <f>SUMPRODUCT((Tabla4[Codigo]=Tabla2[[#This Row],[Cod]])*1,Tabla4[IVA])</f>
        <v>171000</v>
      </c>
      <c r="M629" s="262">
        <f>SUMIFS(Tabla4[Total],Tabla4[Codigo],Tabla2[[#This Row],[Cod]])</f>
        <v>1071000</v>
      </c>
      <c r="N629" s="278">
        <f>SUMPRODUCT((Tabla1[Codigo]=Tabla2[[#This Row],[Cod]])*1,Tabla1[Valor])</f>
        <v>1026306</v>
      </c>
      <c r="O629" s="265">
        <f>IF(AND(Tabla2[[#This Row],[Estado]]="ok",LEFT(Tabla2[[#This Row],['# Factura]],3)="TIS"),Tabla2[[#This Row],[TOTAL]]-Tabla2[[#This Row],[pagado]],0)</f>
        <v>-63000</v>
      </c>
      <c r="P629" s="262">
        <f>Tabla2[[#This Row],[TOTAL]]-Tabla2[[#This Row],[Valor pago]]</f>
        <v>44694</v>
      </c>
      <c r="Q629" s="265">
        <f>IF(Tabla2[[#This Row],[Saldo]]=0,0,IF(Tabla2[[#This Row],[Tipo cliente]]="PJ",Tabla2[[#This Row],[SUBTOTAL]]*11%,0))</f>
        <v>99000</v>
      </c>
      <c r="R629" s="276">
        <f>IF(Tabla2[[#This Row],[Saldo]]=0,0,IF(Tabla2[[#This Row],[Tipo cliente]]="PJ",Tabla2[[#This Row],[SUBTOTAL]]*0.966%,0))</f>
        <v>8694</v>
      </c>
      <c r="S629" s="276">
        <f>IF(Tabla2[[#This Row],[Retiene IVA]]="S",Tabla2[[#This Row],[IVA]]*0.15,0)</f>
        <v>0</v>
      </c>
      <c r="T629" s="265"/>
      <c r="U62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1134000</v>
      </c>
      <c r="W629" s="23">
        <f>IF(Tabla2[[#This Row],[Fecha F.E.]]="","",YEAR(Tabla2[[#This Row],[Fecha F.E.]]))</f>
        <v>2025</v>
      </c>
      <c r="X629" s="23">
        <f>IF(Tabla2[[#This Row],[Fecha]]="","",YEAR(Tabla2[[#This Row],[Fecha]]))</f>
        <v>2026</v>
      </c>
    </row>
    <row r="630" spans="1:24" x14ac:dyDescent="0.25">
      <c r="A630" s="3">
        <v>633</v>
      </c>
      <c r="B630" s="77" t="s">
        <v>864</v>
      </c>
      <c r="C630" s="360">
        <v>46029</v>
      </c>
      <c r="D630" s="76" t="s">
        <v>2022</v>
      </c>
      <c r="E630" s="360">
        <v>46017</v>
      </c>
      <c r="F630" s="78" t="s">
        <v>231</v>
      </c>
      <c r="G630" s="85">
        <v>800028768</v>
      </c>
      <c r="H630" s="177" t="str">
        <f>VLOOKUP(Tabla2[[#This Row],[NIT]],Clientes!A:C,2,0)</f>
        <v>Comercializadora ERZ SAS</v>
      </c>
      <c r="I630" s="77" t="str">
        <f>VLOOKUP(Tabla2[[#This Row],[NIT]],Clientes!A:C,3,0)</f>
        <v>PJ</v>
      </c>
      <c r="J630" s="77"/>
      <c r="K630" s="267">
        <f>SUMIFS(Tabla4[Sub Total],Tabla4[Codigo],Tabla2[[#This Row],[Cod]])</f>
        <v>300000</v>
      </c>
      <c r="L630" s="262">
        <f>SUMPRODUCT((Tabla4[Codigo]=Tabla2[[#This Row],[Cod]])*1,Tabla4[IVA])</f>
        <v>57000</v>
      </c>
      <c r="M630" s="262">
        <f>SUMIFS(Tabla4[Total],Tabla4[Codigo],Tabla2[[#This Row],[Cod]])</f>
        <v>357000</v>
      </c>
      <c r="N630" s="278">
        <f>SUMPRODUCT((Tabla1[Codigo]=Tabla2[[#This Row],[Cod]])*1,Tabla1[Valor])</f>
        <v>324000</v>
      </c>
      <c r="O630" s="265">
        <f>IF(AND(Tabla2[[#This Row],[Estado]]="ok",LEFT(Tabla2[[#This Row],['# Factura]],3)="TIS"),Tabla2[[#This Row],[TOTAL]]-Tabla2[[#This Row],[pagado]],0)</f>
        <v>-2898</v>
      </c>
      <c r="P630" s="262">
        <f>Tabla2[[#This Row],[TOTAL]]-Tabla2[[#This Row],[Valor pago]]</f>
        <v>33000</v>
      </c>
      <c r="Q630" s="265">
        <f>IF(Tabla2[[#This Row],[Saldo]]=0,0,IF(Tabla2[[#This Row],[Tipo cliente]]="PJ",Tabla2[[#This Row],[SUBTOTAL]]*11%,0))</f>
        <v>33000</v>
      </c>
      <c r="R630" s="276">
        <f>IF(Tabla2[[#This Row],[Saldo]]=0,0,IF(Tabla2[[#This Row],[Tipo cliente]]="PJ",Tabla2[[#This Row],[SUBTOTAL]]*0.966%,0))</f>
        <v>2898</v>
      </c>
      <c r="S630" s="276">
        <f>IF(Tabla2[[#This Row],[Retiene IVA]]="S",Tabla2[[#This Row],[IVA]]*0.15,0)</f>
        <v>0</v>
      </c>
      <c r="T630" s="265"/>
      <c r="U63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630" s="23">
        <f>IF(Tabla2[[#This Row],[Fecha F.E.]]="","",YEAR(Tabla2[[#This Row],[Fecha F.E.]]))</f>
        <v>2025</v>
      </c>
      <c r="X630" s="23">
        <f>IF(Tabla2[[#This Row],[Fecha]]="","",YEAR(Tabla2[[#This Row],[Fecha]]))</f>
        <v>2026</v>
      </c>
    </row>
    <row r="631" spans="1:24" x14ac:dyDescent="0.25">
      <c r="A631" s="3">
        <v>634</v>
      </c>
      <c r="B631" s="77" t="s">
        <v>868</v>
      </c>
      <c r="C631" s="360">
        <v>46029</v>
      </c>
      <c r="D631" s="76" t="s">
        <v>2023</v>
      </c>
      <c r="E631" s="360">
        <v>46020</v>
      </c>
      <c r="F631" s="78" t="s">
        <v>231</v>
      </c>
      <c r="G631" s="85">
        <v>830013802</v>
      </c>
      <c r="H631" s="177" t="str">
        <f>VLOOKUP(Tabla2[[#This Row],[NIT]],Clientes!A:C,2,0)</f>
        <v>PROASCOL S.A.</v>
      </c>
      <c r="I631" s="77" t="str">
        <f>VLOOKUP(Tabla2[[#This Row],[NIT]],Clientes!A:C,3,0)</f>
        <v>PJ</v>
      </c>
      <c r="J631" s="77"/>
      <c r="K631" s="267">
        <f>SUMIFS(Tabla4[Sub Total],Tabla4[Codigo],Tabla2[[#This Row],[Cod]])</f>
        <v>680000</v>
      </c>
      <c r="L631" s="262">
        <f>SUMPRODUCT((Tabla4[Codigo]=Tabla2[[#This Row],[Cod]])*1,Tabla4[IVA])</f>
        <v>129200</v>
      </c>
      <c r="M631" s="262">
        <f>SUMIFS(Tabla4[Total],Tabla4[Codigo],Tabla2[[#This Row],[Cod]])</f>
        <v>809200</v>
      </c>
      <c r="N631" s="278">
        <f>SUMPRODUCT((Tabla1[Codigo]=Tabla2[[#This Row],[Cod]])*1,Tabla1[Valor])</f>
        <v>809200</v>
      </c>
      <c r="O631" s="265">
        <f>IF(AND(Tabla2[[#This Row],[Estado]]="ok",LEFT(Tabla2[[#This Row],['# Factura]],3)="TIS"),Tabla2[[#This Row],[TOTAL]]-Tabla2[[#This Row],[pagado]],0)</f>
        <v>0</v>
      </c>
      <c r="P631" s="262">
        <f>Tabla2[[#This Row],[TOTAL]]-Tabla2[[#This Row],[Valor pago]]</f>
        <v>0</v>
      </c>
      <c r="Q631" s="265">
        <f>IF(Tabla2[[#This Row],[Saldo]]=0,0,IF(Tabla2[[#This Row],[Tipo cliente]]="PJ",Tabla2[[#This Row],[SUBTOTAL]]*11%,0))</f>
        <v>0</v>
      </c>
      <c r="R631" s="276">
        <f>IF(Tabla2[[#This Row],[Saldo]]=0,0,IF(Tabla2[[#This Row],[Tipo cliente]]="PJ",Tabla2[[#This Row],[SUBTOTAL]]*0.966%,0))</f>
        <v>0</v>
      </c>
      <c r="S631" s="276">
        <f>IF(Tabla2[[#This Row],[Retiene IVA]]="S",Tabla2[[#This Row],[IVA]]*0.15,0)</f>
        <v>0</v>
      </c>
      <c r="T631" s="265"/>
      <c r="U63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809200</v>
      </c>
      <c r="W631" s="23">
        <f>IF(Tabla2[[#This Row],[Fecha F.E.]]="","",YEAR(Tabla2[[#This Row],[Fecha F.E.]]))</f>
        <v>2025</v>
      </c>
      <c r="X631" s="23">
        <f>IF(Tabla2[[#This Row],[Fecha]]="","",YEAR(Tabla2[[#This Row],[Fecha]]))</f>
        <v>2026</v>
      </c>
    </row>
    <row r="632" spans="1:24" x14ac:dyDescent="0.25">
      <c r="A632" s="3">
        <v>635</v>
      </c>
      <c r="B632" s="77" t="s">
        <v>870</v>
      </c>
      <c r="C632" s="360">
        <v>46029</v>
      </c>
      <c r="D632" s="76" t="s">
        <v>2024</v>
      </c>
      <c r="E632" s="360">
        <v>46013</v>
      </c>
      <c r="F632" s="78" t="s">
        <v>231</v>
      </c>
      <c r="G632" s="85">
        <v>830026324</v>
      </c>
      <c r="H632" s="177" t="str">
        <f>VLOOKUP(Tabla2[[#This Row],[NIT]],Clientes!A:C,2,0)</f>
        <v>JUNTA NACIONAL DE CALIFICACION DE INVALIDEZ</v>
      </c>
      <c r="I632" s="77" t="str">
        <f>VLOOKUP(Tabla2[[#This Row],[NIT]],Clientes!A:C,3,0)</f>
        <v>PJ</v>
      </c>
      <c r="J632" s="77"/>
      <c r="K632" s="267">
        <f>SUMIFS(Tabla4[Sub Total],Tabla4[Codigo],Tabla2[[#This Row],[Cod]])</f>
        <v>4400000</v>
      </c>
      <c r="L632" s="262">
        <f>SUMPRODUCT((Tabla4[Codigo]=Tabla2[[#This Row],[Cod]])*1,Tabla4[IVA])</f>
        <v>836000</v>
      </c>
      <c r="M632" s="262">
        <f>SUMIFS(Tabla4[Total],Tabla4[Codigo],Tabla2[[#This Row],[Cod]])</f>
        <v>5236000</v>
      </c>
      <c r="N632" s="278">
        <f>SUMPRODUCT((Tabla1[Codigo]=Tabla2[[#This Row],[Cod]])*1,Tabla1[Valor])</f>
        <v>9427792</v>
      </c>
      <c r="O632" s="265">
        <f>IF(AND(Tabla2[[#This Row],[Estado]]="ok",LEFT(Tabla2[[#This Row],['# Factura]],3)="TIS"),Tabla2[[#This Row],[TOTAL]]-Tabla2[[#This Row],[pagado]],0)</f>
        <v>-4718296</v>
      </c>
      <c r="P632" s="262">
        <f>Tabla2[[#This Row],[TOTAL]]-Tabla2[[#This Row],[Valor pago]]</f>
        <v>-4191792</v>
      </c>
      <c r="Q632" s="265">
        <f>IF(Tabla2[[#This Row],[Saldo]]=0,0,IF(Tabla2[[#This Row],[Tipo cliente]]="PJ",Tabla2[[#This Row],[SUBTOTAL]]*11%,0))</f>
        <v>484000</v>
      </c>
      <c r="R632" s="276">
        <f>IF(Tabla2[[#This Row],[Saldo]]=0,0,IF(Tabla2[[#This Row],[Tipo cliente]]="PJ",Tabla2[[#This Row],[SUBTOTAL]]*0.966%,0))</f>
        <v>42504</v>
      </c>
      <c r="S632" s="276">
        <f>IF(Tabla2[[#This Row],[Retiene IVA]]="S",Tabla2[[#This Row],[IVA]]*0.15,0)</f>
        <v>0</v>
      </c>
      <c r="T632" s="265"/>
      <c r="U63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9954296</v>
      </c>
      <c r="W632" s="23">
        <f>IF(Tabla2[[#This Row],[Fecha F.E.]]="","",YEAR(Tabla2[[#This Row],[Fecha F.E.]]))</f>
        <v>2025</v>
      </c>
      <c r="X632" s="23">
        <f>IF(Tabla2[[#This Row],[Fecha]]="","",YEAR(Tabla2[[#This Row],[Fecha]]))</f>
        <v>2026</v>
      </c>
    </row>
    <row r="633" spans="1:24" x14ac:dyDescent="0.25">
      <c r="A633" s="3">
        <v>636</v>
      </c>
      <c r="B633" s="77" t="s">
        <v>843</v>
      </c>
      <c r="C633" s="360">
        <v>46030</v>
      </c>
      <c r="D633" s="76"/>
      <c r="E633" s="360">
        <v>45994</v>
      </c>
      <c r="F633" s="78" t="s">
        <v>231</v>
      </c>
      <c r="G633" s="85">
        <v>860014787</v>
      </c>
      <c r="H633" s="177" t="str">
        <f>VLOOKUP(Tabla2[[#This Row],[NIT]],Clientes!A:C,2,0)</f>
        <v>Walsom SAS</v>
      </c>
      <c r="I633" s="77" t="str">
        <f>VLOOKUP(Tabla2[[#This Row],[NIT]],Clientes!A:C,3,0)</f>
        <v>PJ</v>
      </c>
      <c r="J633" s="77"/>
      <c r="K633" s="267">
        <v>1240000</v>
      </c>
      <c r="L633" s="262">
        <f>SUMPRODUCT((Tabla4[Codigo]=Tabla2[[#This Row],[Cod]])*1,Tabla4[IVA])</f>
        <v>235600</v>
      </c>
      <c r="M633" s="262">
        <v>1475600</v>
      </c>
      <c r="N633" s="278">
        <f>SUMPRODUCT((Tabla1[Codigo]=Tabla2[[#This Row],[Cod]])*1,Tabla1[Valor])</f>
        <v>737800</v>
      </c>
      <c r="O633" s="265">
        <f>IF(AND(Tabla2[[#This Row],[Estado]]="ok",LEFT(Tabla2[[#This Row],['# Factura]],3)="TIS"),Tabla2[[#This Row],[TOTAL]]-Tabla2[[#This Row],[pagado]],0)</f>
        <v>0</v>
      </c>
      <c r="P633" s="262">
        <f>Tabla2[[#This Row],[TOTAL]]-Tabla2[[#This Row],[Valor pago]]</f>
        <v>737800</v>
      </c>
      <c r="Q633" s="265">
        <f>IF(Tabla2[[#This Row],[Saldo]]=0,0,IF(Tabla2[[#This Row],[Tipo cliente]]="PJ",Tabla2[[#This Row],[SUBTOTAL]]*11%,0))</f>
        <v>136400</v>
      </c>
      <c r="R633" s="276">
        <f>IF(Tabla2[[#This Row],[Saldo]]=0,0,IF(Tabla2[[#This Row],[Tipo cliente]]="PJ",Tabla2[[#This Row],[SUBTOTAL]]*0.966%,0))</f>
        <v>11978.4</v>
      </c>
      <c r="S633" s="276">
        <f>IF(Tabla2[[#This Row],[Retiene IVA]]="S",Tabla2[[#This Row],[IVA]]*0.15,0)</f>
        <v>0</v>
      </c>
      <c r="T633" s="265"/>
      <c r="U63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886178.4</v>
      </c>
      <c r="W633" s="23">
        <f>IF(Tabla2[[#This Row],[Fecha F.E.]]="","",YEAR(Tabla2[[#This Row],[Fecha F.E.]]))</f>
        <v>2025</v>
      </c>
      <c r="X633" s="23">
        <f>IF(Tabla2[[#This Row],[Fecha]]="","",YEAR(Tabla2[[#This Row],[Fecha]]))</f>
        <v>2026</v>
      </c>
    </row>
    <row r="634" spans="1:24" x14ac:dyDescent="0.25">
      <c r="A634" s="328">
        <f>IFERROR(A633+1,1)</f>
        <v>637</v>
      </c>
      <c r="B634" s="77" t="s">
        <v>845</v>
      </c>
      <c r="C634" s="360">
        <v>46043</v>
      </c>
      <c r="D634" s="76" t="s">
        <v>2025</v>
      </c>
      <c r="E634" s="360">
        <v>45936</v>
      </c>
      <c r="F634" s="78" t="s">
        <v>231</v>
      </c>
      <c r="G634" s="85">
        <v>901587426</v>
      </c>
      <c r="H634" s="177" t="str">
        <f>VLOOKUP(Tabla2[[#This Row],[NIT]],Clientes!A:C,2,0)</f>
        <v>STAFF SEGUROS AGENCIA LTDA</v>
      </c>
      <c r="I634" s="77" t="str">
        <f>VLOOKUP(Tabla2[[#This Row],[NIT]],Clientes!A:C,3,0)</f>
        <v>PJ</v>
      </c>
      <c r="J634" s="77"/>
      <c r="K634" s="267">
        <v>2119000</v>
      </c>
      <c r="L634" s="262"/>
      <c r="M634" s="262">
        <v>2119000</v>
      </c>
      <c r="N634" s="278">
        <f>SUMPRODUCT((Tabla1[Codigo]=Tabla2[[#This Row],[Cod]])*1,Tabla1[Valor])</f>
        <v>0</v>
      </c>
      <c r="O634" s="265">
        <f>IF(AND(Tabla2[[#This Row],[Estado]]="ok",LEFT(Tabla2[[#This Row],['# Factura]],3)="TIS"),Tabla2[[#This Row],[TOTAL]]-Tabla2[[#This Row],[pagado]],0)</f>
        <v>2119000</v>
      </c>
      <c r="P634" s="262">
        <f>Tabla2[[#This Row],[TOTAL]]-Tabla2[[#This Row],[Valor pago]]</f>
        <v>2119000</v>
      </c>
      <c r="Q634" s="265">
        <f>IF(Tabla2[[#This Row],[Saldo]]=0,0,IF(Tabla2[[#This Row],[Tipo cliente]]="PJ",Tabla2[[#This Row],[SUBTOTAL]]*11%,0))</f>
        <v>233090</v>
      </c>
      <c r="R634" s="276">
        <f>IF(Tabla2[[#This Row],[Saldo]]=0,0,IF(Tabla2[[#This Row],[Tipo cliente]]="PJ",Tabla2[[#This Row],[SUBTOTAL]]*0.966%,0))</f>
        <v>20469.54</v>
      </c>
      <c r="S634" s="276">
        <f>IF(Tabla2[[#This Row],[Retiene IVA]]="S",Tabla2[[#This Row],[IVA]]*0.15,0)</f>
        <v>0</v>
      </c>
      <c r="T634" s="265"/>
      <c r="U63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34" s="23">
        <f>IF(Tabla2[[#This Row],[Fecha F.E.]]="","",YEAR(Tabla2[[#This Row],[Fecha F.E.]]))</f>
        <v>2025</v>
      </c>
      <c r="X634" s="23">
        <f>IF(Tabla2[[#This Row],[Fecha]]="","",YEAR(Tabla2[[#This Row],[Fecha]]))</f>
        <v>2026</v>
      </c>
    </row>
    <row r="635" spans="1:24" x14ac:dyDescent="0.25">
      <c r="A635" s="3">
        <v>638</v>
      </c>
      <c r="B635" s="77" t="s">
        <v>853</v>
      </c>
      <c r="C635" s="360">
        <v>46043</v>
      </c>
      <c r="D635" s="76" t="s">
        <v>2026</v>
      </c>
      <c r="E635" s="360">
        <v>46039</v>
      </c>
      <c r="F635" s="78" t="s">
        <v>231</v>
      </c>
      <c r="G635" s="85">
        <v>901700940</v>
      </c>
      <c r="H635" s="177" t="str">
        <f>VLOOKUP(Tabla2[[#This Row],[NIT]],Clientes!A:C,2,0)</f>
        <v>AND TOPOGRAFIA E INGENIERIA SAS</v>
      </c>
      <c r="I635" s="77" t="str">
        <f>VLOOKUP(Tabla2[[#This Row],[NIT]],Clientes!A:C,3,0)</f>
        <v>PJ</v>
      </c>
      <c r="J635" s="77"/>
      <c r="K635" s="267">
        <f>SUMIFS(Tabla4[Sub Total],Tabla4[Codigo],Tabla2[[#This Row],[Cod]])</f>
        <v>300000</v>
      </c>
      <c r="L635" s="262">
        <f>SUMPRODUCT((Tabla4[Codigo]=Tabla2[[#This Row],[Cod]])*1,Tabla4[IVA])</f>
        <v>0</v>
      </c>
      <c r="M635" s="262">
        <f>SUMIFS(Tabla4[Total],Tabla4[Codigo],Tabla2[[#This Row],[Cod]])</f>
        <v>300000</v>
      </c>
      <c r="N635" s="278">
        <f>SUMPRODUCT((Tabla1[Codigo]=Tabla2[[#This Row],[Cod]])*1,Tabla1[Valor])</f>
        <v>0</v>
      </c>
      <c r="O635" s="265">
        <f>IF(AND(Tabla2[[#This Row],[Estado]]="ok",LEFT(Tabla2[[#This Row],['# Factura]],3)="TIS"),Tabla2[[#This Row],[TOTAL]]-Tabla2[[#This Row],[pagado]],0)</f>
        <v>300000</v>
      </c>
      <c r="P635" s="262">
        <f>Tabla2[[#This Row],[TOTAL]]-Tabla2[[#This Row],[Valor pago]]</f>
        <v>300000</v>
      </c>
      <c r="Q635" s="265">
        <f>IF(Tabla2[[#This Row],[Saldo]]=0,0,IF(Tabla2[[#This Row],[Tipo cliente]]="PJ",Tabla2[[#This Row],[SUBTOTAL]]*11%,0))</f>
        <v>33000</v>
      </c>
      <c r="R635" s="276">
        <f>IF(Tabla2[[#This Row],[Saldo]]=0,0,IF(Tabla2[[#This Row],[Tipo cliente]]="PJ",Tabla2[[#This Row],[SUBTOTAL]]*0.966%,0))</f>
        <v>2898</v>
      </c>
      <c r="S635" s="276">
        <f>IF(Tabla2[[#This Row],[Retiene IVA]]="S",Tabla2[[#This Row],[IVA]]*0.15,0)</f>
        <v>0</v>
      </c>
      <c r="T635" s="265"/>
      <c r="U63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35" s="23">
        <f>IF(Tabla2[[#This Row],[Fecha F.E.]]="","",YEAR(Tabla2[[#This Row],[Fecha F.E.]]))</f>
        <v>2026</v>
      </c>
      <c r="X635" s="23">
        <f>IF(Tabla2[[#This Row],[Fecha]]="","",YEAR(Tabla2[[#This Row],[Fecha]]))</f>
        <v>2026</v>
      </c>
    </row>
    <row r="636" spans="1:24" x14ac:dyDescent="0.25">
      <c r="A636" s="3">
        <v>639</v>
      </c>
      <c r="B636" s="77" t="s">
        <v>857</v>
      </c>
      <c r="C636" s="360">
        <v>46043</v>
      </c>
      <c r="D636" s="76" t="s">
        <v>2027</v>
      </c>
      <c r="E636" s="360">
        <v>46039</v>
      </c>
      <c r="F636" s="78" t="s">
        <v>231</v>
      </c>
      <c r="G636" s="85">
        <v>901030518</v>
      </c>
      <c r="H636" s="177" t="str">
        <f>VLOOKUP(Tabla2[[#This Row],[NIT]],Clientes!A:C,2,0)</f>
        <v>Inversiones Sajamib SAS</v>
      </c>
      <c r="I636" s="77" t="str">
        <f>VLOOKUP(Tabla2[[#This Row],[NIT]],Clientes!A:C,3,0)</f>
        <v>PJ</v>
      </c>
      <c r="J636" s="77"/>
      <c r="K636" s="267">
        <f>SUMIFS(Tabla4[Sub Total],Tabla4[Codigo],Tabla2[[#This Row],[Cod]])</f>
        <v>480000</v>
      </c>
      <c r="L636" s="262">
        <f>SUMPRODUCT((Tabla4[Codigo]=Tabla2[[#This Row],[Cod]])*1,Tabla4[IVA])</f>
        <v>0</v>
      </c>
      <c r="M636" s="262">
        <f>SUMIFS(Tabla4[Total],Tabla4[Codigo],Tabla2[[#This Row],[Cod]])</f>
        <v>480000</v>
      </c>
      <c r="N636" s="278">
        <f>SUMPRODUCT((Tabla1[Codigo]=Tabla2[[#This Row],[Cod]])*1,Tabla1[Valor])</f>
        <v>0</v>
      </c>
      <c r="O636" s="265">
        <f>IF(AND(Tabla2[[#This Row],[Estado]]="ok",LEFT(Tabla2[[#This Row],['# Factura]],3)="TIS"),Tabla2[[#This Row],[TOTAL]]-Tabla2[[#This Row],[pagado]],0)</f>
        <v>480000</v>
      </c>
      <c r="P636" s="262">
        <f>Tabla2[[#This Row],[TOTAL]]-Tabla2[[#This Row],[Valor pago]]</f>
        <v>480000</v>
      </c>
      <c r="Q636" s="265">
        <f>IF(Tabla2[[#This Row],[Saldo]]=0,0,IF(Tabla2[[#This Row],[Tipo cliente]]="PJ",Tabla2[[#This Row],[SUBTOTAL]]*11%,0))</f>
        <v>52800</v>
      </c>
      <c r="R636" s="276">
        <f>IF(Tabla2[[#This Row],[Saldo]]=0,0,IF(Tabla2[[#This Row],[Tipo cliente]]="PJ",Tabla2[[#This Row],[SUBTOTAL]]*0.966%,0))</f>
        <v>4636.8</v>
      </c>
      <c r="S636" s="276">
        <f>IF(Tabla2[[#This Row],[Retiene IVA]]="S",Tabla2[[#This Row],[IVA]]*0.15,0)</f>
        <v>0</v>
      </c>
      <c r="T636" s="265"/>
      <c r="U63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36" s="23">
        <f>IF(Tabla2[[#This Row],[Fecha F.E.]]="","",YEAR(Tabla2[[#This Row],[Fecha F.E.]]))</f>
        <v>2026</v>
      </c>
      <c r="X636" s="23">
        <f>IF(Tabla2[[#This Row],[Fecha]]="","",YEAR(Tabla2[[#This Row],[Fecha]]))</f>
        <v>2026</v>
      </c>
    </row>
    <row r="637" spans="1:24" x14ac:dyDescent="0.25">
      <c r="A637" s="3">
        <v>640</v>
      </c>
      <c r="B637" s="77" t="s">
        <v>861</v>
      </c>
      <c r="C637" s="360">
        <v>46043</v>
      </c>
      <c r="D637" s="76" t="s">
        <v>2028</v>
      </c>
      <c r="E637" s="360">
        <v>46039</v>
      </c>
      <c r="F637" s="78" t="s">
        <v>231</v>
      </c>
      <c r="G637" s="85">
        <v>901342609</v>
      </c>
      <c r="H637" s="177" t="str">
        <f>VLOOKUP(Tabla2[[#This Row],[NIT]],Clientes!A:C,2,0)</f>
        <v>ROYCO SOLUCIONES SAS</v>
      </c>
      <c r="I637" s="77" t="str">
        <f>VLOOKUP(Tabla2[[#This Row],[NIT]],Clientes!A:C,3,0)</f>
        <v>PJ</v>
      </c>
      <c r="J637" s="77"/>
      <c r="K637" s="267">
        <f>SUMIFS(Tabla4[Sub Total],Tabla4[Codigo],Tabla2[[#This Row],[Cod]])</f>
        <v>250000</v>
      </c>
      <c r="L637" s="262">
        <f>SUMPRODUCT((Tabla4[Codigo]=Tabla2[[#This Row],[Cod]])*1,Tabla4[IVA])</f>
        <v>47500</v>
      </c>
      <c r="M637" s="262">
        <f>SUMIFS(Tabla4[Total],Tabla4[Codigo],Tabla2[[#This Row],[Cod]])</f>
        <v>297500</v>
      </c>
      <c r="N637" s="278">
        <f>SUMPRODUCT((Tabla1[Codigo]=Tabla2[[#This Row],[Cod]])*1,Tabla1[Valor])</f>
        <v>287500</v>
      </c>
      <c r="O637" s="265">
        <f>IF(AND(Tabla2[[#This Row],[Estado]]="ok",LEFT(Tabla2[[#This Row],['# Factura]],3)="TIS"),Tabla2[[#This Row],[TOTAL]]-Tabla2[[#This Row],[pagado]],0)</f>
        <v>-19915</v>
      </c>
      <c r="P637" s="262">
        <f>Tabla2[[#This Row],[TOTAL]]-Tabla2[[#This Row],[Valor pago]]</f>
        <v>10000</v>
      </c>
      <c r="Q637" s="265">
        <f>IF(Tabla2[[#This Row],[Saldo]]=0,0,IF(Tabla2[[#This Row],[Tipo cliente]]="PJ",Tabla2[[#This Row],[SUBTOTAL]]*11%,0))</f>
        <v>27500</v>
      </c>
      <c r="R637" s="276">
        <f>IF(Tabla2[[#This Row],[Saldo]]=0,0,IF(Tabla2[[#This Row],[Tipo cliente]]="PJ",Tabla2[[#This Row],[SUBTOTAL]]*0.966%,0))</f>
        <v>2415</v>
      </c>
      <c r="S637" s="276">
        <f>IF(Tabla2[[#This Row],[Retiene IVA]]="S",Tabla2[[#This Row],[IVA]]*0.15,0)</f>
        <v>0</v>
      </c>
      <c r="T637" s="265"/>
      <c r="U63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317415</v>
      </c>
      <c r="W637" s="23">
        <f>IF(Tabla2[[#This Row],[Fecha F.E.]]="","",YEAR(Tabla2[[#This Row],[Fecha F.E.]]))</f>
        <v>2026</v>
      </c>
      <c r="X637" s="23">
        <f>IF(Tabla2[[#This Row],[Fecha]]="","",YEAR(Tabla2[[#This Row],[Fecha]]))</f>
        <v>2026</v>
      </c>
    </row>
    <row r="638" spans="1:24" ht="26.25" x14ac:dyDescent="0.25">
      <c r="A638" s="3">
        <v>641</v>
      </c>
      <c r="B638" s="77" t="s">
        <v>859</v>
      </c>
      <c r="C638" s="360">
        <v>46043</v>
      </c>
      <c r="D638" s="76" t="s">
        <v>2029</v>
      </c>
      <c r="E638" s="360">
        <v>46039</v>
      </c>
      <c r="F638" s="78" t="s">
        <v>231</v>
      </c>
      <c r="G638" s="85">
        <v>900187738</v>
      </c>
      <c r="H638" s="177" t="str">
        <f>VLOOKUP(Tabla2[[#This Row],[NIT]],Clientes!A:C,2,0)</f>
        <v>CENTRO DE ATENCION E INVESTIGACION MEDICA S.A.S.</v>
      </c>
      <c r="I638" s="77" t="str">
        <f>VLOOKUP(Tabla2[[#This Row],[NIT]],Clientes!A:C,3,0)</f>
        <v>PJ</v>
      </c>
      <c r="J638" s="77"/>
      <c r="K638" s="267">
        <f>SUMIFS(Tabla4[Sub Total],Tabla4[Codigo],Tabla2[[#This Row],[Cod]])</f>
        <v>1500000</v>
      </c>
      <c r="L638" s="262">
        <f>SUMPRODUCT((Tabla4[Codigo]=Tabla2[[#This Row],[Cod]])*1,Tabla4[IVA])</f>
        <v>285000</v>
      </c>
      <c r="M638" s="262">
        <f>SUMIFS(Tabla4[Total],Tabla4[Codigo],Tabla2[[#This Row],[Cod]])</f>
        <v>1785000</v>
      </c>
      <c r="N638" s="278">
        <f>SUMPRODUCT((Tabla1[Codigo]=Tabla2[[#This Row],[Cod]])*1,Tabla1[Valor])</f>
        <v>1723500</v>
      </c>
      <c r="O638" s="265">
        <f>IF(AND(Tabla2[[#This Row],[Estado]]="ok",LEFT(Tabla2[[#This Row],['# Factura]],3)="TIS"),Tabla2[[#This Row],[TOTAL]]-Tabla2[[#This Row],[pagado]],0)</f>
        <v>-117990</v>
      </c>
      <c r="P638" s="262">
        <f>Tabla2[[#This Row],[TOTAL]]-Tabla2[[#This Row],[Valor pago]]</f>
        <v>61500</v>
      </c>
      <c r="Q638" s="265">
        <f>IF(Tabla2[[#This Row],[Saldo]]=0,0,IF(Tabla2[[#This Row],[Tipo cliente]]="PJ",Tabla2[[#This Row],[SUBTOTAL]]*11%,0))</f>
        <v>165000</v>
      </c>
      <c r="R638" s="276">
        <f>IF(Tabla2[[#This Row],[Saldo]]=0,0,IF(Tabla2[[#This Row],[Tipo cliente]]="PJ",Tabla2[[#This Row],[SUBTOTAL]]*0.966%,0))</f>
        <v>14490</v>
      </c>
      <c r="S638" s="276">
        <f>IF(Tabla2[[#This Row],[Retiene IVA]]="S",Tabla2[[#This Row],[IVA]]*0.15,0)</f>
        <v>0</v>
      </c>
      <c r="T638" s="265"/>
      <c r="U63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1902990</v>
      </c>
      <c r="W638" s="23">
        <f>IF(Tabla2[[#This Row],[Fecha F.E.]]="","",YEAR(Tabla2[[#This Row],[Fecha F.E.]]))</f>
        <v>2026</v>
      </c>
      <c r="X638" s="23">
        <f>IF(Tabla2[[#This Row],[Fecha]]="","",YEAR(Tabla2[[#This Row],[Fecha]]))</f>
        <v>2026</v>
      </c>
    </row>
    <row r="639" spans="1:24" x14ac:dyDescent="0.25">
      <c r="A639" s="3">
        <v>642</v>
      </c>
      <c r="B639" s="77" t="s">
        <v>864</v>
      </c>
      <c r="C639" s="360">
        <v>46043</v>
      </c>
      <c r="D639" s="76" t="s">
        <v>2030</v>
      </c>
      <c r="E639" s="360">
        <v>46039</v>
      </c>
      <c r="F639" s="78" t="s">
        <v>231</v>
      </c>
      <c r="G639" s="85">
        <v>900903463</v>
      </c>
      <c r="H639" s="177" t="str">
        <f>VLOOKUP(Tabla2[[#This Row],[NIT]],Clientes!A:C,2,0)</f>
        <v>SOLUCIONES CREATIVAS Y TURÍSTICAS</v>
      </c>
      <c r="I639" s="77" t="str">
        <f>VLOOKUP(Tabla2[[#This Row],[NIT]],Clientes!A:C,3,0)</f>
        <v>PJ</v>
      </c>
      <c r="J639" s="77"/>
      <c r="K639" s="267">
        <f>SUMIFS(Tabla4[Sub Total],Tabla4[Codigo],Tabla2[[#This Row],[Cod]])</f>
        <v>934874</v>
      </c>
      <c r="L639" s="262">
        <f>SUMPRODUCT((Tabla4[Codigo]=Tabla2[[#This Row],[Cod]])*1,Tabla4[IVA])</f>
        <v>177626.06</v>
      </c>
      <c r="M639" s="262">
        <f>SUMIFS(Tabla4[Total],Tabla4[Codigo],Tabla2[[#This Row],[Cod]])</f>
        <v>1112500.06</v>
      </c>
      <c r="N639" s="278">
        <f>SUMPRODUCT((Tabla1[Codigo]=Tabla2[[#This Row],[Cod]])*1,Tabla1[Valor])</f>
        <v>1009663</v>
      </c>
      <c r="O639" s="265">
        <f>IF(AND(Tabla2[[#This Row],[Estado]]="ok",LEFT(Tabla2[[#This Row],['# Factura]],3)="TIS"),Tabla2[[#This Row],[TOTAL]]-Tabla2[[#This Row],[pagado]],0)</f>
        <v>-9029.9628399999347</v>
      </c>
      <c r="P639" s="262">
        <f>Tabla2[[#This Row],[TOTAL]]-Tabla2[[#This Row],[Valor pago]]</f>
        <v>102837.06000000006</v>
      </c>
      <c r="Q639" s="265">
        <f>IF(Tabla2[[#This Row],[Saldo]]=0,0,IF(Tabla2[[#This Row],[Tipo cliente]]="PJ",Tabla2[[#This Row],[SUBTOTAL]]*11%,0))</f>
        <v>102836.14</v>
      </c>
      <c r="R639" s="276">
        <f>IF(Tabla2[[#This Row],[Saldo]]=0,0,IF(Tabla2[[#This Row],[Tipo cliente]]="PJ",Tabla2[[#This Row],[SUBTOTAL]]*0.966%,0))</f>
        <v>9030.8828400000002</v>
      </c>
      <c r="S639" s="276">
        <f>IF(Tabla2[[#This Row],[Retiene IVA]]="S",Tabla2[[#This Row],[IVA]]*0.15,0)</f>
        <v>0</v>
      </c>
      <c r="T639" s="265"/>
      <c r="U63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1121530.02284</v>
      </c>
      <c r="W639" s="23">
        <f>IF(Tabla2[[#This Row],[Fecha F.E.]]="","",YEAR(Tabla2[[#This Row],[Fecha F.E.]]))</f>
        <v>2026</v>
      </c>
      <c r="X639" s="23">
        <f>IF(Tabla2[[#This Row],[Fecha]]="","",YEAR(Tabla2[[#This Row],[Fecha]]))</f>
        <v>2026</v>
      </c>
    </row>
    <row r="640" spans="1:24" x14ac:dyDescent="0.25">
      <c r="A640" s="3">
        <v>643</v>
      </c>
      <c r="B640" s="77" t="s">
        <v>868</v>
      </c>
      <c r="C640" s="360">
        <v>46062</v>
      </c>
      <c r="D640" s="76" t="s">
        <v>2031</v>
      </c>
      <c r="E640" s="360">
        <v>46062</v>
      </c>
      <c r="F640" s="78" t="s">
        <v>231</v>
      </c>
      <c r="G640" s="85">
        <v>800028768</v>
      </c>
      <c r="H640" s="177" t="str">
        <f>VLOOKUP(Tabla2[[#This Row],[NIT]],Clientes!A:C,2,0)</f>
        <v>Comercializadora ERZ SAS</v>
      </c>
      <c r="I640" s="77" t="str">
        <f>VLOOKUP(Tabla2[[#This Row],[NIT]],Clientes!A:C,3,0)</f>
        <v>PJ</v>
      </c>
      <c r="J640" s="77"/>
      <c r="K640" s="267">
        <f>SUMIFS(Tabla4[Sub Total],Tabla4[Codigo],Tabla2[[#This Row],[Cod]])</f>
        <v>300000</v>
      </c>
      <c r="L640" s="262">
        <f>SUMPRODUCT((Tabla4[Codigo]=Tabla2[[#This Row],[Cod]])*1,Tabla4[IVA])</f>
        <v>57000</v>
      </c>
      <c r="M640" s="262">
        <f>SUMIFS(Tabla4[Total],Tabla4[Codigo],Tabla2[[#This Row],[Cod]])</f>
        <v>357000</v>
      </c>
      <c r="N640" s="278">
        <f>SUMPRODUCT((Tabla1[Codigo]=Tabla2[[#This Row],[Cod]])*1,Tabla1[Valor])</f>
        <v>0</v>
      </c>
      <c r="O640" s="265">
        <f>IF(AND(Tabla2[[#This Row],[Estado]]="ok",LEFT(Tabla2[[#This Row],['# Factura]],3)="TIS"),Tabla2[[#This Row],[TOTAL]]-Tabla2[[#This Row],[pagado]],0)</f>
        <v>357000</v>
      </c>
      <c r="P640" s="262">
        <f>Tabla2[[#This Row],[TOTAL]]-Tabla2[[#This Row],[Valor pago]]</f>
        <v>357000</v>
      </c>
      <c r="Q640" s="265">
        <f>IF(Tabla2[[#This Row],[Saldo]]=0,0,IF(Tabla2[[#This Row],[Tipo cliente]]="PJ",Tabla2[[#This Row],[SUBTOTAL]]*11%,0))</f>
        <v>33000</v>
      </c>
      <c r="R640" s="276">
        <f>IF(Tabla2[[#This Row],[Saldo]]=0,0,IF(Tabla2[[#This Row],[Tipo cliente]]="PJ",Tabla2[[#This Row],[SUBTOTAL]]*0.966%,0))</f>
        <v>2898</v>
      </c>
      <c r="S640" s="276">
        <f>IF(Tabla2[[#This Row],[Retiene IVA]]="S",Tabla2[[#This Row],[IVA]]*0.15,0)</f>
        <v>0</v>
      </c>
      <c r="T640" s="265"/>
      <c r="U64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40" s="23">
        <f>IF(Tabla2[[#This Row],[Fecha F.E.]]="","",YEAR(Tabla2[[#This Row],[Fecha F.E.]]))</f>
        <v>2026</v>
      </c>
      <c r="X640" s="23">
        <f>IF(Tabla2[[#This Row],[Fecha]]="","",YEAR(Tabla2[[#This Row],[Fecha]]))</f>
        <v>2026</v>
      </c>
    </row>
    <row r="641" spans="1:24" x14ac:dyDescent="0.25">
      <c r="A641" s="3">
        <v>644</v>
      </c>
      <c r="B641" s="77" t="s">
        <v>870</v>
      </c>
      <c r="C641" s="360">
        <v>46062</v>
      </c>
      <c r="D641" s="76" t="s">
        <v>2032</v>
      </c>
      <c r="E641" s="360">
        <v>46062</v>
      </c>
      <c r="F641" s="78" t="s">
        <v>231</v>
      </c>
      <c r="G641" s="85">
        <v>901342609</v>
      </c>
      <c r="H641" s="177" t="str">
        <f>VLOOKUP(Tabla2[[#This Row],[NIT]],Clientes!A:C,2,0)</f>
        <v>ROYCO SOLUCIONES SAS</v>
      </c>
      <c r="I641" s="77" t="str">
        <f>VLOOKUP(Tabla2[[#This Row],[NIT]],Clientes!A:C,3,0)</f>
        <v>PJ</v>
      </c>
      <c r="J641" s="77"/>
      <c r="K641" s="267">
        <f>SUMIFS(Tabla4[Sub Total],Tabla4[Codigo],Tabla2[[#This Row],[Cod]])</f>
        <v>300000</v>
      </c>
      <c r="L641" s="262">
        <f>SUMPRODUCT((Tabla4[Codigo]=Tabla2[[#This Row],[Cod]])*1,Tabla4[IVA])</f>
        <v>57000</v>
      </c>
      <c r="M641" s="262">
        <f>SUMIFS(Tabla4[Total],Tabla4[Codigo],Tabla2[[#This Row],[Cod]])</f>
        <v>357000</v>
      </c>
      <c r="N641" s="278">
        <f>SUMPRODUCT((Tabla1[Codigo]=Tabla2[[#This Row],[Cod]])*1,Tabla1[Valor])</f>
        <v>0</v>
      </c>
      <c r="O641" s="265">
        <f>IF(AND(Tabla2[[#This Row],[Estado]]="ok",LEFT(Tabla2[[#This Row],['# Factura]],3)="TIS"),Tabla2[[#This Row],[TOTAL]]-Tabla2[[#This Row],[pagado]],0)</f>
        <v>357000</v>
      </c>
      <c r="P641" s="262">
        <f>Tabla2[[#This Row],[TOTAL]]-Tabla2[[#This Row],[Valor pago]]</f>
        <v>357000</v>
      </c>
      <c r="Q641" s="265">
        <f>IF(Tabla2[[#This Row],[Saldo]]=0,0,IF(Tabla2[[#This Row],[Tipo cliente]]="PJ",Tabla2[[#This Row],[SUBTOTAL]]*11%,0))</f>
        <v>33000</v>
      </c>
      <c r="R641" s="276">
        <f>IF(Tabla2[[#This Row],[Saldo]]=0,0,IF(Tabla2[[#This Row],[Tipo cliente]]="PJ",Tabla2[[#This Row],[SUBTOTAL]]*0.966%,0))</f>
        <v>2898</v>
      </c>
      <c r="S641" s="276">
        <f>IF(Tabla2[[#This Row],[Retiene IVA]]="S",Tabla2[[#This Row],[IVA]]*0.15,0)</f>
        <v>0</v>
      </c>
      <c r="T641" s="265"/>
      <c r="U64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41" s="23">
        <f>IF(Tabla2[[#This Row],[Fecha F.E.]]="","",YEAR(Tabla2[[#This Row],[Fecha F.E.]]))</f>
        <v>2026</v>
      </c>
      <c r="X641" s="23">
        <f>IF(Tabla2[[#This Row],[Fecha]]="","",YEAR(Tabla2[[#This Row],[Fecha]]))</f>
        <v>2026</v>
      </c>
    </row>
    <row r="642" spans="1:24" x14ac:dyDescent="0.25">
      <c r="A642" s="3">
        <v>645</v>
      </c>
      <c r="B642" s="77" t="s">
        <v>872</v>
      </c>
      <c r="C642" s="360">
        <v>46062</v>
      </c>
      <c r="D642" s="76" t="s">
        <v>2033</v>
      </c>
      <c r="E642" s="360">
        <v>46062</v>
      </c>
      <c r="F642" s="78" t="s">
        <v>231</v>
      </c>
      <c r="G642" s="85">
        <v>901030518</v>
      </c>
      <c r="H642" s="177" t="str">
        <f>VLOOKUP(Tabla2[[#This Row],[NIT]],Clientes!A:C,2,0)</f>
        <v>Inversiones Sajamib SAS</v>
      </c>
      <c r="I642" s="77" t="str">
        <f>VLOOKUP(Tabla2[[#This Row],[NIT]],Clientes!A:C,3,0)</f>
        <v>PJ</v>
      </c>
      <c r="J642" s="77"/>
      <c r="K642" s="267">
        <f>SUMIFS(Tabla4[Sub Total],Tabla4[Codigo],Tabla2[[#This Row],[Cod]])</f>
        <v>480000</v>
      </c>
      <c r="L642" s="262">
        <f>SUMPRODUCT((Tabla4[Codigo]=Tabla2[[#This Row],[Cod]])*1,Tabla4[IVA])</f>
        <v>0</v>
      </c>
      <c r="M642" s="262">
        <f>SUMIFS(Tabla4[Total],Tabla4[Codigo],Tabla2[[#This Row],[Cod]])</f>
        <v>480000</v>
      </c>
      <c r="N642" s="278">
        <f>SUMPRODUCT((Tabla1[Codigo]=Tabla2[[#This Row],[Cod]])*1,Tabla1[Valor])</f>
        <v>0</v>
      </c>
      <c r="O642" s="265">
        <f>IF(AND(Tabla2[[#This Row],[Estado]]="ok",LEFT(Tabla2[[#This Row],['# Factura]],3)="TIS"),Tabla2[[#This Row],[TOTAL]]-Tabla2[[#This Row],[pagado]],0)</f>
        <v>480000</v>
      </c>
      <c r="P642" s="262">
        <f>Tabla2[[#This Row],[TOTAL]]-Tabla2[[#This Row],[Valor pago]]</f>
        <v>480000</v>
      </c>
      <c r="Q642" s="265">
        <f>IF(Tabla2[[#This Row],[Saldo]]=0,0,IF(Tabla2[[#This Row],[Tipo cliente]]="PJ",Tabla2[[#This Row],[SUBTOTAL]]*11%,0))</f>
        <v>52800</v>
      </c>
      <c r="R642" s="276">
        <f>IF(Tabla2[[#This Row],[Saldo]]=0,0,IF(Tabla2[[#This Row],[Tipo cliente]]="PJ",Tabla2[[#This Row],[SUBTOTAL]]*0.966%,0))</f>
        <v>4636.8</v>
      </c>
      <c r="S642" s="276">
        <f>IF(Tabla2[[#This Row],[Retiene IVA]]="S",Tabla2[[#This Row],[IVA]]*0.15,0)</f>
        <v>0</v>
      </c>
      <c r="T642" s="265"/>
      <c r="U64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42" s="23">
        <f>IF(Tabla2[[#This Row],[Fecha F.E.]]="","",YEAR(Tabla2[[#This Row],[Fecha F.E.]]))</f>
        <v>2026</v>
      </c>
      <c r="X642" s="23">
        <f>IF(Tabla2[[#This Row],[Fecha]]="","",YEAR(Tabla2[[#This Row],[Fecha]]))</f>
        <v>2026</v>
      </c>
    </row>
    <row r="643" spans="1:24" x14ac:dyDescent="0.25">
      <c r="A643" s="3">
        <v>646</v>
      </c>
      <c r="B643" s="77" t="s">
        <v>875</v>
      </c>
      <c r="C643" s="360">
        <v>46062</v>
      </c>
      <c r="D643" s="76" t="s">
        <v>2034</v>
      </c>
      <c r="E643" s="360">
        <v>46062</v>
      </c>
      <c r="F643" s="78" t="s">
        <v>231</v>
      </c>
      <c r="G643" s="85">
        <v>901700940</v>
      </c>
      <c r="H643" s="177" t="str">
        <f>VLOOKUP(Tabla2[[#This Row],[NIT]],Clientes!A:C,2,0)</f>
        <v>AND TOPOGRAFIA E INGENIERIA SAS</v>
      </c>
      <c r="I643" s="77" t="str">
        <f>VLOOKUP(Tabla2[[#This Row],[NIT]],Clientes!A:C,3,0)</f>
        <v>PJ</v>
      </c>
      <c r="J643" s="77"/>
      <c r="K643" s="267">
        <f>SUMIFS(Tabla4[Sub Total],Tabla4[Codigo],Tabla2[[#This Row],[Cod]])</f>
        <v>300000</v>
      </c>
      <c r="L643" s="262">
        <f>SUMPRODUCT((Tabla4[Codigo]=Tabla2[[#This Row],[Cod]])*1,Tabla4[IVA])</f>
        <v>0</v>
      </c>
      <c r="M643" s="262">
        <f>SUMIFS(Tabla4[Total],Tabla4[Codigo],Tabla2[[#This Row],[Cod]])</f>
        <v>300000</v>
      </c>
      <c r="N643" s="278">
        <f>SUMPRODUCT((Tabla1[Codigo]=Tabla2[[#This Row],[Cod]])*1,Tabla1[Valor])</f>
        <v>0</v>
      </c>
      <c r="O643" s="265">
        <f>IF(AND(Tabla2[[#This Row],[Estado]]="ok",LEFT(Tabla2[[#This Row],['# Factura]],3)="TIS"),Tabla2[[#This Row],[TOTAL]]-Tabla2[[#This Row],[pagado]],0)</f>
        <v>300000</v>
      </c>
      <c r="P643" s="262">
        <f>Tabla2[[#This Row],[TOTAL]]-Tabla2[[#This Row],[Valor pago]]</f>
        <v>300000</v>
      </c>
      <c r="Q643" s="265">
        <f>IF(Tabla2[[#This Row],[Saldo]]=0,0,IF(Tabla2[[#This Row],[Tipo cliente]]="PJ",Tabla2[[#This Row],[SUBTOTAL]]*11%,0))</f>
        <v>33000</v>
      </c>
      <c r="R643" s="276">
        <f>IF(Tabla2[[#This Row],[Saldo]]=0,0,IF(Tabla2[[#This Row],[Tipo cliente]]="PJ",Tabla2[[#This Row],[SUBTOTAL]]*0.966%,0))</f>
        <v>2898</v>
      </c>
      <c r="S643" s="276">
        <f>IF(Tabla2[[#This Row],[Retiene IVA]]="S",Tabla2[[#This Row],[IVA]]*0.15,0)</f>
        <v>0</v>
      </c>
      <c r="T643" s="265"/>
      <c r="U64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43" s="23">
        <f>IF(Tabla2[[#This Row],[Fecha F.E.]]="","",YEAR(Tabla2[[#This Row],[Fecha F.E.]]))</f>
        <v>2026</v>
      </c>
      <c r="X643" s="23">
        <f>IF(Tabla2[[#This Row],[Fecha]]="","",YEAR(Tabla2[[#This Row],[Fecha]]))</f>
        <v>2026</v>
      </c>
    </row>
    <row r="644" spans="1:24" ht="26.25" x14ac:dyDescent="0.25">
      <c r="A644" s="3">
        <v>647</v>
      </c>
      <c r="B644" s="77" t="s">
        <v>850</v>
      </c>
      <c r="C644" s="360">
        <v>46062</v>
      </c>
      <c r="D644" s="76" t="s">
        <v>2035</v>
      </c>
      <c r="E644" s="360">
        <v>46062</v>
      </c>
      <c r="F644" s="78" t="s">
        <v>231</v>
      </c>
      <c r="G644" s="85">
        <v>900187738</v>
      </c>
      <c r="H644" s="177" t="str">
        <f>VLOOKUP(Tabla2[[#This Row],[NIT]],Clientes!A:C,2,0)</f>
        <v>CENTRO DE ATENCION E INVESTIGACION MEDICA S.A.S.</v>
      </c>
      <c r="I644" s="77" t="str">
        <f>VLOOKUP(Tabla2[[#This Row],[NIT]],Clientes!A:C,3,0)</f>
        <v>PJ</v>
      </c>
      <c r="J644" s="77"/>
      <c r="K644" s="267">
        <f>SUMIFS(Tabla4[Sub Total],Tabla4[Codigo],Tabla2[[#This Row],[Cod]])</f>
        <v>1500000</v>
      </c>
      <c r="L644" s="262">
        <f>SUMPRODUCT((Tabla4[Codigo]=Tabla2[[#This Row],[Cod]])*1,Tabla4[IVA])</f>
        <v>285000</v>
      </c>
      <c r="M644" s="262">
        <f>SUMIFS(Tabla4[Total],Tabla4[Codigo],Tabla2[[#This Row],[Cod]])</f>
        <v>1785000</v>
      </c>
      <c r="N644" s="278">
        <f>SUMPRODUCT((Tabla1[Codigo]=Tabla2[[#This Row],[Cod]])*1,Tabla1[Valor])</f>
        <v>1723500</v>
      </c>
      <c r="O644" s="265">
        <f>IF(AND(Tabla2[[#This Row],[Estado]]="ok",LEFT(Tabla2[[#This Row],['# Factura]],3)="TIS"),Tabla2[[#This Row],[TOTAL]]-Tabla2[[#This Row],[pagado]],0)</f>
        <v>-117990</v>
      </c>
      <c r="P644" s="262">
        <f>Tabla2[[#This Row],[TOTAL]]-Tabla2[[#This Row],[Valor pago]]</f>
        <v>61500</v>
      </c>
      <c r="Q644" s="265">
        <f>IF(Tabla2[[#This Row],[Saldo]]=0,0,IF(Tabla2[[#This Row],[Tipo cliente]]="PJ",Tabla2[[#This Row],[SUBTOTAL]]*11%,0))</f>
        <v>165000</v>
      </c>
      <c r="R644" s="276">
        <f>IF(Tabla2[[#This Row],[Saldo]]=0,0,IF(Tabla2[[#This Row],[Tipo cliente]]="PJ",Tabla2[[#This Row],[SUBTOTAL]]*0.966%,0))</f>
        <v>14490</v>
      </c>
      <c r="S644" s="276">
        <f>IF(Tabla2[[#This Row],[Retiene IVA]]="S",Tabla2[[#This Row],[IVA]]*0.15,0)</f>
        <v>0</v>
      </c>
      <c r="T644" s="265"/>
      <c r="U64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1902990</v>
      </c>
      <c r="W644" s="23">
        <f>IF(Tabla2[[#This Row],[Fecha F.E.]]="","",YEAR(Tabla2[[#This Row],[Fecha F.E.]]))</f>
        <v>2026</v>
      </c>
      <c r="X644" s="23">
        <f>IF(Tabla2[[#This Row],[Fecha]]="","",YEAR(Tabla2[[#This Row],[Fecha]]))</f>
        <v>2026</v>
      </c>
    </row>
    <row r="645" spans="1:24" x14ac:dyDescent="0.25">
      <c r="A645" s="3">
        <v>648</v>
      </c>
      <c r="B645" s="77" t="s">
        <v>877</v>
      </c>
      <c r="C645" s="360">
        <v>46062</v>
      </c>
      <c r="D645" s="76" t="s">
        <v>2036</v>
      </c>
      <c r="E645" s="360">
        <v>46062</v>
      </c>
      <c r="F645" s="78" t="s">
        <v>231</v>
      </c>
      <c r="G645" s="85">
        <v>900903463</v>
      </c>
      <c r="H645" s="177" t="str">
        <f>VLOOKUP(Tabla2[[#This Row],[NIT]],Clientes!A:C,2,0)</f>
        <v>SOLUCIONES CREATIVAS Y TURÍSTICAS</v>
      </c>
      <c r="I645" s="77" t="str">
        <f>VLOOKUP(Tabla2[[#This Row],[NIT]],Clientes!A:C,3,0)</f>
        <v>PJ</v>
      </c>
      <c r="J645" s="77"/>
      <c r="K645" s="267">
        <f>SUMIFS(Tabla4[Sub Total],Tabla4[Codigo],Tabla2[[#This Row],[Cod]])</f>
        <v>934874</v>
      </c>
      <c r="L645" s="262">
        <f>SUMPRODUCT((Tabla4[Codigo]=Tabla2[[#This Row],[Cod]])*1,Tabla4[IVA])</f>
        <v>177626.06</v>
      </c>
      <c r="M645" s="262">
        <f>SUMIFS(Tabla4[Total],Tabla4[Codigo],Tabla2[[#This Row],[Cod]])</f>
        <v>1112500.06</v>
      </c>
      <c r="N645" s="278">
        <f>SUMPRODUCT((Tabla1[Codigo]=Tabla2[[#This Row],[Cod]])*1,Tabla1[Valor])</f>
        <v>1009663</v>
      </c>
      <c r="O645" s="265">
        <f>IF(AND(Tabla2[[#This Row],[Estado]]="ok",LEFT(Tabla2[[#This Row],['# Factura]],3)="TIS"),Tabla2[[#This Row],[TOTAL]]-Tabla2[[#This Row],[pagado]],0)</f>
        <v>-9029.9628399999347</v>
      </c>
      <c r="P645" s="262">
        <f>Tabla2[[#This Row],[TOTAL]]-Tabla2[[#This Row],[Valor pago]]</f>
        <v>102837.06000000006</v>
      </c>
      <c r="Q645" s="265">
        <f>IF(Tabla2[[#This Row],[Saldo]]=0,0,IF(Tabla2[[#This Row],[Tipo cliente]]="PJ",Tabla2[[#This Row],[SUBTOTAL]]*11%,0))</f>
        <v>102836.14</v>
      </c>
      <c r="R645" s="276">
        <f>IF(Tabla2[[#This Row],[Saldo]]=0,0,IF(Tabla2[[#This Row],[Tipo cliente]]="PJ",Tabla2[[#This Row],[SUBTOTAL]]*0.966%,0))</f>
        <v>9030.8828400000002</v>
      </c>
      <c r="S645" s="276">
        <f>IF(Tabla2[[#This Row],[Retiene IVA]]="S",Tabla2[[#This Row],[IVA]]*0.15,0)</f>
        <v>0</v>
      </c>
      <c r="T645" s="265"/>
      <c r="U64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1121530.02284</v>
      </c>
      <c r="W645" s="23">
        <f>IF(Tabla2[[#This Row],[Fecha F.E.]]="","",YEAR(Tabla2[[#This Row],[Fecha F.E.]]))</f>
        <v>2026</v>
      </c>
      <c r="X645" s="23">
        <f>IF(Tabla2[[#This Row],[Fecha]]="","",YEAR(Tabla2[[#This Row],[Fecha]]))</f>
        <v>2026</v>
      </c>
    </row>
    <row r="646" spans="1:24" x14ac:dyDescent="0.25">
      <c r="A646" s="3">
        <v>649</v>
      </c>
      <c r="B646" s="77" t="s">
        <v>881</v>
      </c>
      <c r="C646" s="360">
        <v>46062</v>
      </c>
      <c r="D646" s="76" t="s">
        <v>2037</v>
      </c>
      <c r="E646" s="360">
        <v>46062</v>
      </c>
      <c r="F646" s="78" t="s">
        <v>231</v>
      </c>
      <c r="G646" s="85">
        <v>900505660</v>
      </c>
      <c r="H646" s="177" t="str">
        <f>VLOOKUP(Tabla2[[#This Row],[NIT]],Clientes!A:C,2,0)</f>
        <v>DIGITAL MEDIA TECHNOLOGIES COLOMBIA SAS</v>
      </c>
      <c r="I646" s="77" t="str">
        <f>VLOOKUP(Tabla2[[#This Row],[NIT]],Clientes!A:C,3,0)</f>
        <v>PJ</v>
      </c>
      <c r="J646" s="77"/>
      <c r="K646" s="267">
        <f>SUMIFS(Tabla4[Sub Total],Tabla4[Codigo],Tabla2[[#This Row],[Cod]])</f>
        <v>300000</v>
      </c>
      <c r="L646" s="262">
        <f>SUMPRODUCT((Tabla4[Codigo]=Tabla2[[#This Row],[Cod]])*1,Tabla4[IVA])</f>
        <v>57000</v>
      </c>
      <c r="M646" s="262">
        <f>SUMIFS(Tabla4[Total],Tabla4[Codigo],Tabla2[[#This Row],[Cod]])</f>
        <v>357000</v>
      </c>
      <c r="N646" s="278">
        <f>SUMPRODUCT((Tabla1[Codigo]=Tabla2[[#This Row],[Cod]])*1,Tabla1[Valor])</f>
        <v>324000</v>
      </c>
      <c r="O646" s="265">
        <f>IF(AND(Tabla2[[#This Row],[Estado]]="ok",LEFT(Tabla2[[#This Row],['# Factura]],3)="TIS"),Tabla2[[#This Row],[TOTAL]]-Tabla2[[#This Row],[pagado]],0)</f>
        <v>-2898</v>
      </c>
      <c r="P646" s="262">
        <f>Tabla2[[#This Row],[TOTAL]]-Tabla2[[#This Row],[Valor pago]]</f>
        <v>33000</v>
      </c>
      <c r="Q646" s="265">
        <f>IF(Tabla2[[#This Row],[Saldo]]=0,0,IF(Tabla2[[#This Row],[Tipo cliente]]="PJ",Tabla2[[#This Row],[SUBTOTAL]]*11%,0))</f>
        <v>33000</v>
      </c>
      <c r="R646" s="276">
        <f>IF(Tabla2[[#This Row],[Saldo]]=0,0,IF(Tabla2[[#This Row],[Tipo cliente]]="PJ",Tabla2[[#This Row],[SUBTOTAL]]*0.966%,0))</f>
        <v>2898</v>
      </c>
      <c r="S646" s="276">
        <f>IF(Tabla2[[#This Row],[Retiene IVA]]="S",Tabla2[[#This Row],[IVA]]*0.15,0)</f>
        <v>0</v>
      </c>
      <c r="T646" s="265"/>
      <c r="U64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646" s="23">
        <f>IF(Tabla2[[#This Row],[Fecha F.E.]]="","",YEAR(Tabla2[[#This Row],[Fecha F.E.]]))</f>
        <v>2026</v>
      </c>
      <c r="X646" s="23">
        <f>IF(Tabla2[[#This Row],[Fecha]]="","",YEAR(Tabla2[[#This Row],[Fecha]]))</f>
        <v>2026</v>
      </c>
    </row>
    <row r="647" spans="1:24" x14ac:dyDescent="0.25">
      <c r="A647" s="3">
        <v>650</v>
      </c>
      <c r="B647" s="77" t="s">
        <v>883</v>
      </c>
      <c r="C647" s="360">
        <v>46062</v>
      </c>
      <c r="D647" s="76" t="s">
        <v>2038</v>
      </c>
      <c r="E647" s="360">
        <v>46062</v>
      </c>
      <c r="F647" s="78" t="s">
        <v>231</v>
      </c>
      <c r="G647" s="85">
        <v>900133423</v>
      </c>
      <c r="H647" s="177" t="str">
        <f>VLOOKUP(Tabla2[[#This Row],[NIT]],Clientes!A:C,2,0)</f>
        <v>PURICOL LTDA</v>
      </c>
      <c r="I647" s="77" t="str">
        <f>VLOOKUP(Tabla2[[#This Row],[NIT]],Clientes!A:C,3,0)</f>
        <v>PJ</v>
      </c>
      <c r="J647" s="77"/>
      <c r="K647" s="267">
        <f>SUMIFS(Tabla4[Sub Total],Tabla4[Codigo],Tabla2[[#This Row],[Cod]])</f>
        <v>600000</v>
      </c>
      <c r="L647" s="262">
        <f>SUMPRODUCT((Tabla4[Codigo]=Tabla2[[#This Row],[Cod]])*1,Tabla4[IVA])</f>
        <v>114000</v>
      </c>
      <c r="M647" s="262">
        <f>SUMIFS(Tabla4[Total],Tabla4[Codigo],Tabla2[[#This Row],[Cod]])</f>
        <v>714000</v>
      </c>
      <c r="N647" s="278">
        <f>SUMPRODUCT((Tabla1[Codigo]=Tabla2[[#This Row],[Cod]])*1,Tabla1[Valor])</f>
        <v>0</v>
      </c>
      <c r="O647" s="265">
        <f>IF(AND(Tabla2[[#This Row],[Estado]]="ok",LEFT(Tabla2[[#This Row],['# Factura]],3)="TIS"),Tabla2[[#This Row],[TOTAL]]-Tabla2[[#This Row],[pagado]],0)</f>
        <v>714000</v>
      </c>
      <c r="P647" s="262">
        <f>Tabla2[[#This Row],[TOTAL]]-Tabla2[[#This Row],[Valor pago]]</f>
        <v>714000</v>
      </c>
      <c r="Q647" s="265">
        <f>IF(Tabla2[[#This Row],[Saldo]]=0,0,IF(Tabla2[[#This Row],[Tipo cliente]]="PJ",Tabla2[[#This Row],[SUBTOTAL]]*11%,0))</f>
        <v>66000</v>
      </c>
      <c r="R647" s="276">
        <f>IF(Tabla2[[#This Row],[Saldo]]=0,0,IF(Tabla2[[#This Row],[Tipo cliente]]="PJ",Tabla2[[#This Row],[SUBTOTAL]]*0.966%,0))</f>
        <v>5796</v>
      </c>
      <c r="S647" s="276">
        <f>IF(Tabla2[[#This Row],[Retiene IVA]]="S",Tabla2[[#This Row],[IVA]]*0.15,0)</f>
        <v>0</v>
      </c>
      <c r="T647" s="265"/>
      <c r="U64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47" s="23">
        <f>IF(Tabla2[[#This Row],[Fecha F.E.]]="","",YEAR(Tabla2[[#This Row],[Fecha F.E.]]))</f>
        <v>2026</v>
      </c>
      <c r="X647" s="23">
        <f>IF(Tabla2[[#This Row],[Fecha]]="","",YEAR(Tabla2[[#This Row],[Fecha]]))</f>
        <v>2026</v>
      </c>
    </row>
    <row r="648" spans="1:24" x14ac:dyDescent="0.25">
      <c r="A648" s="3">
        <v>651</v>
      </c>
      <c r="B648" s="77" t="s">
        <v>833</v>
      </c>
      <c r="C648" s="360">
        <v>46062</v>
      </c>
      <c r="D648" s="76" t="s">
        <v>2039</v>
      </c>
      <c r="E648" s="360">
        <v>46062</v>
      </c>
      <c r="F648" s="78" t="s">
        <v>231</v>
      </c>
      <c r="G648" s="85">
        <v>830103479</v>
      </c>
      <c r="H648" s="177" t="str">
        <f>VLOOKUP(Tabla2[[#This Row],[NIT]],Clientes!A:C,2,0)</f>
        <v>CONTROLAR SALUD INTEGRAL SAS</v>
      </c>
      <c r="I648" s="77" t="str">
        <f>VLOOKUP(Tabla2[[#This Row],[NIT]],Clientes!A:C,3,0)</f>
        <v>PJ</v>
      </c>
      <c r="J648" s="77"/>
      <c r="K648" s="267">
        <f>SUMIFS(Tabla4[Sub Total],Tabla4[Codigo],Tabla2[[#This Row],[Cod]])</f>
        <v>600000</v>
      </c>
      <c r="L648" s="262">
        <f>SUMPRODUCT((Tabla4[Codigo]=Tabla2[[#This Row],[Cod]])*1,Tabla4[IVA])</f>
        <v>114000</v>
      </c>
      <c r="M648" s="262">
        <f>SUMIFS(Tabla4[Total],Tabla4[Codigo],Tabla2[[#This Row],[Cod]])</f>
        <v>714000</v>
      </c>
      <c r="N648" s="278">
        <f>SUMPRODUCT((Tabla1[Codigo]=Tabla2[[#This Row],[Cod]])*1,Tabla1[Valor])</f>
        <v>0</v>
      </c>
      <c r="O648" s="265">
        <f>IF(AND(Tabla2[[#This Row],[Estado]]="ok",LEFT(Tabla2[[#This Row],['# Factura]],3)="TIS"),Tabla2[[#This Row],[TOTAL]]-Tabla2[[#This Row],[pagado]],0)</f>
        <v>714000</v>
      </c>
      <c r="P648" s="262">
        <f>Tabla2[[#This Row],[TOTAL]]-Tabla2[[#This Row],[Valor pago]]</f>
        <v>714000</v>
      </c>
      <c r="Q648" s="265">
        <f>IF(Tabla2[[#This Row],[Saldo]]=0,0,IF(Tabla2[[#This Row],[Tipo cliente]]="PJ",Tabla2[[#This Row],[SUBTOTAL]]*11%,0))</f>
        <v>66000</v>
      </c>
      <c r="R648" s="276">
        <f>IF(Tabla2[[#This Row],[Saldo]]=0,0,IF(Tabla2[[#This Row],[Tipo cliente]]="PJ",Tabla2[[#This Row],[SUBTOTAL]]*0.966%,0))</f>
        <v>5796</v>
      </c>
      <c r="S648" s="276">
        <f>IF(Tabla2[[#This Row],[Retiene IVA]]="S",Tabla2[[#This Row],[IVA]]*0.15,0)</f>
        <v>0</v>
      </c>
      <c r="T648" s="265"/>
      <c r="U64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48" s="23">
        <f>IF(Tabla2[[#This Row],[Fecha F.E.]]="","",YEAR(Tabla2[[#This Row],[Fecha F.E.]]))</f>
        <v>2026</v>
      </c>
      <c r="X648" s="23">
        <f>IF(Tabla2[[#This Row],[Fecha]]="","",YEAR(Tabla2[[#This Row],[Fecha]]))</f>
        <v>2026</v>
      </c>
    </row>
    <row r="649" spans="1:24" x14ac:dyDescent="0.25">
      <c r="A649" s="3">
        <v>652</v>
      </c>
      <c r="B649" s="77" t="s">
        <v>885</v>
      </c>
      <c r="C649" s="360">
        <v>46062</v>
      </c>
      <c r="D649" s="76" t="s">
        <v>2040</v>
      </c>
      <c r="E649" s="360">
        <v>46062</v>
      </c>
      <c r="F649" s="78" t="s">
        <v>231</v>
      </c>
      <c r="G649" s="85">
        <v>901151199</v>
      </c>
      <c r="H649" s="177" t="str">
        <f>VLOOKUP(Tabla2[[#This Row],[NIT]],Clientes!A:C,2,0)</f>
        <v>EPITHINK HEALTH CONSULTING S.A.S.</v>
      </c>
      <c r="I649" s="77" t="str">
        <f>VLOOKUP(Tabla2[[#This Row],[NIT]],Clientes!A:C,3,0)</f>
        <v>PJ</v>
      </c>
      <c r="J649" s="77"/>
      <c r="K649" s="267">
        <f>SUMIFS(Tabla4[Sub Total],Tabla4[Codigo],Tabla2[[#This Row],[Cod]])</f>
        <v>1800000</v>
      </c>
      <c r="L649" s="262">
        <f>SUMPRODUCT((Tabla4[Codigo]=Tabla2[[#This Row],[Cod]])*1,Tabla4[IVA])</f>
        <v>342000</v>
      </c>
      <c r="M649" s="262">
        <f>SUMIFS(Tabla4[Total],Tabla4[Codigo],Tabla2[[#This Row],[Cod]])</f>
        <v>2142000</v>
      </c>
      <c r="N649" s="278">
        <f>SUMPRODUCT((Tabla1[Codigo]=Tabla2[[#This Row],[Cod]])*1,Tabla1[Valor])</f>
        <v>2052612</v>
      </c>
      <c r="O649" s="265">
        <f>IF(AND(Tabla2[[#This Row],[Estado]]="ok",LEFT(Tabla2[[#This Row],['# Factura]],3)="TIS"),Tabla2[[#This Row],[TOTAL]]-Tabla2[[#This Row],[pagado]],0)</f>
        <v>-126000</v>
      </c>
      <c r="P649" s="262">
        <f>Tabla2[[#This Row],[TOTAL]]-Tabla2[[#This Row],[Valor pago]]</f>
        <v>89388</v>
      </c>
      <c r="Q649" s="265">
        <f>IF(Tabla2[[#This Row],[Saldo]]=0,0,IF(Tabla2[[#This Row],[Tipo cliente]]="PJ",Tabla2[[#This Row],[SUBTOTAL]]*11%,0))</f>
        <v>198000</v>
      </c>
      <c r="R649" s="276">
        <f>IF(Tabla2[[#This Row],[Saldo]]=0,0,IF(Tabla2[[#This Row],[Tipo cliente]]="PJ",Tabla2[[#This Row],[SUBTOTAL]]*0.966%,0))</f>
        <v>17388</v>
      </c>
      <c r="S649" s="276">
        <f>IF(Tabla2[[#This Row],[Retiene IVA]]="S",Tabla2[[#This Row],[IVA]]*0.15,0)</f>
        <v>0</v>
      </c>
      <c r="T649" s="265"/>
      <c r="U64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2268000</v>
      </c>
      <c r="W649" s="23">
        <f>IF(Tabla2[[#This Row],[Fecha F.E.]]="","",YEAR(Tabla2[[#This Row],[Fecha F.E.]]))</f>
        <v>2026</v>
      </c>
      <c r="X649" s="23">
        <f>IF(Tabla2[[#This Row],[Fecha]]="","",YEAR(Tabla2[[#This Row],[Fecha]]))</f>
        <v>2026</v>
      </c>
    </row>
    <row r="650" spans="1:24" x14ac:dyDescent="0.25">
      <c r="A650" s="3">
        <v>653</v>
      </c>
      <c r="B650" s="77" t="s">
        <v>887</v>
      </c>
      <c r="C650" s="360">
        <v>46064</v>
      </c>
      <c r="D650" s="76" t="s">
        <v>2041</v>
      </c>
      <c r="E650" s="360">
        <v>46064</v>
      </c>
      <c r="F650" s="78" t="s">
        <v>231</v>
      </c>
      <c r="G650" s="85">
        <v>4446779</v>
      </c>
      <c r="H650" s="177" t="str">
        <f>VLOOKUP(Tabla2[[#This Row],[NIT]],Clientes!A:C,2,0)</f>
        <v>ELKIN EDUARDO ORTIZ ORTIZ</v>
      </c>
      <c r="I650" s="77" t="str">
        <f>VLOOKUP(Tabla2[[#This Row],[NIT]],Clientes!A:C,3,0)</f>
        <v>PN</v>
      </c>
      <c r="J650" s="77"/>
      <c r="K650" s="267">
        <f>SUMIFS(Tabla4[Sub Total],Tabla4[Codigo],Tabla2[[#This Row],[Cod]])</f>
        <v>5600000</v>
      </c>
      <c r="L650" s="262">
        <f>SUMPRODUCT((Tabla4[Codigo]=Tabla2[[#This Row],[Cod]])*1,Tabla4[IVA])</f>
        <v>1064000</v>
      </c>
      <c r="M650" s="262">
        <f>SUMIFS(Tabla4[Total],Tabla4[Codigo],Tabla2[[#This Row],[Cod]])</f>
        <v>6664000</v>
      </c>
      <c r="N650" s="278">
        <f>SUMPRODUCT((Tabla1[Codigo]=Tabla2[[#This Row],[Cod]])*1,Tabla1[Valor])</f>
        <v>6664000</v>
      </c>
      <c r="O650" s="265">
        <f>IF(AND(Tabla2[[#This Row],[Estado]]="ok",LEFT(Tabla2[[#This Row],['# Factura]],3)="TIS"),Tabla2[[#This Row],[TOTAL]]-Tabla2[[#This Row],[pagado]],0)</f>
        <v>0</v>
      </c>
      <c r="P650" s="262">
        <f>Tabla2[[#This Row],[TOTAL]]-Tabla2[[#This Row],[Valor pago]]</f>
        <v>0</v>
      </c>
      <c r="Q650" s="265">
        <f>IF(Tabla2[[#This Row],[Saldo]]=0,0,IF(Tabla2[[#This Row],[Tipo cliente]]="PJ",Tabla2[[#This Row],[SUBTOTAL]]*11%,0))</f>
        <v>0</v>
      </c>
      <c r="R650" s="276">
        <f>IF(Tabla2[[#This Row],[Saldo]]=0,0,IF(Tabla2[[#This Row],[Tipo cliente]]="PJ",Tabla2[[#This Row],[SUBTOTAL]]*0.966%,0))</f>
        <v>0</v>
      </c>
      <c r="S650" s="276">
        <f>IF(Tabla2[[#This Row],[Retiene IVA]]="S",Tabla2[[#This Row],[IVA]]*0.15,0)</f>
        <v>0</v>
      </c>
      <c r="T650" s="265"/>
      <c r="U65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6664000</v>
      </c>
      <c r="W650" s="23">
        <f>IF(Tabla2[[#This Row],[Fecha F.E.]]="","",YEAR(Tabla2[[#This Row],[Fecha F.E.]]))</f>
        <v>2026</v>
      </c>
      <c r="X650" s="23">
        <f>IF(Tabla2[[#This Row],[Fecha]]="","",YEAR(Tabla2[[#This Row],[Fecha]]))</f>
        <v>2026</v>
      </c>
    </row>
    <row r="651" spans="1:24" x14ac:dyDescent="0.25">
      <c r="A651" s="325">
        <v>654</v>
      </c>
      <c r="B651" s="226" t="s">
        <v>889</v>
      </c>
      <c r="C651" s="327">
        <v>46064</v>
      </c>
      <c r="D651" s="170" t="s">
        <v>2042</v>
      </c>
      <c r="E651" s="327">
        <v>46064</v>
      </c>
      <c r="F651" s="241" t="s">
        <v>231</v>
      </c>
      <c r="G651" s="329">
        <v>830057687</v>
      </c>
      <c r="H651" s="226" t="str">
        <f>VLOOKUP(Tabla2[[#This Row],[NIT]],Clientes!A:C,2,0)</f>
        <v>ATECNO S.A.S</v>
      </c>
      <c r="I651" s="226" t="str">
        <f>VLOOKUP(Tabla2[[#This Row],[NIT]],Clientes!A:C,3,0)</f>
        <v>PJ</v>
      </c>
      <c r="J651" s="226"/>
      <c r="K651" s="330">
        <f>SUMIFS(Tabla4[Sub Total],Tabla4[Codigo],Tabla2[[#This Row],[Cod]])</f>
        <v>4890000</v>
      </c>
      <c r="L651" s="280">
        <f>SUMPRODUCT((Tabla4[Codigo]=Tabla2[[#This Row],[Cod]])*1,Tabla4[IVA])</f>
        <v>929100</v>
      </c>
      <c r="M651" s="280">
        <f>SUMIFS(Tabla4[Total],Tabla4[Codigo],Tabla2[[#This Row],[Cod]])</f>
        <v>5819100</v>
      </c>
      <c r="N651" s="331">
        <f>SUMPRODUCT((Tabla1[Codigo]=Tabla2[[#This Row],[Cod]])*1,Tabla1[Valor])</f>
        <v>324000</v>
      </c>
      <c r="O651" s="332">
        <f>IF(AND(Tabla2[[#This Row],[Estado]]="ok",LEFT(Tabla2[[#This Row],['# Factura]],3)="TIS"),Tabla2[[#This Row],[TOTAL]]-Tabla2[[#This Row],[pagado]],0)</f>
        <v>4909962.5999999996</v>
      </c>
      <c r="P651" s="280">
        <f>Tabla2[[#This Row],[TOTAL]]-Tabla2[[#This Row],[Valor pago]]</f>
        <v>5495100</v>
      </c>
      <c r="Q651" s="265">
        <f>IF(Tabla2[[#This Row],[Saldo]]=0,0,IF(Tabla2[[#This Row],[Tipo cliente]]="PJ",Tabla2[[#This Row],[SUBTOTAL]]*11%,0))</f>
        <v>537900</v>
      </c>
      <c r="R651" s="276">
        <f>IF(Tabla2[[#This Row],[Saldo]]=0,0,IF(Tabla2[[#This Row],[Tipo cliente]]="PJ",Tabla2[[#This Row],[SUBTOTAL]]*0.966%,0))</f>
        <v>47237.4</v>
      </c>
      <c r="S651" s="276">
        <f>IF(Tabla2[[#This Row],[Retiene IVA]]="S",Tabla2[[#This Row],[IVA]]*0.15,0)</f>
        <v>0</v>
      </c>
      <c r="T651" s="265"/>
      <c r="U65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909137.4</v>
      </c>
      <c r="W651" s="23">
        <f>IF(Tabla2[[#This Row],[Fecha F.E.]]="","",YEAR(Tabla2[[#This Row],[Fecha F.E.]]))</f>
        <v>2026</v>
      </c>
      <c r="X651" s="23">
        <f>IF(Tabla2[[#This Row],[Fecha]]="","",YEAR(Tabla2[[#This Row],[Fecha]]))</f>
        <v>2026</v>
      </c>
    </row>
    <row r="652" spans="1:24" x14ac:dyDescent="0.25">
      <c r="A652" s="3">
        <v>655</v>
      </c>
      <c r="B652" s="77" t="s">
        <v>891</v>
      </c>
      <c r="C652" s="360">
        <v>46069</v>
      </c>
      <c r="D652" s="76" t="s">
        <v>2043</v>
      </c>
      <c r="E652" s="360">
        <v>46069</v>
      </c>
      <c r="F652" s="78" t="s">
        <v>231</v>
      </c>
      <c r="G652" s="85">
        <v>830103479</v>
      </c>
      <c r="H652" s="177" t="str">
        <f>VLOOKUP(Tabla2[[#This Row],[NIT]],Clientes!A:C,2,0)</f>
        <v>CONTROLAR SALUD INTEGRAL SAS</v>
      </c>
      <c r="I652" s="77" t="str">
        <f>VLOOKUP(Tabla2[[#This Row],[NIT]],Clientes!A:C,3,0)</f>
        <v>PJ</v>
      </c>
      <c r="J652" s="77"/>
      <c r="K652" s="267">
        <f>SUMIFS(Tabla4[Sub Total],Tabla4[Codigo],Tabla2[[#This Row],[Cod]])</f>
        <v>2000000</v>
      </c>
      <c r="L652" s="262">
        <f>SUMPRODUCT((Tabla4[Codigo]=Tabla2[[#This Row],[Cod]])*1,Tabla4[IVA])</f>
        <v>0</v>
      </c>
      <c r="M652" s="262">
        <f>SUMIFS(Tabla4[Total],Tabla4[Codigo],Tabla2[[#This Row],[Cod]])</f>
        <v>2000000</v>
      </c>
      <c r="N652" s="278">
        <f>SUMPRODUCT((Tabla1[Codigo]=Tabla2[[#This Row],[Cod]])*1,Tabla1[Valor])</f>
        <v>0</v>
      </c>
      <c r="O652" s="265">
        <f>IF(AND(Tabla2[[#This Row],[Estado]]="ok",LEFT(Tabla2[[#This Row],['# Factura]],3)="TIS"),Tabla2[[#This Row],[TOTAL]]-Tabla2[[#This Row],[pagado]],0)</f>
        <v>2000000</v>
      </c>
      <c r="P652" s="262">
        <f>Tabla2[[#This Row],[TOTAL]]-Tabla2[[#This Row],[Valor pago]]</f>
        <v>2000000</v>
      </c>
      <c r="Q652" s="265">
        <f>IF(Tabla2[[#This Row],[Saldo]]=0,0,IF(Tabla2[[#This Row],[Tipo cliente]]="PJ",Tabla2[[#This Row],[SUBTOTAL]]*11%,0))</f>
        <v>220000</v>
      </c>
      <c r="R652" s="276">
        <f>IF(Tabla2[[#This Row],[Saldo]]=0,0,IF(Tabla2[[#This Row],[Tipo cliente]]="PJ",Tabla2[[#This Row],[SUBTOTAL]]*0.966%,0))</f>
        <v>19320</v>
      </c>
      <c r="S652" s="276">
        <f>IF(Tabla2[[#This Row],[Retiene IVA]]="S",Tabla2[[#This Row],[IVA]]*0.15,0)</f>
        <v>0</v>
      </c>
      <c r="T652" s="265"/>
      <c r="U65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52" s="23">
        <f>IF(Tabla2[[#This Row],[Fecha F.E.]]="","",YEAR(Tabla2[[#This Row],[Fecha F.E.]]))</f>
        <v>2026</v>
      </c>
      <c r="X652" s="23">
        <f>IF(Tabla2[[#This Row],[Fecha]]="","",YEAR(Tabla2[[#This Row],[Fecha]]))</f>
        <v>2026</v>
      </c>
    </row>
    <row r="653" spans="1:24" x14ac:dyDescent="0.25">
      <c r="A653" s="3">
        <v>656</v>
      </c>
      <c r="B653" s="77" t="s">
        <v>893</v>
      </c>
      <c r="C653" s="360">
        <v>46076</v>
      </c>
      <c r="D653" s="76" t="s">
        <v>2044</v>
      </c>
      <c r="E653" s="360">
        <v>46069</v>
      </c>
      <c r="F653" s="78" t="s">
        <v>231</v>
      </c>
      <c r="G653" s="85">
        <v>830103479</v>
      </c>
      <c r="H653" s="177" t="str">
        <f>VLOOKUP(Tabla2[[#This Row],[NIT]],Clientes!A:C,2,0)</f>
        <v>CONTROLAR SALUD INTEGRAL SAS</v>
      </c>
      <c r="I653" s="77" t="str">
        <f>VLOOKUP(Tabla2[[#This Row],[NIT]],Clientes!A:C,3,0)</f>
        <v>PJ</v>
      </c>
      <c r="J653" s="77"/>
      <c r="K653" s="267">
        <f>SUMIFS(Tabla4[Sub Total],Tabla4[Codigo],Tabla2[[#This Row],[Cod]])</f>
        <v>-2000000</v>
      </c>
      <c r="L653" s="262">
        <f>SUMPRODUCT((Tabla4[Codigo]=Tabla2[[#This Row],[Cod]])*1,Tabla4[IVA])</f>
        <v>0</v>
      </c>
      <c r="M653" s="262">
        <f>SUMIFS(Tabla4[Total],Tabla4[Codigo],Tabla2[[#This Row],[Cod]])</f>
        <v>-2000000</v>
      </c>
      <c r="N653" s="278">
        <f>SUMPRODUCT((Tabla1[Codigo]=Tabla2[[#This Row],[Cod]])*1,Tabla1[Valor])</f>
        <v>0</v>
      </c>
      <c r="O653" s="265">
        <f>IF(AND(Tabla2[[#This Row],[Estado]]="ok",LEFT(Tabla2[[#This Row],['# Factura]],3)="TIS"),Tabla2[[#This Row],[TOTAL]]-Tabla2[[#This Row],[pagado]],0)</f>
        <v>0</v>
      </c>
      <c r="P653" s="262">
        <f>Tabla2[[#This Row],[TOTAL]]-Tabla2[[#This Row],[Valor pago]]</f>
        <v>-2000000</v>
      </c>
      <c r="Q653" s="265">
        <f>IF(Tabla2[[#This Row],[Saldo]]=0,0,IF(Tabla2[[#This Row],[Tipo cliente]]="PJ",Tabla2[[#This Row],[SUBTOTAL]]*11%,0))</f>
        <v>-220000</v>
      </c>
      <c r="R653" s="276">
        <f>IF(Tabla2[[#This Row],[Saldo]]=0,0,IF(Tabla2[[#This Row],[Tipo cliente]]="PJ",Tabla2[[#This Row],[SUBTOTAL]]*0.966%,0))</f>
        <v>-19320</v>
      </c>
      <c r="S653" s="276">
        <f>IF(Tabla2[[#This Row],[Retiene IVA]]="S",Tabla2[[#This Row],[IVA]]*0.15,0)</f>
        <v>0</v>
      </c>
      <c r="T653" s="265"/>
      <c r="U65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53" s="23">
        <f>IF(Tabla2[[#This Row],[Fecha F.E.]]="","",YEAR(Tabla2[[#This Row],[Fecha F.E.]]))</f>
        <v>2026</v>
      </c>
      <c r="X653" s="23">
        <f>IF(Tabla2[[#This Row],[Fecha]]="","",YEAR(Tabla2[[#This Row],[Fecha]]))</f>
        <v>2026</v>
      </c>
    </row>
    <row r="654" spans="1:24" x14ac:dyDescent="0.25">
      <c r="A654" s="3">
        <v>657</v>
      </c>
      <c r="B654" s="77" t="s">
        <v>895</v>
      </c>
      <c r="C654" s="360">
        <v>46076</v>
      </c>
      <c r="D654" s="76" t="s">
        <v>2045</v>
      </c>
      <c r="E654" s="360">
        <v>46070</v>
      </c>
      <c r="F654" s="78" t="s">
        <v>231</v>
      </c>
      <c r="G654" s="85">
        <v>900705806</v>
      </c>
      <c r="H654" s="177" t="str">
        <f>VLOOKUP(Tabla2[[#This Row],[NIT]],Clientes!A:C,2,0)</f>
        <v>GREEN OAK SAS.</v>
      </c>
      <c r="I654" s="77" t="str">
        <f>VLOOKUP(Tabla2[[#This Row],[NIT]],Clientes!A:C,3,0)</f>
        <v>PJ</v>
      </c>
      <c r="J654" s="77"/>
      <c r="K654" s="267">
        <f>SUMIFS(Tabla4[Sub Total],Tabla4[Codigo],Tabla2[[#This Row],[Cod]])</f>
        <v>700000</v>
      </c>
      <c r="L654" s="262">
        <f>SUMPRODUCT((Tabla4[Codigo]=Tabla2[[#This Row],[Cod]])*1,Tabla4[IVA])</f>
        <v>133000</v>
      </c>
      <c r="M654" s="262">
        <f>SUMIFS(Tabla4[Total],Tabla4[Codigo],Tabla2[[#This Row],[Cod]])</f>
        <v>833000</v>
      </c>
      <c r="N654" s="278">
        <f>SUMPRODUCT((Tabla1[Codigo]=Tabla2[[#This Row],[Cod]])*1,Tabla1[Valor])</f>
        <v>798938</v>
      </c>
      <c r="O654" s="265">
        <f>IF(AND(Tabla2[[#This Row],[Estado]]="ok",LEFT(Tabla2[[#This Row],['# Factura]],3)="TIS"),Tabla2[[#This Row],[TOTAL]]-Tabla2[[#This Row],[pagado]],0)</f>
        <v>-49700</v>
      </c>
      <c r="P654" s="262">
        <f>Tabla2[[#This Row],[TOTAL]]-Tabla2[[#This Row],[Valor pago]]</f>
        <v>34062</v>
      </c>
      <c r="Q654" s="265">
        <f>IF(Tabla2[[#This Row],[Saldo]]=0,0,IF(Tabla2[[#This Row],[Tipo cliente]]="PJ",Tabla2[[#This Row],[SUBTOTAL]]*11%,0))</f>
        <v>77000</v>
      </c>
      <c r="R654" s="276">
        <f>IF(Tabla2[[#This Row],[Saldo]]=0,0,IF(Tabla2[[#This Row],[Tipo cliente]]="PJ",Tabla2[[#This Row],[SUBTOTAL]]*0.966%,0))</f>
        <v>6762</v>
      </c>
      <c r="S654" s="276">
        <f>IF(Tabla2[[#This Row],[Retiene IVA]]="S",Tabla2[[#This Row],[IVA]]*0.15,0)</f>
        <v>0</v>
      </c>
      <c r="T654" s="265"/>
      <c r="U65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882700</v>
      </c>
      <c r="W654" s="23">
        <f>IF(Tabla2[[#This Row],[Fecha F.E.]]="","",YEAR(Tabla2[[#This Row],[Fecha F.E.]]))</f>
        <v>2026</v>
      </c>
      <c r="X654" s="23">
        <f>IF(Tabla2[[#This Row],[Fecha]]="","",YEAR(Tabla2[[#This Row],[Fecha]]))</f>
        <v>2026</v>
      </c>
    </row>
    <row r="655" spans="1:24" x14ac:dyDescent="0.25">
      <c r="A655" s="3">
        <v>658</v>
      </c>
      <c r="B655" s="351" t="s">
        <v>897</v>
      </c>
      <c r="C655" s="352">
        <v>46086</v>
      </c>
      <c r="D655" s="353" t="s">
        <v>2046</v>
      </c>
      <c r="E655" s="352">
        <v>46085</v>
      </c>
      <c r="F655" s="354" t="s">
        <v>231</v>
      </c>
      <c r="G655" s="85">
        <v>860065036</v>
      </c>
      <c r="H655" s="177" t="str">
        <f>VLOOKUP(Tabla2[[#This Row],[NIT]],Clientes!A:C,2,0)</f>
        <v>HERRAMIENTAS UNIDAS S.A.S.</v>
      </c>
      <c r="I655" s="351" t="str">
        <f>VLOOKUP(Tabla2[[#This Row],[NIT]],Clientes!A:C,3,0)</f>
        <v>PJ</v>
      </c>
      <c r="J655" s="351"/>
      <c r="K655" s="355">
        <f>SUMIFS(Tabla4[Sub Total],Tabla4[Codigo],Tabla2[[#This Row],[Cod]])</f>
        <v>1300000</v>
      </c>
      <c r="L655" s="356">
        <f>SUMPRODUCT((Tabla4[Codigo]=Tabla2[[#This Row],[Cod]])*1,Tabla4[IVA])</f>
        <v>247000</v>
      </c>
      <c r="M655" s="356">
        <f>SUMIFS(Tabla4[Total],Tabla4[Codigo],Tabla2[[#This Row],[Cod]])</f>
        <v>1547000</v>
      </c>
      <c r="N655" s="278">
        <f>SUMPRODUCT((Tabla1[Codigo]=Tabla2[[#This Row],[Cod]])*1,Tabla1[Valor])</f>
        <v>1482442</v>
      </c>
      <c r="O655" s="265">
        <f>IF(AND(Tabla2[[#This Row],[Estado]]="ok",LEFT(Tabla2[[#This Row],['# Factura]],3)="TIS"),Tabla2[[#This Row],[TOTAL]]-Tabla2[[#This Row],[pagado]],0)</f>
        <v>-91000</v>
      </c>
      <c r="P655" s="356">
        <f>Tabla2[[#This Row],[TOTAL]]-Tabla2[[#This Row],[Valor pago]]</f>
        <v>64558</v>
      </c>
      <c r="Q655" s="357">
        <f>IF(Tabla2[[#This Row],[Saldo]]=0,0,IF(Tabla2[[#This Row],[Tipo cliente]]="PJ",Tabla2[[#This Row],[SUBTOTAL]]*11%,0))</f>
        <v>143000</v>
      </c>
      <c r="R655" s="358">
        <f>IF(Tabla2[[#This Row],[Saldo]]=0,0,IF(Tabla2[[#This Row],[Tipo cliente]]="PJ",Tabla2[[#This Row],[SUBTOTAL]]*0.966%,0))</f>
        <v>12558</v>
      </c>
      <c r="S655" s="358">
        <f>IF(Tabla2[[#This Row],[Retiene IVA]]="S",Tabla2[[#This Row],[IVA]]*0.15,0)</f>
        <v>0</v>
      </c>
      <c r="T655" s="265"/>
      <c r="U65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1638000</v>
      </c>
      <c r="W655" s="23">
        <f>IF(Tabla2[[#This Row],[Fecha F.E.]]="","",YEAR(Tabla2[[#This Row],[Fecha F.E.]]))</f>
        <v>2026</v>
      </c>
      <c r="X655" s="23">
        <f>IF(Tabla2[[#This Row],[Fecha]]="","",YEAR(Tabla2[[#This Row],[Fecha]]))</f>
        <v>2026</v>
      </c>
    </row>
    <row r="656" spans="1:24" x14ac:dyDescent="0.25">
      <c r="A656" s="3">
        <v>659</v>
      </c>
      <c r="B656" s="351" t="s">
        <v>899</v>
      </c>
      <c r="C656" s="352">
        <v>46086</v>
      </c>
      <c r="D656" s="353" t="s">
        <v>2047</v>
      </c>
      <c r="E656" s="352">
        <v>46085</v>
      </c>
      <c r="F656" s="354" t="s">
        <v>231</v>
      </c>
      <c r="G656" s="85">
        <v>901940570</v>
      </c>
      <c r="H656" s="177" t="str">
        <f>VLOOKUP(Tabla2[[#This Row],[NIT]],Clientes!A:C,2,0)</f>
        <v>AVAL VALOR COMPARTIDO S.A.S.</v>
      </c>
      <c r="I656" s="351" t="str">
        <f>VLOOKUP(Tabla2[[#This Row],[NIT]],Clientes!A:C,3,0)</f>
        <v>PJ</v>
      </c>
      <c r="J656" s="351"/>
      <c r="K656" s="355">
        <f>SUMIFS(Tabla4[Sub Total],Tabla4[Codigo],Tabla2[[#This Row],[Cod]])</f>
        <v>20400000</v>
      </c>
      <c r="L656" s="356">
        <f>SUMPRODUCT((Tabla4[Codigo]=Tabla2[[#This Row],[Cod]])*1,Tabla4[IVA])</f>
        <v>3876000</v>
      </c>
      <c r="M656" s="356">
        <f>SUMIFS(Tabla4[Total],Tabla4[Codigo],Tabla2[[#This Row],[Cod]])</f>
        <v>24276000</v>
      </c>
      <c r="N656" s="278">
        <f>SUMPRODUCT((Tabla1[Codigo]=Tabla2[[#This Row],[Cod]])*1,Tabla1[Valor])</f>
        <v>0</v>
      </c>
      <c r="O656" s="265">
        <f>IF(AND(Tabla2[[#This Row],[Estado]]="ok",LEFT(Tabla2[[#This Row],['# Factura]],3)="TIS"),Tabla2[[#This Row],[TOTAL]]-Tabla2[[#This Row],[pagado]],0)</f>
        <v>24276000</v>
      </c>
      <c r="P656" s="356">
        <f>Tabla2[[#This Row],[TOTAL]]-Tabla2[[#This Row],[Valor pago]]</f>
        <v>24276000</v>
      </c>
      <c r="Q656" s="357">
        <f>IF(Tabla2[[#This Row],[Saldo]]=0,0,IF(Tabla2[[#This Row],[Tipo cliente]]="PJ",Tabla2[[#This Row],[SUBTOTAL]]*11%,0))</f>
        <v>2244000</v>
      </c>
      <c r="R656" s="358">
        <f>IF(Tabla2[[#This Row],[Saldo]]=0,0,IF(Tabla2[[#This Row],[Tipo cliente]]="PJ",Tabla2[[#This Row],[SUBTOTAL]]*0.966%,0))</f>
        <v>197064</v>
      </c>
      <c r="S656" s="358">
        <f>IF(Tabla2[[#This Row],[Retiene IVA]]="S",Tabla2[[#This Row],[IVA]]*0.15,0)</f>
        <v>0</v>
      </c>
      <c r="T656" s="265"/>
      <c r="U656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56" s="23">
        <f>IF(Tabla2[[#This Row],[Fecha F.E.]]="","",YEAR(Tabla2[[#This Row],[Fecha F.E.]]))</f>
        <v>2026</v>
      </c>
      <c r="X656" s="23">
        <f>IF(Tabla2[[#This Row],[Fecha]]="","",YEAR(Tabla2[[#This Row],[Fecha]]))</f>
        <v>2026</v>
      </c>
    </row>
    <row r="657" spans="1:24" x14ac:dyDescent="0.25">
      <c r="A657" s="3">
        <v>660</v>
      </c>
      <c r="B657" s="351" t="s">
        <v>900</v>
      </c>
      <c r="C657" s="352">
        <v>46090</v>
      </c>
      <c r="D657" s="353" t="s">
        <v>2048</v>
      </c>
      <c r="E657" s="352">
        <v>46083</v>
      </c>
      <c r="F657" s="354" t="s">
        <v>231</v>
      </c>
      <c r="G657" s="85">
        <v>800028768</v>
      </c>
      <c r="H657" s="177" t="str">
        <f>VLOOKUP(Tabla2[[#This Row],[NIT]],Clientes!A:C,2,0)</f>
        <v>Comercializadora ERZ SAS</v>
      </c>
      <c r="I657" s="351" t="str">
        <f>VLOOKUP(Tabla2[[#This Row],[NIT]],Clientes!A:C,3,0)</f>
        <v>PJ</v>
      </c>
      <c r="J657" s="351"/>
      <c r="K657" s="355">
        <f>SUMIFS(Tabla4[Sub Total],Tabla4[Codigo],Tabla2[[#This Row],[Cod]])</f>
        <v>300000</v>
      </c>
      <c r="L657" s="356">
        <f>SUMPRODUCT((Tabla4[Codigo]=Tabla2[[#This Row],[Cod]])*1,Tabla4[IVA])</f>
        <v>57000</v>
      </c>
      <c r="M657" s="356">
        <f>SUMIFS(Tabla4[Total],Tabla4[Codigo],Tabla2[[#This Row],[Cod]])</f>
        <v>357000</v>
      </c>
      <c r="N657" s="278">
        <f>SUMPRODUCT((Tabla1[Codigo]=Tabla2[[#This Row],[Cod]])*1,Tabla1[Valor])</f>
        <v>0</v>
      </c>
      <c r="O657" s="265">
        <f>IF(AND(Tabla2[[#This Row],[Estado]]="ok",LEFT(Tabla2[[#This Row],['# Factura]],3)="TIS"),Tabla2[[#This Row],[TOTAL]]-Tabla2[[#This Row],[pagado]],0)</f>
        <v>357000</v>
      </c>
      <c r="P657" s="356">
        <f>Tabla2[[#This Row],[TOTAL]]-Tabla2[[#This Row],[Valor pago]]</f>
        <v>357000</v>
      </c>
      <c r="Q657" s="357">
        <f>IF(Tabla2[[#This Row],[Saldo]]=0,0,IF(Tabla2[[#This Row],[Tipo cliente]]="PJ",Tabla2[[#This Row],[SUBTOTAL]]*11%,0))</f>
        <v>33000</v>
      </c>
      <c r="R657" s="358">
        <f>IF(Tabla2[[#This Row],[Saldo]]=0,0,IF(Tabla2[[#This Row],[Tipo cliente]]="PJ",Tabla2[[#This Row],[SUBTOTAL]]*0.966%,0))</f>
        <v>2898</v>
      </c>
      <c r="S657" s="358">
        <f>IF(Tabla2[[#This Row],[Retiene IVA]]="S",Tabla2[[#This Row],[IVA]]*0.15,0)</f>
        <v>0</v>
      </c>
      <c r="T657" s="265"/>
      <c r="U657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57" s="23">
        <f>IF(Tabla2[[#This Row],[Fecha F.E.]]="","",YEAR(Tabla2[[#This Row],[Fecha F.E.]]))</f>
        <v>2026</v>
      </c>
      <c r="X657" s="23">
        <f>IF(Tabla2[[#This Row],[Fecha]]="","",YEAR(Tabla2[[#This Row],[Fecha]]))</f>
        <v>2026</v>
      </c>
    </row>
    <row r="658" spans="1:24" x14ac:dyDescent="0.25">
      <c r="A658" s="3">
        <v>661</v>
      </c>
      <c r="B658" s="351" t="s">
        <v>903</v>
      </c>
      <c r="C658" s="352">
        <v>46090</v>
      </c>
      <c r="D658" s="353" t="s">
        <v>2049</v>
      </c>
      <c r="E658" s="352">
        <v>46083</v>
      </c>
      <c r="F658" s="354" t="s">
        <v>231</v>
      </c>
      <c r="G658" s="85">
        <v>800028768</v>
      </c>
      <c r="H658" s="177" t="s">
        <v>65</v>
      </c>
      <c r="I658" s="351" t="str">
        <f>VLOOKUP(Tabla2[[#This Row],[NIT]],Clientes!A:C,3,0)</f>
        <v>PJ</v>
      </c>
      <c r="J658" s="351"/>
      <c r="K658" s="355">
        <f>SUMIFS(Tabla4[Sub Total],Tabla4[Codigo],Tabla2[[#This Row],[Cod]])</f>
        <v>300000</v>
      </c>
      <c r="L658" s="356">
        <f>SUMPRODUCT((Tabla4[Codigo]=Tabla2[[#This Row],[Cod]])*1,Tabla4[IVA])</f>
        <v>57000</v>
      </c>
      <c r="M658" s="356">
        <f>SUMIFS(Tabla4[Total],Tabla4[Codigo],Tabla2[[#This Row],[Cod]])</f>
        <v>357000</v>
      </c>
      <c r="N658" s="278">
        <f>SUMPRODUCT((Tabla1[Codigo]=Tabla2[[#This Row],[Cod]])*1,Tabla1[Valor])</f>
        <v>0</v>
      </c>
      <c r="O658" s="265">
        <f>IF(AND(Tabla2[[#This Row],[Estado]]="ok",LEFT(Tabla2[[#This Row],['# Factura]],3)="TIS"),Tabla2[[#This Row],[TOTAL]]-Tabla2[[#This Row],[pagado]],0)</f>
        <v>357000</v>
      </c>
      <c r="P658" s="356">
        <f>Tabla2[[#This Row],[TOTAL]]-Tabla2[[#This Row],[Valor pago]]</f>
        <v>357000</v>
      </c>
      <c r="Q658" s="357">
        <f>IF(Tabla2[[#This Row],[Saldo]]=0,0,IF(Tabla2[[#This Row],[Tipo cliente]]="PJ",Tabla2[[#This Row],[SUBTOTAL]]*11%,0))</f>
        <v>33000</v>
      </c>
      <c r="R658" s="358">
        <f>IF(Tabla2[[#This Row],[Saldo]]=0,0,IF(Tabla2[[#This Row],[Tipo cliente]]="PJ",Tabla2[[#This Row],[SUBTOTAL]]*0.966%,0))</f>
        <v>2898</v>
      </c>
      <c r="S658" s="358">
        <f>IF(Tabla2[[#This Row],[Retiene IVA]]="S",Tabla2[[#This Row],[IVA]]*0.15,0)</f>
        <v>0</v>
      </c>
      <c r="T658" s="265"/>
      <c r="U658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58" s="23">
        <f>IF(Tabla2[[#This Row],[Fecha F.E.]]="","",YEAR(Tabla2[[#This Row],[Fecha F.E.]]))</f>
        <v>2026</v>
      </c>
      <c r="X658" s="23">
        <f>IF(Tabla2[[#This Row],[Fecha]]="","",YEAR(Tabla2[[#This Row],[Fecha]]))</f>
        <v>2026</v>
      </c>
    </row>
    <row r="659" spans="1:24" x14ac:dyDescent="0.25">
      <c r="A659" s="3">
        <v>662</v>
      </c>
      <c r="B659" s="351" t="s">
        <v>905</v>
      </c>
      <c r="C659" s="352">
        <v>46090</v>
      </c>
      <c r="D659" s="353" t="s">
        <v>2050</v>
      </c>
      <c r="E659" s="352">
        <v>46083</v>
      </c>
      <c r="F659" s="354" t="s">
        <v>231</v>
      </c>
      <c r="G659" s="85">
        <v>901342609</v>
      </c>
      <c r="H659" s="177" t="str">
        <f>VLOOKUP(Tabla2[[#This Row],[NIT]],Clientes!A:C,2,0)</f>
        <v>ROYCO SOLUCIONES SAS</v>
      </c>
      <c r="I659" s="351" t="str">
        <f>VLOOKUP(Tabla2[[#This Row],[NIT]],Clientes!A:C,3,0)</f>
        <v>PJ</v>
      </c>
      <c r="J659" s="351"/>
      <c r="K659" s="355">
        <f>SUMIFS(Tabla4[Sub Total],Tabla4[Codigo],Tabla2[[#This Row],[Cod]])</f>
        <v>300000</v>
      </c>
      <c r="L659" s="356">
        <f>SUMPRODUCT((Tabla4[Codigo]=Tabla2[[#This Row],[Cod]])*1,Tabla4[IVA])</f>
        <v>57000</v>
      </c>
      <c r="M659" s="356">
        <f>SUMIFS(Tabla4[Total],Tabla4[Codigo],Tabla2[[#This Row],[Cod]])</f>
        <v>357000</v>
      </c>
      <c r="N659" s="278">
        <f>SUMPRODUCT((Tabla1[Codigo]=Tabla2[[#This Row],[Cod]])*1,Tabla1[Valor])</f>
        <v>0</v>
      </c>
      <c r="O659" s="265">
        <f>IF(AND(Tabla2[[#This Row],[Estado]]="ok",LEFT(Tabla2[[#This Row],['# Factura]],3)="TIS"),Tabla2[[#This Row],[TOTAL]]-Tabla2[[#This Row],[pagado]],0)</f>
        <v>357000</v>
      </c>
      <c r="P659" s="356">
        <f>Tabla2[[#This Row],[TOTAL]]-Tabla2[[#This Row],[Valor pago]]</f>
        <v>357000</v>
      </c>
      <c r="Q659" s="357">
        <f>IF(Tabla2[[#This Row],[Saldo]]=0,0,IF(Tabla2[[#This Row],[Tipo cliente]]="PJ",Tabla2[[#This Row],[SUBTOTAL]]*11%,0))</f>
        <v>33000</v>
      </c>
      <c r="R659" s="358">
        <f>IF(Tabla2[[#This Row],[Saldo]]=0,0,IF(Tabla2[[#This Row],[Tipo cliente]]="PJ",Tabla2[[#This Row],[SUBTOTAL]]*0.966%,0))</f>
        <v>2898</v>
      </c>
      <c r="S659" s="358">
        <f>IF(Tabla2[[#This Row],[Retiene IVA]]="S",Tabla2[[#This Row],[IVA]]*0.15,0)</f>
        <v>0</v>
      </c>
      <c r="T659" s="265"/>
      <c r="U659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59" s="23">
        <f>IF(Tabla2[[#This Row],[Fecha F.E.]]="","",YEAR(Tabla2[[#This Row],[Fecha F.E.]]))</f>
        <v>2026</v>
      </c>
      <c r="X659" s="23">
        <f>IF(Tabla2[[#This Row],[Fecha]]="","",YEAR(Tabla2[[#This Row],[Fecha]]))</f>
        <v>2026</v>
      </c>
    </row>
    <row r="660" spans="1:24" x14ac:dyDescent="0.25">
      <c r="A660" s="3">
        <v>663</v>
      </c>
      <c r="B660" s="351" t="s">
        <v>907</v>
      </c>
      <c r="C660" s="352">
        <v>46090</v>
      </c>
      <c r="D660" s="353" t="s">
        <v>2051</v>
      </c>
      <c r="E660" s="352">
        <v>46083</v>
      </c>
      <c r="F660" s="354" t="s">
        <v>231</v>
      </c>
      <c r="G660" s="85">
        <v>901700940</v>
      </c>
      <c r="H660" s="177" t="str">
        <f>VLOOKUP(Tabla2[[#This Row],[NIT]],Clientes!A:C,2,0)</f>
        <v>AND TOPOGRAFIA E INGENIERIA SAS</v>
      </c>
      <c r="I660" s="351" t="str">
        <f>VLOOKUP(Tabla2[[#This Row],[NIT]],Clientes!A:C,3,0)</f>
        <v>PJ</v>
      </c>
      <c r="J660" s="351"/>
      <c r="K660" s="355">
        <f>SUMIFS(Tabla4[Sub Total],Tabla4[Codigo],Tabla2[[#This Row],[Cod]])</f>
        <v>300000</v>
      </c>
      <c r="L660" s="356">
        <f>SUMPRODUCT((Tabla4[Codigo]=Tabla2[[#This Row],[Cod]])*1,Tabla4[IVA])</f>
        <v>0</v>
      </c>
      <c r="M660" s="356">
        <f>SUMIFS(Tabla4[Total],Tabla4[Codigo],Tabla2[[#This Row],[Cod]])</f>
        <v>300000</v>
      </c>
      <c r="N660" s="278">
        <f>SUMPRODUCT((Tabla1[Codigo]=Tabla2[[#This Row],[Cod]])*1,Tabla1[Valor])</f>
        <v>0</v>
      </c>
      <c r="O660" s="265">
        <f>IF(AND(Tabla2[[#This Row],[Estado]]="ok",LEFT(Tabla2[[#This Row],['# Factura]],3)="TIS"),Tabla2[[#This Row],[TOTAL]]-Tabla2[[#This Row],[pagado]],0)</f>
        <v>300000</v>
      </c>
      <c r="P660" s="356">
        <f>Tabla2[[#This Row],[TOTAL]]-Tabla2[[#This Row],[Valor pago]]</f>
        <v>300000</v>
      </c>
      <c r="Q660" s="357">
        <f>IF(Tabla2[[#This Row],[Saldo]]=0,0,IF(Tabla2[[#This Row],[Tipo cliente]]="PJ",Tabla2[[#This Row],[SUBTOTAL]]*11%,0))</f>
        <v>33000</v>
      </c>
      <c r="R660" s="358">
        <f>IF(Tabla2[[#This Row],[Saldo]]=0,0,IF(Tabla2[[#This Row],[Tipo cliente]]="PJ",Tabla2[[#This Row],[SUBTOTAL]]*0.966%,0))</f>
        <v>2898</v>
      </c>
      <c r="S660" s="358">
        <f>IF(Tabla2[[#This Row],[Retiene IVA]]="S",Tabla2[[#This Row],[IVA]]*0.15,0)</f>
        <v>0</v>
      </c>
      <c r="T660" s="265"/>
      <c r="U660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60" s="23">
        <f>IF(Tabla2[[#This Row],[Fecha F.E.]]="","",YEAR(Tabla2[[#This Row],[Fecha F.E.]]))</f>
        <v>2026</v>
      </c>
      <c r="X660" s="23">
        <f>IF(Tabla2[[#This Row],[Fecha]]="","",YEAR(Tabla2[[#This Row],[Fecha]]))</f>
        <v>2026</v>
      </c>
    </row>
    <row r="661" spans="1:24" x14ac:dyDescent="0.25">
      <c r="A661" s="3">
        <v>664</v>
      </c>
      <c r="B661" s="351" t="s">
        <v>909</v>
      </c>
      <c r="C661" s="352">
        <v>46090</v>
      </c>
      <c r="D661" s="353" t="s">
        <v>2052</v>
      </c>
      <c r="E661" s="352">
        <v>46083</v>
      </c>
      <c r="F661" s="354" t="s">
        <v>231</v>
      </c>
      <c r="G661" s="85">
        <v>901030518</v>
      </c>
      <c r="H661" s="177" t="str">
        <f>VLOOKUP(Tabla2[[#This Row],[NIT]],Clientes!A:C,2,0)</f>
        <v>Inversiones Sajamib SAS</v>
      </c>
      <c r="I661" s="351" t="str">
        <f>VLOOKUP(Tabla2[[#This Row],[NIT]],Clientes!A:C,3,0)</f>
        <v>PJ</v>
      </c>
      <c r="J661" s="351"/>
      <c r="K661" s="355">
        <f>SUMIFS(Tabla4[Sub Total],Tabla4[Codigo],Tabla2[[#This Row],[Cod]])</f>
        <v>480000</v>
      </c>
      <c r="L661" s="356">
        <f>SUMPRODUCT((Tabla4[Codigo]=Tabla2[[#This Row],[Cod]])*1,Tabla4[IVA])</f>
        <v>0</v>
      </c>
      <c r="M661" s="356">
        <f>SUMIFS(Tabla4[Total],Tabla4[Codigo],Tabla2[[#This Row],[Cod]])</f>
        <v>480000</v>
      </c>
      <c r="N661" s="278">
        <f>SUMPRODUCT((Tabla1[Codigo]=Tabla2[[#This Row],[Cod]])*1,Tabla1[Valor])</f>
        <v>0</v>
      </c>
      <c r="O661" s="265">
        <f>IF(AND(Tabla2[[#This Row],[Estado]]="ok",LEFT(Tabla2[[#This Row],['# Factura]],3)="TIS"),Tabla2[[#This Row],[TOTAL]]-Tabla2[[#This Row],[pagado]],0)</f>
        <v>480000</v>
      </c>
      <c r="P661" s="356">
        <f>Tabla2[[#This Row],[TOTAL]]-Tabla2[[#This Row],[Valor pago]]</f>
        <v>480000</v>
      </c>
      <c r="Q661" s="357">
        <f>IF(Tabla2[[#This Row],[Saldo]]=0,0,IF(Tabla2[[#This Row],[Tipo cliente]]="PJ",Tabla2[[#This Row],[SUBTOTAL]]*11%,0))</f>
        <v>52800</v>
      </c>
      <c r="R661" s="358">
        <f>IF(Tabla2[[#This Row],[Saldo]]=0,0,IF(Tabla2[[#This Row],[Tipo cliente]]="PJ",Tabla2[[#This Row],[SUBTOTAL]]*0.966%,0))</f>
        <v>4636.8</v>
      </c>
      <c r="S661" s="358">
        <f>IF(Tabla2[[#This Row],[Retiene IVA]]="S",Tabla2[[#This Row],[IVA]]*0.15,0)</f>
        <v>0</v>
      </c>
      <c r="T661" s="265"/>
      <c r="U661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61" s="23">
        <f>IF(Tabla2[[#This Row],[Fecha F.E.]]="","",YEAR(Tabla2[[#This Row],[Fecha F.E.]]))</f>
        <v>2026</v>
      </c>
      <c r="X661" s="23">
        <f>IF(Tabla2[[#This Row],[Fecha]]="","",YEAR(Tabla2[[#This Row],[Fecha]]))</f>
        <v>2026</v>
      </c>
    </row>
    <row r="662" spans="1:24" x14ac:dyDescent="0.25">
      <c r="A662" s="3">
        <v>665</v>
      </c>
      <c r="B662" s="351" t="s">
        <v>911</v>
      </c>
      <c r="C662" s="352">
        <v>46090</v>
      </c>
      <c r="D662" s="353" t="s">
        <v>2053</v>
      </c>
      <c r="E662" s="352">
        <v>46083</v>
      </c>
      <c r="F662" s="354" t="s">
        <v>231</v>
      </c>
      <c r="G662" s="85">
        <v>900903463</v>
      </c>
      <c r="H662" s="177" t="str">
        <f>VLOOKUP(Tabla2[[#This Row],[NIT]],Clientes!A:C,2,0)</f>
        <v>SOLUCIONES CREATIVAS Y TURÍSTICAS</v>
      </c>
      <c r="I662" s="351" t="str">
        <f>VLOOKUP(Tabla2[[#This Row],[NIT]],Clientes!A:C,3,0)</f>
        <v>PJ</v>
      </c>
      <c r="J662" s="351"/>
      <c r="K662" s="355">
        <f>SUMIFS(Tabla4[Sub Total],Tabla4[Codigo],Tabla2[[#This Row],[Cod]])</f>
        <v>1000000</v>
      </c>
      <c r="L662" s="356">
        <f>SUMPRODUCT((Tabla4[Codigo]=Tabla2[[#This Row],[Cod]])*1,Tabla4[IVA])</f>
        <v>190000</v>
      </c>
      <c r="M662" s="356">
        <f>SUMIFS(Tabla4[Total],Tabla4[Codigo],Tabla2[[#This Row],[Cod]])</f>
        <v>1190000</v>
      </c>
      <c r="N662" s="278">
        <f>SUMPRODUCT((Tabla1[Codigo]=Tabla2[[#This Row],[Cod]])*1,Tabla1[Valor])</f>
        <v>0</v>
      </c>
      <c r="O662" s="265">
        <f>IF(AND(Tabla2[[#This Row],[Estado]]="ok",LEFT(Tabla2[[#This Row],['# Factura]],3)="TIS"),Tabla2[[#This Row],[TOTAL]]-Tabla2[[#This Row],[pagado]],0)</f>
        <v>1190000</v>
      </c>
      <c r="P662" s="356">
        <f>Tabla2[[#This Row],[TOTAL]]-Tabla2[[#This Row],[Valor pago]]</f>
        <v>1190000</v>
      </c>
      <c r="Q662" s="357">
        <f>IF(Tabla2[[#This Row],[Saldo]]=0,0,IF(Tabla2[[#This Row],[Tipo cliente]]="PJ",Tabla2[[#This Row],[SUBTOTAL]]*11%,0))</f>
        <v>110000</v>
      </c>
      <c r="R662" s="358">
        <f>IF(Tabla2[[#This Row],[Saldo]]=0,0,IF(Tabla2[[#This Row],[Tipo cliente]]="PJ",Tabla2[[#This Row],[SUBTOTAL]]*0.966%,0))</f>
        <v>9660</v>
      </c>
      <c r="S662" s="358">
        <f>IF(Tabla2[[#This Row],[Retiene IVA]]="S",Tabla2[[#This Row],[IVA]]*0.15,0)</f>
        <v>0</v>
      </c>
      <c r="T662" s="265"/>
      <c r="U662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62" s="23">
        <f>IF(Tabla2[[#This Row],[Fecha F.E.]]="","",YEAR(Tabla2[[#This Row],[Fecha F.E.]]))</f>
        <v>2026</v>
      </c>
      <c r="X662" s="23">
        <f>IF(Tabla2[[#This Row],[Fecha]]="","",YEAR(Tabla2[[#This Row],[Fecha]]))</f>
        <v>2026</v>
      </c>
    </row>
    <row r="663" spans="1:24" ht="26.25" x14ac:dyDescent="0.25">
      <c r="A663" s="3">
        <v>666</v>
      </c>
      <c r="B663" s="351" t="s">
        <v>855</v>
      </c>
      <c r="C663" s="352">
        <v>46090</v>
      </c>
      <c r="D663" s="353" t="s">
        <v>2054</v>
      </c>
      <c r="E663" s="352">
        <v>46083</v>
      </c>
      <c r="F663" s="354" t="s">
        <v>231</v>
      </c>
      <c r="G663" s="85">
        <v>900187738</v>
      </c>
      <c r="H663" s="177" t="str">
        <f>VLOOKUP(Tabla2[[#This Row],[NIT]],Clientes!A:C,2,0)</f>
        <v>CENTRO DE ATENCION E INVESTIGACION MEDICA S.A.S.</v>
      </c>
      <c r="I663" s="351" t="str">
        <f>VLOOKUP(Tabla2[[#This Row],[NIT]],Clientes!A:C,3,0)</f>
        <v>PJ</v>
      </c>
      <c r="J663" s="351"/>
      <c r="K663" s="355">
        <f>SUMIFS(Tabla4[Sub Total],Tabla4[Codigo],Tabla2[[#This Row],[Cod]])</f>
        <v>1000000</v>
      </c>
      <c r="L663" s="356">
        <f>SUMPRODUCT((Tabla4[Codigo]=Tabla2[[#This Row],[Cod]])*1,Tabla4[IVA])</f>
        <v>190000</v>
      </c>
      <c r="M663" s="356">
        <f>SUMIFS(Tabla4[Total],Tabla4[Codigo],Tabla2[[#This Row],[Cod]])</f>
        <v>1190000</v>
      </c>
      <c r="N663" s="278">
        <f>SUMPRODUCT((Tabla1[Codigo]=Tabla2[[#This Row],[Cod]])*1,Tabla1[Valor])</f>
        <v>0</v>
      </c>
      <c r="O663" s="265">
        <f>IF(AND(Tabla2[[#This Row],[Estado]]="ok",LEFT(Tabla2[[#This Row],['# Factura]],3)="TIS"),Tabla2[[#This Row],[TOTAL]]-Tabla2[[#This Row],[pagado]],0)</f>
        <v>1190000</v>
      </c>
      <c r="P663" s="356">
        <f>Tabla2[[#This Row],[TOTAL]]-Tabla2[[#This Row],[Valor pago]]</f>
        <v>1190000</v>
      </c>
      <c r="Q663" s="357">
        <f>IF(Tabla2[[#This Row],[Saldo]]=0,0,IF(Tabla2[[#This Row],[Tipo cliente]]="PJ",Tabla2[[#This Row],[SUBTOTAL]]*11%,0))</f>
        <v>110000</v>
      </c>
      <c r="R663" s="358">
        <f>IF(Tabla2[[#This Row],[Saldo]]=0,0,IF(Tabla2[[#This Row],[Tipo cliente]]="PJ",Tabla2[[#This Row],[SUBTOTAL]]*0.966%,0))</f>
        <v>9660</v>
      </c>
      <c r="S663" s="358">
        <f>IF(Tabla2[[#This Row],[Retiene IVA]]="S",Tabla2[[#This Row],[IVA]]*0.15,0)</f>
        <v>0</v>
      </c>
      <c r="T663" s="265"/>
      <c r="U663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63" s="23">
        <f>IF(Tabla2[[#This Row],[Fecha F.E.]]="","",YEAR(Tabla2[[#This Row],[Fecha F.E.]]))</f>
        <v>2026</v>
      </c>
      <c r="X663" s="23">
        <f>IF(Tabla2[[#This Row],[Fecha]]="","",YEAR(Tabla2[[#This Row],[Fecha]]))</f>
        <v>2026</v>
      </c>
    </row>
    <row r="664" spans="1:24" x14ac:dyDescent="0.25">
      <c r="A664" s="3">
        <v>667</v>
      </c>
      <c r="B664" s="351" t="s">
        <v>913</v>
      </c>
      <c r="C664" s="352">
        <v>46090</v>
      </c>
      <c r="D664" s="353" t="s">
        <v>2055</v>
      </c>
      <c r="E664" s="352">
        <v>46083</v>
      </c>
      <c r="F664" s="354" t="s">
        <v>231</v>
      </c>
      <c r="G664" s="85">
        <v>901587426</v>
      </c>
      <c r="H664" s="177" t="str">
        <f>VLOOKUP(Tabla2[[#This Row],[NIT]],Clientes!A:C,2,0)</f>
        <v>STAFF SEGUROS AGENCIA LTDA</v>
      </c>
      <c r="I664" s="351" t="str">
        <f>VLOOKUP(Tabla2[[#This Row],[NIT]],Clientes!A:C,3,0)</f>
        <v>PJ</v>
      </c>
      <c r="J664" s="351"/>
      <c r="K664" s="355">
        <f>SUMIFS(Tabla4[Sub Total],Tabla4[Codigo],Tabla2[[#This Row],[Cod]])</f>
        <v>1730500</v>
      </c>
      <c r="L664" s="356">
        <f>SUMPRODUCT((Tabla4[Codigo]=Tabla2[[#This Row],[Cod]])*1,Tabla4[IVA])</f>
        <v>0</v>
      </c>
      <c r="M664" s="356">
        <f>SUMIFS(Tabla4[Total],Tabla4[Codigo],Tabla2[[#This Row],[Cod]])</f>
        <v>1730500</v>
      </c>
      <c r="N664" s="278">
        <f>SUMPRODUCT((Tabla1[Codigo]=Tabla2[[#This Row],[Cod]])*1,Tabla1[Valor])</f>
        <v>0</v>
      </c>
      <c r="O664" s="265">
        <f>IF(AND(Tabla2[[#This Row],[Estado]]="ok",LEFT(Tabla2[[#This Row],['# Factura]],3)="TIS"),Tabla2[[#This Row],[TOTAL]]-Tabla2[[#This Row],[pagado]],0)</f>
        <v>1730500</v>
      </c>
      <c r="P664" s="356">
        <f>Tabla2[[#This Row],[TOTAL]]-Tabla2[[#This Row],[Valor pago]]</f>
        <v>1730500</v>
      </c>
      <c r="Q664" s="357">
        <f>IF(Tabla2[[#This Row],[Saldo]]=0,0,IF(Tabla2[[#This Row],[Tipo cliente]]="PJ",Tabla2[[#This Row],[SUBTOTAL]]*11%,0))</f>
        <v>190355</v>
      </c>
      <c r="R664" s="358">
        <f>IF(Tabla2[[#This Row],[Saldo]]=0,0,IF(Tabla2[[#This Row],[Tipo cliente]]="PJ",Tabla2[[#This Row],[SUBTOTAL]]*0.966%,0))</f>
        <v>16716.63</v>
      </c>
      <c r="S664" s="358">
        <f>IF(Tabla2[[#This Row],[Retiene IVA]]="S",Tabla2[[#This Row],[IVA]]*0.15,0)</f>
        <v>0</v>
      </c>
      <c r="T664" s="265"/>
      <c r="U664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0</v>
      </c>
      <c r="W664" s="23">
        <f>IF(Tabla2[[#This Row],[Fecha F.E.]]="","",YEAR(Tabla2[[#This Row],[Fecha F.E.]]))</f>
        <v>2026</v>
      </c>
      <c r="X664" s="23">
        <f>IF(Tabla2[[#This Row],[Fecha]]="","",YEAR(Tabla2[[#This Row],[Fecha]]))</f>
        <v>2026</v>
      </c>
    </row>
    <row r="665" spans="1:24" x14ac:dyDescent="0.25">
      <c r="A665" s="3">
        <v>668</v>
      </c>
      <c r="B665" s="351" t="s">
        <v>266</v>
      </c>
      <c r="C665" s="352">
        <v>46090</v>
      </c>
      <c r="D665" s="353" t="s">
        <v>227</v>
      </c>
      <c r="E665" s="352">
        <v>45966</v>
      </c>
      <c r="F665" s="354" t="s">
        <v>231</v>
      </c>
      <c r="G665" s="85">
        <v>800028768</v>
      </c>
      <c r="H665" s="177" t="str">
        <f>VLOOKUP(Tabla2[[#This Row],[NIT]],Clientes!A:C,2,0)</f>
        <v>Comercializadora ERZ SAS</v>
      </c>
      <c r="I665" s="351" t="str">
        <f>VLOOKUP(Tabla2[[#This Row],[NIT]],Clientes!A:C,3,0)</f>
        <v>PJ</v>
      </c>
      <c r="J665" s="351"/>
      <c r="K665" s="355">
        <f>SUMIFS(Tabla4[Sub Total],Tabla4[Codigo],Tabla2[[#This Row],[Cod]])</f>
        <v>300000</v>
      </c>
      <c r="L665" s="356">
        <f>SUMPRODUCT((Tabla4[Codigo]=Tabla2[[#This Row],[Cod]])*1,Tabla4[IVA])</f>
        <v>57000</v>
      </c>
      <c r="M665" s="356">
        <f>SUMIFS(Tabla4[Total],Tabla4[Codigo],Tabla2[[#This Row],[Cod]])</f>
        <v>357000</v>
      </c>
      <c r="N665" s="278">
        <f>SUMPRODUCT((Tabla1[Codigo]=Tabla2[[#This Row],[Cod]])*1,Tabla1[Valor])</f>
        <v>324000</v>
      </c>
      <c r="O665" s="265">
        <f>IF(AND(Tabla2[[#This Row],[Estado]]="ok",LEFT(Tabla2[[#This Row],['# Factura]],3)="TIS"),Tabla2[[#This Row],[TOTAL]]-Tabla2[[#This Row],[pagado]],0)</f>
        <v>-2898</v>
      </c>
      <c r="P665" s="356">
        <f>Tabla2[[#This Row],[TOTAL]]-Tabla2[[#This Row],[Valor pago]]</f>
        <v>33000</v>
      </c>
      <c r="Q665" s="357">
        <f>IF(Tabla2[[#This Row],[Saldo]]=0,0,IF(Tabla2[[#This Row],[Tipo cliente]]="PJ",Tabla2[[#This Row],[SUBTOTAL]]*11%,0))</f>
        <v>33000</v>
      </c>
      <c r="R665" s="358">
        <f>IF(Tabla2[[#This Row],[Saldo]]=0,0,IF(Tabla2[[#This Row],[Tipo cliente]]="PJ",Tabla2[[#This Row],[SUBTOTAL]]*0.966%,0))</f>
        <v>2898</v>
      </c>
      <c r="S665" s="358">
        <f>IF(Tabla2[[#This Row],[Retiene IVA]]="S",Tabla2[[#This Row],[IVA]]*0.15,0)</f>
        <v>0</v>
      </c>
      <c r="T665" s="265"/>
      <c r="U665" s="279">
        <f>IF(Tabla2[[#This Row],[Estado]]="ok",IF(Tabla2[[#This Row],[Valor pago]]&lt;&gt;0,IF(Tabla2[[#This Row],[Saldo Final]]&lt;0,Tabla2[[#This Row],[TOTAL]],Tabla2[[#This Row],[Valor pago]]+Tabla2[[#This Row],[Rete fte]]+Tabla2[[#This Row],[rete ica]]+Tabla2[[#This Row],[Rete IVA]]),0),0)</f>
        <v>359898</v>
      </c>
      <c r="W665" s="23">
        <f>IF(Tabla2[[#This Row],[Fecha F.E.]]="","",YEAR(Tabla2[[#This Row],[Fecha F.E.]]))</f>
        <v>2025</v>
      </c>
      <c r="X665" s="23">
        <f>IF(Tabla2[[#This Row],[Fecha]]="","",YEAR(Tabla2[[#This Row],[Fecha]]))</f>
        <v>2026</v>
      </c>
    </row>
    <row r="666" spans="1:24" ht="29.25" x14ac:dyDescent="0.25">
      <c r="A666" s="373">
        <v>669</v>
      </c>
      <c r="B666" s="374" t="s">
        <v>2056</v>
      </c>
      <c r="C666" s="375">
        <v>45449</v>
      </c>
      <c r="D666" s="376" t="s">
        <v>2057</v>
      </c>
      <c r="E666" s="375">
        <v>45449</v>
      </c>
      <c r="F666" s="377" t="s">
        <v>231</v>
      </c>
      <c r="G666" s="378">
        <v>901587426</v>
      </c>
      <c r="H666" s="379" t="s">
        <v>28</v>
      </c>
      <c r="I666" s="374" t="s">
        <v>1960</v>
      </c>
      <c r="J666" s="380"/>
      <c r="K666" s="381" t="s">
        <v>2058</v>
      </c>
      <c r="L666" s="382" t="s">
        <v>2059</v>
      </c>
      <c r="M666" s="382" t="s">
        <v>2060</v>
      </c>
      <c r="N666" s="383" t="s">
        <v>2061</v>
      </c>
      <c r="O666" s="384" t="s">
        <v>2062</v>
      </c>
      <c r="P666" s="382" t="s">
        <v>2063</v>
      </c>
      <c r="Q666" s="385" t="s">
        <v>2064</v>
      </c>
      <c r="R666" s="385" t="s">
        <v>2065</v>
      </c>
      <c r="S666" s="386" t="s">
        <v>2066</v>
      </c>
      <c r="T666" s="384" t="e">
        <f>+Tabla2[[#This Row],[Saldo]]-Tabla2[[#This Row],[Rete fte]]-Tabla2[[#This Row],[rete ica]]-Tabla2[[#This Row],[Rete IVA]]</f>
        <v>#VALUE!</v>
      </c>
      <c r="U666" s="387" t="s">
        <v>2067</v>
      </c>
      <c r="V666" s="388"/>
      <c r="W666" s="388">
        <v>2024</v>
      </c>
      <c r="X666" s="389">
        <v>2024</v>
      </c>
    </row>
  </sheetData>
  <phoneticPr fontId="20" type="noConversion"/>
  <conditionalFormatting sqref="O2:O200332">
    <cfRule type="cellIs" dxfId="68" priority="2" operator="greaterThan">
      <formula>1</formula>
    </cfRule>
  </conditionalFormatting>
  <conditionalFormatting sqref="D2:D200526">
    <cfRule type="duplicateValues" dxfId="67" priority="84"/>
  </conditionalFormatting>
  <pageMargins left="0.7" right="0.7" top="0.75" bottom="0.75" header="0.3" footer="0.3"/>
  <pageSetup fitToWidth="0" fitToHeight="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9A3D6-95C0-461D-88FC-7E9FA9A49FD9}">
  <sheetPr codeName="Hoja4"/>
  <dimension ref="A1:N191"/>
  <sheetViews>
    <sheetView showGridLines="0" topLeftCell="A175" zoomScale="115" zoomScaleNormal="115" workbookViewId="0">
      <selection activeCell="B44" sqref="B44"/>
    </sheetView>
  </sheetViews>
  <sheetFormatPr baseColWidth="10" defaultColWidth="11.42578125" defaultRowHeight="12.75" x14ac:dyDescent="0.25"/>
  <cols>
    <col min="1" max="1" width="12.42578125" style="39" bestFit="1" customWidth="1"/>
    <col min="2" max="2" width="50.140625" style="60" bestFit="1" customWidth="1"/>
    <col min="3" max="3" width="12.85546875" style="24" customWidth="1"/>
    <col min="4" max="4" width="40.85546875" style="39" customWidth="1"/>
    <col min="5" max="5" width="31" style="39" customWidth="1"/>
    <col min="6" max="6" width="13.85546875" style="39" customWidth="1"/>
    <col min="7" max="7" width="41" style="39" customWidth="1"/>
    <col min="8" max="8" width="17.5703125" style="39" customWidth="1"/>
    <col min="9" max="9" width="13.7109375" style="39" customWidth="1"/>
    <col min="10" max="10" width="11.42578125" style="39"/>
    <col min="11" max="11" width="8" style="39" customWidth="1"/>
    <col min="12" max="12" width="26" style="39" customWidth="1"/>
    <col min="13" max="13" width="16.7109375" style="39" customWidth="1"/>
    <col min="14" max="14" width="37.5703125" style="39" customWidth="1"/>
    <col min="15" max="16384" width="11.42578125" style="39"/>
  </cols>
  <sheetData>
    <row r="1" spans="1:14" ht="26.25" thickBot="1" x14ac:dyDescent="0.3">
      <c r="A1" s="68" t="s">
        <v>777</v>
      </c>
      <c r="B1" s="323" t="s">
        <v>778</v>
      </c>
      <c r="C1" s="68" t="s">
        <v>779</v>
      </c>
      <c r="D1" s="68" t="s">
        <v>2068</v>
      </c>
      <c r="E1" s="68" t="s">
        <v>2069</v>
      </c>
      <c r="F1" s="68" t="s">
        <v>2070</v>
      </c>
      <c r="G1" s="68" t="s">
        <v>2071</v>
      </c>
      <c r="H1" s="68" t="s">
        <v>2072</v>
      </c>
      <c r="I1" s="88" t="s">
        <v>2073</v>
      </c>
      <c r="L1" s="244" t="s">
        <v>2074</v>
      </c>
      <c r="M1" s="244" t="s">
        <v>2075</v>
      </c>
      <c r="N1" s="244" t="s">
        <v>2076</v>
      </c>
    </row>
    <row r="2" spans="1:14" ht="15" x14ac:dyDescent="0.25">
      <c r="A2" s="55">
        <v>1016071217</v>
      </c>
      <c r="B2" s="60" t="s">
        <v>115</v>
      </c>
      <c r="C2" s="82" t="s">
        <v>2077</v>
      </c>
      <c r="D2" s="56" t="s">
        <v>2078</v>
      </c>
      <c r="E2" s="56"/>
      <c r="F2" s="56" t="s">
        <v>277</v>
      </c>
      <c r="G2" s="152" t="s">
        <v>2079</v>
      </c>
      <c r="H2" s="55">
        <v>3043862081</v>
      </c>
      <c r="I2" s="39" t="s">
        <v>2080</v>
      </c>
      <c r="L2" s="39" t="s">
        <v>2081</v>
      </c>
      <c r="M2" s="39">
        <v>3212382494</v>
      </c>
      <c r="N2" s="186" t="s">
        <v>2082</v>
      </c>
    </row>
    <row r="3" spans="1:14" x14ac:dyDescent="0.25">
      <c r="A3" s="55">
        <v>900153132</v>
      </c>
      <c r="B3" s="60" t="s">
        <v>113</v>
      </c>
      <c r="C3" s="82" t="s">
        <v>1960</v>
      </c>
      <c r="D3" s="56" t="s">
        <v>2083</v>
      </c>
      <c r="E3" s="56"/>
      <c r="F3" s="60" t="s">
        <v>277</v>
      </c>
      <c r="G3" s="40" t="s">
        <v>2084</v>
      </c>
      <c r="H3" s="55" t="s">
        <v>2085</v>
      </c>
      <c r="I3" s="39" t="s">
        <v>777</v>
      </c>
    </row>
    <row r="4" spans="1:14" ht="25.5" x14ac:dyDescent="0.25">
      <c r="A4" s="55">
        <v>900709916</v>
      </c>
      <c r="B4" s="60" t="s">
        <v>111</v>
      </c>
      <c r="C4" s="82" t="s">
        <v>1960</v>
      </c>
      <c r="D4" s="56" t="s">
        <v>275</v>
      </c>
      <c r="E4" s="56"/>
      <c r="F4" s="56" t="s">
        <v>277</v>
      </c>
      <c r="G4" s="57" t="s">
        <v>278</v>
      </c>
      <c r="H4" s="55">
        <v>9431111</v>
      </c>
      <c r="I4" s="39" t="s">
        <v>777</v>
      </c>
    </row>
    <row r="5" spans="1:14" ht="20.25" customHeight="1" x14ac:dyDescent="0.25">
      <c r="A5" s="55">
        <v>74322676</v>
      </c>
      <c r="B5" s="60" t="s">
        <v>63</v>
      </c>
      <c r="C5" s="82" t="s">
        <v>2086</v>
      </c>
      <c r="D5" s="60" t="s">
        <v>2087</v>
      </c>
      <c r="E5" s="60"/>
      <c r="F5" s="60" t="s">
        <v>277</v>
      </c>
      <c r="G5" s="56" t="s">
        <v>2088</v>
      </c>
      <c r="H5" s="55">
        <v>4180776</v>
      </c>
      <c r="I5" s="39" t="s">
        <v>2080</v>
      </c>
    </row>
    <row r="6" spans="1:14" ht="30.75" customHeight="1" x14ac:dyDescent="0.25">
      <c r="A6" s="55">
        <v>860014787</v>
      </c>
      <c r="B6" s="60" t="s">
        <v>108</v>
      </c>
      <c r="C6" s="24" t="s">
        <v>1960</v>
      </c>
      <c r="D6" s="56" t="s">
        <v>2089</v>
      </c>
      <c r="E6" s="56"/>
      <c r="F6" s="56"/>
      <c r="G6" s="39" t="s">
        <v>2090</v>
      </c>
      <c r="H6" s="55">
        <v>2243414</v>
      </c>
      <c r="I6" s="39" t="s">
        <v>777</v>
      </c>
    </row>
    <row r="7" spans="1:14" x14ac:dyDescent="0.25">
      <c r="A7" s="55">
        <v>800183564</v>
      </c>
      <c r="B7" s="60" t="s">
        <v>119</v>
      </c>
      <c r="C7" s="24" t="s">
        <v>1960</v>
      </c>
      <c r="D7" s="56" t="s">
        <v>2091</v>
      </c>
      <c r="E7" s="56"/>
      <c r="F7" s="56" t="s">
        <v>2092</v>
      </c>
      <c r="G7" s="39" t="s">
        <v>2093</v>
      </c>
      <c r="H7" s="55">
        <v>3102991161</v>
      </c>
      <c r="I7" s="39" t="s">
        <v>777</v>
      </c>
    </row>
    <row r="8" spans="1:14" x14ac:dyDescent="0.25">
      <c r="A8" s="55" t="s">
        <v>1981</v>
      </c>
      <c r="B8" s="60" t="s">
        <v>180</v>
      </c>
      <c r="C8" s="24" t="s">
        <v>1960</v>
      </c>
      <c r="D8" s="56" t="s">
        <v>2094</v>
      </c>
      <c r="E8" s="56"/>
      <c r="F8" s="56" t="s">
        <v>277</v>
      </c>
      <c r="G8" s="39" t="s">
        <v>2095</v>
      </c>
      <c r="H8" s="55">
        <v>6076439595</v>
      </c>
      <c r="I8" s="39" t="s">
        <v>777</v>
      </c>
    </row>
    <row r="9" spans="1:14" x14ac:dyDescent="0.25">
      <c r="A9" s="55">
        <v>832000662</v>
      </c>
      <c r="B9" s="60" t="s">
        <v>106</v>
      </c>
      <c r="C9" s="24" t="s">
        <v>1960</v>
      </c>
      <c r="D9" s="56" t="s">
        <v>2096</v>
      </c>
      <c r="E9" s="56"/>
      <c r="F9" s="56" t="s">
        <v>2092</v>
      </c>
      <c r="G9" s="39" t="s">
        <v>2097</v>
      </c>
      <c r="H9" s="55">
        <v>4259100</v>
      </c>
      <c r="I9" s="39" t="s">
        <v>777</v>
      </c>
    </row>
    <row r="10" spans="1:14" x14ac:dyDescent="0.25">
      <c r="A10" s="55">
        <v>901541715</v>
      </c>
      <c r="B10" s="60" t="s">
        <v>209</v>
      </c>
      <c r="C10" s="24" t="s">
        <v>1960</v>
      </c>
      <c r="D10" s="56" t="s">
        <v>2098</v>
      </c>
      <c r="E10" s="56"/>
      <c r="F10" s="56" t="s">
        <v>2099</v>
      </c>
      <c r="G10" s="39" t="s">
        <v>2100</v>
      </c>
      <c r="H10" s="55">
        <v>6017760078</v>
      </c>
      <c r="I10" s="39" t="s">
        <v>777</v>
      </c>
    </row>
    <row r="11" spans="1:14" x14ac:dyDescent="0.25">
      <c r="A11" s="55">
        <v>900245701</v>
      </c>
      <c r="B11" s="60" t="s">
        <v>126</v>
      </c>
      <c r="C11" s="24" t="s">
        <v>1960</v>
      </c>
      <c r="D11" s="56" t="s">
        <v>2101</v>
      </c>
      <c r="E11" s="56" t="s">
        <v>126</v>
      </c>
      <c r="F11" s="56" t="s">
        <v>277</v>
      </c>
      <c r="G11" s="39" t="s">
        <v>2102</v>
      </c>
      <c r="H11" s="55">
        <v>3204359185</v>
      </c>
      <c r="I11" s="39" t="s">
        <v>777</v>
      </c>
    </row>
    <row r="12" spans="1:14" x14ac:dyDescent="0.25">
      <c r="A12" s="55">
        <v>800152665</v>
      </c>
      <c r="B12" s="60" t="s">
        <v>69</v>
      </c>
      <c r="C12" s="24" t="s">
        <v>1960</v>
      </c>
      <c r="D12" s="56"/>
      <c r="E12" s="56"/>
      <c r="F12" s="56"/>
      <c r="H12" s="55"/>
    </row>
    <row r="13" spans="1:14" x14ac:dyDescent="0.25">
      <c r="A13" s="55">
        <v>860012357</v>
      </c>
      <c r="B13" s="60" t="s">
        <v>2103</v>
      </c>
      <c r="C13" s="24" t="s">
        <v>1960</v>
      </c>
      <c r="D13" s="56" t="s">
        <v>2104</v>
      </c>
      <c r="E13" s="56"/>
      <c r="F13" s="56" t="s">
        <v>2105</v>
      </c>
      <c r="G13" s="39" t="s">
        <v>2106</v>
      </c>
      <c r="H13" s="55">
        <v>5878922</v>
      </c>
      <c r="I13" s="39" t="s">
        <v>777</v>
      </c>
    </row>
    <row r="14" spans="1:14" x14ac:dyDescent="0.25">
      <c r="A14" s="55">
        <v>900444852</v>
      </c>
      <c r="B14" s="60" t="s">
        <v>217</v>
      </c>
      <c r="C14" s="24" t="s">
        <v>1960</v>
      </c>
      <c r="D14" s="56" t="s">
        <v>2107</v>
      </c>
      <c r="E14" s="56"/>
      <c r="F14" s="56" t="s">
        <v>2108</v>
      </c>
      <c r="G14" s="39" t="s">
        <v>2109</v>
      </c>
      <c r="H14" s="55">
        <v>3208497775</v>
      </c>
      <c r="I14" s="39" t="s">
        <v>777</v>
      </c>
    </row>
    <row r="15" spans="1:14" ht="38.25" x14ac:dyDescent="0.25">
      <c r="A15" s="55">
        <v>830128459</v>
      </c>
      <c r="B15" s="60" t="s">
        <v>195</v>
      </c>
      <c r="C15" s="24" t="s">
        <v>1960</v>
      </c>
      <c r="D15" s="56" t="s">
        <v>2110</v>
      </c>
      <c r="E15" s="56"/>
      <c r="F15" s="56" t="s">
        <v>277</v>
      </c>
      <c r="G15" s="39" t="s">
        <v>2111</v>
      </c>
      <c r="H15" s="55">
        <v>6015557500</v>
      </c>
      <c r="I15" s="39" t="s">
        <v>777</v>
      </c>
    </row>
    <row r="16" spans="1:14" x14ac:dyDescent="0.25">
      <c r="A16" s="55">
        <v>860533955</v>
      </c>
      <c r="B16" s="60" t="s">
        <v>50</v>
      </c>
      <c r="C16" s="24" t="s">
        <v>1960</v>
      </c>
      <c r="D16" s="56" t="s">
        <v>2112</v>
      </c>
      <c r="E16" s="56"/>
      <c r="F16" s="56" t="s">
        <v>2113</v>
      </c>
      <c r="G16" s="39" t="s">
        <v>2114</v>
      </c>
      <c r="H16" s="55">
        <v>6017458888</v>
      </c>
      <c r="I16" s="39" t="s">
        <v>777</v>
      </c>
    </row>
    <row r="17" spans="1:9" x14ac:dyDescent="0.25">
      <c r="A17" s="55">
        <v>830021100</v>
      </c>
      <c r="B17" s="60" t="s">
        <v>170</v>
      </c>
      <c r="C17" s="24" t="s">
        <v>1960</v>
      </c>
      <c r="D17" s="56" t="s">
        <v>2115</v>
      </c>
      <c r="E17" s="56"/>
      <c r="F17" s="56" t="s">
        <v>2116</v>
      </c>
      <c r="G17" s="39" t="s">
        <v>2117</v>
      </c>
      <c r="H17" s="55">
        <v>6014221527</v>
      </c>
      <c r="I17" s="39" t="s">
        <v>777</v>
      </c>
    </row>
    <row r="18" spans="1:9" ht="15" x14ac:dyDescent="0.25">
      <c r="A18" s="55">
        <v>900355950</v>
      </c>
      <c r="B18" s="60" t="s">
        <v>107</v>
      </c>
      <c r="C18" s="24" t="s">
        <v>1960</v>
      </c>
      <c r="D18" s="56" t="s">
        <v>2118</v>
      </c>
      <c r="E18" s="56"/>
      <c r="F18" s="56" t="s">
        <v>277</v>
      </c>
      <c r="G18" t="s">
        <v>2119</v>
      </c>
      <c r="H18" s="55"/>
      <c r="I18" s="39" t="s">
        <v>777</v>
      </c>
    </row>
    <row r="19" spans="1:9" x14ac:dyDescent="0.25">
      <c r="A19" s="55">
        <v>901034854</v>
      </c>
      <c r="B19" s="60" t="s">
        <v>193</v>
      </c>
      <c r="C19" s="24" t="s">
        <v>1960</v>
      </c>
      <c r="D19" s="56" t="s">
        <v>2120</v>
      </c>
      <c r="E19" s="56"/>
      <c r="F19" s="56" t="s">
        <v>277</v>
      </c>
      <c r="G19" s="39" t="s">
        <v>2121</v>
      </c>
      <c r="H19" s="55">
        <v>6016956852</v>
      </c>
      <c r="I19" s="39" t="s">
        <v>777</v>
      </c>
    </row>
    <row r="20" spans="1:9" x14ac:dyDescent="0.25">
      <c r="A20" s="55">
        <v>830078301</v>
      </c>
      <c r="B20" s="60" t="s">
        <v>62</v>
      </c>
      <c r="C20" s="24" t="s">
        <v>1960</v>
      </c>
      <c r="D20" s="56" t="s">
        <v>2122</v>
      </c>
      <c r="E20" s="56" t="s">
        <v>2123</v>
      </c>
      <c r="F20" s="56" t="s">
        <v>277</v>
      </c>
      <c r="G20" s="39" t="s">
        <v>2124</v>
      </c>
      <c r="H20" s="55">
        <v>6013751055</v>
      </c>
      <c r="I20" s="39" t="s">
        <v>777</v>
      </c>
    </row>
    <row r="21" spans="1:9" x14ac:dyDescent="0.25">
      <c r="A21" s="55">
        <v>901436224</v>
      </c>
      <c r="B21" s="60" t="s">
        <v>184</v>
      </c>
      <c r="C21" s="24" t="s">
        <v>1960</v>
      </c>
      <c r="D21" s="56" t="s">
        <v>2125</v>
      </c>
      <c r="E21" s="56"/>
      <c r="F21" s="56" t="s">
        <v>277</v>
      </c>
      <c r="G21" s="39" t="s">
        <v>2126</v>
      </c>
      <c r="H21" s="55"/>
      <c r="I21" s="39" t="s">
        <v>777</v>
      </c>
    </row>
    <row r="22" spans="1:9" x14ac:dyDescent="0.25">
      <c r="A22" s="55">
        <v>900232864</v>
      </c>
      <c r="B22" s="60" t="s">
        <v>36</v>
      </c>
      <c r="C22" s="24" t="s">
        <v>1960</v>
      </c>
      <c r="D22" s="56" t="s">
        <v>2127</v>
      </c>
      <c r="E22" s="56" t="s">
        <v>36</v>
      </c>
      <c r="F22" s="56" t="s">
        <v>2105</v>
      </c>
      <c r="G22" s="39" t="s">
        <v>2128</v>
      </c>
      <c r="H22" s="55">
        <v>3174552859</v>
      </c>
      <c r="I22" s="39" t="s">
        <v>777</v>
      </c>
    </row>
    <row r="23" spans="1:9" ht="25.5" x14ac:dyDescent="0.25">
      <c r="A23" s="55">
        <v>901587426</v>
      </c>
      <c r="B23" s="60" t="s">
        <v>28</v>
      </c>
      <c r="C23" s="24" t="s">
        <v>1960</v>
      </c>
      <c r="D23" s="56" t="s">
        <v>2129</v>
      </c>
      <c r="E23" s="56"/>
      <c r="F23" s="56" t="s">
        <v>2130</v>
      </c>
      <c r="G23" s="39" t="s">
        <v>2131</v>
      </c>
      <c r="H23" s="55">
        <v>3202000315</v>
      </c>
      <c r="I23" s="39" t="s">
        <v>777</v>
      </c>
    </row>
    <row r="24" spans="1:9" ht="25.5" x14ac:dyDescent="0.25">
      <c r="A24" s="55">
        <v>901000847</v>
      </c>
      <c r="B24" s="60" t="s">
        <v>133</v>
      </c>
      <c r="C24" s="24" t="s">
        <v>1960</v>
      </c>
      <c r="D24" s="56" t="s">
        <v>2132</v>
      </c>
      <c r="E24" s="56" t="s">
        <v>133</v>
      </c>
      <c r="F24" s="56" t="s">
        <v>2092</v>
      </c>
      <c r="G24" s="39" t="s">
        <v>2133</v>
      </c>
      <c r="H24" s="55">
        <v>6013099405</v>
      </c>
      <c r="I24" s="39" t="s">
        <v>777</v>
      </c>
    </row>
    <row r="25" spans="1:9" ht="15" x14ac:dyDescent="0.25">
      <c r="A25" s="55">
        <v>900903463</v>
      </c>
      <c r="B25" s="60" t="s">
        <v>49</v>
      </c>
      <c r="C25" s="24" t="s">
        <v>1960</v>
      </c>
      <c r="D25" s="56" t="s">
        <v>2134</v>
      </c>
      <c r="E25" s="56"/>
      <c r="F25" s="56" t="s">
        <v>2135</v>
      </c>
      <c r="G25" s="175" t="s">
        <v>2136</v>
      </c>
      <c r="H25" s="55">
        <v>3187894649</v>
      </c>
      <c r="I25" s="39" t="s">
        <v>777</v>
      </c>
    </row>
    <row r="26" spans="1:9" x14ac:dyDescent="0.25">
      <c r="A26" s="55">
        <v>900249638</v>
      </c>
      <c r="B26" s="60" t="s">
        <v>214</v>
      </c>
      <c r="C26" s="82" t="s">
        <v>1960</v>
      </c>
      <c r="D26" s="60" t="s">
        <v>2137</v>
      </c>
      <c r="E26" s="60"/>
      <c r="F26" s="60" t="s">
        <v>277</v>
      </c>
      <c r="G26" s="60" t="s">
        <v>2138</v>
      </c>
      <c r="H26" s="55">
        <v>8053777</v>
      </c>
      <c r="I26" s="39" t="s">
        <v>777</v>
      </c>
    </row>
    <row r="27" spans="1:9" ht="25.5" x14ac:dyDescent="0.25">
      <c r="A27" s="55">
        <v>900159244</v>
      </c>
      <c r="B27" s="60" t="s">
        <v>59</v>
      </c>
      <c r="C27" s="24" t="s">
        <v>1960</v>
      </c>
      <c r="D27" s="56" t="s">
        <v>2139</v>
      </c>
      <c r="E27" s="56"/>
      <c r="F27" s="56" t="s">
        <v>2140</v>
      </c>
      <c r="G27" s="57" t="s">
        <v>2141</v>
      </c>
      <c r="H27" s="55">
        <v>3112945858</v>
      </c>
      <c r="I27" s="39" t="s">
        <v>777</v>
      </c>
    </row>
    <row r="28" spans="1:9" ht="15" x14ac:dyDescent="0.25">
      <c r="A28" s="55">
        <v>900555571</v>
      </c>
      <c r="B28" s="60" t="s">
        <v>103</v>
      </c>
      <c r="C28" s="24" t="s">
        <v>1960</v>
      </c>
      <c r="D28" s="56" t="s">
        <v>2142</v>
      </c>
      <c r="E28" s="56"/>
      <c r="F28" s="39" t="s">
        <v>277</v>
      </c>
      <c r="G28" s="152" t="s">
        <v>2143</v>
      </c>
      <c r="H28" s="55" t="s">
        <v>2144</v>
      </c>
      <c r="I28" s="39" t="s">
        <v>777</v>
      </c>
    </row>
    <row r="29" spans="1:9" x14ac:dyDescent="0.25">
      <c r="A29" s="55">
        <v>900728801</v>
      </c>
      <c r="B29" s="60" t="s">
        <v>210</v>
      </c>
      <c r="C29" s="24" t="s">
        <v>1960</v>
      </c>
      <c r="D29" s="56" t="s">
        <v>2145</v>
      </c>
      <c r="E29" s="56"/>
      <c r="F29" s="56" t="s">
        <v>277</v>
      </c>
      <c r="G29" s="39" t="s">
        <v>2146</v>
      </c>
      <c r="H29" s="55">
        <v>3107058572</v>
      </c>
      <c r="I29" s="39" t="s">
        <v>777</v>
      </c>
    </row>
    <row r="30" spans="1:9" x14ac:dyDescent="0.25">
      <c r="A30" s="55">
        <v>901293842</v>
      </c>
      <c r="B30" s="60" t="s">
        <v>167</v>
      </c>
      <c r="C30" s="24" t="s">
        <v>1960</v>
      </c>
      <c r="D30" s="56" t="s">
        <v>2147</v>
      </c>
      <c r="E30" s="56" t="s">
        <v>167</v>
      </c>
      <c r="F30" s="56" t="s">
        <v>277</v>
      </c>
      <c r="G30" s="39" t="s">
        <v>2148</v>
      </c>
      <c r="H30" s="55" t="s">
        <v>2149</v>
      </c>
      <c r="I30" s="39" t="s">
        <v>777</v>
      </c>
    </row>
    <row r="31" spans="1:9" ht="25.5" x14ac:dyDescent="0.25">
      <c r="A31" s="55">
        <v>800054239</v>
      </c>
      <c r="B31" s="60" t="s">
        <v>101</v>
      </c>
      <c r="C31" s="24" t="s">
        <v>1960</v>
      </c>
      <c r="D31" s="56" t="s">
        <v>2150</v>
      </c>
      <c r="E31" s="56"/>
      <c r="F31" s="56" t="s">
        <v>2151</v>
      </c>
      <c r="G31" s="39" t="s">
        <v>2152</v>
      </c>
      <c r="H31" s="55" t="s">
        <v>2153</v>
      </c>
      <c r="I31" s="39" t="s">
        <v>777</v>
      </c>
    </row>
    <row r="32" spans="1:9" ht="15" x14ac:dyDescent="0.2">
      <c r="A32" s="85">
        <v>830086023</v>
      </c>
      <c r="B32" s="60" t="s">
        <v>99</v>
      </c>
      <c r="C32" s="24" t="s">
        <v>1960</v>
      </c>
      <c r="D32" s="56" t="s">
        <v>2154</v>
      </c>
      <c r="E32" s="56" t="s">
        <v>99</v>
      </c>
      <c r="F32" s="56" t="s">
        <v>2105</v>
      </c>
      <c r="G32" s="186" t="s">
        <v>2155</v>
      </c>
      <c r="H32" s="55">
        <v>4322209</v>
      </c>
      <c r="I32" s="39" t="s">
        <v>777</v>
      </c>
    </row>
    <row r="33" spans="1:9" x14ac:dyDescent="0.25">
      <c r="A33" s="55">
        <v>901330870</v>
      </c>
      <c r="B33" s="60" t="s">
        <v>82</v>
      </c>
      <c r="C33" s="24" t="s">
        <v>1960</v>
      </c>
      <c r="D33" s="56" t="s">
        <v>2156</v>
      </c>
      <c r="E33" s="56" t="s">
        <v>82</v>
      </c>
      <c r="F33" s="56" t="s">
        <v>277</v>
      </c>
      <c r="G33" s="39" t="s">
        <v>2157</v>
      </c>
      <c r="H33" s="55">
        <v>901330870</v>
      </c>
      <c r="I33" s="39" t="s">
        <v>777</v>
      </c>
    </row>
    <row r="34" spans="1:9" x14ac:dyDescent="0.25">
      <c r="A34" s="55">
        <v>860037707</v>
      </c>
      <c r="B34" s="60" t="s">
        <v>97</v>
      </c>
      <c r="C34" s="24" t="s">
        <v>1960</v>
      </c>
      <c r="D34" s="56" t="s">
        <v>2158</v>
      </c>
      <c r="E34" s="56"/>
      <c r="F34" s="56" t="s">
        <v>277</v>
      </c>
      <c r="G34" s="40" t="s">
        <v>2159</v>
      </c>
      <c r="H34" s="55">
        <v>3138700</v>
      </c>
      <c r="I34" s="39" t="s">
        <v>777</v>
      </c>
    </row>
    <row r="35" spans="1:9" x14ac:dyDescent="0.25">
      <c r="A35" s="55">
        <v>901342609</v>
      </c>
      <c r="B35" s="60" t="s">
        <v>53</v>
      </c>
      <c r="C35" s="24" t="s">
        <v>1960</v>
      </c>
      <c r="D35" s="56" t="s">
        <v>2160</v>
      </c>
      <c r="E35" s="56" t="s">
        <v>53</v>
      </c>
      <c r="F35" s="39" t="s">
        <v>277</v>
      </c>
      <c r="G35" s="39" t="s">
        <v>2161</v>
      </c>
      <c r="H35" s="55">
        <v>3178929809</v>
      </c>
      <c r="I35" s="39" t="s">
        <v>777</v>
      </c>
    </row>
    <row r="36" spans="1:9" ht="25.5" x14ac:dyDescent="0.25">
      <c r="A36" s="55">
        <v>901195703</v>
      </c>
      <c r="B36" s="60" t="s">
        <v>123</v>
      </c>
      <c r="C36" s="24" t="s">
        <v>1960</v>
      </c>
      <c r="D36" s="56" t="s">
        <v>2162</v>
      </c>
      <c r="E36" s="56"/>
      <c r="F36" s="56" t="s">
        <v>2163</v>
      </c>
      <c r="G36" s="39" t="s">
        <v>2162</v>
      </c>
      <c r="H36" s="55">
        <v>3152296933</v>
      </c>
      <c r="I36" s="39" t="s">
        <v>777</v>
      </c>
    </row>
    <row r="37" spans="1:9" ht="38.25" x14ac:dyDescent="0.25">
      <c r="A37" s="61">
        <v>800182918</v>
      </c>
      <c r="B37" s="60" t="s">
        <v>95</v>
      </c>
      <c r="C37" s="82" t="s">
        <v>1960</v>
      </c>
      <c r="D37" s="61" t="s">
        <v>2164</v>
      </c>
      <c r="E37" s="56"/>
      <c r="F37" s="56" t="s">
        <v>2165</v>
      </c>
      <c r="G37" s="39" t="s">
        <v>2166</v>
      </c>
      <c r="H37" s="61">
        <v>3144132926</v>
      </c>
      <c r="I37" s="39" t="s">
        <v>777</v>
      </c>
    </row>
    <row r="38" spans="1:9" x14ac:dyDescent="0.25">
      <c r="A38" s="55">
        <v>900430367</v>
      </c>
      <c r="B38" s="60" t="s">
        <v>145</v>
      </c>
      <c r="C38" s="24" t="s">
        <v>1960</v>
      </c>
      <c r="D38" s="56" t="s">
        <v>2167</v>
      </c>
      <c r="E38" s="56"/>
      <c r="F38" s="56" t="s">
        <v>2168</v>
      </c>
      <c r="G38" s="39" t="s">
        <v>2169</v>
      </c>
      <c r="H38" s="55">
        <v>6017559329</v>
      </c>
      <c r="I38" s="39" t="s">
        <v>777</v>
      </c>
    </row>
    <row r="39" spans="1:9" ht="15" x14ac:dyDescent="0.25">
      <c r="A39" s="55">
        <v>830124778</v>
      </c>
      <c r="B39" s="60" t="s">
        <v>150</v>
      </c>
      <c r="C39" s="24" t="s">
        <v>1960</v>
      </c>
      <c r="D39" s="56" t="s">
        <v>2170</v>
      </c>
      <c r="E39" s="56" t="s">
        <v>150</v>
      </c>
      <c r="F39" s="56" t="s">
        <v>2105</v>
      </c>
      <c r="G39" s="57" t="s">
        <v>2171</v>
      </c>
      <c r="H39" s="55">
        <v>3132306355</v>
      </c>
      <c r="I39" s="39" t="s">
        <v>777</v>
      </c>
    </row>
    <row r="40" spans="1:9" x14ac:dyDescent="0.25">
      <c r="A40" s="55">
        <v>900659017</v>
      </c>
      <c r="B40" s="60" t="s">
        <v>215</v>
      </c>
      <c r="C40" s="24" t="s">
        <v>1960</v>
      </c>
      <c r="D40" s="56" t="s">
        <v>2172</v>
      </c>
      <c r="E40" s="56"/>
      <c r="F40" s="56" t="s">
        <v>277</v>
      </c>
      <c r="G40" s="39" t="s">
        <v>2173</v>
      </c>
      <c r="H40" s="55">
        <v>6014325140</v>
      </c>
      <c r="I40" s="39" t="s">
        <v>777</v>
      </c>
    </row>
    <row r="41" spans="1:9" x14ac:dyDescent="0.25">
      <c r="A41" s="55">
        <v>900133423</v>
      </c>
      <c r="B41" s="60" t="s">
        <v>52</v>
      </c>
      <c r="C41" s="24" t="s">
        <v>1960</v>
      </c>
      <c r="D41" s="56" t="s">
        <v>2174</v>
      </c>
      <c r="E41" s="56"/>
      <c r="F41" s="56" t="s">
        <v>2168</v>
      </c>
      <c r="G41" s="39" t="s">
        <v>2175</v>
      </c>
      <c r="H41" s="55">
        <v>6014787739</v>
      </c>
      <c r="I41" s="39" t="s">
        <v>777</v>
      </c>
    </row>
    <row r="42" spans="1:9" ht="30" x14ac:dyDescent="0.25">
      <c r="A42" s="55">
        <v>830135167</v>
      </c>
      <c r="B42" s="60" t="s">
        <v>93</v>
      </c>
      <c r="C42" s="24" t="s">
        <v>1960</v>
      </c>
      <c r="D42" s="56" t="s">
        <v>2176</v>
      </c>
      <c r="E42" s="56"/>
      <c r="F42" s="56" t="s">
        <v>277</v>
      </c>
      <c r="G42" s="186" t="s">
        <v>2177</v>
      </c>
      <c r="H42" s="55" t="s">
        <v>2178</v>
      </c>
      <c r="I42" s="39" t="s">
        <v>777</v>
      </c>
    </row>
    <row r="43" spans="1:9" ht="25.5" x14ac:dyDescent="0.25">
      <c r="A43" s="55">
        <v>900396116</v>
      </c>
      <c r="B43" s="60" t="s">
        <v>54</v>
      </c>
      <c r="C43" s="82" t="s">
        <v>1960</v>
      </c>
      <c r="D43" s="56" t="s">
        <v>2179</v>
      </c>
      <c r="E43" s="56"/>
      <c r="F43" s="56" t="s">
        <v>277</v>
      </c>
      <c r="G43" s="39" t="s">
        <v>2180</v>
      </c>
      <c r="H43" s="55">
        <v>7031012</v>
      </c>
      <c r="I43" s="39" t="s">
        <v>777</v>
      </c>
    </row>
    <row r="44" spans="1:9" ht="25.5" x14ac:dyDescent="0.25">
      <c r="A44" s="55">
        <v>811012461</v>
      </c>
      <c r="B44" s="60" t="s">
        <v>89</v>
      </c>
      <c r="C44" s="82" t="s">
        <v>1960</v>
      </c>
      <c r="D44" s="56" t="s">
        <v>2181</v>
      </c>
      <c r="E44" s="56" t="s">
        <v>307</v>
      </c>
      <c r="F44" s="56" t="s">
        <v>2165</v>
      </c>
      <c r="G44" s="57" t="s">
        <v>2182</v>
      </c>
      <c r="H44" s="55">
        <v>3113415295</v>
      </c>
      <c r="I44" s="39" t="s">
        <v>777</v>
      </c>
    </row>
    <row r="45" spans="1:9" ht="25.5" x14ac:dyDescent="0.25">
      <c r="A45" s="55" t="s">
        <v>2016</v>
      </c>
      <c r="B45" s="60" t="s">
        <v>191</v>
      </c>
      <c r="C45" s="24" t="s">
        <v>1960</v>
      </c>
      <c r="D45" s="56" t="s">
        <v>2183</v>
      </c>
      <c r="E45" s="56"/>
      <c r="F45" s="56" t="s">
        <v>2184</v>
      </c>
      <c r="G45" s="39" t="s">
        <v>2185</v>
      </c>
      <c r="H45" s="55" t="s">
        <v>2186</v>
      </c>
      <c r="I45" s="39" t="s">
        <v>777</v>
      </c>
    </row>
    <row r="46" spans="1:9" x14ac:dyDescent="0.25">
      <c r="A46" s="55">
        <v>901337267</v>
      </c>
      <c r="B46" s="60" t="s">
        <v>87</v>
      </c>
      <c r="C46" s="82" t="s">
        <v>1960</v>
      </c>
      <c r="D46" s="56" t="s">
        <v>2187</v>
      </c>
      <c r="E46" s="56"/>
      <c r="F46" s="56" t="s">
        <v>277</v>
      </c>
      <c r="G46" s="60" t="s">
        <v>2188</v>
      </c>
      <c r="H46" s="55">
        <v>5086224</v>
      </c>
      <c r="I46" s="39" t="s">
        <v>777</v>
      </c>
    </row>
    <row r="47" spans="1:9" ht="25.5" x14ac:dyDescent="0.25">
      <c r="A47" s="55">
        <v>900579862</v>
      </c>
      <c r="B47" s="60" t="s">
        <v>85</v>
      </c>
      <c r="C47" s="24" t="s">
        <v>1960</v>
      </c>
      <c r="D47" s="56" t="s">
        <v>2189</v>
      </c>
      <c r="E47" s="56"/>
      <c r="F47" s="56" t="s">
        <v>2190</v>
      </c>
      <c r="G47" s="39" t="s">
        <v>2191</v>
      </c>
      <c r="H47" s="55">
        <v>3146227459</v>
      </c>
      <c r="I47" s="39" t="s">
        <v>777</v>
      </c>
    </row>
    <row r="48" spans="1:9" ht="25.5" x14ac:dyDescent="0.25">
      <c r="A48" s="55">
        <v>83005453</v>
      </c>
      <c r="B48" s="60" t="s">
        <v>166</v>
      </c>
      <c r="C48" s="24" t="s">
        <v>1960</v>
      </c>
      <c r="D48" s="56" t="s">
        <v>2192</v>
      </c>
      <c r="E48" s="56"/>
      <c r="F48" s="56" t="s">
        <v>2193</v>
      </c>
      <c r="G48" s="39" t="s">
        <v>2194</v>
      </c>
      <c r="H48" s="55">
        <v>4042409</v>
      </c>
      <c r="I48" s="39" t="s">
        <v>777</v>
      </c>
    </row>
    <row r="49" spans="1:9" ht="25.5" x14ac:dyDescent="0.25">
      <c r="A49" s="55">
        <v>900641244</v>
      </c>
      <c r="B49" s="60" t="s">
        <v>70</v>
      </c>
      <c r="C49" s="24" t="s">
        <v>1960</v>
      </c>
      <c r="D49" s="56" t="s">
        <v>2195</v>
      </c>
      <c r="E49" s="56"/>
      <c r="F49" s="56" t="s">
        <v>2105</v>
      </c>
      <c r="G49" s="39" t="s">
        <v>2196</v>
      </c>
      <c r="H49" s="55">
        <v>3138016374</v>
      </c>
      <c r="I49" s="39" t="s">
        <v>777</v>
      </c>
    </row>
    <row r="50" spans="1:9" x14ac:dyDescent="0.25">
      <c r="A50" s="55">
        <v>900277192</v>
      </c>
      <c r="B50" s="60" t="s">
        <v>164</v>
      </c>
      <c r="C50" s="24" t="s">
        <v>1960</v>
      </c>
      <c r="D50" s="56"/>
      <c r="E50" s="56" t="s">
        <v>164</v>
      </c>
      <c r="F50" s="56"/>
      <c r="H50" s="55"/>
      <c r="I50" s="39" t="s">
        <v>777</v>
      </c>
    </row>
    <row r="51" spans="1:9" ht="15" x14ac:dyDescent="0.25">
      <c r="A51" s="55">
        <v>900335662</v>
      </c>
      <c r="B51" s="60" t="s">
        <v>81</v>
      </c>
      <c r="C51" s="82" t="s">
        <v>1960</v>
      </c>
      <c r="D51" s="56" t="s">
        <v>2197</v>
      </c>
      <c r="E51" s="56"/>
      <c r="F51" s="56" t="s">
        <v>277</v>
      </c>
      <c r="G51" s="186" t="s">
        <v>2198</v>
      </c>
      <c r="H51" s="55">
        <v>3202879974</v>
      </c>
      <c r="I51" s="39" t="s">
        <v>777</v>
      </c>
    </row>
    <row r="52" spans="1:9" ht="25.5" x14ac:dyDescent="0.25">
      <c r="A52" s="55">
        <v>901070126</v>
      </c>
      <c r="B52" s="227" t="s">
        <v>79</v>
      </c>
      <c r="C52" s="24" t="s">
        <v>1960</v>
      </c>
      <c r="D52" t="s">
        <v>2199</v>
      </c>
      <c r="E52" t="s">
        <v>2200</v>
      </c>
      <c r="F52" s="56" t="s">
        <v>2201</v>
      </c>
      <c r="G52" s="39" t="s">
        <v>2202</v>
      </c>
      <c r="H52" s="55">
        <v>3163786103</v>
      </c>
      <c r="I52" s="39" t="s">
        <v>777</v>
      </c>
    </row>
    <row r="53" spans="1:9" ht="25.5" x14ac:dyDescent="0.25">
      <c r="A53" s="60">
        <v>901261401</v>
      </c>
      <c r="B53" s="324" t="s">
        <v>77</v>
      </c>
      <c r="C53" s="24" t="s">
        <v>1960</v>
      </c>
      <c r="D53" s="61" t="s">
        <v>2203</v>
      </c>
      <c r="E53" s="61" t="s">
        <v>2204</v>
      </c>
      <c r="F53" s="56" t="s">
        <v>2201</v>
      </c>
      <c r="G53" s="39" t="s">
        <v>2205</v>
      </c>
      <c r="H53" s="67">
        <v>3115059389</v>
      </c>
      <c r="I53" s="39" t="s">
        <v>777</v>
      </c>
    </row>
    <row r="54" spans="1:9" x14ac:dyDescent="0.25">
      <c r="A54" s="55">
        <v>1121831186</v>
      </c>
      <c r="B54" s="60" t="s">
        <v>172</v>
      </c>
      <c r="C54" s="24" t="s">
        <v>2086</v>
      </c>
      <c r="D54" s="56" t="s">
        <v>2206</v>
      </c>
      <c r="E54" s="56"/>
      <c r="F54" s="56" t="s">
        <v>2207</v>
      </c>
      <c r="G54" s="39" t="s">
        <v>2208</v>
      </c>
      <c r="H54" s="55">
        <v>3108543670</v>
      </c>
      <c r="I54" s="39" t="s">
        <v>2080</v>
      </c>
    </row>
    <row r="55" spans="1:9" ht="15" x14ac:dyDescent="0.25">
      <c r="A55" s="55">
        <v>830083023</v>
      </c>
      <c r="B55" s="60" t="s">
        <v>100</v>
      </c>
      <c r="C55" s="24" t="s">
        <v>1960</v>
      </c>
      <c r="D55" s="56" t="s">
        <v>2209</v>
      </c>
      <c r="E55" s="56" t="s">
        <v>100</v>
      </c>
      <c r="F55" s="56" t="s">
        <v>2105</v>
      </c>
      <c r="G55" s="186" t="s">
        <v>2210</v>
      </c>
      <c r="H55" s="55">
        <v>2263134</v>
      </c>
      <c r="I55" s="39" t="s">
        <v>777</v>
      </c>
    </row>
    <row r="56" spans="1:9" x14ac:dyDescent="0.25">
      <c r="A56" s="55">
        <v>900454322</v>
      </c>
      <c r="B56" s="60" t="s">
        <v>174</v>
      </c>
      <c r="C56" s="24" t="s">
        <v>1960</v>
      </c>
      <c r="D56" s="56" t="s">
        <v>2211</v>
      </c>
      <c r="E56" s="56"/>
      <c r="F56" s="56" t="s">
        <v>2212</v>
      </c>
      <c r="G56" s="39" t="s">
        <v>2213</v>
      </c>
      <c r="H56" s="55">
        <v>6017555971</v>
      </c>
      <c r="I56" s="39" t="s">
        <v>777</v>
      </c>
    </row>
    <row r="57" spans="1:9" x14ac:dyDescent="0.25">
      <c r="A57" s="55">
        <v>860047214</v>
      </c>
      <c r="B57" s="60" t="s">
        <v>197</v>
      </c>
      <c r="C57" s="24" t="s">
        <v>1960</v>
      </c>
      <c r="D57" s="56" t="s">
        <v>2214</v>
      </c>
      <c r="E57" s="56"/>
      <c r="F57" s="56" t="s">
        <v>277</v>
      </c>
      <c r="G57" s="39" t="s">
        <v>2215</v>
      </c>
      <c r="H57" s="55">
        <v>6016271111</v>
      </c>
      <c r="I57" s="39" t="s">
        <v>777</v>
      </c>
    </row>
    <row r="58" spans="1:9" x14ac:dyDescent="0.25">
      <c r="A58" s="55">
        <v>860505170</v>
      </c>
      <c r="B58" s="60" t="s">
        <v>73</v>
      </c>
      <c r="C58" s="24" t="s">
        <v>1960</v>
      </c>
      <c r="D58" s="56" t="s">
        <v>2216</v>
      </c>
      <c r="E58" s="56"/>
      <c r="F58" s="56" t="s">
        <v>277</v>
      </c>
      <c r="G58" s="39" t="s">
        <v>2217</v>
      </c>
      <c r="H58" s="55">
        <v>7440000</v>
      </c>
      <c r="I58" s="39" t="s">
        <v>777</v>
      </c>
    </row>
    <row r="59" spans="1:9" x14ac:dyDescent="0.25">
      <c r="A59" s="55">
        <v>860006628</v>
      </c>
      <c r="B59" s="60" t="s">
        <v>128</v>
      </c>
      <c r="C59" s="24" t="s">
        <v>1960</v>
      </c>
      <c r="D59" s="56" t="s">
        <v>2218</v>
      </c>
      <c r="E59" s="56" t="s">
        <v>2219</v>
      </c>
      <c r="F59" s="56" t="s">
        <v>277</v>
      </c>
      <c r="G59" s="39" t="s">
        <v>2220</v>
      </c>
      <c r="H59" s="55">
        <v>6016464141</v>
      </c>
      <c r="I59" s="39" t="s">
        <v>777</v>
      </c>
    </row>
    <row r="60" spans="1:9" ht="25.5" x14ac:dyDescent="0.25">
      <c r="A60" s="55">
        <v>900444251</v>
      </c>
      <c r="B60" s="60" t="s">
        <v>208</v>
      </c>
      <c r="C60" s="24" t="s">
        <v>1960</v>
      </c>
      <c r="D60" s="56" t="s">
        <v>2221</v>
      </c>
      <c r="E60" s="56" t="s">
        <v>2222</v>
      </c>
      <c r="F60" s="56" t="s">
        <v>2223</v>
      </c>
      <c r="G60" s="80" t="s">
        <v>2224</v>
      </c>
      <c r="H60" s="55">
        <v>6017441611</v>
      </c>
      <c r="I60" s="39" t="s">
        <v>777</v>
      </c>
    </row>
    <row r="61" spans="1:9" x14ac:dyDescent="0.25">
      <c r="A61" s="55">
        <v>800233648</v>
      </c>
      <c r="B61" s="60" t="s">
        <v>212</v>
      </c>
      <c r="C61" s="24" t="s">
        <v>1960</v>
      </c>
      <c r="D61" s="56" t="s">
        <v>2225</v>
      </c>
      <c r="E61" s="56"/>
      <c r="F61" s="56" t="s">
        <v>2226</v>
      </c>
      <c r="G61" s="39" t="s">
        <v>2227</v>
      </c>
      <c r="H61" s="55">
        <v>6013149600</v>
      </c>
      <c r="I61" s="39" t="s">
        <v>777</v>
      </c>
    </row>
    <row r="62" spans="1:9" x14ac:dyDescent="0.25">
      <c r="A62" s="55">
        <v>52385710</v>
      </c>
      <c r="B62" s="60" t="s">
        <v>129</v>
      </c>
      <c r="C62" s="82" t="s">
        <v>2086</v>
      </c>
      <c r="D62" s="60" t="s">
        <v>2228</v>
      </c>
      <c r="E62" s="60"/>
      <c r="F62" s="60" t="s">
        <v>277</v>
      </c>
      <c r="G62" s="40" t="s">
        <v>2229</v>
      </c>
      <c r="H62" s="55" t="s">
        <v>2230</v>
      </c>
      <c r="I62" s="39" t="s">
        <v>2080</v>
      </c>
    </row>
    <row r="63" spans="1:9" ht="24.75" customHeight="1" x14ac:dyDescent="0.25">
      <c r="A63" s="55">
        <v>900136900</v>
      </c>
      <c r="B63" s="60" t="s">
        <v>32</v>
      </c>
      <c r="C63" s="24" t="s">
        <v>1960</v>
      </c>
      <c r="D63" s="56" t="s">
        <v>2231</v>
      </c>
      <c r="E63" s="56"/>
      <c r="F63" s="56" t="s">
        <v>2232</v>
      </c>
      <c r="G63" s="39" t="s">
        <v>2233</v>
      </c>
      <c r="H63" s="55">
        <v>6017245858</v>
      </c>
      <c r="I63" s="39" t="s">
        <v>777</v>
      </c>
    </row>
    <row r="64" spans="1:9" ht="25.5" x14ac:dyDescent="0.25">
      <c r="A64" s="55">
        <v>900144283</v>
      </c>
      <c r="B64" s="60" t="s">
        <v>163</v>
      </c>
      <c r="C64" s="24" t="s">
        <v>1960</v>
      </c>
      <c r="D64" s="56" t="s">
        <v>2234</v>
      </c>
      <c r="E64" s="56"/>
      <c r="F64" s="56" t="s">
        <v>2235</v>
      </c>
      <c r="G64" s="39" t="s">
        <v>2236</v>
      </c>
      <c r="H64" s="55">
        <v>3102582784</v>
      </c>
      <c r="I64" s="39" t="s">
        <v>777</v>
      </c>
    </row>
    <row r="65" spans="1:9" x14ac:dyDescent="0.25">
      <c r="A65" s="55">
        <v>860001999</v>
      </c>
      <c r="B65" s="60" t="s">
        <v>102</v>
      </c>
      <c r="C65" s="24" t="s">
        <v>1960</v>
      </c>
      <c r="D65" s="56" t="s">
        <v>2237</v>
      </c>
      <c r="E65" s="56"/>
      <c r="F65" s="56" t="s">
        <v>2238</v>
      </c>
      <c r="G65" s="39" t="s">
        <v>2239</v>
      </c>
      <c r="H65" s="55">
        <v>6015934700</v>
      </c>
      <c r="I65" s="39" t="s">
        <v>777</v>
      </c>
    </row>
    <row r="66" spans="1:9" x14ac:dyDescent="0.25">
      <c r="A66" s="55">
        <v>900300965</v>
      </c>
      <c r="B66" s="60" t="s">
        <v>110</v>
      </c>
      <c r="C66" s="24" t="s">
        <v>1960</v>
      </c>
      <c r="D66" s="56" t="s">
        <v>2240</v>
      </c>
      <c r="E66" s="56"/>
      <c r="F66" s="56" t="s">
        <v>2223</v>
      </c>
      <c r="G66" s="39" t="s">
        <v>2241</v>
      </c>
      <c r="H66" s="55">
        <v>6017437770</v>
      </c>
      <c r="I66" s="39" t="s">
        <v>777</v>
      </c>
    </row>
    <row r="67" spans="1:9" ht="15" x14ac:dyDescent="0.25">
      <c r="A67" s="55">
        <v>39537015</v>
      </c>
      <c r="B67" s="60" t="s">
        <v>114</v>
      </c>
      <c r="C67" s="24" t="s">
        <v>2086</v>
      </c>
      <c r="D67" s="56" t="s">
        <v>2242</v>
      </c>
      <c r="E67" s="56" t="s">
        <v>2243</v>
      </c>
      <c r="F67" s="56" t="s">
        <v>2244</v>
      </c>
      <c r="G67" s="186" t="s">
        <v>2245</v>
      </c>
      <c r="H67" s="55">
        <v>7747744</v>
      </c>
      <c r="I67" s="39" t="s">
        <v>777</v>
      </c>
    </row>
    <row r="68" spans="1:9" x14ac:dyDescent="0.25">
      <c r="A68" s="55">
        <v>55158870</v>
      </c>
      <c r="B68" s="60" t="s">
        <v>122</v>
      </c>
      <c r="C68" s="24" t="s">
        <v>2086</v>
      </c>
      <c r="D68" s="56" t="s">
        <v>2246</v>
      </c>
      <c r="E68" s="56"/>
      <c r="F68" s="56" t="s">
        <v>2247</v>
      </c>
      <c r="G68" s="39" t="s">
        <v>2248</v>
      </c>
      <c r="H68" s="55">
        <v>3173893863</v>
      </c>
      <c r="I68" s="39" t="s">
        <v>2080</v>
      </c>
    </row>
    <row r="69" spans="1:9" ht="15" x14ac:dyDescent="0.25">
      <c r="A69" s="55">
        <v>901431960</v>
      </c>
      <c r="B69" s="60" t="s">
        <v>175</v>
      </c>
      <c r="C69" s="24" t="s">
        <v>1960</v>
      </c>
      <c r="D69" s="56" t="s">
        <v>2249</v>
      </c>
      <c r="E69" s="56"/>
      <c r="F69" s="56" t="s">
        <v>2250</v>
      </c>
      <c r="G69" s="186" t="s">
        <v>2251</v>
      </c>
      <c r="H69" s="55">
        <v>3017027078</v>
      </c>
      <c r="I69" s="39" t="s">
        <v>777</v>
      </c>
    </row>
    <row r="70" spans="1:9" x14ac:dyDescent="0.25">
      <c r="A70" s="55">
        <v>830124631</v>
      </c>
      <c r="B70" s="60" t="s">
        <v>112</v>
      </c>
      <c r="C70" s="82" t="s">
        <v>1960</v>
      </c>
      <c r="D70" s="60" t="s">
        <v>2252</v>
      </c>
      <c r="E70" s="60"/>
      <c r="F70" s="60" t="s">
        <v>277</v>
      </c>
      <c r="G70" s="40" t="s">
        <v>2253</v>
      </c>
      <c r="H70" s="55">
        <v>3204923032</v>
      </c>
      <c r="I70" s="39" t="s">
        <v>777</v>
      </c>
    </row>
    <row r="71" spans="1:9" ht="30" x14ac:dyDescent="0.25">
      <c r="A71" s="55">
        <v>832009861</v>
      </c>
      <c r="B71" s="60" t="s">
        <v>136</v>
      </c>
      <c r="C71" s="24" t="s">
        <v>1960</v>
      </c>
      <c r="D71" s="56" t="s">
        <v>2254</v>
      </c>
      <c r="E71" s="56"/>
      <c r="F71" s="56" t="s">
        <v>2165</v>
      </c>
      <c r="G71" s="186" t="s">
        <v>2255</v>
      </c>
      <c r="H71" s="55">
        <v>3157960602</v>
      </c>
      <c r="I71" s="39" t="s">
        <v>777</v>
      </c>
    </row>
    <row r="72" spans="1:9" x14ac:dyDescent="0.25">
      <c r="A72" s="55">
        <v>900047626</v>
      </c>
      <c r="B72" s="60" t="s">
        <v>127</v>
      </c>
      <c r="C72" s="24" t="s">
        <v>1960</v>
      </c>
      <c r="D72" s="56" t="s">
        <v>2256</v>
      </c>
      <c r="E72" s="56" t="s">
        <v>2257</v>
      </c>
      <c r="F72" s="56" t="s">
        <v>277</v>
      </c>
      <c r="G72" s="39" t="s">
        <v>2258</v>
      </c>
      <c r="H72" s="55">
        <v>6012440556</v>
      </c>
      <c r="I72" s="39" t="s">
        <v>777</v>
      </c>
    </row>
    <row r="73" spans="1:9" ht="25.5" x14ac:dyDescent="0.25">
      <c r="A73" s="55">
        <v>900443730</v>
      </c>
      <c r="B73" s="60" t="s">
        <v>144</v>
      </c>
      <c r="C73" s="24" t="s">
        <v>1960</v>
      </c>
      <c r="D73" s="56" t="s">
        <v>2259</v>
      </c>
      <c r="E73" s="56" t="s">
        <v>2260</v>
      </c>
      <c r="F73" s="56" t="s">
        <v>2190</v>
      </c>
      <c r="G73" s="39" t="s">
        <v>2261</v>
      </c>
      <c r="H73" s="55">
        <v>3217998717</v>
      </c>
      <c r="I73" s="39" t="s">
        <v>777</v>
      </c>
    </row>
    <row r="74" spans="1:9" ht="25.5" x14ac:dyDescent="0.25">
      <c r="A74" s="55">
        <v>804007055</v>
      </c>
      <c r="B74" s="60" t="s">
        <v>134</v>
      </c>
      <c r="C74" s="24" t="s">
        <v>1960</v>
      </c>
      <c r="D74" s="56" t="s">
        <v>2262</v>
      </c>
      <c r="E74" s="56"/>
      <c r="F74" s="56" t="s">
        <v>2263</v>
      </c>
      <c r="G74" s="39" t="s">
        <v>2264</v>
      </c>
      <c r="H74" s="55">
        <v>3133774590</v>
      </c>
      <c r="I74" s="39" t="s">
        <v>777</v>
      </c>
    </row>
    <row r="75" spans="1:9" x14ac:dyDescent="0.25">
      <c r="A75" s="55">
        <v>900456485</v>
      </c>
      <c r="B75" s="60" t="s">
        <v>56</v>
      </c>
      <c r="D75" s="56" t="s">
        <v>2265</v>
      </c>
      <c r="E75" s="56"/>
      <c r="F75" s="56" t="s">
        <v>2099</v>
      </c>
      <c r="G75" s="39" t="s">
        <v>2266</v>
      </c>
      <c r="H75" s="55">
        <v>3112296528</v>
      </c>
      <c r="I75" s="39" t="s">
        <v>777</v>
      </c>
    </row>
    <row r="76" spans="1:9" x14ac:dyDescent="0.25">
      <c r="A76" s="55">
        <v>901005631</v>
      </c>
      <c r="B76" s="60" t="s">
        <v>104</v>
      </c>
      <c r="C76" s="24" t="s">
        <v>1960</v>
      </c>
      <c r="D76" s="56" t="s">
        <v>2267</v>
      </c>
      <c r="E76" s="56"/>
      <c r="F76" s="56" t="s">
        <v>2268</v>
      </c>
      <c r="G76" s="39" t="s">
        <v>2269</v>
      </c>
      <c r="H76" s="55">
        <v>3203368044</v>
      </c>
      <c r="I76" s="39" t="s">
        <v>777</v>
      </c>
    </row>
    <row r="77" spans="1:9" x14ac:dyDescent="0.25">
      <c r="A77" s="55">
        <v>901587935</v>
      </c>
      <c r="B77" s="60" t="s">
        <v>80</v>
      </c>
      <c r="C77" s="24" t="s">
        <v>1960</v>
      </c>
      <c r="D77" s="56" t="s">
        <v>2270</v>
      </c>
      <c r="E77" s="56"/>
      <c r="F77" s="56" t="s">
        <v>2271</v>
      </c>
      <c r="G77" s="39" t="s">
        <v>2272</v>
      </c>
      <c r="H77" s="55">
        <v>3103213272</v>
      </c>
      <c r="I77" s="39" t="s">
        <v>777</v>
      </c>
    </row>
    <row r="78" spans="1:9" ht="25.5" x14ac:dyDescent="0.25">
      <c r="A78" s="55">
        <v>900350747</v>
      </c>
      <c r="B78" s="60" t="s">
        <v>83</v>
      </c>
      <c r="C78" s="82" t="s">
        <v>1960</v>
      </c>
      <c r="D78" s="60" t="s">
        <v>2273</v>
      </c>
      <c r="E78" s="60"/>
      <c r="F78" s="60" t="s">
        <v>277</v>
      </c>
      <c r="G78" s="40" t="s">
        <v>2274</v>
      </c>
      <c r="H78" s="55">
        <v>3134539818</v>
      </c>
      <c r="I78" s="39" t="s">
        <v>777</v>
      </c>
    </row>
    <row r="79" spans="1:9" ht="25.5" x14ac:dyDescent="0.25">
      <c r="A79" s="55">
        <v>901030518</v>
      </c>
      <c r="B79" s="60" t="s">
        <v>45</v>
      </c>
      <c r="C79" s="24" t="s">
        <v>1960</v>
      </c>
      <c r="D79" s="56" t="s">
        <v>2275</v>
      </c>
      <c r="E79" s="56"/>
      <c r="F79" s="56" t="s">
        <v>277</v>
      </c>
      <c r="G79" s="41" t="s">
        <v>2276</v>
      </c>
      <c r="H79" s="55">
        <v>3102896272</v>
      </c>
      <c r="I79" s="39" t="s">
        <v>777</v>
      </c>
    </row>
    <row r="80" spans="1:9" ht="15" x14ac:dyDescent="0.25">
      <c r="A80">
        <v>800044402</v>
      </c>
      <c r="B80" s="227" t="s">
        <v>118</v>
      </c>
      <c r="C80" s="24" t="s">
        <v>1960</v>
      </c>
      <c r="D80" t="s">
        <v>2277</v>
      </c>
      <c r="E80" t="s">
        <v>2278</v>
      </c>
      <c r="F80" t="s">
        <v>2279</v>
      </c>
      <c r="G80" s="57" t="s">
        <v>2280</v>
      </c>
      <c r="H80" s="55">
        <v>3159000</v>
      </c>
      <c r="I80" s="39" t="s">
        <v>777</v>
      </c>
    </row>
    <row r="81" spans="1:9" ht="25.5" x14ac:dyDescent="0.25">
      <c r="A81" s="55">
        <v>901083908</v>
      </c>
      <c r="B81" s="60" t="s">
        <v>158</v>
      </c>
      <c r="C81" s="24" t="s">
        <v>1960</v>
      </c>
      <c r="D81" s="56" t="s">
        <v>2281</v>
      </c>
      <c r="E81" s="56" t="s">
        <v>2282</v>
      </c>
      <c r="F81" s="56" t="s">
        <v>2283</v>
      </c>
      <c r="G81" s="39" t="s">
        <v>2284</v>
      </c>
      <c r="H81" s="55">
        <v>6044076063</v>
      </c>
      <c r="I81" s="39" t="s">
        <v>777</v>
      </c>
    </row>
    <row r="82" spans="1:9" ht="38.25" x14ac:dyDescent="0.25">
      <c r="A82" s="55">
        <v>900022013</v>
      </c>
      <c r="B82" s="60" t="s">
        <v>94</v>
      </c>
      <c r="C82" s="24" t="s">
        <v>1960</v>
      </c>
      <c r="D82" s="56" t="s">
        <v>2285</v>
      </c>
      <c r="E82" s="56"/>
      <c r="F82" s="56" t="s">
        <v>277</v>
      </c>
      <c r="G82" s="40" t="s">
        <v>2286</v>
      </c>
      <c r="H82" s="55" t="s">
        <v>2287</v>
      </c>
      <c r="I82" s="39" t="s">
        <v>777</v>
      </c>
    </row>
    <row r="83" spans="1:9" ht="25.5" x14ac:dyDescent="0.25">
      <c r="A83" s="55">
        <v>830017648</v>
      </c>
      <c r="B83" s="60" t="s">
        <v>60</v>
      </c>
      <c r="C83" s="24" t="s">
        <v>1960</v>
      </c>
      <c r="D83" s="56" t="s">
        <v>2288</v>
      </c>
      <c r="E83" s="56" t="s">
        <v>2289</v>
      </c>
      <c r="F83" s="56" t="s">
        <v>277</v>
      </c>
      <c r="G83" s="175" t="s">
        <v>2290</v>
      </c>
      <c r="H83" s="55">
        <v>6012444467</v>
      </c>
      <c r="I83" s="39" t="s">
        <v>777</v>
      </c>
    </row>
    <row r="84" spans="1:9" ht="25.5" x14ac:dyDescent="0.25">
      <c r="A84" s="55">
        <v>900625659</v>
      </c>
      <c r="B84" s="60" t="s">
        <v>162</v>
      </c>
      <c r="C84" s="24" t="s">
        <v>1960</v>
      </c>
      <c r="D84" s="56" t="s">
        <v>2291</v>
      </c>
      <c r="E84" s="56"/>
      <c r="F84" s="56" t="s">
        <v>2292</v>
      </c>
      <c r="G84" s="39" t="s">
        <v>2293</v>
      </c>
      <c r="H84" s="55">
        <v>3152334332</v>
      </c>
      <c r="I84" s="39" t="s">
        <v>777</v>
      </c>
    </row>
    <row r="85" spans="1:9" ht="25.5" x14ac:dyDescent="0.25">
      <c r="A85" s="55">
        <v>901034790</v>
      </c>
      <c r="B85" s="60" t="s">
        <v>213</v>
      </c>
      <c r="C85" s="24" t="s">
        <v>1960</v>
      </c>
      <c r="D85" s="56" t="s">
        <v>2294</v>
      </c>
      <c r="E85" s="56" t="s">
        <v>2295</v>
      </c>
      <c r="F85" s="56" t="s">
        <v>2212</v>
      </c>
      <c r="G85" s="175" t="s">
        <v>2296</v>
      </c>
      <c r="H85" s="55">
        <v>6013649620</v>
      </c>
      <c r="I85" s="39" t="s">
        <v>777</v>
      </c>
    </row>
    <row r="86" spans="1:9" x14ac:dyDescent="0.25">
      <c r="A86" s="55">
        <v>900013039</v>
      </c>
      <c r="B86" s="60" t="s">
        <v>96</v>
      </c>
      <c r="C86" s="24" t="s">
        <v>1960</v>
      </c>
      <c r="D86" s="56" t="s">
        <v>2297</v>
      </c>
      <c r="E86" s="56"/>
      <c r="F86" s="56" t="s">
        <v>2099</v>
      </c>
      <c r="G86" s="39" t="s">
        <v>2298</v>
      </c>
      <c r="H86" s="55">
        <v>6015797261</v>
      </c>
      <c r="I86" s="39" t="s">
        <v>777</v>
      </c>
    </row>
    <row r="87" spans="1:9" ht="38.25" x14ac:dyDescent="0.25">
      <c r="A87" s="55">
        <v>900704478</v>
      </c>
      <c r="B87" s="60" t="s">
        <v>161</v>
      </c>
      <c r="C87" s="24" t="s">
        <v>1960</v>
      </c>
      <c r="D87" s="56" t="s">
        <v>2299</v>
      </c>
      <c r="E87" s="56"/>
      <c r="F87" s="56" t="s">
        <v>2300</v>
      </c>
      <c r="G87" s="39" t="s">
        <v>2301</v>
      </c>
      <c r="H87" s="55">
        <v>3103038070</v>
      </c>
      <c r="I87" s="39" t="s">
        <v>777</v>
      </c>
    </row>
    <row r="88" spans="1:9" ht="25.5" x14ac:dyDescent="0.25">
      <c r="A88" s="55">
        <v>830098290</v>
      </c>
      <c r="B88" s="60" t="s">
        <v>90</v>
      </c>
      <c r="C88" s="24" t="s">
        <v>1960</v>
      </c>
      <c r="D88" s="56" t="s">
        <v>2302</v>
      </c>
      <c r="E88" s="56"/>
      <c r="F88" s="56" t="s">
        <v>2303</v>
      </c>
      <c r="G88" s="39" t="s">
        <v>2304</v>
      </c>
      <c r="H88" s="55">
        <v>6018776363</v>
      </c>
      <c r="I88" s="39" t="s">
        <v>777</v>
      </c>
    </row>
    <row r="89" spans="1:9" x14ac:dyDescent="0.25">
      <c r="A89" s="55">
        <v>800159215</v>
      </c>
      <c r="B89" s="60" t="s">
        <v>169</v>
      </c>
      <c r="C89" s="82" t="s">
        <v>1960</v>
      </c>
      <c r="D89" s="60" t="s">
        <v>2305</v>
      </c>
      <c r="E89" s="60"/>
      <c r="F89" s="60" t="s">
        <v>277</v>
      </c>
      <c r="G89" s="40" t="s">
        <v>2306</v>
      </c>
      <c r="H89" s="55">
        <v>451531</v>
      </c>
      <c r="I89" s="39" t="s">
        <v>777</v>
      </c>
    </row>
    <row r="90" spans="1:9" ht="25.5" x14ac:dyDescent="0.25">
      <c r="A90" s="55">
        <v>830033212</v>
      </c>
      <c r="B90" s="60" t="s">
        <v>192</v>
      </c>
      <c r="C90" s="24" t="s">
        <v>1960</v>
      </c>
      <c r="D90" s="56" t="s">
        <v>2307</v>
      </c>
      <c r="E90" s="56"/>
      <c r="F90" s="56" t="s">
        <v>2308</v>
      </c>
      <c r="G90" s="80" t="s">
        <v>2309</v>
      </c>
      <c r="H90" s="55">
        <v>3103019002</v>
      </c>
      <c r="I90" s="39" t="s">
        <v>777</v>
      </c>
    </row>
    <row r="91" spans="1:9" x14ac:dyDescent="0.25">
      <c r="A91" s="55">
        <v>900801391</v>
      </c>
      <c r="B91" s="60" t="s">
        <v>177</v>
      </c>
      <c r="C91" s="24" t="s">
        <v>1960</v>
      </c>
      <c r="D91" s="56" t="s">
        <v>2310</v>
      </c>
      <c r="E91" s="56"/>
      <c r="F91" s="56" t="s">
        <v>2223</v>
      </c>
      <c r="G91" s="39" t="s">
        <v>2311</v>
      </c>
      <c r="H91" s="55">
        <v>3114789117</v>
      </c>
      <c r="I91" s="39" t="s">
        <v>777</v>
      </c>
    </row>
    <row r="92" spans="1:9" ht="38.25" x14ac:dyDescent="0.25">
      <c r="A92" s="55">
        <v>900897223</v>
      </c>
      <c r="B92" s="60" t="s">
        <v>2312</v>
      </c>
      <c r="C92" s="24" t="s">
        <v>1960</v>
      </c>
      <c r="D92" s="56" t="s">
        <v>2313</v>
      </c>
      <c r="E92" s="56"/>
      <c r="F92" s="56" t="s">
        <v>2314</v>
      </c>
      <c r="G92" s="39" t="s">
        <v>2315</v>
      </c>
      <c r="H92" s="55">
        <v>3124542836</v>
      </c>
      <c r="I92" s="39" t="s">
        <v>777</v>
      </c>
    </row>
    <row r="93" spans="1:9" x14ac:dyDescent="0.25">
      <c r="A93" s="55">
        <v>830050882</v>
      </c>
      <c r="B93" s="60" t="s">
        <v>204</v>
      </c>
      <c r="C93" s="24" t="s">
        <v>1960</v>
      </c>
      <c r="D93" s="56" t="s">
        <v>2316</v>
      </c>
      <c r="E93" s="56"/>
      <c r="F93" s="56" t="s">
        <v>277</v>
      </c>
      <c r="G93" s="39" t="s">
        <v>2317</v>
      </c>
      <c r="H93" s="55">
        <v>6012907309</v>
      </c>
      <c r="I93" s="39" t="s">
        <v>777</v>
      </c>
    </row>
    <row r="94" spans="1:9" ht="15" x14ac:dyDescent="0.25">
      <c r="A94" s="55">
        <v>800054984</v>
      </c>
      <c r="B94" s="227" t="s">
        <v>165</v>
      </c>
      <c r="C94" s="24" t="s">
        <v>1960</v>
      </c>
      <c r="D94" t="s">
        <v>2318</v>
      </c>
      <c r="E94"/>
      <c r="F94" s="56" t="s">
        <v>277</v>
      </c>
      <c r="G94" s="39" t="s">
        <v>2319</v>
      </c>
      <c r="H94" s="66">
        <v>3162503692</v>
      </c>
      <c r="I94" s="39" t="s">
        <v>777</v>
      </c>
    </row>
    <row r="95" spans="1:9" x14ac:dyDescent="0.2">
      <c r="A95" s="55">
        <v>901218098</v>
      </c>
      <c r="B95" s="182" t="s">
        <v>190</v>
      </c>
      <c r="C95" s="24" t="s">
        <v>1960</v>
      </c>
      <c r="D95" s="37" t="s">
        <v>2320</v>
      </c>
      <c r="E95" s="37"/>
      <c r="F95" s="56" t="s">
        <v>277</v>
      </c>
      <c r="G95" s="37" t="s">
        <v>2321</v>
      </c>
      <c r="H95" s="65">
        <v>3187759223</v>
      </c>
      <c r="I95" s="39" t="s">
        <v>777</v>
      </c>
    </row>
    <row r="96" spans="1:9" ht="25.5" x14ac:dyDescent="0.25">
      <c r="A96" s="55">
        <v>900423678</v>
      </c>
      <c r="B96" s="60" t="s">
        <v>160</v>
      </c>
      <c r="C96" s="24" t="s">
        <v>1960</v>
      </c>
      <c r="D96" s="56" t="s">
        <v>2322</v>
      </c>
      <c r="E96" s="56"/>
      <c r="F96" s="56" t="s">
        <v>2323</v>
      </c>
      <c r="G96" s="39" t="s">
        <v>2324</v>
      </c>
      <c r="H96" s="55">
        <v>3057058740</v>
      </c>
      <c r="I96" s="39" t="s">
        <v>777</v>
      </c>
    </row>
    <row r="97" spans="1:9" ht="25.5" x14ac:dyDescent="0.25">
      <c r="A97" s="55">
        <v>860516834</v>
      </c>
      <c r="B97" s="60" t="s">
        <v>71</v>
      </c>
      <c r="C97" s="82" t="s">
        <v>1960</v>
      </c>
      <c r="D97" s="60" t="s">
        <v>2325</v>
      </c>
      <c r="E97" s="60"/>
      <c r="F97" s="60" t="s">
        <v>277</v>
      </c>
      <c r="G97" s="152" t="s">
        <v>2326</v>
      </c>
      <c r="H97" s="55" t="s">
        <v>2327</v>
      </c>
      <c r="I97" s="39" t="s">
        <v>777</v>
      </c>
    </row>
    <row r="98" spans="1:9" x14ac:dyDescent="0.25">
      <c r="A98" s="55">
        <v>901588265</v>
      </c>
      <c r="B98" s="60" t="s">
        <v>216</v>
      </c>
      <c r="C98" s="24" t="s">
        <v>1960</v>
      </c>
      <c r="D98" s="56" t="s">
        <v>2328</v>
      </c>
      <c r="E98" s="56"/>
      <c r="F98" s="56" t="s">
        <v>2329</v>
      </c>
      <c r="G98" s="39" t="s">
        <v>2330</v>
      </c>
      <c r="H98" s="55"/>
      <c r="I98" s="39" t="s">
        <v>777</v>
      </c>
    </row>
    <row r="99" spans="1:9" x14ac:dyDescent="0.25">
      <c r="A99" s="55">
        <v>901843713</v>
      </c>
      <c r="B99" s="60" t="s">
        <v>202</v>
      </c>
      <c r="C99" s="24" t="s">
        <v>1960</v>
      </c>
      <c r="D99" s="56" t="s">
        <v>2331</v>
      </c>
      <c r="E99" s="56"/>
      <c r="F99" s="56" t="s">
        <v>2332</v>
      </c>
      <c r="G99" s="39" t="s">
        <v>2333</v>
      </c>
      <c r="H99" s="55"/>
      <c r="I99" s="39" t="s">
        <v>777</v>
      </c>
    </row>
    <row r="100" spans="1:9" ht="25.5" x14ac:dyDescent="0.25">
      <c r="A100" s="55">
        <v>900110590</v>
      </c>
      <c r="B100" s="60" t="s">
        <v>147</v>
      </c>
      <c r="C100" s="24" t="s">
        <v>1960</v>
      </c>
      <c r="D100" s="56" t="s">
        <v>2334</v>
      </c>
      <c r="E100" s="56"/>
      <c r="F100" s="56" t="s">
        <v>277</v>
      </c>
      <c r="G100" s="39" t="s">
        <v>2335</v>
      </c>
      <c r="H100" s="55">
        <v>6018767422</v>
      </c>
      <c r="I100" s="39" t="s">
        <v>777</v>
      </c>
    </row>
    <row r="101" spans="1:9" x14ac:dyDescent="0.25">
      <c r="A101" s="55">
        <v>901388588</v>
      </c>
      <c r="B101" s="60" t="s">
        <v>183</v>
      </c>
      <c r="C101" s="24" t="s">
        <v>1960</v>
      </c>
      <c r="D101" s="56" t="s">
        <v>2336</v>
      </c>
      <c r="E101" s="56"/>
      <c r="F101" s="56" t="s">
        <v>2184</v>
      </c>
      <c r="G101" s="39" t="s">
        <v>2337</v>
      </c>
      <c r="H101" s="55">
        <v>6017467699</v>
      </c>
      <c r="I101" s="39" t="s">
        <v>777</v>
      </c>
    </row>
    <row r="102" spans="1:9" x14ac:dyDescent="0.25">
      <c r="A102" s="55">
        <v>830031255</v>
      </c>
      <c r="B102" s="60" t="s">
        <v>156</v>
      </c>
      <c r="C102" s="24" t="s">
        <v>1960</v>
      </c>
      <c r="D102" s="56" t="s">
        <v>2338</v>
      </c>
      <c r="E102" s="56"/>
      <c r="F102" s="56" t="s">
        <v>277</v>
      </c>
      <c r="G102" s="39" t="s">
        <v>2339</v>
      </c>
      <c r="H102" s="55">
        <v>6016048455</v>
      </c>
      <c r="I102" s="39" t="s">
        <v>777</v>
      </c>
    </row>
    <row r="103" spans="1:9" x14ac:dyDescent="0.25">
      <c r="A103" s="55">
        <v>900072275</v>
      </c>
      <c r="B103" s="60" t="s">
        <v>207</v>
      </c>
      <c r="C103" s="24" t="s">
        <v>1960</v>
      </c>
      <c r="D103" s="56" t="s">
        <v>2340</v>
      </c>
      <c r="E103" s="56"/>
      <c r="F103" s="56" t="s">
        <v>2226</v>
      </c>
      <c r="G103" s="39" t="s">
        <v>2341</v>
      </c>
      <c r="H103" s="55">
        <v>3124983140</v>
      </c>
      <c r="I103" s="39" t="s">
        <v>777</v>
      </c>
    </row>
    <row r="104" spans="1:9" ht="25.5" x14ac:dyDescent="0.25">
      <c r="A104" s="55">
        <v>830069880</v>
      </c>
      <c r="B104" s="60" t="s">
        <v>92</v>
      </c>
      <c r="C104" s="82" t="s">
        <v>1960</v>
      </c>
      <c r="D104" s="56" t="s">
        <v>2342</v>
      </c>
      <c r="E104" s="56" t="s">
        <v>92</v>
      </c>
      <c r="F104" s="56" t="s">
        <v>2343</v>
      </c>
      <c r="G104" s="80" t="s">
        <v>2344</v>
      </c>
      <c r="H104" s="55">
        <v>3214906667</v>
      </c>
      <c r="I104" s="39" t="s">
        <v>777</v>
      </c>
    </row>
    <row r="105" spans="1:9" ht="25.5" x14ac:dyDescent="0.25">
      <c r="A105" s="55">
        <v>860524219</v>
      </c>
      <c r="B105" s="60" t="s">
        <v>188</v>
      </c>
      <c r="C105" s="24" t="s">
        <v>1960</v>
      </c>
      <c r="D105" s="56" t="s">
        <v>2345</v>
      </c>
      <c r="E105" s="56"/>
      <c r="F105" s="56" t="s">
        <v>277</v>
      </c>
      <c r="G105" s="39" t="s">
        <v>2346</v>
      </c>
      <c r="H105" s="55">
        <v>6013470000</v>
      </c>
      <c r="I105" s="39" t="s">
        <v>777</v>
      </c>
    </row>
    <row r="106" spans="1:9" ht="38.25" x14ac:dyDescent="0.25">
      <c r="A106" s="55">
        <v>900607758</v>
      </c>
      <c r="B106" s="60" t="s">
        <v>206</v>
      </c>
      <c r="C106" s="24" t="s">
        <v>1960</v>
      </c>
      <c r="D106" s="56" t="s">
        <v>2347</v>
      </c>
      <c r="E106" s="56" t="s">
        <v>206</v>
      </c>
      <c r="F106" s="56" t="s">
        <v>2348</v>
      </c>
      <c r="G106" s="39" t="s">
        <v>2349</v>
      </c>
      <c r="H106" s="55">
        <v>6017455690</v>
      </c>
      <c r="I106" s="39" t="s">
        <v>777</v>
      </c>
    </row>
    <row r="107" spans="1:9" ht="15" x14ac:dyDescent="0.25">
      <c r="A107" s="55">
        <v>900448599</v>
      </c>
      <c r="B107" s="60" t="s">
        <v>98</v>
      </c>
      <c r="C107" s="24" t="s">
        <v>1960</v>
      </c>
      <c r="D107" s="56" t="s">
        <v>2350</v>
      </c>
      <c r="E107" s="56" t="s">
        <v>2351</v>
      </c>
      <c r="F107" s="56" t="s">
        <v>277</v>
      </c>
      <c r="G107" s="175" t="s">
        <v>2352</v>
      </c>
      <c r="H107" s="55">
        <v>3134037932</v>
      </c>
      <c r="I107" s="39" t="s">
        <v>777</v>
      </c>
    </row>
    <row r="108" spans="1:9" ht="25.5" x14ac:dyDescent="0.25">
      <c r="A108" s="55">
        <v>830056068</v>
      </c>
      <c r="B108" s="60" t="s">
        <v>121</v>
      </c>
      <c r="C108" s="24" t="s">
        <v>1960</v>
      </c>
      <c r="D108" s="56" t="s">
        <v>2353</v>
      </c>
      <c r="E108" s="56"/>
      <c r="F108" s="56" t="s">
        <v>2354</v>
      </c>
      <c r="G108" s="39" t="s">
        <v>2355</v>
      </c>
      <c r="H108" s="55" t="s">
        <v>2356</v>
      </c>
      <c r="I108" s="39" t="s">
        <v>777</v>
      </c>
    </row>
    <row r="109" spans="1:9" ht="25.5" x14ac:dyDescent="0.25">
      <c r="A109" s="55">
        <v>830054076</v>
      </c>
      <c r="B109" s="60" t="s">
        <v>27</v>
      </c>
      <c r="C109" s="24" t="s">
        <v>1960</v>
      </c>
      <c r="D109" s="56" t="s">
        <v>2357</v>
      </c>
      <c r="E109" s="56"/>
      <c r="F109" s="56" t="s">
        <v>2268</v>
      </c>
      <c r="G109" s="39" t="s">
        <v>2358</v>
      </c>
      <c r="H109" s="55">
        <v>6012972030</v>
      </c>
      <c r="I109" s="39" t="s">
        <v>777</v>
      </c>
    </row>
    <row r="110" spans="1:9" ht="25.5" x14ac:dyDescent="0.25">
      <c r="A110" s="55">
        <v>901286797</v>
      </c>
      <c r="B110" s="60" t="s">
        <v>51</v>
      </c>
      <c r="C110" s="24" t="s">
        <v>1960</v>
      </c>
      <c r="D110" s="56" t="s">
        <v>2359</v>
      </c>
      <c r="E110" s="56" t="s">
        <v>51</v>
      </c>
      <c r="F110" s="56" t="s">
        <v>2190</v>
      </c>
      <c r="G110" s="175" t="s">
        <v>2360</v>
      </c>
      <c r="H110" s="55">
        <v>3214073575</v>
      </c>
      <c r="I110" s="39" t="s">
        <v>777</v>
      </c>
    </row>
    <row r="111" spans="1:9" ht="25.5" x14ac:dyDescent="0.25">
      <c r="A111" s="55">
        <v>860009161</v>
      </c>
      <c r="B111" s="60" t="s">
        <v>181</v>
      </c>
      <c r="C111" s="24" t="s">
        <v>1960</v>
      </c>
      <c r="D111" s="56" t="s">
        <v>2361</v>
      </c>
      <c r="E111" s="56"/>
      <c r="F111" s="56" t="s">
        <v>2362</v>
      </c>
      <c r="G111" s="39" t="s">
        <v>2363</v>
      </c>
      <c r="H111" s="55">
        <v>6013500699</v>
      </c>
      <c r="I111" s="39" t="s">
        <v>777</v>
      </c>
    </row>
    <row r="112" spans="1:9" ht="15" x14ac:dyDescent="0.25">
      <c r="A112" s="55">
        <v>830105276</v>
      </c>
      <c r="B112" s="60" t="s">
        <v>154</v>
      </c>
      <c r="C112" s="24" t="s">
        <v>1960</v>
      </c>
      <c r="D112" s="56" t="s">
        <v>2364</v>
      </c>
      <c r="E112" s="56"/>
      <c r="F112" s="56" t="s">
        <v>277</v>
      </c>
      <c r="G112" s="57" t="s">
        <v>2365</v>
      </c>
      <c r="H112" s="55">
        <v>7470252</v>
      </c>
      <c r="I112" s="39" t="s">
        <v>777</v>
      </c>
    </row>
    <row r="113" spans="1:9" ht="25.5" x14ac:dyDescent="0.25">
      <c r="A113" s="55">
        <v>900526437</v>
      </c>
      <c r="B113" s="60" t="s">
        <v>86</v>
      </c>
      <c r="C113" s="24" t="s">
        <v>1960</v>
      </c>
      <c r="D113" s="56" t="s">
        <v>2366</v>
      </c>
      <c r="E113" s="56" t="s">
        <v>2367</v>
      </c>
      <c r="F113" s="56" t="s">
        <v>2092</v>
      </c>
      <c r="G113" s="39" t="s">
        <v>2368</v>
      </c>
      <c r="H113" s="55">
        <v>6014799478</v>
      </c>
      <c r="I113" s="39" t="s">
        <v>777</v>
      </c>
    </row>
    <row r="114" spans="1:9" ht="15" x14ac:dyDescent="0.25">
      <c r="A114" s="55">
        <v>901233425</v>
      </c>
      <c r="B114" s="60" t="s">
        <v>76</v>
      </c>
      <c r="C114" s="82" t="s">
        <v>1960</v>
      </c>
      <c r="D114" s="56" t="s">
        <v>2369</v>
      </c>
      <c r="E114" s="56" t="s">
        <v>2370</v>
      </c>
      <c r="F114" s="56" t="s">
        <v>277</v>
      </c>
      <c r="G114" s="186" t="s">
        <v>2371</v>
      </c>
      <c r="H114" s="55">
        <v>3232234218</v>
      </c>
      <c r="I114" s="39" t="s">
        <v>777</v>
      </c>
    </row>
    <row r="115" spans="1:9" x14ac:dyDescent="0.25">
      <c r="A115" s="55">
        <v>900364830</v>
      </c>
      <c r="B115" s="60" t="s">
        <v>151</v>
      </c>
      <c r="C115" s="82" t="s">
        <v>1960</v>
      </c>
      <c r="D115" s="60" t="s">
        <v>2372</v>
      </c>
      <c r="E115" s="60"/>
      <c r="F115" s="60" t="s">
        <v>277</v>
      </c>
      <c r="G115" s="60" t="s">
        <v>2373</v>
      </c>
      <c r="H115" s="55">
        <v>3124580967</v>
      </c>
      <c r="I115" s="39" t="s">
        <v>777</v>
      </c>
    </row>
    <row r="116" spans="1:9" x14ac:dyDescent="0.25">
      <c r="A116" s="55">
        <v>830099436</v>
      </c>
      <c r="B116" s="60" t="s">
        <v>74</v>
      </c>
      <c r="C116" s="24" t="s">
        <v>1960</v>
      </c>
      <c r="D116" s="56" t="s">
        <v>2374</v>
      </c>
      <c r="E116" s="56"/>
      <c r="F116" s="56" t="s">
        <v>2092</v>
      </c>
      <c r="G116" s="39" t="s">
        <v>2375</v>
      </c>
      <c r="H116" s="55">
        <v>6016223787</v>
      </c>
      <c r="I116" s="39" t="s">
        <v>777</v>
      </c>
    </row>
    <row r="117" spans="1:9" ht="15" x14ac:dyDescent="0.25">
      <c r="A117" s="55">
        <v>901217662</v>
      </c>
      <c r="B117" s="60" t="s">
        <v>117</v>
      </c>
      <c r="C117" s="24" t="s">
        <v>1960</v>
      </c>
      <c r="D117" s="56" t="s">
        <v>2376</v>
      </c>
      <c r="E117" s="56"/>
      <c r="F117" s="56" t="s">
        <v>2244</v>
      </c>
      <c r="G117" s="57" t="s">
        <v>2377</v>
      </c>
      <c r="H117" s="55">
        <v>3113978890</v>
      </c>
      <c r="I117" s="39" t="s">
        <v>777</v>
      </c>
    </row>
    <row r="118" spans="1:9" ht="15" x14ac:dyDescent="0.25">
      <c r="A118" s="55">
        <v>8300372480</v>
      </c>
      <c r="B118" s="60" t="s">
        <v>2378</v>
      </c>
      <c r="C118" s="24" t="s">
        <v>1960</v>
      </c>
      <c r="D118" s="165" t="s">
        <v>2379</v>
      </c>
      <c r="E118" s="56"/>
      <c r="F118" s="56" t="s">
        <v>2105</v>
      </c>
      <c r="G118" s="183" t="s">
        <v>2380</v>
      </c>
      <c r="H118" s="55"/>
      <c r="I118" s="39" t="s">
        <v>777</v>
      </c>
    </row>
    <row r="119" spans="1:9" ht="25.5" x14ac:dyDescent="0.25">
      <c r="A119" s="55">
        <v>4446779</v>
      </c>
      <c r="B119" s="60" t="s">
        <v>157</v>
      </c>
      <c r="C119" s="24" t="s">
        <v>2086</v>
      </c>
      <c r="D119" s="56" t="s">
        <v>2381</v>
      </c>
      <c r="E119" s="56"/>
      <c r="F119" s="56" t="s">
        <v>2382</v>
      </c>
      <c r="G119" s="39" t="s">
        <v>2383</v>
      </c>
      <c r="H119" s="55">
        <v>3106657111</v>
      </c>
      <c r="I119" s="39" t="s">
        <v>2080</v>
      </c>
    </row>
    <row r="120" spans="1:9" x14ac:dyDescent="0.25">
      <c r="A120" s="55">
        <v>900729853</v>
      </c>
      <c r="B120" s="60" t="s">
        <v>179</v>
      </c>
      <c r="C120" s="24" t="s">
        <v>1960</v>
      </c>
      <c r="D120" s="56" t="s">
        <v>2384</v>
      </c>
      <c r="E120" s="56"/>
      <c r="F120" s="56" t="s">
        <v>277</v>
      </c>
      <c r="G120" s="39" t="s">
        <v>2385</v>
      </c>
      <c r="H120" s="55">
        <v>3105639303</v>
      </c>
      <c r="I120" s="39" t="s">
        <v>777</v>
      </c>
    </row>
    <row r="121" spans="1:9" x14ac:dyDescent="0.25">
      <c r="A121" s="55">
        <v>901312915</v>
      </c>
      <c r="B121" s="60" t="s">
        <v>140</v>
      </c>
      <c r="C121" s="24" t="s">
        <v>1960</v>
      </c>
      <c r="D121" s="56" t="s">
        <v>2386</v>
      </c>
      <c r="E121" s="56"/>
      <c r="F121" s="56" t="s">
        <v>2332</v>
      </c>
      <c r="G121" s="39" t="s">
        <v>2387</v>
      </c>
      <c r="H121" s="55">
        <v>316602205</v>
      </c>
      <c r="I121" s="39" t="s">
        <v>777</v>
      </c>
    </row>
    <row r="122" spans="1:9" x14ac:dyDescent="0.25">
      <c r="A122" s="55">
        <v>900505660</v>
      </c>
      <c r="B122" s="60" t="s">
        <v>65</v>
      </c>
      <c r="C122" s="24" t="s">
        <v>1960</v>
      </c>
      <c r="D122" s="56" t="s">
        <v>2388</v>
      </c>
      <c r="E122" s="56"/>
      <c r="F122" s="56" t="s">
        <v>2389</v>
      </c>
      <c r="G122" s="39" t="s">
        <v>2390</v>
      </c>
      <c r="H122" s="55">
        <v>6013028593</v>
      </c>
      <c r="I122" s="39" t="s">
        <v>777</v>
      </c>
    </row>
    <row r="123" spans="1:9" x14ac:dyDescent="0.25">
      <c r="A123" s="55">
        <v>800152665</v>
      </c>
      <c r="B123" s="60" t="s">
        <v>2391</v>
      </c>
      <c r="C123" s="24" t="s">
        <v>1960</v>
      </c>
      <c r="D123" s="56" t="s">
        <v>2392</v>
      </c>
      <c r="E123" s="56"/>
      <c r="F123" s="56" t="s">
        <v>2105</v>
      </c>
      <c r="G123" s="39" t="s">
        <v>2393</v>
      </c>
      <c r="H123" s="55">
        <v>3701686</v>
      </c>
      <c r="I123" s="39" t="s">
        <v>777</v>
      </c>
    </row>
    <row r="124" spans="1:9" ht="25.5" x14ac:dyDescent="0.25">
      <c r="A124" s="55">
        <v>52258867</v>
      </c>
      <c r="B124" s="60" t="s">
        <v>149</v>
      </c>
      <c r="C124" s="82" t="s">
        <v>2086</v>
      </c>
      <c r="D124" s="60" t="s">
        <v>2394</v>
      </c>
      <c r="E124" s="60"/>
      <c r="F124" s="60" t="s">
        <v>277</v>
      </c>
      <c r="G124" s="40" t="s">
        <v>2395</v>
      </c>
      <c r="H124" s="55">
        <v>3505392613</v>
      </c>
      <c r="I124" s="39" t="s">
        <v>2080</v>
      </c>
    </row>
    <row r="125" spans="1:9" x14ac:dyDescent="0.25">
      <c r="A125" s="55">
        <v>901209021</v>
      </c>
      <c r="B125" s="60" t="s">
        <v>155</v>
      </c>
      <c r="C125" s="24" t="s">
        <v>1960</v>
      </c>
      <c r="D125" s="56" t="s">
        <v>2396</v>
      </c>
      <c r="E125" s="56"/>
      <c r="F125" s="56" t="s">
        <v>2397</v>
      </c>
      <c r="G125" s="39" t="s">
        <v>2398</v>
      </c>
      <c r="H125" s="55">
        <v>6015953535</v>
      </c>
      <c r="I125" s="39" t="s">
        <v>777</v>
      </c>
    </row>
    <row r="126" spans="1:9" x14ac:dyDescent="0.25">
      <c r="A126" s="55">
        <v>830120079</v>
      </c>
      <c r="B126" s="60" t="s">
        <v>152</v>
      </c>
      <c r="C126" s="24" t="s">
        <v>1960</v>
      </c>
      <c r="D126" s="56" t="s">
        <v>2399</v>
      </c>
      <c r="E126" s="56"/>
      <c r="F126" s="56" t="s">
        <v>2092</v>
      </c>
      <c r="G126" s="39" t="s">
        <v>2400</v>
      </c>
      <c r="H126" s="55"/>
      <c r="I126" s="39" t="s">
        <v>777</v>
      </c>
    </row>
    <row r="127" spans="1:9" x14ac:dyDescent="0.25">
      <c r="A127" s="55">
        <v>901001234</v>
      </c>
      <c r="B127" s="60" t="s">
        <v>30</v>
      </c>
      <c r="C127" s="24" t="s">
        <v>1960</v>
      </c>
      <c r="D127" s="56" t="s">
        <v>2401</v>
      </c>
      <c r="E127" s="56"/>
      <c r="F127" s="56" t="s">
        <v>277</v>
      </c>
      <c r="G127" s="39" t="s">
        <v>2402</v>
      </c>
      <c r="H127" s="55"/>
      <c r="I127" s="39" t="s">
        <v>777</v>
      </c>
    </row>
    <row r="128" spans="1:9" ht="25.5" x14ac:dyDescent="0.25">
      <c r="A128" s="55">
        <v>800219248</v>
      </c>
      <c r="B128" s="60" t="s">
        <v>88</v>
      </c>
      <c r="C128" s="82" t="s">
        <v>1960</v>
      </c>
      <c r="D128" s="60" t="s">
        <v>2403</v>
      </c>
      <c r="E128" s="60"/>
      <c r="F128" s="60" t="s">
        <v>277</v>
      </c>
      <c r="G128" s="40" t="s">
        <v>2404</v>
      </c>
      <c r="H128" s="55" t="s">
        <v>2405</v>
      </c>
      <c r="I128" s="39" t="s">
        <v>777</v>
      </c>
    </row>
    <row r="129" spans="1:9" x14ac:dyDescent="0.25">
      <c r="A129" s="55">
        <v>830103479</v>
      </c>
      <c r="B129" s="60" t="s">
        <v>43</v>
      </c>
      <c r="C129" s="24" t="s">
        <v>1960</v>
      </c>
      <c r="D129" s="56" t="s">
        <v>2406</v>
      </c>
      <c r="E129" s="56"/>
      <c r="F129" s="56" t="s">
        <v>277</v>
      </c>
      <c r="G129" s="39" t="s">
        <v>2407</v>
      </c>
      <c r="H129" s="55">
        <v>6017420428</v>
      </c>
      <c r="I129" s="39" t="s">
        <v>777</v>
      </c>
    </row>
    <row r="130" spans="1:9" x14ac:dyDescent="0.25">
      <c r="A130" s="55">
        <v>830108799</v>
      </c>
      <c r="B130" s="60" t="s">
        <v>139</v>
      </c>
      <c r="C130" s="24" t="s">
        <v>1960</v>
      </c>
      <c r="D130" s="39" t="s">
        <v>2408</v>
      </c>
      <c r="F130" s="39" t="s">
        <v>277</v>
      </c>
      <c r="G130" s="39" t="s">
        <v>2409</v>
      </c>
      <c r="H130" s="63">
        <v>6222732</v>
      </c>
      <c r="I130" s="39" t="s">
        <v>777</v>
      </c>
    </row>
    <row r="131" spans="1:9" x14ac:dyDescent="0.25">
      <c r="A131" s="55">
        <v>890901110</v>
      </c>
      <c r="B131" s="60" t="s">
        <v>137</v>
      </c>
      <c r="C131" s="82" t="s">
        <v>1960</v>
      </c>
      <c r="D131" s="60" t="s">
        <v>2410</v>
      </c>
      <c r="E131" s="60"/>
      <c r="F131" s="60" t="s">
        <v>277</v>
      </c>
      <c r="G131" s="40" t="s">
        <v>2411</v>
      </c>
      <c r="H131" s="55">
        <v>3232906441</v>
      </c>
      <c r="I131" s="39" t="s">
        <v>777</v>
      </c>
    </row>
    <row r="132" spans="1:9" ht="25.5" x14ac:dyDescent="0.25">
      <c r="A132" s="55">
        <v>900338774</v>
      </c>
      <c r="B132" s="60" t="s">
        <v>131</v>
      </c>
      <c r="C132" s="82" t="s">
        <v>1960</v>
      </c>
      <c r="D132" s="60" t="s">
        <v>2412</v>
      </c>
      <c r="E132" s="60"/>
      <c r="F132" s="60" t="s">
        <v>277</v>
      </c>
      <c r="G132" s="40" t="s">
        <v>2413</v>
      </c>
      <c r="H132" s="55">
        <v>8857955</v>
      </c>
      <c r="I132" s="39" t="s">
        <v>777</v>
      </c>
    </row>
    <row r="133" spans="1:9" ht="25.5" x14ac:dyDescent="0.25">
      <c r="A133" s="55">
        <v>900499402</v>
      </c>
      <c r="B133" s="60" t="s">
        <v>176</v>
      </c>
      <c r="C133" s="24" t="s">
        <v>1960</v>
      </c>
      <c r="D133" s="56" t="s">
        <v>2414</v>
      </c>
      <c r="E133" s="56"/>
      <c r="F133" s="56" t="s">
        <v>2105</v>
      </c>
      <c r="G133" s="39" t="s">
        <v>2415</v>
      </c>
      <c r="H133" s="55">
        <v>7042515</v>
      </c>
      <c r="I133" s="39" t="s">
        <v>777</v>
      </c>
    </row>
    <row r="134" spans="1:9" ht="25.5" x14ac:dyDescent="0.25">
      <c r="A134" s="55">
        <v>900320303</v>
      </c>
      <c r="B134" s="60" t="s">
        <v>78</v>
      </c>
      <c r="C134" s="82" t="s">
        <v>1960</v>
      </c>
      <c r="D134" s="60" t="s">
        <v>2416</v>
      </c>
      <c r="E134" s="60"/>
      <c r="F134" s="60" t="s">
        <v>277</v>
      </c>
      <c r="G134" s="60" t="s">
        <v>2417</v>
      </c>
      <c r="H134" s="55" t="s">
        <v>2418</v>
      </c>
      <c r="I134" s="39" t="s">
        <v>777</v>
      </c>
    </row>
    <row r="135" spans="1:9" x14ac:dyDescent="0.25">
      <c r="A135" s="55">
        <v>900693605</v>
      </c>
      <c r="B135" s="60" t="s">
        <v>46</v>
      </c>
      <c r="C135" s="24" t="s">
        <v>1960</v>
      </c>
      <c r="D135" s="56" t="s">
        <v>2419</v>
      </c>
      <c r="E135" s="56"/>
      <c r="F135" s="56" t="s">
        <v>2223</v>
      </c>
      <c r="G135" s="39" t="s">
        <v>2420</v>
      </c>
      <c r="H135" s="55" t="s">
        <v>2421</v>
      </c>
      <c r="I135" s="39" t="s">
        <v>777</v>
      </c>
    </row>
    <row r="136" spans="1:9" x14ac:dyDescent="0.25">
      <c r="A136" s="55">
        <v>901323708</v>
      </c>
      <c r="B136" s="60" t="s">
        <v>66</v>
      </c>
      <c r="C136" s="82" t="s">
        <v>1960</v>
      </c>
      <c r="D136" s="60" t="s">
        <v>2422</v>
      </c>
      <c r="E136" s="60"/>
      <c r="F136" s="60" t="s">
        <v>277</v>
      </c>
      <c r="G136" s="40" t="s">
        <v>2423</v>
      </c>
      <c r="H136" s="55">
        <v>3174285058</v>
      </c>
      <c r="I136" s="39" t="s">
        <v>777</v>
      </c>
    </row>
    <row r="137" spans="1:9" ht="25.5" x14ac:dyDescent="0.25">
      <c r="A137" s="55">
        <v>901323708</v>
      </c>
      <c r="B137" s="60" t="s">
        <v>2424</v>
      </c>
      <c r="C137" s="82" t="s">
        <v>1960</v>
      </c>
      <c r="D137" s="60" t="s">
        <v>2425</v>
      </c>
      <c r="E137" s="60"/>
      <c r="F137" s="60" t="s">
        <v>277</v>
      </c>
      <c r="G137" s="40" t="s">
        <v>2423</v>
      </c>
      <c r="H137" s="55">
        <v>3154296148</v>
      </c>
      <c r="I137" s="39" t="s">
        <v>777</v>
      </c>
    </row>
    <row r="138" spans="1:9" x14ac:dyDescent="0.25">
      <c r="A138" s="55">
        <v>830064224</v>
      </c>
      <c r="B138" s="60" t="s">
        <v>58</v>
      </c>
      <c r="C138" s="24" t="s">
        <v>1960</v>
      </c>
      <c r="D138" s="56" t="s">
        <v>2426</v>
      </c>
      <c r="E138" s="56" t="s">
        <v>58</v>
      </c>
      <c r="F138" s="56" t="s">
        <v>2226</v>
      </c>
      <c r="G138" s="39" t="s">
        <v>2427</v>
      </c>
      <c r="H138" s="55">
        <v>6015416019</v>
      </c>
      <c r="I138" s="39" t="s">
        <v>777</v>
      </c>
    </row>
    <row r="139" spans="1:9" ht="25.5" x14ac:dyDescent="0.25">
      <c r="A139" s="55">
        <v>830026741</v>
      </c>
      <c r="B139" s="60" t="s">
        <v>124</v>
      </c>
      <c r="C139" s="24" t="s">
        <v>1960</v>
      </c>
      <c r="D139" s="56" t="s">
        <v>2428</v>
      </c>
      <c r="E139" s="56" t="s">
        <v>338</v>
      </c>
      <c r="F139" s="56" t="s">
        <v>2232</v>
      </c>
      <c r="G139" s="175" t="s">
        <v>2429</v>
      </c>
      <c r="H139" s="55">
        <v>6015953535</v>
      </c>
      <c r="I139" s="39" t="s">
        <v>777</v>
      </c>
    </row>
    <row r="140" spans="1:9" x14ac:dyDescent="0.25">
      <c r="A140" s="55">
        <v>860002503</v>
      </c>
      <c r="B140" s="60" t="s">
        <v>201</v>
      </c>
      <c r="C140" s="24" t="s">
        <v>1960</v>
      </c>
      <c r="D140" s="56" t="s">
        <v>2430</v>
      </c>
      <c r="E140" s="56"/>
      <c r="F140" s="56" t="s">
        <v>277</v>
      </c>
      <c r="G140" s="39" t="s">
        <v>2431</v>
      </c>
      <c r="H140" s="55">
        <v>6013410077</v>
      </c>
      <c r="I140" s="39" t="s">
        <v>777</v>
      </c>
    </row>
    <row r="141" spans="1:9" ht="25.5" x14ac:dyDescent="0.25">
      <c r="A141" s="55">
        <v>830105194</v>
      </c>
      <c r="B141" s="60" t="s">
        <v>198</v>
      </c>
      <c r="C141" s="24" t="s">
        <v>1960</v>
      </c>
      <c r="D141" s="56" t="s">
        <v>2432</v>
      </c>
      <c r="E141" s="56" t="s">
        <v>327</v>
      </c>
      <c r="F141" s="56" t="s">
        <v>277</v>
      </c>
      <c r="G141" s="175" t="s">
        <v>2433</v>
      </c>
      <c r="H141" s="55">
        <v>6012084444</v>
      </c>
      <c r="I141" s="39" t="s">
        <v>777</v>
      </c>
    </row>
    <row r="142" spans="1:9" x14ac:dyDescent="0.25">
      <c r="A142" s="55">
        <v>900368599</v>
      </c>
      <c r="B142" s="60" t="s">
        <v>189</v>
      </c>
      <c r="C142" s="24" t="s">
        <v>1960</v>
      </c>
      <c r="D142" s="56" t="s">
        <v>2434</v>
      </c>
      <c r="E142" s="56"/>
      <c r="F142" s="56" t="s">
        <v>277</v>
      </c>
      <c r="G142" s="39" t="s">
        <v>2435</v>
      </c>
      <c r="H142" s="55"/>
      <c r="I142" s="39" t="s">
        <v>777</v>
      </c>
    </row>
    <row r="143" spans="1:9" x14ac:dyDescent="0.25">
      <c r="A143" s="55">
        <v>800028768</v>
      </c>
      <c r="B143" s="60" t="s">
        <v>64</v>
      </c>
      <c r="C143" s="82" t="s">
        <v>1960</v>
      </c>
      <c r="D143" s="60" t="s">
        <v>2436</v>
      </c>
      <c r="E143" s="60"/>
      <c r="F143" s="60" t="s">
        <v>277</v>
      </c>
      <c r="G143" s="60" t="s">
        <v>2161</v>
      </c>
      <c r="H143" s="55"/>
      <c r="I143" s="39" t="s">
        <v>777</v>
      </c>
    </row>
    <row r="144" spans="1:9" ht="25.5" x14ac:dyDescent="0.25">
      <c r="A144" s="55">
        <v>830126569</v>
      </c>
      <c r="B144" s="60" t="s">
        <v>57</v>
      </c>
      <c r="C144" s="24" t="s">
        <v>1960</v>
      </c>
      <c r="D144" s="56" t="s">
        <v>2437</v>
      </c>
      <c r="E144" s="56" t="s">
        <v>57</v>
      </c>
      <c r="F144" s="56" t="s">
        <v>2438</v>
      </c>
      <c r="G144" s="57" t="s">
        <v>2439</v>
      </c>
      <c r="H144" s="55">
        <v>3764452</v>
      </c>
      <c r="I144" s="39" t="s">
        <v>777</v>
      </c>
    </row>
    <row r="145" spans="1:9" x14ac:dyDescent="0.25">
      <c r="A145" s="55">
        <v>900505060</v>
      </c>
      <c r="B145" s="60" t="s">
        <v>146</v>
      </c>
      <c r="C145" s="82" t="s">
        <v>1960</v>
      </c>
      <c r="D145" s="56" t="s">
        <v>2440</v>
      </c>
      <c r="E145" s="56"/>
      <c r="F145" s="60" t="s">
        <v>277</v>
      </c>
      <c r="G145" s="40" t="s">
        <v>2441</v>
      </c>
      <c r="H145" s="55">
        <v>3143124013</v>
      </c>
      <c r="I145" s="39" t="s">
        <v>777</v>
      </c>
    </row>
    <row r="146" spans="1:9" ht="25.5" x14ac:dyDescent="0.25">
      <c r="A146" s="55">
        <v>890802678</v>
      </c>
      <c r="B146" s="60" t="s">
        <v>142</v>
      </c>
      <c r="C146" s="24" t="s">
        <v>1960</v>
      </c>
      <c r="D146" s="56" t="s">
        <v>2442</v>
      </c>
      <c r="E146" s="56"/>
      <c r="F146" s="56" t="s">
        <v>2443</v>
      </c>
      <c r="G146" s="39" t="s">
        <v>2444</v>
      </c>
      <c r="H146" s="55">
        <v>3136516109</v>
      </c>
      <c r="I146" s="39" t="s">
        <v>777</v>
      </c>
    </row>
    <row r="147" spans="1:9" x14ac:dyDescent="0.25">
      <c r="A147" s="55">
        <v>800196952</v>
      </c>
      <c r="B147" s="60" t="s">
        <v>61</v>
      </c>
      <c r="C147" s="24" t="s">
        <v>1960</v>
      </c>
      <c r="D147" s="56" t="s">
        <v>2445</v>
      </c>
      <c r="E147" s="56"/>
      <c r="F147" s="56" t="s">
        <v>2223</v>
      </c>
      <c r="G147" s="39" t="s">
        <v>2446</v>
      </c>
      <c r="H147" s="55">
        <v>6014073737</v>
      </c>
      <c r="I147" s="39" t="s">
        <v>777</v>
      </c>
    </row>
    <row r="148" spans="1:9" x14ac:dyDescent="0.25">
      <c r="A148" s="55">
        <v>900824665</v>
      </c>
      <c r="B148" s="60" t="s">
        <v>130</v>
      </c>
      <c r="C148" s="24" t="s">
        <v>1960</v>
      </c>
      <c r="D148" s="56" t="s">
        <v>2447</v>
      </c>
      <c r="E148" s="56" t="s">
        <v>2448</v>
      </c>
      <c r="F148" s="56" t="s">
        <v>2092</v>
      </c>
      <c r="G148" s="39" t="s">
        <v>2449</v>
      </c>
      <c r="H148" s="55">
        <v>6013004266</v>
      </c>
      <c r="I148" s="39" t="s">
        <v>777</v>
      </c>
    </row>
    <row r="149" spans="1:9" x14ac:dyDescent="0.25">
      <c r="A149" s="55">
        <v>52336469</v>
      </c>
      <c r="B149" s="60" t="s">
        <v>132</v>
      </c>
      <c r="C149" s="82" t="s">
        <v>2086</v>
      </c>
      <c r="D149" s="60" t="s">
        <v>2450</v>
      </c>
      <c r="E149" s="60"/>
      <c r="F149" s="60" t="s">
        <v>277</v>
      </c>
      <c r="G149" s="40" t="s">
        <v>2451</v>
      </c>
      <c r="H149" s="55" t="s">
        <v>2452</v>
      </c>
      <c r="I149" s="39" t="s">
        <v>2080</v>
      </c>
    </row>
    <row r="150" spans="1:9" x14ac:dyDescent="0.25">
      <c r="A150" s="55">
        <v>830143066</v>
      </c>
      <c r="B150" s="60" t="s">
        <v>182</v>
      </c>
      <c r="C150" s="24" t="s">
        <v>1960</v>
      </c>
      <c r="D150" s="56" t="s">
        <v>2453</v>
      </c>
      <c r="E150" s="56"/>
      <c r="F150" s="56" t="s">
        <v>277</v>
      </c>
      <c r="G150" s="39" t="s">
        <v>2454</v>
      </c>
      <c r="H150" s="55">
        <v>6012605434</v>
      </c>
      <c r="I150" s="39" t="s">
        <v>777</v>
      </c>
    </row>
    <row r="151" spans="1:9" x14ac:dyDescent="0.25">
      <c r="A151" s="55">
        <v>900850933</v>
      </c>
      <c r="B151" s="60" t="s">
        <v>135</v>
      </c>
      <c r="C151" s="24" t="s">
        <v>1960</v>
      </c>
      <c r="D151" s="56" t="s">
        <v>2455</v>
      </c>
      <c r="E151" s="56"/>
      <c r="F151" s="56" t="s">
        <v>2456</v>
      </c>
      <c r="G151" s="39" t="s">
        <v>2457</v>
      </c>
      <c r="H151" s="55">
        <v>6015722097</v>
      </c>
      <c r="I151" s="39" t="s">
        <v>777</v>
      </c>
    </row>
    <row r="152" spans="1:9" ht="25.5" x14ac:dyDescent="0.25">
      <c r="A152" s="55">
        <v>830058959</v>
      </c>
      <c r="B152" s="60" t="s">
        <v>199</v>
      </c>
      <c r="C152" s="24" t="s">
        <v>1960</v>
      </c>
      <c r="D152" s="56" t="s">
        <v>2458</v>
      </c>
      <c r="E152" s="56"/>
      <c r="F152" s="56" t="s">
        <v>2459</v>
      </c>
      <c r="G152" s="39" t="s">
        <v>2460</v>
      </c>
      <c r="H152" s="55">
        <v>6013145010</v>
      </c>
      <c r="I152" s="39" t="s">
        <v>777</v>
      </c>
    </row>
    <row r="153" spans="1:9" ht="25.5" x14ac:dyDescent="0.25">
      <c r="A153" s="55">
        <v>900187738</v>
      </c>
      <c r="B153" s="60" t="s">
        <v>55</v>
      </c>
      <c r="C153" s="24" t="s">
        <v>1960</v>
      </c>
      <c r="D153" s="56" t="s">
        <v>2461</v>
      </c>
      <c r="E153" s="56" t="s">
        <v>2462</v>
      </c>
      <c r="F153" s="56" t="s">
        <v>277</v>
      </c>
      <c r="G153" s="39" t="s">
        <v>2463</v>
      </c>
      <c r="H153" s="55">
        <v>3168321309</v>
      </c>
      <c r="I153" s="39" t="s">
        <v>777</v>
      </c>
    </row>
    <row r="154" spans="1:9" x14ac:dyDescent="0.25">
      <c r="A154" s="55">
        <v>860041367</v>
      </c>
      <c r="B154" s="60" t="s">
        <v>186</v>
      </c>
      <c r="C154" s="24" t="s">
        <v>1960</v>
      </c>
      <c r="D154" s="56" t="s">
        <v>2464</v>
      </c>
      <c r="E154" s="56"/>
      <c r="F154" s="56" t="s">
        <v>277</v>
      </c>
      <c r="G154" s="39" t="s">
        <v>2465</v>
      </c>
      <c r="H154" s="55" t="s">
        <v>2466</v>
      </c>
      <c r="I154" s="39" t="s">
        <v>777</v>
      </c>
    </row>
    <row r="155" spans="1:9" ht="15" x14ac:dyDescent="0.25">
      <c r="A155" s="55">
        <v>830137517</v>
      </c>
      <c r="B155" s="60" t="s">
        <v>48</v>
      </c>
      <c r="C155" s="24" t="s">
        <v>1960</v>
      </c>
      <c r="D155" s="56" t="s">
        <v>2467</v>
      </c>
      <c r="E155" s="56"/>
      <c r="F155" s="56" t="s">
        <v>2105</v>
      </c>
      <c r="G155" s="57" t="s">
        <v>2468</v>
      </c>
      <c r="H155" s="55">
        <v>3102100574</v>
      </c>
      <c r="I155" s="39" t="s">
        <v>777</v>
      </c>
    </row>
    <row r="156" spans="1:9" ht="25.5" x14ac:dyDescent="0.25">
      <c r="A156" s="55">
        <v>830053731</v>
      </c>
      <c r="B156" s="60" t="s">
        <v>148</v>
      </c>
      <c r="C156" s="24" t="s">
        <v>1960</v>
      </c>
      <c r="D156" s="56" t="s">
        <v>2469</v>
      </c>
      <c r="E156" s="56" t="s">
        <v>148</v>
      </c>
      <c r="F156" s="56" t="s">
        <v>2470</v>
      </c>
      <c r="G156" s="57" t="s">
        <v>2471</v>
      </c>
      <c r="H156" s="55">
        <v>3212052613</v>
      </c>
      <c r="I156" s="39" t="s">
        <v>777</v>
      </c>
    </row>
    <row r="157" spans="1:9" ht="25.5" x14ac:dyDescent="0.25">
      <c r="A157" s="55">
        <v>900626907</v>
      </c>
      <c r="B157" s="60" t="s">
        <v>187</v>
      </c>
      <c r="C157" s="24" t="s">
        <v>1960</v>
      </c>
      <c r="D157" s="56" t="s">
        <v>2472</v>
      </c>
      <c r="E157" s="56"/>
      <c r="F157" s="56" t="s">
        <v>2473</v>
      </c>
      <c r="G157" s="39" t="s">
        <v>2474</v>
      </c>
      <c r="H157" s="55">
        <v>3005192319</v>
      </c>
      <c r="I157" s="39" t="s">
        <v>777</v>
      </c>
    </row>
    <row r="158" spans="1:9" x14ac:dyDescent="0.25">
      <c r="A158" s="55">
        <v>900599432</v>
      </c>
      <c r="B158" s="60" t="s">
        <v>153</v>
      </c>
      <c r="C158" s="24" t="s">
        <v>1960</v>
      </c>
      <c r="D158" s="56" t="s">
        <v>2475</v>
      </c>
      <c r="E158" s="56"/>
      <c r="F158" s="56" t="s">
        <v>2476</v>
      </c>
      <c r="G158" s="39" t="s">
        <v>2477</v>
      </c>
      <c r="H158" s="55">
        <v>601744234</v>
      </c>
      <c r="I158" s="39" t="s">
        <v>777</v>
      </c>
    </row>
    <row r="159" spans="1:9" x14ac:dyDescent="0.2">
      <c r="A159" s="55">
        <v>830041829</v>
      </c>
      <c r="B159" s="60" t="s">
        <v>72</v>
      </c>
      <c r="C159" s="24" t="s">
        <v>1960</v>
      </c>
      <c r="D159" s="165" t="s">
        <v>2478</v>
      </c>
      <c r="E159" s="56"/>
      <c r="F159" s="56" t="s">
        <v>2105</v>
      </c>
      <c r="G159" s="166" t="s">
        <v>2479</v>
      </c>
      <c r="H159" s="166">
        <v>3005618462</v>
      </c>
      <c r="I159" s="39" t="s">
        <v>777</v>
      </c>
    </row>
    <row r="160" spans="1:9" x14ac:dyDescent="0.25">
      <c r="A160" s="55">
        <v>800020808</v>
      </c>
      <c r="B160" s="60" t="s">
        <v>185</v>
      </c>
      <c r="C160" s="24" t="s">
        <v>1960</v>
      </c>
      <c r="D160" s="56" t="s">
        <v>2480</v>
      </c>
      <c r="E160" s="56"/>
      <c r="F160" s="56" t="s">
        <v>277</v>
      </c>
      <c r="G160" s="39" t="s">
        <v>2481</v>
      </c>
      <c r="H160" s="55">
        <v>6012772200</v>
      </c>
      <c r="I160" s="39" t="s">
        <v>777</v>
      </c>
    </row>
    <row r="161" spans="1:9" x14ac:dyDescent="0.2">
      <c r="A161" s="55">
        <v>900311764</v>
      </c>
      <c r="B161" s="60" t="s">
        <v>109</v>
      </c>
      <c r="C161" s="24" t="s">
        <v>1960</v>
      </c>
      <c r="D161" s="38" t="s">
        <v>2482</v>
      </c>
      <c r="E161" s="38"/>
      <c r="F161" s="56" t="s">
        <v>277</v>
      </c>
      <c r="G161" s="42" t="s">
        <v>2483</v>
      </c>
      <c r="H161" s="64">
        <v>3124754086</v>
      </c>
      <c r="I161" s="39" t="s">
        <v>777</v>
      </c>
    </row>
    <row r="162" spans="1:9" x14ac:dyDescent="0.25">
      <c r="A162" s="55">
        <v>830145126</v>
      </c>
      <c r="B162" s="60" t="s">
        <v>194</v>
      </c>
      <c r="C162" s="24" t="s">
        <v>1960</v>
      </c>
      <c r="D162" s="56" t="s">
        <v>2484</v>
      </c>
      <c r="E162" s="56"/>
      <c r="F162" s="56" t="s">
        <v>277</v>
      </c>
      <c r="G162" s="39" t="s">
        <v>2485</v>
      </c>
      <c r="H162" s="55">
        <v>6012352039</v>
      </c>
      <c r="I162" s="39" t="s">
        <v>777</v>
      </c>
    </row>
    <row r="163" spans="1:9" x14ac:dyDescent="0.25">
      <c r="A163" s="55">
        <v>900566071</v>
      </c>
      <c r="B163" s="60" t="s">
        <v>171</v>
      </c>
      <c r="C163" s="24" t="s">
        <v>1960</v>
      </c>
      <c r="D163" s="56" t="s">
        <v>2486</v>
      </c>
      <c r="E163" s="56"/>
      <c r="F163" s="56" t="s">
        <v>2487</v>
      </c>
      <c r="G163" s="39" t="s">
        <v>2488</v>
      </c>
      <c r="H163" s="55">
        <v>6013163450</v>
      </c>
      <c r="I163" s="39" t="s">
        <v>777</v>
      </c>
    </row>
    <row r="164" spans="1:9" ht="25.5" x14ac:dyDescent="0.25">
      <c r="A164" s="55">
        <v>830078222</v>
      </c>
      <c r="B164" s="60" t="s">
        <v>178</v>
      </c>
      <c r="C164" s="24" t="s">
        <v>1960</v>
      </c>
      <c r="D164" s="56" t="s">
        <v>2489</v>
      </c>
      <c r="E164" s="56" t="s">
        <v>178</v>
      </c>
      <c r="F164" s="56" t="s">
        <v>277</v>
      </c>
      <c r="G164" s="39" t="s">
        <v>2490</v>
      </c>
      <c r="H164" s="55">
        <v>3174552859</v>
      </c>
      <c r="I164" s="39" t="s">
        <v>777</v>
      </c>
    </row>
    <row r="165" spans="1:9" ht="15" x14ac:dyDescent="0.25">
      <c r="A165" s="55">
        <v>900942304</v>
      </c>
      <c r="B165" s="60" t="s">
        <v>105</v>
      </c>
      <c r="C165" s="82" t="s">
        <v>1960</v>
      </c>
      <c r="D165" s="56" t="s">
        <v>2491</v>
      </c>
      <c r="E165" s="56"/>
      <c r="F165" s="56" t="s">
        <v>277</v>
      </c>
      <c r="G165" s="186" t="s">
        <v>2492</v>
      </c>
      <c r="H165" s="55">
        <v>9260399</v>
      </c>
      <c r="I165" s="39" t="s">
        <v>777</v>
      </c>
    </row>
    <row r="166" spans="1:9" x14ac:dyDescent="0.25">
      <c r="A166" s="55">
        <v>901139486</v>
      </c>
      <c r="B166" s="60" t="s">
        <v>141</v>
      </c>
      <c r="C166" s="24" t="s">
        <v>1960</v>
      </c>
      <c r="D166" s="56" t="s">
        <v>2493</v>
      </c>
      <c r="E166" s="56"/>
      <c r="F166" s="56" t="s">
        <v>2092</v>
      </c>
      <c r="G166" s="39" t="s">
        <v>2494</v>
      </c>
      <c r="H166" s="55">
        <v>3154209525</v>
      </c>
      <c r="I166" s="39" t="s">
        <v>777</v>
      </c>
    </row>
    <row r="167" spans="1:9" ht="25.5" x14ac:dyDescent="0.25">
      <c r="A167" s="55">
        <v>900747203</v>
      </c>
      <c r="B167" s="60" t="s">
        <v>125</v>
      </c>
      <c r="C167" s="24" t="s">
        <v>1960</v>
      </c>
      <c r="D167" s="56" t="s">
        <v>2495</v>
      </c>
      <c r="E167" s="56"/>
      <c r="F167" s="56" t="s">
        <v>2496</v>
      </c>
      <c r="G167" s="39" t="s">
        <v>2497</v>
      </c>
      <c r="H167" s="55">
        <v>3142473591</v>
      </c>
      <c r="I167" s="39" t="s">
        <v>777</v>
      </c>
    </row>
    <row r="168" spans="1:9" x14ac:dyDescent="0.25">
      <c r="A168" s="55">
        <v>860002964</v>
      </c>
      <c r="B168" s="60" t="s">
        <v>220</v>
      </c>
      <c r="C168" s="24" t="s">
        <v>1960</v>
      </c>
      <c r="D168" s="56" t="s">
        <v>2498</v>
      </c>
      <c r="E168" s="56"/>
      <c r="F168" s="56" t="s">
        <v>2105</v>
      </c>
      <c r="G168" s="39" t="s">
        <v>2499</v>
      </c>
      <c r="H168" s="55">
        <v>6013320032</v>
      </c>
      <c r="I168" s="39" t="s">
        <v>777</v>
      </c>
    </row>
    <row r="169" spans="1:9" x14ac:dyDescent="0.25">
      <c r="A169" s="55">
        <v>901417727</v>
      </c>
      <c r="B169" s="60" t="s">
        <v>211</v>
      </c>
      <c r="C169" s="24" t="s">
        <v>1960</v>
      </c>
      <c r="D169" s="56" t="s">
        <v>2500</v>
      </c>
      <c r="E169" s="56"/>
      <c r="F169" s="56" t="s">
        <v>277</v>
      </c>
      <c r="G169" s="39" t="s">
        <v>2501</v>
      </c>
      <c r="H169" s="55">
        <v>3058150010</v>
      </c>
      <c r="I169" s="39" t="s">
        <v>777</v>
      </c>
    </row>
    <row r="170" spans="1:9" x14ac:dyDescent="0.25">
      <c r="A170" s="55">
        <v>900465670</v>
      </c>
      <c r="B170" s="60" t="s">
        <v>68</v>
      </c>
      <c r="C170" s="24" t="s">
        <v>1960</v>
      </c>
      <c r="D170" s="56" t="s">
        <v>2502</v>
      </c>
      <c r="E170" s="56"/>
      <c r="F170" s="56" t="s">
        <v>2105</v>
      </c>
      <c r="G170" s="39" t="s">
        <v>2503</v>
      </c>
      <c r="H170" s="55">
        <v>3202616039</v>
      </c>
      <c r="I170" s="39" t="s">
        <v>777</v>
      </c>
    </row>
    <row r="171" spans="1:9" ht="15" x14ac:dyDescent="0.25">
      <c r="A171" s="55">
        <v>9003233661</v>
      </c>
      <c r="B171" s="60" t="s">
        <v>91</v>
      </c>
      <c r="C171" s="24" t="s">
        <v>1960</v>
      </c>
      <c r="D171" s="56" t="s">
        <v>2504</v>
      </c>
      <c r="E171" s="56"/>
      <c r="F171" s="56" t="s">
        <v>277</v>
      </c>
      <c r="G171" s="183" t="s">
        <v>2505</v>
      </c>
      <c r="H171" s="55">
        <v>7550996</v>
      </c>
      <c r="I171" s="39" t="s">
        <v>777</v>
      </c>
    </row>
    <row r="172" spans="1:9" ht="15" x14ac:dyDescent="0.25">
      <c r="A172" s="55">
        <v>830039537</v>
      </c>
      <c r="B172" s="60" t="s">
        <v>138</v>
      </c>
      <c r="C172" s="24" t="s">
        <v>1960</v>
      </c>
      <c r="D172" s="56" t="s">
        <v>2506</v>
      </c>
      <c r="E172" s="56"/>
      <c r="F172" s="56" t="s">
        <v>2223</v>
      </c>
      <c r="G172" s="186" t="s">
        <v>2507</v>
      </c>
      <c r="H172" s="55">
        <v>5968777</v>
      </c>
      <c r="I172" s="39" t="s">
        <v>777</v>
      </c>
    </row>
    <row r="173" spans="1:9" ht="15" x14ac:dyDescent="0.25">
      <c r="A173" s="55">
        <v>830057687</v>
      </c>
      <c r="B173" s="60" t="s">
        <v>44</v>
      </c>
      <c r="C173" s="24" t="s">
        <v>1960</v>
      </c>
      <c r="D173" s="56" t="s">
        <v>2508</v>
      </c>
      <c r="E173" s="56"/>
      <c r="F173" s="56" t="s">
        <v>2212</v>
      </c>
      <c r="G173" s="175" t="s">
        <v>2509</v>
      </c>
      <c r="H173" s="55">
        <v>3102235211</v>
      </c>
      <c r="I173" s="39" t="s">
        <v>777</v>
      </c>
    </row>
    <row r="174" spans="1:9" ht="25.5" x14ac:dyDescent="0.25">
      <c r="A174" s="55">
        <v>900813505</v>
      </c>
      <c r="B174" s="60" t="s">
        <v>173</v>
      </c>
      <c r="C174" s="24" t="s">
        <v>1960</v>
      </c>
      <c r="D174" s="56" t="s">
        <v>2510</v>
      </c>
      <c r="E174" s="56"/>
      <c r="F174" s="56" t="s">
        <v>2105</v>
      </c>
      <c r="G174" s="39" t="s">
        <v>2511</v>
      </c>
      <c r="H174" s="55">
        <v>3158709524</v>
      </c>
      <c r="I174" s="39" t="s">
        <v>777</v>
      </c>
    </row>
    <row r="175" spans="1:9" ht="30" x14ac:dyDescent="0.25">
      <c r="A175" s="55">
        <v>900046954</v>
      </c>
      <c r="B175" s="60" t="s">
        <v>84</v>
      </c>
      <c r="C175" s="24" t="s">
        <v>1960</v>
      </c>
      <c r="D175" s="56" t="s">
        <v>2512</v>
      </c>
      <c r="E175" s="56"/>
      <c r="F175" s="39" t="s">
        <v>277</v>
      </c>
      <c r="G175" s="175" t="s">
        <v>2513</v>
      </c>
      <c r="H175" s="55" t="s">
        <v>2514</v>
      </c>
      <c r="I175" s="39" t="s">
        <v>777</v>
      </c>
    </row>
    <row r="176" spans="1:9" ht="15" x14ac:dyDescent="0.25">
      <c r="A176" s="55">
        <v>900416644</v>
      </c>
      <c r="B176" s="60" t="s">
        <v>120</v>
      </c>
      <c r="C176" s="82" t="s">
        <v>1960</v>
      </c>
      <c r="D176" s="56" t="s">
        <v>2515</v>
      </c>
      <c r="E176" s="56"/>
      <c r="F176" s="56" t="s">
        <v>277</v>
      </c>
      <c r="G176" s="57" t="s">
        <v>2516</v>
      </c>
      <c r="H176" s="55"/>
      <c r="I176" s="39" t="s">
        <v>777</v>
      </c>
    </row>
    <row r="177" spans="1:9" x14ac:dyDescent="0.25">
      <c r="A177" s="55">
        <v>901234560</v>
      </c>
      <c r="B177" s="60" t="s">
        <v>168</v>
      </c>
      <c r="C177" s="24" t="s">
        <v>1960</v>
      </c>
      <c r="D177" s="56" t="s">
        <v>2517</v>
      </c>
      <c r="E177" s="56"/>
      <c r="F177" s="56" t="s">
        <v>277</v>
      </c>
      <c r="G177" s="41" t="s">
        <v>2518</v>
      </c>
      <c r="H177" s="55">
        <v>3222014716</v>
      </c>
      <c r="I177" s="39" t="s">
        <v>777</v>
      </c>
    </row>
    <row r="178" spans="1:9" ht="25.5" x14ac:dyDescent="0.25">
      <c r="A178" s="55">
        <v>830110907</v>
      </c>
      <c r="B178" s="60" t="s">
        <v>159</v>
      </c>
      <c r="C178" s="24" t="s">
        <v>1960</v>
      </c>
      <c r="D178" s="56" t="s">
        <v>2519</v>
      </c>
      <c r="E178" s="56"/>
      <c r="F178" s="56" t="s">
        <v>2520</v>
      </c>
      <c r="G178" s="39" t="s">
        <v>2521</v>
      </c>
      <c r="H178" s="55"/>
      <c r="I178" s="39" t="s">
        <v>777</v>
      </c>
    </row>
    <row r="179" spans="1:9" ht="15" x14ac:dyDescent="0.25">
      <c r="A179" s="55">
        <v>900855931</v>
      </c>
      <c r="B179" s="60" t="s">
        <v>75</v>
      </c>
      <c r="C179" s="82" t="s">
        <v>1960</v>
      </c>
      <c r="D179" s="60" t="s">
        <v>2522</v>
      </c>
      <c r="E179" s="60"/>
      <c r="F179" s="60" t="s">
        <v>277</v>
      </c>
      <c r="G179" s="235" t="s">
        <v>2523</v>
      </c>
      <c r="H179" s="55">
        <v>3018069600</v>
      </c>
      <c r="I179" s="39" t="s">
        <v>777</v>
      </c>
    </row>
    <row r="180" spans="1:9" x14ac:dyDescent="0.25">
      <c r="A180" s="55">
        <v>901700940</v>
      </c>
      <c r="B180" s="326" t="s">
        <v>47</v>
      </c>
      <c r="C180" s="24" t="s">
        <v>1960</v>
      </c>
      <c r="D180" s="56" t="s">
        <v>2524</v>
      </c>
      <c r="E180" s="56"/>
      <c r="F180" s="56" t="s">
        <v>2105</v>
      </c>
      <c r="G180" s="39" t="s">
        <v>2525</v>
      </c>
      <c r="H180" s="55">
        <v>3112853989</v>
      </c>
      <c r="I180" s="39" t="s">
        <v>777</v>
      </c>
    </row>
    <row r="181" spans="1:9" x14ac:dyDescent="0.25">
      <c r="A181" s="55">
        <v>900694193</v>
      </c>
      <c r="B181" s="60" t="s">
        <v>34</v>
      </c>
      <c r="D181" s="56" t="s">
        <v>2526</v>
      </c>
      <c r="E181" s="56"/>
      <c r="F181" s="56" t="s">
        <v>2527</v>
      </c>
      <c r="G181" s="39" t="s">
        <v>2528</v>
      </c>
      <c r="H181" s="55">
        <v>3153562318</v>
      </c>
      <c r="I181" s="39" t="s">
        <v>777</v>
      </c>
    </row>
    <row r="182" spans="1:9" x14ac:dyDescent="0.25">
      <c r="A182" s="55">
        <v>830066664</v>
      </c>
      <c r="B182" s="60" t="s">
        <v>143</v>
      </c>
      <c r="C182" s="24" t="s">
        <v>1960</v>
      </c>
      <c r="D182" s="56" t="s">
        <v>2529</v>
      </c>
      <c r="E182" s="56"/>
      <c r="F182" s="56" t="s">
        <v>2092</v>
      </c>
      <c r="G182" s="39" t="s">
        <v>2530</v>
      </c>
      <c r="H182" s="55">
        <v>6016347906</v>
      </c>
      <c r="I182" s="39" t="s">
        <v>777</v>
      </c>
    </row>
    <row r="183" spans="1:9" x14ac:dyDescent="0.25">
      <c r="A183" s="55">
        <v>900794234</v>
      </c>
      <c r="B183" s="60" t="s">
        <v>203</v>
      </c>
      <c r="C183" s="24" t="s">
        <v>1960</v>
      </c>
      <c r="D183" s="56" t="s">
        <v>2531</v>
      </c>
      <c r="E183" s="56"/>
      <c r="F183" s="56" t="s">
        <v>277</v>
      </c>
      <c r="G183" s="39" t="s">
        <v>2532</v>
      </c>
      <c r="H183" s="55">
        <v>6016211471</v>
      </c>
      <c r="I183" s="39" t="s">
        <v>777</v>
      </c>
    </row>
    <row r="184" spans="1:9" x14ac:dyDescent="0.25">
      <c r="A184" s="55">
        <v>860090915</v>
      </c>
      <c r="B184" s="60" t="s">
        <v>218</v>
      </c>
      <c r="C184" s="24" t="s">
        <v>1960</v>
      </c>
      <c r="D184" s="56" t="s">
        <v>2533</v>
      </c>
      <c r="E184" s="56"/>
      <c r="F184" s="56" t="s">
        <v>277</v>
      </c>
      <c r="G184" s="39" t="s">
        <v>2534</v>
      </c>
      <c r="H184" s="55">
        <v>6015940506</v>
      </c>
      <c r="I184" s="39" t="s">
        <v>777</v>
      </c>
    </row>
    <row r="185" spans="1:9" x14ac:dyDescent="0.25">
      <c r="A185" s="55">
        <v>860057131</v>
      </c>
      <c r="B185" s="60" t="s">
        <v>67</v>
      </c>
      <c r="C185" s="24" t="s">
        <v>1960</v>
      </c>
      <c r="D185" s="56" t="s">
        <v>2535</v>
      </c>
      <c r="E185" s="56"/>
      <c r="F185" s="56" t="s">
        <v>2092</v>
      </c>
      <c r="G185" s="39" t="s">
        <v>2536</v>
      </c>
      <c r="H185" s="55" t="s">
        <v>2537</v>
      </c>
      <c r="I185" s="39" t="s">
        <v>777</v>
      </c>
    </row>
    <row r="186" spans="1:9" x14ac:dyDescent="0.25">
      <c r="A186" s="55">
        <v>830013802</v>
      </c>
      <c r="B186" s="60" t="s">
        <v>191</v>
      </c>
      <c r="C186" s="24" t="s">
        <v>1960</v>
      </c>
      <c r="D186" s="56" t="s">
        <v>2538</v>
      </c>
      <c r="E186" s="56"/>
      <c r="F186" s="56" t="s">
        <v>2226</v>
      </c>
      <c r="G186" s="39" t="s">
        <v>2539</v>
      </c>
      <c r="H186" s="55" t="s">
        <v>2540</v>
      </c>
      <c r="I186" s="39" t="s">
        <v>777</v>
      </c>
    </row>
    <row r="187" spans="1:9" x14ac:dyDescent="0.25">
      <c r="A187" s="55">
        <v>830026324</v>
      </c>
      <c r="B187" s="60" t="s">
        <v>219</v>
      </c>
      <c r="C187" s="24" t="s">
        <v>1960</v>
      </c>
      <c r="D187" s="56" t="s">
        <v>2541</v>
      </c>
      <c r="E187" s="56"/>
      <c r="F187" s="56" t="s">
        <v>2226</v>
      </c>
      <c r="G187" s="39" t="s">
        <v>2542</v>
      </c>
      <c r="H187" s="55">
        <v>3009130013</v>
      </c>
      <c r="I187" s="39" t="s">
        <v>777</v>
      </c>
    </row>
    <row r="188" spans="1:9" ht="25.5" x14ac:dyDescent="0.25">
      <c r="A188" s="55">
        <v>901151199</v>
      </c>
      <c r="B188" s="60" t="s">
        <v>205</v>
      </c>
      <c r="C188" s="24" t="s">
        <v>1960</v>
      </c>
      <c r="D188" s="56" t="s">
        <v>2543</v>
      </c>
      <c r="E188" s="56" t="s">
        <v>205</v>
      </c>
      <c r="F188" s="56" t="s">
        <v>2332</v>
      </c>
      <c r="G188" s="39" t="s">
        <v>2544</v>
      </c>
      <c r="H188" s="55">
        <v>3118484885</v>
      </c>
      <c r="I188" s="39" t="s">
        <v>777</v>
      </c>
    </row>
    <row r="189" spans="1:9" x14ac:dyDescent="0.25">
      <c r="A189" s="55">
        <v>900705806</v>
      </c>
      <c r="B189" s="60" t="s">
        <v>196</v>
      </c>
      <c r="C189" s="24" t="s">
        <v>1960</v>
      </c>
      <c r="D189" s="56" t="s">
        <v>2545</v>
      </c>
      <c r="E189" s="56" t="s">
        <v>196</v>
      </c>
      <c r="F189" s="56" t="s">
        <v>2226</v>
      </c>
      <c r="G189" s="39" t="s">
        <v>2546</v>
      </c>
      <c r="H189" s="55">
        <v>3108061076</v>
      </c>
      <c r="I189" s="39" t="s">
        <v>777</v>
      </c>
    </row>
    <row r="190" spans="1:9" x14ac:dyDescent="0.25">
      <c r="A190" s="55">
        <v>860065036</v>
      </c>
      <c r="B190" s="60" t="s">
        <v>200</v>
      </c>
      <c r="C190" s="24" t="s">
        <v>1960</v>
      </c>
      <c r="D190" s="56" t="s">
        <v>2547</v>
      </c>
      <c r="E190" s="56"/>
      <c r="F190" s="56" t="s">
        <v>277</v>
      </c>
      <c r="G190" s="39" t="s">
        <v>2548</v>
      </c>
      <c r="H190" s="55">
        <v>6017551701</v>
      </c>
      <c r="I190" s="39" t="s">
        <v>777</v>
      </c>
    </row>
    <row r="191" spans="1:9" x14ac:dyDescent="0.25">
      <c r="A191" s="55">
        <v>901940570</v>
      </c>
      <c r="B191" s="60" t="s">
        <v>42</v>
      </c>
      <c r="C191" s="24" t="s">
        <v>1960</v>
      </c>
      <c r="D191" s="56" t="s">
        <v>2549</v>
      </c>
      <c r="E191" s="56"/>
      <c r="F191" s="56" t="s">
        <v>277</v>
      </c>
      <c r="G191" s="39" t="s">
        <v>2550</v>
      </c>
      <c r="H191" s="55" t="s">
        <v>2551</v>
      </c>
      <c r="I191" s="39" t="s">
        <v>777</v>
      </c>
    </row>
  </sheetData>
  <hyperlinks>
    <hyperlink ref="G131" r:id="rId1" display="mailto:conconcretoc@conconcreto.com" xr:uid="{CDE1DDFE-3945-4DDE-83AC-BFEA718B29A9}"/>
    <hyperlink ref="G132" r:id="rId2" display="mailto:hermaquinasgestionhumana@hotmail.com" xr:uid="{20E25866-25A7-4969-ADA5-4CC47EAB1731}"/>
    <hyperlink ref="G89" r:id="rId3" display="mailto:andrea.santiago@indu-b.com" xr:uid="{58796D57-9782-46A8-9CB7-FA5D10588F56}"/>
    <hyperlink ref="G137" r:id="rId4" display="mailto:glopez@sistemgroup.es" xr:uid="{CD327C7C-0CF1-4092-885E-C49AB64ECB13}"/>
    <hyperlink ref="G62" r:id="rId5" display="mailto:paj@agenteseguros.com.co" xr:uid="{46728625-CBD0-4147-9753-FD2DA2642AD5}"/>
    <hyperlink ref="G179" r:id="rId6" xr:uid="{3C140B6B-EE56-42D0-BF0C-EB897F53433D}"/>
    <hyperlink ref="G145" r:id="rId7" display="mailto:contabilidad@coljuegos.gov.co" xr:uid="{727DB41F-7773-4D90-98E4-52BCCD33133B}"/>
    <hyperlink ref="G70" r:id="rId8" xr:uid="{EDF56BA4-022A-4D7D-944C-C117A08790B5}"/>
    <hyperlink ref="G124" r:id="rId9" xr:uid="{E4B245C7-5577-4D2A-937A-9C6529450B0E}"/>
    <hyperlink ref="G128" r:id="rId10" xr:uid="{5E0D14F8-3208-499E-8226-3F39CF82B246}"/>
    <hyperlink ref="G149" r:id="rId11" xr:uid="{FE2622F4-6382-4D3F-817B-2F12BD42713A}"/>
    <hyperlink ref="G97" r:id="rId12" xr:uid="{557D03B7-A892-4393-B0BA-FA3172134CAB}"/>
    <hyperlink ref="G136" r:id="rId13" xr:uid="{F40F730B-26E2-4608-A0EB-6946D9073F3E}"/>
    <hyperlink ref="G78" r:id="rId14" xr:uid="{C1AC4047-9353-4EA9-86D8-412F313DD325}"/>
    <hyperlink ref="G28" r:id="rId15" xr:uid="{33AF1A6A-460C-4277-8CE8-206A4AB3F543}"/>
    <hyperlink ref="G82" r:id="rId16" xr:uid="{C2DADD59-6517-4B5E-9A7C-7E82B81062D7}"/>
    <hyperlink ref="G34" r:id="rId17" xr:uid="{AD98FAD9-AABB-4ADD-BBFF-D6AAD261056F}"/>
    <hyperlink ref="G161" r:id="rId18" xr:uid="{E977145B-6D98-46BD-8985-00D09B8E9B53}"/>
    <hyperlink ref="G177" r:id="rId19" xr:uid="{6B5A12A3-86C1-4980-A243-7E21B6B0B202}"/>
    <hyperlink ref="G79" r:id="rId20" xr:uid="{40883DE8-CC2C-472A-94E6-AA996A3A65A3}"/>
    <hyperlink ref="G27" r:id="rId21" xr:uid="{0BCA1DED-B3B0-4B01-B7D2-9D26B14A3A5D}"/>
    <hyperlink ref="G104" r:id="rId22" xr:uid="{F3C105B3-5E2C-4831-96BE-D30038865A5D}"/>
    <hyperlink ref="G112" r:id="rId23" xr:uid="{83F00526-0CA3-404D-B2C9-F068EEC332AC}"/>
    <hyperlink ref="G44" r:id="rId24" xr:uid="{DAC0401A-1FC6-4339-87E6-77E12EAA0C47}"/>
    <hyperlink ref="G80" r:id="rId25" xr:uid="{A8A6DD4D-587C-47FA-9639-FB4C31886B32}"/>
    <hyperlink ref="G2" r:id="rId26" xr:uid="{FF8E9947-B8BD-4587-93F0-A4368DD6F7F5}"/>
    <hyperlink ref="G176" r:id="rId27" xr:uid="{9B0A19D8-3DA7-4B54-A2C8-0921E61B3BF0}"/>
    <hyperlink ref="G4" r:id="rId28" xr:uid="{E07F3272-0E20-4020-B537-222BA1BE3B90}"/>
    <hyperlink ref="G175" r:id="rId29" xr:uid="{7CB48F4F-8B32-410E-BD4A-411C83E41369}"/>
    <hyperlink ref="G171" r:id="rId30" xr:uid="{8520BD6F-6A2A-4C3B-BEA0-723E85F34CD5}"/>
    <hyperlink ref="G60" r:id="rId31" xr:uid="{5EE38F15-E981-4C0F-B256-C22204E3EEA5}"/>
    <hyperlink ref="G117" r:id="rId32" xr:uid="{969BFCC6-2A99-4509-8C5D-DA10240A1C6D}"/>
    <hyperlink ref="G67" r:id="rId33" xr:uid="{F0E05AD8-4204-400A-9348-026543A25D9B}"/>
    <hyperlink ref="G90" r:id="rId34" xr:uid="{B119D8C1-4721-4330-BA8B-32E1D6C22996}"/>
    <hyperlink ref="G155" r:id="rId35" xr:uid="{A395C8B4-58F9-4A6B-928B-FFFD7946DBED}"/>
    <hyperlink ref="G55" r:id="rId36" xr:uid="{9CE53EC4-BF9B-4A62-B3DD-1B89D4F40F78}"/>
    <hyperlink ref="G32" r:id="rId37" xr:uid="{37E1F02E-F21A-41FA-9627-FCA445AC5DED}"/>
    <hyperlink ref="G110" r:id="rId38" xr:uid="{7C1C9911-6E87-49A3-8D0D-74F076682928}"/>
    <hyperlink ref="G156" r:id="rId39" xr:uid="{14DB580F-444B-412E-9406-78318280A6D6}"/>
    <hyperlink ref="G51" r:id="rId40" xr:uid="{DA4434FA-E2A9-48D2-A8EB-30F936E02AF9}"/>
    <hyperlink ref="G114" r:id="rId41" xr:uid="{7ED5BCD3-14C0-424A-B9E2-41CD42015B98}"/>
    <hyperlink ref="G118" r:id="rId42" xr:uid="{DEA3A4A1-95FD-4CAF-A4F0-5A2DDEC42EE2}"/>
    <hyperlink ref="G42" r:id="rId43" xr:uid="{4D1D2377-0B78-4831-B355-8691939CC842}"/>
    <hyperlink ref="G165" r:id="rId44" xr:uid="{778873C1-6D5E-4977-A9FD-D7DD9FDBEB1B}"/>
    <hyperlink ref="G71" r:id="rId45" xr:uid="{18D2CC08-4724-443A-891B-2957E599E614}"/>
    <hyperlink ref="G172" r:id="rId46" xr:uid="{5BA3B724-363F-48A8-8DD7-45DF2A344EF9}"/>
    <hyperlink ref="G69" r:id="rId47" xr:uid="{329BC466-E8F9-49AA-BBD6-B3E75A37652A}"/>
    <hyperlink ref="G144" r:id="rId48" xr:uid="{7EFDC453-F235-4523-8483-AE54C8177C48}"/>
    <hyperlink ref="G39" r:id="rId49" xr:uid="{6BE7163E-1B04-4338-B9D0-E18E2F59AD52}"/>
    <hyperlink ref="G35" r:id="rId50" xr:uid="{CDAA9BF0-24A1-4121-B62C-E330BB67AD19}"/>
    <hyperlink ref="G173" r:id="rId51" xr:uid="{3AAE555D-7936-4C47-8676-7E4F02A70459}"/>
    <hyperlink ref="G85" r:id="rId52" xr:uid="{2A662CDB-C369-4880-909F-0878E53BAB92}"/>
    <hyperlink ref="G83" r:id="rId53" xr:uid="{46F1CFC3-E9A6-4BCB-8EDA-022442467E2F}"/>
    <hyperlink ref="G139" r:id="rId54" xr:uid="{9879C4B9-D882-4202-B009-EA3829892A4B}"/>
    <hyperlink ref="G107" r:id="rId55" xr:uid="{3591FC10-BC9D-4A39-9F59-E7876B197A32}"/>
    <hyperlink ref="G141" r:id="rId56" xr:uid="{C60BCBCD-8B1A-4FD1-9A49-DF9352AFE073}"/>
    <hyperlink ref="N2" r:id="rId57" xr:uid="{C7D2DA9B-00FF-44CC-948E-3C34789BD4B2}"/>
    <hyperlink ref="G25" r:id="rId58" xr:uid="{A3A148A8-7E89-4C33-8967-C09DE0120B3F}"/>
  </hyperlinks>
  <pageMargins left="0.7" right="0.7" top="0.75" bottom="0.75" header="0.3" footer="0.3"/>
  <pageSetup orientation="portrait" r:id="rId59"/>
  <tableParts count="1">
    <tablePart r:id="rId6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86025-676E-4902-BB95-B80642DC1CC0}">
  <sheetPr codeName="Hoja9"/>
  <dimension ref="A1:P38"/>
  <sheetViews>
    <sheetView showGridLines="0" view="pageLayout" zoomScale="70" zoomScaleNormal="90" zoomScalePageLayoutView="70" workbookViewId="0">
      <selection activeCell="B8" sqref="B8:D8"/>
    </sheetView>
  </sheetViews>
  <sheetFormatPr baseColWidth="10" defaultColWidth="10.7109375" defaultRowHeight="15" x14ac:dyDescent="0.25"/>
  <cols>
    <col min="1" max="1" width="12.140625" bestFit="1" customWidth="1"/>
    <col min="2" max="2" width="10.5703125" customWidth="1"/>
    <col min="3" max="3" width="18.28515625" customWidth="1"/>
    <col min="4" max="4" width="12.7109375" customWidth="1"/>
    <col min="5" max="5" width="11.42578125" customWidth="1"/>
    <col min="6" max="6" width="15" customWidth="1"/>
    <col min="7" max="7" width="11.42578125" customWidth="1"/>
    <col min="8" max="8" width="10.42578125" bestFit="1" customWidth="1"/>
    <col min="9" max="9" width="12.140625" bestFit="1" customWidth="1"/>
    <col min="10" max="10" width="10.5703125" customWidth="1"/>
    <col min="11" max="11" width="18.28515625" customWidth="1"/>
    <col min="12" max="12" width="12.7109375" customWidth="1"/>
    <col min="13" max="13" width="11.42578125" customWidth="1"/>
    <col min="14" max="14" width="15" customWidth="1"/>
    <col min="15" max="15" width="11.42578125" customWidth="1"/>
    <col min="16" max="16" width="10.42578125" bestFit="1" customWidth="1"/>
  </cols>
  <sheetData>
    <row r="1" spans="1:16" ht="42.75" customHeight="1" x14ac:dyDescent="0.25">
      <c r="A1" s="193"/>
      <c r="B1" s="194"/>
      <c r="C1" s="194"/>
      <c r="D1" s="200"/>
      <c r="E1" s="200"/>
      <c r="F1" s="477" t="s">
        <v>2552</v>
      </c>
      <c r="G1" s="477"/>
      <c r="H1" s="478"/>
      <c r="I1" s="193"/>
      <c r="J1" s="194"/>
      <c r="K1" s="194"/>
      <c r="L1" s="200"/>
      <c r="M1" s="200"/>
      <c r="N1" s="477" t="s">
        <v>2552</v>
      </c>
      <c r="O1" s="477"/>
      <c r="P1" s="478"/>
    </row>
    <row r="2" spans="1:16" ht="9.75" customHeight="1" x14ac:dyDescent="0.25">
      <c r="A2" s="195"/>
      <c r="H2" s="196"/>
      <c r="I2" s="195"/>
      <c r="P2" s="196"/>
    </row>
    <row r="3" spans="1:16" ht="18" customHeight="1" x14ac:dyDescent="0.25">
      <c r="A3" s="479" t="s">
        <v>260</v>
      </c>
      <c r="B3" s="444"/>
      <c r="C3" s="444"/>
      <c r="D3" s="402" t="s">
        <v>263</v>
      </c>
      <c r="E3" s="402" t="s">
        <v>268</v>
      </c>
      <c r="F3" s="480" t="s">
        <v>269</v>
      </c>
      <c r="G3" s="480"/>
      <c r="H3" s="481"/>
      <c r="I3" s="479" t="s">
        <v>260</v>
      </c>
      <c r="J3" s="444"/>
      <c r="K3" s="444"/>
      <c r="L3" s="402" t="s">
        <v>263</v>
      </c>
      <c r="M3" s="402" t="s">
        <v>268</v>
      </c>
      <c r="N3" s="480" t="s">
        <v>269</v>
      </c>
      <c r="O3" s="480"/>
      <c r="P3" s="481"/>
    </row>
    <row r="4" spans="1:16" ht="20.25" customHeight="1" thickBot="1" x14ac:dyDescent="0.3">
      <c r="A4" s="482" t="s">
        <v>261</v>
      </c>
      <c r="B4" s="483"/>
      <c r="C4" s="483"/>
      <c r="D4" s="215" t="s">
        <v>264</v>
      </c>
      <c r="E4" s="216">
        <v>3005192319</v>
      </c>
      <c r="F4" s="484" t="s">
        <v>2553</v>
      </c>
      <c r="G4" s="484"/>
      <c r="H4" s="485"/>
      <c r="I4" s="482" t="s">
        <v>261</v>
      </c>
      <c r="J4" s="483"/>
      <c r="K4" s="483"/>
      <c r="L4" s="215" t="s">
        <v>264</v>
      </c>
      <c r="M4" s="216">
        <v>3005192319</v>
      </c>
      <c r="N4" s="484" t="s">
        <v>2553</v>
      </c>
      <c r="O4" s="484"/>
      <c r="P4" s="485"/>
    </row>
    <row r="5" spans="1:16" ht="8.25" customHeight="1" x14ac:dyDescent="0.25">
      <c r="A5" s="206"/>
      <c r="B5" s="199"/>
      <c r="C5" s="200"/>
      <c r="D5" s="200"/>
      <c r="E5" s="200"/>
      <c r="F5" s="201"/>
      <c r="G5" s="202"/>
      <c r="H5" s="204"/>
      <c r="I5" s="206"/>
      <c r="J5" s="199"/>
      <c r="K5" s="200"/>
      <c r="L5" s="200"/>
      <c r="M5" s="200"/>
      <c r="N5" s="201"/>
      <c r="O5" s="202"/>
      <c r="P5" s="204"/>
    </row>
    <row r="6" spans="1:16" x14ac:dyDescent="0.25">
      <c r="A6" s="29"/>
      <c r="B6" s="459"/>
      <c r="C6" s="459"/>
      <c r="D6" s="207" t="s">
        <v>2554</v>
      </c>
      <c r="E6" s="407">
        <v>2022</v>
      </c>
      <c r="G6" s="401" t="s">
        <v>2555</v>
      </c>
      <c r="H6" s="197" t="str">
        <f ca="1">+IF(E6&lt;YEAR(TODAY()),"31/12/"&amp;E6,TODAY()-1)</f>
        <v>31/12/2022</v>
      </c>
      <c r="I6" s="29"/>
      <c r="J6" s="459"/>
      <c r="K6" s="459"/>
      <c r="L6" s="207" t="s">
        <v>2554</v>
      </c>
      <c r="M6" s="407">
        <v>2022</v>
      </c>
      <c r="O6" s="401" t="s">
        <v>2555</v>
      </c>
      <c r="P6" s="197" t="str">
        <f ca="1">+IF(M6&lt;YEAR(TODAY()),"31/12/"&amp;M6,TODAY()-1)</f>
        <v>31/12/2022</v>
      </c>
    </row>
    <row r="7" spans="1:16" ht="8.25" customHeight="1" thickBot="1" x14ac:dyDescent="0.3">
      <c r="A7" s="195"/>
      <c r="F7" s="402"/>
      <c r="G7" s="402"/>
      <c r="H7" s="196"/>
      <c r="I7" s="195"/>
      <c r="N7" s="402"/>
      <c r="O7" s="402"/>
      <c r="P7" s="196"/>
    </row>
    <row r="8" spans="1:16" ht="27" customHeight="1" x14ac:dyDescent="0.25">
      <c r="A8" s="27" t="s">
        <v>237</v>
      </c>
      <c r="B8" s="470" t="s">
        <v>54</v>
      </c>
      <c r="C8" s="470"/>
      <c r="D8" s="470"/>
      <c r="E8" s="28" t="s">
        <v>274</v>
      </c>
      <c r="F8" s="457">
        <v>900396116</v>
      </c>
      <c r="G8" s="457"/>
      <c r="H8" s="458"/>
      <c r="I8" s="27" t="s">
        <v>237</v>
      </c>
      <c r="J8" s="470" t="s">
        <v>54</v>
      </c>
      <c r="K8" s="470"/>
      <c r="L8" s="470"/>
      <c r="M8" s="28" t="s">
        <v>274</v>
      </c>
      <c r="N8" s="457">
        <v>900396116</v>
      </c>
      <c r="O8" s="457"/>
      <c r="P8" s="458"/>
    </row>
    <row r="9" spans="1:16" ht="35.450000000000003" customHeight="1" x14ac:dyDescent="0.25">
      <c r="A9" s="29" t="s">
        <v>269</v>
      </c>
      <c r="B9" s="471" t="s">
        <v>2179</v>
      </c>
      <c r="C9" s="471"/>
      <c r="D9" s="471"/>
      <c r="E9" s="14" t="s">
        <v>276</v>
      </c>
      <c r="F9" s="459">
        <v>7031012</v>
      </c>
      <c r="G9" s="459"/>
      <c r="H9" s="460"/>
      <c r="I9" s="29" t="s">
        <v>269</v>
      </c>
      <c r="J9" s="471" t="s">
        <v>2179</v>
      </c>
      <c r="K9" s="471"/>
      <c r="L9" s="471"/>
      <c r="M9" s="14" t="s">
        <v>276</v>
      </c>
      <c r="N9" s="459">
        <v>7031012</v>
      </c>
      <c r="O9" s="459"/>
      <c r="P9" s="460"/>
    </row>
    <row r="10" spans="1:16" ht="26.25" customHeight="1" thickBot="1" x14ac:dyDescent="0.3">
      <c r="A10" s="30" t="s">
        <v>241</v>
      </c>
      <c r="B10" s="472" t="s">
        <v>277</v>
      </c>
      <c r="C10" s="472"/>
      <c r="D10" s="472"/>
      <c r="E10" s="8" t="s">
        <v>240</v>
      </c>
      <c r="F10" s="461" t="s">
        <v>2180</v>
      </c>
      <c r="G10" s="462"/>
      <c r="H10" s="463"/>
      <c r="I10" s="30" t="s">
        <v>241</v>
      </c>
      <c r="J10" s="472" t="s">
        <v>277</v>
      </c>
      <c r="K10" s="472"/>
      <c r="L10" s="472"/>
      <c r="M10" s="8" t="s">
        <v>240</v>
      </c>
      <c r="N10" s="461" t="s">
        <v>2180</v>
      </c>
      <c r="O10" s="462"/>
      <c r="P10" s="463"/>
    </row>
    <row r="11" spans="1:16" ht="6.75" customHeight="1" thickBot="1" x14ac:dyDescent="0.3">
      <c r="A11" s="30"/>
      <c r="B11" s="406"/>
      <c r="C11" s="406"/>
      <c r="D11" s="406"/>
      <c r="E11" s="8"/>
      <c r="F11" s="403"/>
      <c r="G11" s="404"/>
      <c r="H11" s="198"/>
      <c r="I11" s="30"/>
      <c r="J11" s="406"/>
      <c r="K11" s="406"/>
      <c r="L11" s="406"/>
      <c r="M11" s="8"/>
      <c r="N11" s="403"/>
      <c r="O11" s="404"/>
      <c r="P11" s="198"/>
    </row>
    <row r="12" spans="1:16" ht="6.75" customHeight="1" x14ac:dyDescent="0.25">
      <c r="B12" s="9"/>
      <c r="C12" s="9"/>
      <c r="E12" s="9"/>
      <c r="F12" s="9"/>
      <c r="G12" s="9"/>
      <c r="H12" s="191"/>
      <c r="J12" s="9"/>
      <c r="K12" s="9"/>
      <c r="M12" s="9"/>
      <c r="N12" s="9"/>
      <c r="O12" s="9"/>
      <c r="P12" s="191"/>
    </row>
    <row r="13" spans="1:16" ht="18.75" x14ac:dyDescent="0.25">
      <c r="A13" s="205" t="s">
        <v>2556</v>
      </c>
      <c r="B13" s="205"/>
      <c r="C13" s="203">
        <f>SUM(F18:F27)</f>
        <v>0</v>
      </c>
      <c r="E13" s="205" t="s">
        <v>2557</v>
      </c>
      <c r="F13" s="205"/>
      <c r="G13" s="476">
        <f>SUM(H19:H28)</f>
        <v>0</v>
      </c>
      <c r="H13" s="476"/>
      <c r="I13" s="205" t="s">
        <v>2556</v>
      </c>
      <c r="J13" s="205"/>
      <c r="K13" s="203">
        <f>SUM(N18:N27)</f>
        <v>0</v>
      </c>
      <c r="M13" s="205" t="s">
        <v>2557</v>
      </c>
      <c r="N13" s="205"/>
      <c r="O13" s="476">
        <f>SUM(P19:P28)</f>
        <v>0</v>
      </c>
      <c r="P13" s="476"/>
    </row>
    <row r="14" spans="1:16" ht="8.25" customHeight="1" x14ac:dyDescent="0.25">
      <c r="E14" s="44"/>
      <c r="F14" s="44"/>
      <c r="H14" s="191"/>
      <c r="M14" s="44"/>
      <c r="N14" s="44"/>
      <c r="P14" s="191"/>
    </row>
    <row r="15" spans="1:16" ht="18.75" x14ac:dyDescent="0.25">
      <c r="E15" s="205" t="s">
        <v>2558</v>
      </c>
      <c r="F15" s="205"/>
      <c r="G15" s="476">
        <f>C13-G13</f>
        <v>0</v>
      </c>
      <c r="H15" s="476"/>
      <c r="M15" s="205" t="s">
        <v>2558</v>
      </c>
      <c r="N15" s="205"/>
      <c r="O15" s="476">
        <f>K13-O13</f>
        <v>0</v>
      </c>
      <c r="P15" s="476"/>
    </row>
    <row r="16" spans="1:16" ht="7.5" customHeight="1" x14ac:dyDescent="0.25">
      <c r="B16" s="9"/>
      <c r="C16" s="9"/>
      <c r="D16" s="9"/>
      <c r="E16" s="9"/>
      <c r="F16" s="9"/>
      <c r="G16" s="9"/>
      <c r="H16" s="191"/>
      <c r="J16" s="9"/>
      <c r="K16" s="9"/>
      <c r="L16" s="9"/>
      <c r="M16" s="9"/>
      <c r="N16" s="9"/>
      <c r="O16" s="9"/>
      <c r="P16" s="191"/>
    </row>
    <row r="17" spans="1:16" s="83" customFormat="1" ht="27.75" customHeight="1" x14ac:dyDescent="0.25">
      <c r="A17" s="208" t="s">
        <v>775</v>
      </c>
      <c r="B17" s="208" t="s">
        <v>776</v>
      </c>
      <c r="C17" s="208" t="s">
        <v>408</v>
      </c>
      <c r="D17" s="208" t="s">
        <v>781</v>
      </c>
      <c r="E17" s="208" t="s">
        <v>411</v>
      </c>
      <c r="F17" s="208" t="s">
        <v>782</v>
      </c>
      <c r="G17" s="208" t="s">
        <v>2559</v>
      </c>
      <c r="H17" s="208" t="s">
        <v>2560</v>
      </c>
      <c r="I17" s="208" t="s">
        <v>775</v>
      </c>
      <c r="J17" s="208" t="s">
        <v>776</v>
      </c>
      <c r="K17" s="208" t="s">
        <v>408</v>
      </c>
      <c r="L17" s="208" t="s">
        <v>781</v>
      </c>
      <c r="M17" s="208" t="s">
        <v>411</v>
      </c>
      <c r="N17" s="208" t="s">
        <v>782</v>
      </c>
      <c r="O17" s="208" t="s">
        <v>2559</v>
      </c>
      <c r="P17" s="208" t="s">
        <v>2560</v>
      </c>
    </row>
    <row r="18" spans="1:16" ht="27.75" customHeight="1" x14ac:dyDescent="0.25">
      <c r="A18" s="234"/>
      <c r="B18" s="230"/>
      <c r="C18" s="213"/>
      <c r="D18" s="232"/>
      <c r="E18" s="233"/>
      <c r="F18" s="233"/>
      <c r="I18" s="234"/>
      <c r="J18" s="230"/>
      <c r="K18" s="213"/>
      <c r="L18" s="232"/>
      <c r="M18" s="233"/>
      <c r="N18" s="233"/>
    </row>
    <row r="19" spans="1:16" ht="27.75" customHeight="1" x14ac:dyDescent="0.25">
      <c r="A19" s="228"/>
      <c r="B19" s="229"/>
      <c r="C19" s="213"/>
      <c r="D19" s="211"/>
      <c r="E19" s="212"/>
      <c r="F19" s="212"/>
      <c r="G19" s="231"/>
      <c r="H19" s="219"/>
      <c r="I19" s="228"/>
      <c r="J19" s="229"/>
      <c r="K19" s="213"/>
      <c r="L19" s="211"/>
      <c r="M19" s="212"/>
      <c r="N19" s="212"/>
      <c r="O19" s="231"/>
      <c r="P19" s="219"/>
    </row>
    <row r="20" spans="1:16" ht="27.75" customHeight="1" x14ac:dyDescent="0.25">
      <c r="A20" s="228"/>
      <c r="B20" s="229"/>
      <c r="C20" s="213"/>
      <c r="D20" s="211"/>
      <c r="E20" s="212"/>
      <c r="F20" s="212"/>
      <c r="G20" s="230"/>
      <c r="H20" s="223"/>
      <c r="I20" s="228"/>
      <c r="J20" s="229"/>
      <c r="K20" s="213"/>
      <c r="L20" s="211"/>
      <c r="M20" s="212"/>
      <c r="N20" s="212"/>
      <c r="O20" s="230"/>
      <c r="P20" s="223"/>
    </row>
    <row r="21" spans="1:16" ht="27.75" customHeight="1" x14ac:dyDescent="0.25">
      <c r="A21" s="228"/>
      <c r="B21" s="229"/>
      <c r="C21" s="213"/>
      <c r="D21" s="211"/>
      <c r="E21" s="212"/>
      <c r="F21" s="212"/>
      <c r="G21" s="229"/>
      <c r="H21" s="214"/>
      <c r="I21" s="228"/>
      <c r="J21" s="229"/>
      <c r="K21" s="213"/>
      <c r="L21" s="211"/>
      <c r="M21" s="212"/>
      <c r="N21" s="212"/>
      <c r="O21" s="229"/>
      <c r="P21" s="214"/>
    </row>
    <row r="22" spans="1:16" ht="27.75" customHeight="1" x14ac:dyDescent="0.25">
      <c r="A22" s="228"/>
      <c r="B22" s="229"/>
      <c r="C22" s="213"/>
      <c r="D22" s="211"/>
      <c r="E22" s="212"/>
      <c r="F22" s="212"/>
      <c r="G22" s="229"/>
      <c r="H22" s="214"/>
      <c r="I22" s="228"/>
      <c r="J22" s="229"/>
      <c r="K22" s="213"/>
      <c r="L22" s="211"/>
      <c r="M22" s="212"/>
      <c r="N22" s="212"/>
      <c r="O22" s="229"/>
      <c r="P22" s="214"/>
    </row>
    <row r="23" spans="1:16" ht="27.75" customHeight="1" x14ac:dyDescent="0.25">
      <c r="A23" s="228"/>
      <c r="B23" s="229"/>
      <c r="C23" s="213"/>
      <c r="D23" s="211"/>
      <c r="E23" s="212"/>
      <c r="F23" s="212"/>
      <c r="G23" s="229"/>
      <c r="H23" s="214"/>
      <c r="I23" s="228"/>
      <c r="J23" s="229"/>
      <c r="K23" s="213"/>
      <c r="L23" s="211"/>
      <c r="M23" s="212"/>
      <c r="N23" s="212"/>
      <c r="O23" s="229"/>
      <c r="P23" s="214"/>
    </row>
    <row r="24" spans="1:16" ht="27.75" customHeight="1" x14ac:dyDescent="0.25">
      <c r="A24" s="228"/>
      <c r="B24" s="229"/>
      <c r="C24" s="213"/>
      <c r="D24" s="211"/>
      <c r="E24" s="212"/>
      <c r="F24" s="212"/>
      <c r="G24" s="229"/>
      <c r="H24" s="214"/>
      <c r="I24" s="228"/>
      <c r="J24" s="229"/>
      <c r="K24" s="213"/>
      <c r="L24" s="211"/>
      <c r="M24" s="212"/>
      <c r="N24" s="212"/>
      <c r="O24" s="229"/>
      <c r="P24" s="214"/>
    </row>
    <row r="25" spans="1:16" ht="27.75" customHeight="1" x14ac:dyDescent="0.25">
      <c r="A25" s="228"/>
      <c r="B25" s="229"/>
      <c r="C25" s="213"/>
      <c r="D25" s="211"/>
      <c r="E25" s="212"/>
      <c r="F25" s="212"/>
      <c r="G25" s="229"/>
      <c r="H25" s="214"/>
      <c r="I25" s="228"/>
      <c r="J25" s="229"/>
      <c r="K25" s="213"/>
      <c r="L25" s="211"/>
      <c r="M25" s="212"/>
      <c r="N25" s="212"/>
      <c r="O25" s="229"/>
      <c r="P25" s="214"/>
    </row>
    <row r="26" spans="1:16" ht="27.75" customHeight="1" x14ac:dyDescent="0.25">
      <c r="A26" s="228"/>
      <c r="B26" s="229"/>
      <c r="C26" s="213"/>
      <c r="D26" s="211"/>
      <c r="E26" s="212"/>
      <c r="F26" s="212"/>
      <c r="G26" s="229"/>
      <c r="H26" s="214"/>
      <c r="I26" s="228"/>
      <c r="J26" s="229"/>
      <c r="K26" s="213"/>
      <c r="L26" s="211"/>
      <c r="M26" s="212"/>
      <c r="N26" s="212"/>
      <c r="O26" s="229"/>
      <c r="P26" s="214"/>
    </row>
    <row r="27" spans="1:16" ht="27.75" customHeight="1" x14ac:dyDescent="0.25">
      <c r="A27" s="228"/>
      <c r="B27" s="229"/>
      <c r="C27" s="213"/>
      <c r="D27" s="211"/>
      <c r="E27" s="212"/>
      <c r="F27" s="212"/>
      <c r="G27" s="229"/>
      <c r="H27" s="214"/>
      <c r="I27" s="228"/>
      <c r="J27" s="229"/>
      <c r="K27" s="213"/>
      <c r="L27" s="211"/>
      <c r="M27" s="212"/>
      <c r="N27" s="212"/>
      <c r="O27" s="229"/>
      <c r="P27" s="214"/>
    </row>
    <row r="28" spans="1:16" ht="27.75" customHeight="1" x14ac:dyDescent="0.25">
      <c r="A28" s="209"/>
      <c r="B28" s="210"/>
      <c r="C28" s="213"/>
      <c r="D28" s="211"/>
      <c r="E28" s="212"/>
      <c r="F28" s="212"/>
      <c r="G28" s="229"/>
      <c r="H28" s="214"/>
      <c r="I28" s="209"/>
      <c r="J28" s="210"/>
      <c r="K28" s="213"/>
      <c r="L28" s="211"/>
      <c r="M28" s="212"/>
      <c r="N28" s="212"/>
      <c r="O28" s="229"/>
      <c r="P28" s="214"/>
    </row>
    <row r="29" spans="1:16" ht="27.75" customHeight="1" x14ac:dyDescent="0.25">
      <c r="A29" s="209"/>
      <c r="B29" s="210"/>
      <c r="C29" s="213"/>
      <c r="D29" s="211"/>
      <c r="E29" s="212"/>
      <c r="F29" s="212"/>
      <c r="G29" s="213"/>
      <c r="H29" s="214"/>
      <c r="I29" s="209"/>
      <c r="J29" s="210"/>
      <c r="K29" s="213"/>
      <c r="L29" s="211"/>
      <c r="M29" s="212"/>
      <c r="N29" s="212"/>
      <c r="O29" s="213"/>
      <c r="P29" s="214"/>
    </row>
    <row r="30" spans="1:16" ht="27.75" customHeight="1" x14ac:dyDescent="0.25">
      <c r="A30" s="209"/>
      <c r="B30" s="210"/>
      <c r="C30" s="213"/>
      <c r="D30" s="211"/>
      <c r="E30" s="212"/>
      <c r="F30" s="212"/>
      <c r="G30" s="213"/>
      <c r="H30" s="214"/>
      <c r="I30" s="209"/>
      <c r="J30" s="210"/>
      <c r="K30" s="213"/>
      <c r="L30" s="211"/>
      <c r="M30" s="212"/>
      <c r="N30" s="212"/>
      <c r="O30" s="213"/>
      <c r="P30" s="214"/>
    </row>
    <row r="31" spans="1:16" ht="18" customHeight="1" x14ac:dyDescent="0.25">
      <c r="B31" s="9"/>
      <c r="C31" s="9"/>
      <c r="D31" s="9"/>
      <c r="E31" s="9"/>
      <c r="F31" s="9"/>
      <c r="J31" s="9"/>
      <c r="K31" s="9"/>
      <c r="L31" s="9"/>
      <c r="M31" s="9"/>
      <c r="N31" s="9"/>
    </row>
    <row r="32" spans="1:16" x14ac:dyDescent="0.25">
      <c r="B32" s="9"/>
      <c r="C32" s="9"/>
      <c r="J32" s="9"/>
      <c r="K32" s="9"/>
    </row>
    <row r="33" spans="2:14" x14ac:dyDescent="0.25">
      <c r="B33" s="192"/>
      <c r="C33" s="192"/>
      <c r="D33" s="39"/>
      <c r="E33" s="39"/>
      <c r="F33" s="475"/>
      <c r="J33" s="192"/>
      <c r="K33" s="192"/>
      <c r="L33" s="39"/>
      <c r="M33" s="39"/>
      <c r="N33" s="475"/>
    </row>
    <row r="34" spans="2:14" x14ac:dyDescent="0.25">
      <c r="B34" s="192"/>
      <c r="C34" s="192"/>
      <c r="D34" s="39"/>
      <c r="E34" s="39"/>
      <c r="F34" s="475"/>
      <c r="J34" s="192"/>
      <c r="K34" s="192"/>
      <c r="L34" s="39"/>
      <c r="M34" s="39"/>
      <c r="N34" s="475"/>
    </row>
    <row r="35" spans="2:14" x14ac:dyDescent="0.25">
      <c r="B35" s="192"/>
      <c r="C35" s="192"/>
      <c r="D35" s="39"/>
      <c r="E35" s="39"/>
      <c r="F35" s="475"/>
      <c r="J35" s="192"/>
      <c r="K35" s="192"/>
      <c r="L35" s="39"/>
      <c r="M35" s="39"/>
      <c r="N35" s="475"/>
    </row>
    <row r="36" spans="2:14" ht="15.75" thickBot="1" x14ac:dyDescent="0.3">
      <c r="B36" s="15"/>
      <c r="C36" s="15"/>
      <c r="D36" s="15"/>
      <c r="E36" s="15"/>
      <c r="F36" s="475"/>
      <c r="J36" s="15"/>
      <c r="K36" s="15"/>
      <c r="L36" s="15"/>
      <c r="M36" s="15"/>
      <c r="N36" s="475"/>
    </row>
    <row r="37" spans="2:14" ht="15.75" thickTop="1" x14ac:dyDescent="0.25">
      <c r="B37" s="474" t="s">
        <v>285</v>
      </c>
      <c r="C37" s="474"/>
      <c r="D37" s="474"/>
      <c r="E37" s="474"/>
      <c r="F37" s="475"/>
      <c r="J37" s="474" t="s">
        <v>285</v>
      </c>
      <c r="K37" s="474"/>
      <c r="L37" s="474"/>
      <c r="M37" s="474"/>
      <c r="N37" s="475"/>
    </row>
    <row r="38" spans="2:14" ht="11.25" customHeight="1" x14ac:dyDescent="0.25">
      <c r="B38" s="474" t="s">
        <v>286</v>
      </c>
      <c r="C38" s="474"/>
      <c r="D38" s="474"/>
      <c r="E38" s="474"/>
      <c r="F38" s="475"/>
      <c r="J38" s="474" t="s">
        <v>286</v>
      </c>
      <c r="K38" s="474"/>
      <c r="L38" s="474"/>
      <c r="M38" s="474"/>
      <c r="N38" s="475"/>
    </row>
  </sheetData>
  <mergeCells count="36">
    <mergeCell ref="F1:H1"/>
    <mergeCell ref="F4:H4"/>
    <mergeCell ref="F3:H3"/>
    <mergeCell ref="A4:C4"/>
    <mergeCell ref="A3:C3"/>
    <mergeCell ref="F33:F36"/>
    <mergeCell ref="B37:E37"/>
    <mergeCell ref="F37:F38"/>
    <mergeCell ref="B38:E38"/>
    <mergeCell ref="B6:C6"/>
    <mergeCell ref="B9:D9"/>
    <mergeCell ref="B10:D10"/>
    <mergeCell ref="F9:H9"/>
    <mergeCell ref="F10:H10"/>
    <mergeCell ref="B8:D8"/>
    <mergeCell ref="F8:H8"/>
    <mergeCell ref="G13:H13"/>
    <mergeCell ref="G15:H15"/>
    <mergeCell ref="N1:P1"/>
    <mergeCell ref="I3:K3"/>
    <mergeCell ref="N3:P3"/>
    <mergeCell ref="I4:K4"/>
    <mergeCell ref="N4:P4"/>
    <mergeCell ref="J6:K6"/>
    <mergeCell ref="J8:L8"/>
    <mergeCell ref="N8:P8"/>
    <mergeCell ref="J9:L9"/>
    <mergeCell ref="N9:P9"/>
    <mergeCell ref="J37:M37"/>
    <mergeCell ref="N37:N38"/>
    <mergeCell ref="J38:M38"/>
    <mergeCell ref="J10:L10"/>
    <mergeCell ref="N10:P10"/>
    <mergeCell ref="O13:P13"/>
    <mergeCell ref="O15:P15"/>
    <mergeCell ref="N33:N36"/>
  </mergeCells>
  <phoneticPr fontId="20" type="noConversion"/>
  <conditionalFormatting sqref="A18">
    <cfRule type="duplicateValues" dxfId="6" priority="2"/>
  </conditionalFormatting>
  <conditionalFormatting sqref="I18">
    <cfRule type="duplicateValues" dxfId="5" priority="1"/>
  </conditionalFormatting>
  <dataValidations count="2">
    <dataValidation type="list" allowBlank="1" showInputMessage="1" showErrorMessage="1" sqref="B6 J6" xr:uid="{A0E4A6D8-FFAF-4B9D-B007-9B4EF4A130ED}">
      <formula1>NIT</formula1>
    </dataValidation>
    <dataValidation type="list" allowBlank="1" showInputMessage="1" showErrorMessage="1" sqref="A6 I6" xr:uid="{627D0E54-B4D6-416E-A2C1-DAB354A82B3E}">
      <formula1>tipoId</formula1>
    </dataValidation>
  </dataValidations>
  <pageMargins left="0.42625000000000002" right="0.33906249999999999" top="0.62" bottom="0.48958333333333331" header="0.3" footer="0.3"/>
  <pageSetup paperSize="122" scale="93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907BD-B5F1-4A3C-8EB9-DFE7CBD7E4C0}">
  <sheetPr codeName="Hoja5"/>
  <dimension ref="A1:J21"/>
  <sheetViews>
    <sheetView workbookViewId="0">
      <selection activeCell="F2" sqref="F2:F7"/>
    </sheetView>
  </sheetViews>
  <sheetFormatPr baseColWidth="10" defaultColWidth="10.7109375" defaultRowHeight="15" x14ac:dyDescent="0.25"/>
  <cols>
    <col min="1" max="1" width="11.7109375" bestFit="1" customWidth="1"/>
    <col min="2" max="2" width="39.42578125" customWidth="1"/>
    <col min="3" max="3" width="10.7109375" style="3"/>
    <col min="5" max="5" width="12" bestFit="1" customWidth="1"/>
    <col min="6" max="6" width="12.42578125" bestFit="1" customWidth="1"/>
    <col min="10" max="10" width="12.42578125" bestFit="1" customWidth="1"/>
  </cols>
  <sheetData>
    <row r="1" spans="1:10" x14ac:dyDescent="0.25">
      <c r="A1" s="16" t="s">
        <v>2561</v>
      </c>
      <c r="B1" s="16" t="s">
        <v>2562</v>
      </c>
      <c r="C1" s="17" t="s">
        <v>411</v>
      </c>
      <c r="E1" s="89" t="s">
        <v>2563</v>
      </c>
      <c r="F1" s="89" t="s">
        <v>2564</v>
      </c>
      <c r="H1" s="93" t="s">
        <v>2</v>
      </c>
      <c r="J1" s="16" t="s">
        <v>2565</v>
      </c>
    </row>
    <row r="2" spans="1:10" x14ac:dyDescent="0.25">
      <c r="A2" s="18" t="s">
        <v>282</v>
      </c>
      <c r="B2" s="62" t="s">
        <v>16</v>
      </c>
      <c r="C2" s="90">
        <v>0.19</v>
      </c>
      <c r="E2" s="4">
        <v>1</v>
      </c>
      <c r="F2" s="4" t="s">
        <v>777</v>
      </c>
      <c r="H2" t="s">
        <v>231</v>
      </c>
      <c r="J2" t="s">
        <v>1960</v>
      </c>
    </row>
    <row r="3" spans="1:10" x14ac:dyDescent="0.25">
      <c r="A3" s="18" t="s">
        <v>413</v>
      </c>
      <c r="B3" s="243" t="s">
        <v>583</v>
      </c>
      <c r="C3" s="90">
        <v>0.19</v>
      </c>
      <c r="E3" s="4">
        <v>2</v>
      </c>
      <c r="F3" s="4" t="s">
        <v>2080</v>
      </c>
      <c r="H3" t="s">
        <v>716</v>
      </c>
      <c r="J3" t="s">
        <v>2086</v>
      </c>
    </row>
    <row r="4" spans="1:10" x14ac:dyDescent="0.25">
      <c r="A4" s="18" t="s">
        <v>566</v>
      </c>
      <c r="B4" s="54" t="s">
        <v>567</v>
      </c>
      <c r="C4" s="90">
        <v>0</v>
      </c>
      <c r="E4" s="4">
        <v>3</v>
      </c>
      <c r="F4" s="4" t="s">
        <v>2566</v>
      </c>
    </row>
    <row r="5" spans="1:10" x14ac:dyDescent="0.25">
      <c r="A5" s="18" t="s">
        <v>412</v>
      </c>
      <c r="B5" s="1" t="s">
        <v>594</v>
      </c>
      <c r="C5" s="90">
        <v>0.19</v>
      </c>
      <c r="E5" s="4">
        <v>4</v>
      </c>
      <c r="F5" s="4" t="s">
        <v>2567</v>
      </c>
    </row>
    <row r="6" spans="1:10" x14ac:dyDescent="0.25">
      <c r="A6" s="18" t="s">
        <v>415</v>
      </c>
      <c r="B6" s="1" t="s">
        <v>605</v>
      </c>
      <c r="C6" s="90">
        <v>0.19</v>
      </c>
      <c r="E6" s="4">
        <v>5</v>
      </c>
      <c r="F6" s="4" t="s">
        <v>2568</v>
      </c>
    </row>
    <row r="7" spans="1:10" x14ac:dyDescent="0.25">
      <c r="A7" s="18" t="s">
        <v>416</v>
      </c>
      <c r="B7" s="1" t="s">
        <v>519</v>
      </c>
      <c r="C7" s="90">
        <v>0.19</v>
      </c>
    </row>
    <row r="8" spans="1:10" x14ac:dyDescent="0.25">
      <c r="A8" s="18" t="s">
        <v>417</v>
      </c>
      <c r="B8" s="243" t="s">
        <v>525</v>
      </c>
      <c r="C8" s="90">
        <v>0</v>
      </c>
    </row>
    <row r="9" spans="1:10" x14ac:dyDescent="0.25">
      <c r="A9" s="18" t="s">
        <v>414</v>
      </c>
      <c r="B9" s="2" t="s">
        <v>607</v>
      </c>
      <c r="C9" s="90">
        <v>0</v>
      </c>
    </row>
    <row r="10" spans="1:10" x14ac:dyDescent="0.25">
      <c r="A10" s="18" t="s">
        <v>420</v>
      </c>
      <c r="B10" s="2" t="s">
        <v>551</v>
      </c>
      <c r="C10" s="90">
        <v>0.19</v>
      </c>
    </row>
    <row r="11" spans="1:10" x14ac:dyDescent="0.25">
      <c r="A11" s="18" t="s">
        <v>433</v>
      </c>
      <c r="B11" s="2" t="s">
        <v>517</v>
      </c>
      <c r="C11" s="90">
        <v>0.19</v>
      </c>
    </row>
    <row r="12" spans="1:10" x14ac:dyDescent="0.25">
      <c r="A12" s="4">
        <v>11</v>
      </c>
      <c r="B12" s="2" t="s">
        <v>2569</v>
      </c>
      <c r="C12" s="90">
        <v>0</v>
      </c>
    </row>
    <row r="13" spans="1:10" x14ac:dyDescent="0.25">
      <c r="A13" s="4">
        <v>12</v>
      </c>
      <c r="B13" s="2" t="s">
        <v>608</v>
      </c>
      <c r="C13" s="90">
        <v>0</v>
      </c>
    </row>
    <row r="14" spans="1:10" x14ac:dyDescent="0.25">
      <c r="A14" s="91">
        <v>13</v>
      </c>
      <c r="B14" s="2" t="s">
        <v>596</v>
      </c>
      <c r="C14" s="90">
        <v>0.19</v>
      </c>
    </row>
    <row r="15" spans="1:10" x14ac:dyDescent="0.25">
      <c r="A15" s="4">
        <v>14</v>
      </c>
      <c r="B15" s="2" t="s">
        <v>2570</v>
      </c>
      <c r="C15" s="90">
        <v>0.19</v>
      </c>
    </row>
    <row r="16" spans="1:10" x14ac:dyDescent="0.25">
      <c r="A16" s="4">
        <v>15</v>
      </c>
      <c r="B16" s="2" t="s">
        <v>553</v>
      </c>
      <c r="C16" s="90">
        <v>0.19</v>
      </c>
    </row>
    <row r="17" spans="1:3" x14ac:dyDescent="0.25">
      <c r="A17" s="4">
        <v>16</v>
      </c>
      <c r="B17" s="2" t="s">
        <v>631</v>
      </c>
      <c r="C17" s="90">
        <v>0.19</v>
      </c>
    </row>
    <row r="18" spans="1:3" x14ac:dyDescent="0.25">
      <c r="A18" s="18" t="s">
        <v>598</v>
      </c>
      <c r="B18" s="2" t="s">
        <v>599</v>
      </c>
      <c r="C18" s="90">
        <v>0</v>
      </c>
    </row>
    <row r="19" spans="1:3" x14ac:dyDescent="0.25">
      <c r="A19" s="18" t="s">
        <v>574</v>
      </c>
      <c r="B19" s="62" t="s">
        <v>603</v>
      </c>
      <c r="C19" s="90">
        <v>0</v>
      </c>
    </row>
    <row r="20" spans="1:3" x14ac:dyDescent="0.25">
      <c r="A20" s="4">
        <v>19</v>
      </c>
      <c r="B20" s="2" t="s">
        <v>602</v>
      </c>
      <c r="C20" s="90">
        <v>0</v>
      </c>
    </row>
    <row r="21" spans="1:3" x14ac:dyDescent="0.25">
      <c r="A21" s="239">
        <v>20</v>
      </c>
      <c r="B21" s="2" t="s">
        <v>604</v>
      </c>
      <c r="C21" s="90">
        <v>0</v>
      </c>
    </row>
  </sheetData>
  <phoneticPr fontId="20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C24B24-3825-4430-8400-B2ACAFBE49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7</vt:i4>
      </vt:variant>
    </vt:vector>
  </HeadingPairs>
  <TitlesOfParts>
    <vt:vector size="16" baseType="lpstr">
      <vt:lpstr>Tablero control</vt:lpstr>
      <vt:lpstr>guardar</vt:lpstr>
      <vt:lpstr>proforma</vt:lpstr>
      <vt:lpstr>Pagos</vt:lpstr>
      <vt:lpstr>Articulos</vt:lpstr>
      <vt:lpstr>Facturas</vt:lpstr>
      <vt:lpstr>Clientes</vt:lpstr>
      <vt:lpstr>estadoCuenta</vt:lpstr>
      <vt:lpstr>Parametros</vt:lpstr>
      <vt:lpstr>estadoCuenta!Área_de_impresión</vt:lpstr>
      <vt:lpstr>guardar!Área_de_impresión</vt:lpstr>
      <vt:lpstr>proforma!Área_de_impresión</vt:lpstr>
      <vt:lpstr>NIT</vt:lpstr>
      <vt:lpstr>guardar!proforma</vt:lpstr>
      <vt:lpstr>proforma</vt:lpstr>
      <vt:lpstr>tipoId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Alejandro Leguizamo</cp:lastModifiedBy>
  <cp:revision/>
  <dcterms:created xsi:type="dcterms:W3CDTF">2021-08-20T16:52:51Z</dcterms:created>
  <dcterms:modified xsi:type="dcterms:W3CDTF">2026-03-11T17:12:09Z</dcterms:modified>
  <cp:category/>
  <cp:contentStatus/>
</cp:coreProperties>
</file>